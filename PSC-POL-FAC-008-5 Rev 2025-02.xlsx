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124226"/>
  <xr:revisionPtr revIDLastSave="0" documentId="13_ncr:1_{52E79370-7620-45A8-9DA6-1278CD970371}" xr6:coauthVersionLast="47" xr6:coauthVersionMax="47" xr10:uidLastSave="{00000000-0000-0000-0000-000000000000}"/>
  <bookViews>
    <workbookView xWindow="75" yWindow="-16320" windowWidth="29040" windowHeight="15720" tabRatio="716" firstSheet="1" activeTab="1" xr2:uid="{00000000-000D-0000-FFFF-FFFF00000000}"/>
  </bookViews>
  <sheets>
    <sheet name="Line Ratings (2)" sheetId="29" state="hidden" r:id="rId1"/>
    <sheet name="Cover" sheetId="19" r:id="rId2"/>
    <sheet name="Instruction Sheet" sheetId="26" r:id="rId3"/>
    <sheet name="Line Ratings" sheetId="65" r:id="rId4"/>
    <sheet name="Manually Rated" sheetId="49" r:id="rId5"/>
    <sheet name="Line Ratings In Construction" sheetId="66" r:id="rId6"/>
    <sheet name="Removed Line Facilities" sheetId="51" r:id="rId7"/>
    <sheet name="Transformer Ratings" sheetId="67" r:id="rId8"/>
    <sheet name="Transformer In Construction" sheetId="68" r:id="rId9"/>
    <sheet name="Lamar DC Tie" sheetId="54" r:id="rId10"/>
    <sheet name="Ambient Adjusted Ratings" sheetId="69" r:id="rId11"/>
    <sheet name="E.S. Generation" sheetId="70" r:id="rId12"/>
    <sheet name="E.S. Wind Farms" sheetId="71" r:id="rId13"/>
  </sheets>
  <externalReferences>
    <externalReference r:id="rId14"/>
  </externalReferences>
  <definedNames>
    <definedName name="_xlnm._FilterDatabase" localSheetId="3" hidden="1">'Line Ratings'!$B$5:$V$1352</definedName>
    <definedName name="_xlnm._FilterDatabase" localSheetId="0" hidden="1">'Line Ratings (2)'!$B$5:$V$1008</definedName>
    <definedName name="_xlnm._FilterDatabase" localSheetId="5" hidden="1">'Line Ratings In Construction'!$B$5:$V$68</definedName>
    <definedName name="_xlnm._FilterDatabase" localSheetId="4" hidden="1">'Manually Rated'!$B$5:$V$5</definedName>
    <definedName name="_xlnm._FilterDatabase" localSheetId="6" hidden="1">'Removed Line Facilities'!$B$5:$V$5</definedName>
    <definedName name="_xlnm._FilterDatabase" localSheetId="7" hidden="1">'Transformer Ratings'!$B$5:$S$263</definedName>
    <definedName name="_xlnm.Print_Area" localSheetId="10">'Ambient Adjusted Ratings'!$A$1:$BO$60</definedName>
    <definedName name="_xlnm.Print_Area" localSheetId="1">Cover!$A$1:$H$15</definedName>
    <definedName name="_xlnm.Print_Area" localSheetId="12">'E.S. Wind Farms'!$A$1:$L$163</definedName>
    <definedName name="_xlnm.Print_Area" localSheetId="2">'Instruction Sheet'!$A$1:$O$49</definedName>
    <definedName name="_xlnm.Print_Area" localSheetId="9">'Lamar DC Tie'!$A$1:$I$46</definedName>
    <definedName name="_xlnm.Print_Area" localSheetId="0">'Line Ratings (2)'!$A$1:$V$1008</definedName>
    <definedName name="_xlnm.Print_Area" localSheetId="6">'Removed Line Facilities'!$A$1:$V$9</definedName>
    <definedName name="_xlnm.Print_Titles" localSheetId="10">'Ambient Adjusted Ratings'!$2:$8</definedName>
    <definedName name="_xlnm.Print_Titles" localSheetId="3">'Line Ratings'!$1:$5</definedName>
    <definedName name="_xlnm.Print_Titles" localSheetId="0">'Line Ratings (2)'!$1:$5</definedName>
    <definedName name="_xlnm.Print_Titles" localSheetId="5">'Line Ratings In Construction'!$1:$5</definedName>
    <definedName name="_xlnm.Print_Titles" localSheetId="4">'Manually Rated'!$1:$5</definedName>
    <definedName name="_xlnm.Print_Titles" localSheetId="6">'Removed Line Facilities'!$1:$5</definedName>
    <definedName name="_xlnm.Print_Titles" localSheetId="8">'Transformer In Construction'!$1:$5</definedName>
    <definedName name="_xlnm.Print_Titles" localSheetId="7">'Transformer Ratings'!$1:$5</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6" i="71" l="1"/>
  <c r="L6" i="71"/>
  <c r="D7" i="71"/>
  <c r="I7" i="71"/>
  <c r="L7" i="71"/>
  <c r="I8" i="71"/>
  <c r="L8" i="71"/>
  <c r="I9" i="71"/>
  <c r="L9" i="71"/>
  <c r="I10" i="71"/>
  <c r="L10" i="71"/>
  <c r="I11" i="71"/>
  <c r="L11" i="71"/>
  <c r="I12" i="71"/>
  <c r="L12" i="71"/>
  <c r="I13" i="71"/>
  <c r="L13" i="71"/>
  <c r="I14" i="71"/>
  <c r="L14" i="71"/>
  <c r="I15" i="71"/>
  <c r="L15" i="71"/>
  <c r="I16" i="71"/>
  <c r="L16" i="71"/>
  <c r="I17" i="71"/>
  <c r="L17" i="71"/>
  <c r="D18" i="71"/>
  <c r="I18" i="71"/>
  <c r="L18" i="71"/>
  <c r="D19" i="71"/>
  <c r="I19" i="71"/>
  <c r="L19" i="71"/>
  <c r="D20" i="71"/>
  <c r="I20" i="71"/>
  <c r="L20" i="71"/>
  <c r="D21" i="71"/>
  <c r="I21" i="71"/>
  <c r="L21" i="71"/>
  <c r="D22" i="71"/>
  <c r="I22" i="71"/>
  <c r="L22" i="71"/>
  <c r="D23" i="71"/>
  <c r="I23" i="71"/>
  <c r="L23" i="71"/>
  <c r="I24" i="71"/>
  <c r="L24" i="71"/>
  <c r="I25" i="71"/>
  <c r="L25" i="71"/>
  <c r="I26" i="71"/>
  <c r="L26" i="71"/>
  <c r="D27" i="71"/>
  <c r="I27" i="71"/>
  <c r="L27" i="71"/>
  <c r="I28" i="71"/>
  <c r="L28" i="71"/>
  <c r="I29" i="71"/>
  <c r="L29" i="71"/>
  <c r="I30" i="71"/>
  <c r="L30" i="71"/>
  <c r="I31" i="71"/>
  <c r="L31" i="71"/>
  <c r="I32" i="71"/>
  <c r="L32" i="71"/>
  <c r="I33" i="71"/>
  <c r="L33" i="71"/>
  <c r="I34" i="71"/>
  <c r="L34" i="71"/>
  <c r="I35" i="71"/>
  <c r="L35" i="71"/>
  <c r="I36" i="71"/>
  <c r="L36" i="71"/>
  <c r="D37" i="71"/>
  <c r="I37" i="71"/>
  <c r="L37" i="71"/>
  <c r="D38" i="71"/>
  <c r="I38" i="71"/>
  <c r="L38" i="71"/>
  <c r="D39" i="71"/>
  <c r="I39" i="71"/>
  <c r="L39" i="71"/>
  <c r="I40" i="71"/>
  <c r="L40" i="71"/>
  <c r="D41" i="71"/>
  <c r="I41" i="71"/>
  <c r="L41" i="71"/>
  <c r="I42" i="71"/>
  <c r="L42" i="71"/>
  <c r="I43" i="71"/>
  <c r="L43" i="71"/>
  <c r="I44" i="71"/>
  <c r="L44" i="71"/>
  <c r="I45" i="71"/>
  <c r="L45" i="71"/>
  <c r="I46" i="71"/>
  <c r="L46" i="71"/>
  <c r="I47" i="71"/>
  <c r="L47" i="71"/>
  <c r="I48" i="71"/>
  <c r="L48" i="71"/>
  <c r="I49" i="71"/>
  <c r="L49" i="71"/>
  <c r="I50" i="71"/>
  <c r="L50" i="71"/>
  <c r="D51" i="71"/>
  <c r="I51" i="71"/>
  <c r="L51" i="71"/>
  <c r="I52" i="71"/>
  <c r="L52" i="71"/>
  <c r="I53" i="71"/>
  <c r="L53" i="71"/>
  <c r="I54" i="71"/>
  <c r="L54" i="71"/>
  <c r="D55" i="71"/>
  <c r="I55" i="71"/>
  <c r="L55" i="71"/>
  <c r="I56" i="71"/>
  <c r="L56" i="71"/>
  <c r="I57" i="71"/>
  <c r="L57" i="71"/>
  <c r="I58" i="71"/>
  <c r="L58" i="71"/>
  <c r="I59" i="71"/>
  <c r="L59" i="71"/>
  <c r="I60" i="71"/>
  <c r="L60" i="71"/>
  <c r="I61" i="71"/>
  <c r="L61" i="71"/>
  <c r="I62" i="71"/>
  <c r="L62" i="71"/>
  <c r="I63" i="71"/>
  <c r="L63" i="71"/>
  <c r="I64" i="71"/>
  <c r="L64" i="71"/>
  <c r="I65" i="71"/>
  <c r="L65" i="71"/>
  <c r="I66" i="71"/>
  <c r="L66" i="71"/>
  <c r="I67" i="71"/>
  <c r="L67" i="71"/>
  <c r="I68" i="71"/>
  <c r="L68" i="71"/>
  <c r="D69" i="71"/>
  <c r="I69" i="71"/>
  <c r="L69" i="71"/>
  <c r="D70" i="71"/>
  <c r="I70" i="71"/>
  <c r="L70" i="71"/>
  <c r="D71" i="71"/>
  <c r="I71" i="71"/>
  <c r="L71" i="71"/>
  <c r="I72" i="71"/>
  <c r="L72" i="71"/>
  <c r="D73" i="71"/>
  <c r="I73" i="71"/>
  <c r="L73" i="71"/>
  <c r="D74" i="71"/>
  <c r="I74" i="71"/>
  <c r="L74" i="71"/>
  <c r="D75" i="71"/>
  <c r="I75" i="71"/>
  <c r="L75" i="71"/>
  <c r="I76" i="71"/>
  <c r="L76" i="71"/>
  <c r="I77" i="71"/>
  <c r="L77" i="71"/>
  <c r="I78" i="71"/>
  <c r="L78" i="71"/>
  <c r="I79" i="71"/>
  <c r="L79" i="71"/>
  <c r="I80" i="71"/>
  <c r="L80" i="71"/>
  <c r="I81" i="71"/>
  <c r="L81" i="71"/>
  <c r="I82" i="71"/>
  <c r="L82" i="71"/>
  <c r="I83" i="71"/>
  <c r="L83" i="71"/>
  <c r="I84" i="71"/>
  <c r="L84" i="71"/>
  <c r="I85" i="71"/>
  <c r="L85" i="71"/>
  <c r="I86" i="71"/>
  <c r="L86" i="71"/>
  <c r="I87" i="71"/>
  <c r="L87" i="71"/>
  <c r="D88" i="71"/>
  <c r="I88" i="71"/>
  <c r="L88" i="71"/>
  <c r="D89" i="71"/>
  <c r="I89" i="71"/>
  <c r="L89" i="71"/>
  <c r="I90" i="71"/>
  <c r="L90" i="71"/>
  <c r="D91" i="71"/>
  <c r="I91" i="71"/>
  <c r="L91" i="71"/>
  <c r="I92" i="71"/>
  <c r="L92" i="71"/>
  <c r="I93" i="71"/>
  <c r="L93" i="71"/>
  <c r="I94" i="71"/>
  <c r="L94" i="71"/>
  <c r="D95" i="71"/>
  <c r="I95" i="71"/>
  <c r="L95" i="71"/>
  <c r="I96" i="71"/>
  <c r="L96" i="71"/>
  <c r="I97" i="71"/>
  <c r="L97" i="71"/>
  <c r="I98" i="71"/>
  <c r="L98" i="71"/>
  <c r="I99" i="71"/>
  <c r="L99" i="71"/>
  <c r="I100" i="71"/>
  <c r="L100" i="71"/>
  <c r="I101" i="71"/>
  <c r="L101" i="71"/>
  <c r="D102" i="71"/>
  <c r="I102" i="71"/>
  <c r="L102" i="71"/>
  <c r="D103" i="71"/>
  <c r="I103" i="71"/>
  <c r="L103" i="71"/>
  <c r="I104" i="71"/>
  <c r="L104" i="71"/>
  <c r="D105" i="71"/>
  <c r="I105" i="71"/>
  <c r="L105" i="71"/>
  <c r="I106" i="71"/>
  <c r="L106" i="71"/>
  <c r="I107" i="71"/>
  <c r="L107" i="71"/>
  <c r="I108" i="71"/>
  <c r="L108" i="71"/>
  <c r="I109" i="71"/>
  <c r="L109" i="71"/>
  <c r="I110" i="71"/>
  <c r="L110" i="71"/>
  <c r="I111" i="71"/>
  <c r="L111" i="71"/>
  <c r="I112" i="71"/>
  <c r="L112" i="71"/>
  <c r="I113" i="71"/>
  <c r="L113" i="71"/>
  <c r="I114" i="71"/>
  <c r="L114" i="71"/>
  <c r="I115" i="71"/>
  <c r="L115" i="71"/>
  <c r="I116" i="71"/>
  <c r="L116" i="71"/>
  <c r="I117" i="71"/>
  <c r="L117" i="71"/>
  <c r="I118" i="71"/>
  <c r="L118" i="71"/>
  <c r="I119" i="71"/>
  <c r="L119" i="71"/>
  <c r="I120" i="71"/>
  <c r="L120" i="71"/>
  <c r="I121" i="71"/>
  <c r="L121" i="71"/>
  <c r="I122" i="71"/>
  <c r="L122" i="71"/>
  <c r="I123" i="71"/>
  <c r="L123" i="71"/>
  <c r="I124" i="71"/>
  <c r="L124" i="71"/>
  <c r="D125" i="71"/>
  <c r="I125" i="71"/>
  <c r="L125" i="71"/>
  <c r="D126" i="71"/>
  <c r="I126" i="71"/>
  <c r="L126" i="71"/>
  <c r="I127" i="71"/>
  <c r="L127" i="71"/>
  <c r="D128" i="71"/>
  <c r="I128" i="71"/>
  <c r="L128" i="71"/>
  <c r="D129" i="71"/>
  <c r="I129" i="71"/>
  <c r="L129" i="71"/>
  <c r="I130" i="71"/>
  <c r="L130" i="71"/>
  <c r="I131" i="71"/>
  <c r="L131" i="71"/>
  <c r="I132" i="71"/>
  <c r="L132" i="71"/>
  <c r="I133" i="71"/>
  <c r="L133" i="71"/>
  <c r="I134" i="71"/>
  <c r="L134" i="71"/>
  <c r="I135" i="71"/>
  <c r="L135" i="71"/>
  <c r="I136" i="71"/>
  <c r="L136" i="71"/>
  <c r="I137" i="71"/>
  <c r="L137" i="71"/>
  <c r="I138" i="71"/>
  <c r="L138" i="71"/>
  <c r="I139" i="71"/>
  <c r="L139" i="71"/>
  <c r="D140" i="71"/>
  <c r="I140" i="71"/>
  <c r="L140" i="71"/>
  <c r="D141" i="71"/>
  <c r="I141" i="71"/>
  <c r="L141" i="71"/>
  <c r="I142" i="71"/>
  <c r="L142" i="71"/>
  <c r="D143" i="71"/>
  <c r="I143" i="71"/>
  <c r="L143" i="71"/>
  <c r="I144" i="71"/>
  <c r="L144" i="71"/>
  <c r="I145" i="71"/>
  <c r="L145" i="71"/>
  <c r="I146" i="71"/>
  <c r="L146" i="71"/>
  <c r="I147" i="71"/>
  <c r="L147" i="71"/>
  <c r="I148" i="71"/>
  <c r="L148" i="71"/>
  <c r="I149" i="71"/>
  <c r="L149" i="71"/>
  <c r="I150" i="71"/>
  <c r="L150" i="71"/>
  <c r="I151" i="71"/>
  <c r="L151" i="71"/>
  <c r="I152" i="71"/>
  <c r="L152" i="71"/>
  <c r="B178" i="71"/>
  <c r="E178" i="71"/>
  <c r="B179" i="71"/>
  <c r="E179" i="71"/>
  <c r="E184" i="71"/>
  <c r="F184" i="71"/>
  <c r="G184" i="71"/>
  <c r="E185" i="71"/>
  <c r="F185" i="71"/>
  <c r="H185" i="71" s="1"/>
  <c r="J185" i="71" s="1"/>
  <c r="G185" i="71"/>
  <c r="E186" i="71"/>
  <c r="F186" i="71"/>
  <c r="H186" i="71" s="1"/>
  <c r="G186" i="71"/>
  <c r="E187" i="71"/>
  <c r="F187" i="71"/>
  <c r="G187" i="71"/>
  <c r="E188" i="71"/>
  <c r="H188" i="71" s="1"/>
  <c r="F188" i="71"/>
  <c r="G188" i="71"/>
  <c r="E189" i="71"/>
  <c r="F189" i="71"/>
  <c r="G189" i="71"/>
  <c r="H189" i="71" s="1"/>
  <c r="E190" i="71"/>
  <c r="F190" i="71"/>
  <c r="H190" i="71" s="1"/>
  <c r="G190" i="71"/>
  <c r="E191" i="71"/>
  <c r="F191" i="71"/>
  <c r="G191" i="71"/>
  <c r="H191" i="71" s="1"/>
  <c r="D16" i="71" s="1"/>
  <c r="E192" i="71"/>
  <c r="F192" i="71"/>
  <c r="G192" i="71"/>
  <c r="H192" i="71"/>
  <c r="E193" i="71"/>
  <c r="H193" i="71" s="1"/>
  <c r="F193" i="71"/>
  <c r="G193" i="71"/>
  <c r="J193" i="71"/>
  <c r="E194" i="71"/>
  <c r="H194" i="71" s="1"/>
  <c r="F194" i="71"/>
  <c r="G194" i="71"/>
  <c r="E195" i="71"/>
  <c r="F195" i="71"/>
  <c r="G195" i="71"/>
  <c r="E196" i="71"/>
  <c r="F196" i="71"/>
  <c r="G196" i="71"/>
  <c r="H196" i="71" s="1"/>
  <c r="J196" i="71"/>
  <c r="E197" i="71"/>
  <c r="F197" i="71"/>
  <c r="H197" i="71" s="1"/>
  <c r="G197" i="71"/>
  <c r="J197" i="71"/>
  <c r="E198" i="71"/>
  <c r="F198" i="71"/>
  <c r="G198" i="71"/>
  <c r="E199" i="71"/>
  <c r="F199" i="71"/>
  <c r="G199" i="71"/>
  <c r="H199" i="71"/>
  <c r="E200" i="71"/>
  <c r="F200" i="71"/>
  <c r="H200" i="71" s="1"/>
  <c r="J200" i="71" s="1"/>
  <c r="G200" i="71"/>
  <c r="D201" i="71"/>
  <c r="E202" i="71"/>
  <c r="F202" i="71"/>
  <c r="G202" i="71"/>
  <c r="H202" i="71" s="1"/>
  <c r="E203" i="71"/>
  <c r="F203" i="71"/>
  <c r="G203" i="71"/>
  <c r="H203" i="71"/>
  <c r="J203" i="71" s="1"/>
  <c r="E204" i="71"/>
  <c r="F204" i="71"/>
  <c r="G204" i="71"/>
  <c r="H204" i="71"/>
  <c r="E205" i="71"/>
  <c r="H205" i="71" s="1"/>
  <c r="F205" i="71"/>
  <c r="G205" i="71"/>
  <c r="E206" i="71"/>
  <c r="F206" i="71"/>
  <c r="G206" i="71"/>
  <c r="H206" i="71"/>
  <c r="D59" i="71" s="1"/>
  <c r="E207" i="71"/>
  <c r="F207" i="71"/>
  <c r="G207" i="71"/>
  <c r="H207" i="71"/>
  <c r="C228" i="71" s="1"/>
  <c r="J207" i="71"/>
  <c r="E208" i="71"/>
  <c r="F208" i="71"/>
  <c r="G208" i="71"/>
  <c r="H208" i="71"/>
  <c r="E209" i="71"/>
  <c r="H209" i="71" s="1"/>
  <c r="F209" i="71"/>
  <c r="G209" i="71"/>
  <c r="E210" i="71"/>
  <c r="F210" i="71"/>
  <c r="G210" i="71"/>
  <c r="E211" i="71"/>
  <c r="H211" i="71" s="1"/>
  <c r="F211" i="71"/>
  <c r="G211" i="71"/>
  <c r="D212" i="71"/>
  <c r="F212" i="71" s="1"/>
  <c r="C219" i="71"/>
  <c r="D14" i="71" s="1"/>
  <c r="C221" i="71"/>
  <c r="D28" i="71" s="1"/>
  <c r="E234" i="71"/>
  <c r="E235" i="71"/>
  <c r="E236" i="71"/>
  <c r="E237" i="71"/>
  <c r="E238" i="71"/>
  <c r="E239" i="71"/>
  <c r="E240" i="71"/>
  <c r="E241" i="71"/>
  <c r="E242" i="71"/>
  <c r="E247" i="71"/>
  <c r="E248" i="71"/>
  <c r="E249" i="71"/>
  <c r="E250" i="71"/>
  <c r="E251" i="71"/>
  <c r="C256" i="71"/>
  <c r="C266" i="71" s="1"/>
  <c r="D25" i="71" s="1"/>
  <c r="E256" i="71"/>
  <c r="C257" i="71"/>
  <c r="D40" i="71" s="1"/>
  <c r="E257" i="71"/>
  <c r="C258" i="71"/>
  <c r="D24" i="71" s="1"/>
  <c r="C259" i="71"/>
  <c r="E259" i="71" s="1"/>
  <c r="C260" i="71"/>
  <c r="E260" i="71"/>
  <c r="C261" i="71"/>
  <c r="E261" i="71" s="1"/>
  <c r="E266" i="71"/>
  <c r="AX271" i="71"/>
  <c r="AY271" i="71"/>
  <c r="AZ271" i="71"/>
  <c r="BA271" i="71"/>
  <c r="BB271" i="71"/>
  <c r="BC271" i="71"/>
  <c r="BD271" i="71"/>
  <c r="BE271" i="71"/>
  <c r="BF272" i="71"/>
  <c r="BG272" i="71"/>
  <c r="BH272" i="71"/>
  <c r="BI272" i="71"/>
  <c r="BJ272" i="71"/>
  <c r="BK272" i="71"/>
  <c r="BL272" i="71"/>
  <c r="BM272" i="71"/>
  <c r="BN272" i="71"/>
  <c r="BO272" i="71"/>
  <c r="BP272" i="71"/>
  <c r="BQ272" i="71"/>
  <c r="BR272" i="71"/>
  <c r="BS272" i="71"/>
  <c r="BT272" i="71"/>
  <c r="P273" i="71"/>
  <c r="Q273" i="71"/>
  <c r="S273" i="71"/>
  <c r="AA273" i="71"/>
  <c r="AC273" i="71"/>
  <c r="AE273" i="71"/>
  <c r="BM273" i="71" s="1"/>
  <c r="AG273" i="71"/>
  <c r="BN273" i="71" s="1"/>
  <c r="AI273" i="71"/>
  <c r="BO273" i="71" s="1"/>
  <c r="AY273" i="71"/>
  <c r="AZ273" i="71"/>
  <c r="BA273" i="71"/>
  <c r="BB273" i="71"/>
  <c r="BC273" i="71"/>
  <c r="BD273" i="71"/>
  <c r="BE273" i="71"/>
  <c r="BF273" i="71"/>
  <c r="BG273" i="71"/>
  <c r="BK273" i="71"/>
  <c r="BL273" i="71"/>
  <c r="BP273" i="71"/>
  <c r="BQ273" i="71"/>
  <c r="BR273" i="71"/>
  <c r="BS273" i="71"/>
  <c r="P274" i="71"/>
  <c r="AG274" i="71" s="1"/>
  <c r="Q274" i="71"/>
  <c r="BF274" i="71" s="1"/>
  <c r="Y274" i="71"/>
  <c r="BJ274" i="71" s="1"/>
  <c r="AA274" i="71"/>
  <c r="BK274" i="71" s="1"/>
  <c r="AC274" i="71"/>
  <c r="AE274" i="71"/>
  <c r="BM274" i="71" s="1"/>
  <c r="AO274" i="71"/>
  <c r="BR274" i="71" s="1"/>
  <c r="AQ274" i="71"/>
  <c r="BS274" i="71" s="1"/>
  <c r="AS274" i="71"/>
  <c r="BT274" i="71" s="1"/>
  <c r="AY274" i="71"/>
  <c r="AZ274" i="71"/>
  <c r="BA274" i="71"/>
  <c r="BB274" i="71"/>
  <c r="BC274" i="71"/>
  <c r="BD274" i="71"/>
  <c r="BE274" i="71"/>
  <c r="BL274" i="71"/>
  <c r="BN274" i="71"/>
  <c r="P275" i="71"/>
  <c r="Q275" i="71"/>
  <c r="BF275" i="71" s="1"/>
  <c r="S275" i="71"/>
  <c r="BG275" i="71" s="1"/>
  <c r="AG275" i="71"/>
  <c r="BN275" i="71" s="1"/>
  <c r="AI275" i="71"/>
  <c r="BO275" i="71" s="1"/>
  <c r="AS275" i="71"/>
  <c r="BT275" i="71" s="1"/>
  <c r="AY275" i="71"/>
  <c r="AZ275" i="71"/>
  <c r="BA275" i="71"/>
  <c r="BB275" i="71"/>
  <c r="BC275" i="71"/>
  <c r="BD275" i="71"/>
  <c r="BE275" i="71"/>
  <c r="BP275" i="71"/>
  <c r="BQ275" i="71"/>
  <c r="BR275" i="71"/>
  <c r="BS275" i="71"/>
  <c r="M293" i="71"/>
  <c r="N293" i="71"/>
  <c r="P293" i="71" s="1"/>
  <c r="T293" i="71"/>
  <c r="X293" i="71"/>
  <c r="M294" i="71"/>
  <c r="N294" i="71"/>
  <c r="P294" i="71" s="1"/>
  <c r="U294" i="71"/>
  <c r="V294" i="71"/>
  <c r="X294" i="71"/>
  <c r="B306" i="71"/>
  <c r="E306" i="71"/>
  <c r="B307" i="71"/>
  <c r="E307" i="71"/>
  <c r="E312" i="71"/>
  <c r="F312" i="71"/>
  <c r="G312" i="71"/>
  <c r="E313" i="71"/>
  <c r="H313" i="71" s="1"/>
  <c r="F313" i="71"/>
  <c r="G313" i="71"/>
  <c r="E314" i="71"/>
  <c r="F314" i="71"/>
  <c r="G314" i="71"/>
  <c r="E315" i="71"/>
  <c r="F315" i="71"/>
  <c r="G315" i="71"/>
  <c r="E316" i="71"/>
  <c r="H316" i="71" s="1"/>
  <c r="J316" i="71" s="1"/>
  <c r="F316" i="71"/>
  <c r="G316" i="71"/>
  <c r="E317" i="71"/>
  <c r="F317" i="71"/>
  <c r="G317" i="71"/>
  <c r="H317" i="71"/>
  <c r="D86" i="71" s="1"/>
  <c r="J317" i="71"/>
  <c r="E318" i="71"/>
  <c r="F318" i="71"/>
  <c r="G318" i="71"/>
  <c r="H318" i="71"/>
  <c r="D94" i="71" s="1"/>
  <c r="J318" i="71"/>
  <c r="E319" i="71"/>
  <c r="H319" i="71" s="1"/>
  <c r="F319" i="71"/>
  <c r="G319" i="71"/>
  <c r="J319" i="71"/>
  <c r="E320" i="71"/>
  <c r="F320" i="71"/>
  <c r="G320" i="71"/>
  <c r="H320" i="71"/>
  <c r="J320" i="71"/>
  <c r="E321" i="71"/>
  <c r="F321" i="71"/>
  <c r="G321" i="71"/>
  <c r="H321" i="71"/>
  <c r="D99" i="71" s="1"/>
  <c r="E322" i="71"/>
  <c r="F322" i="71"/>
  <c r="G322" i="71"/>
  <c r="H322" i="71"/>
  <c r="E323" i="71"/>
  <c r="F323" i="71"/>
  <c r="G323" i="71"/>
  <c r="E324" i="71"/>
  <c r="F324" i="71"/>
  <c r="G324" i="71"/>
  <c r="H324" i="71"/>
  <c r="E325" i="71"/>
  <c r="F325" i="71"/>
  <c r="G325" i="71"/>
  <c r="H325" i="71"/>
  <c r="D116" i="71" s="1"/>
  <c r="E326" i="71"/>
  <c r="H326" i="71" s="1"/>
  <c r="F326" i="71"/>
  <c r="G326" i="71"/>
  <c r="E327" i="71"/>
  <c r="F327" i="71"/>
  <c r="G327" i="71"/>
  <c r="E328" i="71"/>
  <c r="F328" i="71"/>
  <c r="G328" i="71"/>
  <c r="H328" i="71" s="1"/>
  <c r="E329" i="71"/>
  <c r="F329" i="71"/>
  <c r="G329" i="71"/>
  <c r="E330" i="71"/>
  <c r="H330" i="71" s="1"/>
  <c r="F330" i="71"/>
  <c r="G330" i="71"/>
  <c r="E331" i="71"/>
  <c r="F331" i="71"/>
  <c r="G331" i="71"/>
  <c r="H331" i="71" s="1"/>
  <c r="E332" i="71"/>
  <c r="F332" i="71"/>
  <c r="H332" i="71" s="1"/>
  <c r="G332" i="71"/>
  <c r="E333" i="71"/>
  <c r="F333" i="71"/>
  <c r="G333" i="71"/>
  <c r="E334" i="71"/>
  <c r="F334" i="71"/>
  <c r="G334" i="71"/>
  <c r="H334" i="71"/>
  <c r="E335" i="71"/>
  <c r="F335" i="71"/>
  <c r="G335" i="71"/>
  <c r="E336" i="71"/>
  <c r="F336" i="71"/>
  <c r="G336" i="71"/>
  <c r="E361" i="71"/>
  <c r="F361" i="71"/>
  <c r="E362" i="71"/>
  <c r="E363" i="71"/>
  <c r="F363" i="71"/>
  <c r="E364" i="71"/>
  <c r="F364" i="71"/>
  <c r="E365" i="71"/>
  <c r="E366" i="71"/>
  <c r="F366" i="71"/>
  <c r="E367" i="71"/>
  <c r="F367" i="71"/>
  <c r="E368" i="71"/>
  <c r="F368" i="71"/>
  <c r="E374" i="71"/>
  <c r="E375" i="71"/>
  <c r="E376" i="71"/>
  <c r="E377" i="71"/>
  <c r="C383" i="71"/>
  <c r="E383" i="71" s="1"/>
  <c r="C384" i="71"/>
  <c r="E384" i="71" s="1"/>
  <c r="C385" i="71"/>
  <c r="D106" i="71" s="1"/>
  <c r="E385" i="71"/>
  <c r="C386" i="71"/>
  <c r="C387" i="71"/>
  <c r="E387" i="71"/>
  <c r="C388" i="71"/>
  <c r="E388" i="71"/>
  <c r="C389" i="71"/>
  <c r="D142" i="71" s="1"/>
  <c r="C390" i="71"/>
  <c r="E390" i="71" s="1"/>
  <c r="C396" i="71"/>
  <c r="E396" i="71"/>
  <c r="C398" i="71"/>
  <c r="S405" i="71"/>
  <c r="U405" i="71"/>
  <c r="V405" i="71"/>
  <c r="W405" i="71"/>
  <c r="X405" i="71"/>
  <c r="Z405" i="71"/>
  <c r="AA405" i="71"/>
  <c r="AB405" i="71"/>
  <c r="AC405" i="71"/>
  <c r="AD405" i="71"/>
  <c r="AE405" i="71"/>
  <c r="AM405" i="71" a="1"/>
  <c r="AM405" i="71" s="1"/>
  <c r="S406" i="71"/>
  <c r="U406" i="71"/>
  <c r="V406" i="71"/>
  <c r="Q414" i="71" s="1"/>
  <c r="W406" i="71"/>
  <c r="X406" i="71"/>
  <c r="Z406" i="71"/>
  <c r="AA406" i="71"/>
  <c r="AB406" i="71"/>
  <c r="AC406" i="71"/>
  <c r="AD406" i="71"/>
  <c r="AE406" i="71"/>
  <c r="AM406" i="71" a="1"/>
  <c r="AM406" i="71" s="1"/>
  <c r="S407" i="71"/>
  <c r="U407" i="71"/>
  <c r="V407" i="71"/>
  <c r="AN407" i="71" s="1"/>
  <c r="AH407" i="71" s="1"/>
  <c r="W407" i="71"/>
  <c r="X407" i="71"/>
  <c r="Z407" i="71"/>
  <c r="AA407" i="71"/>
  <c r="AB407" i="71"/>
  <c r="AC407" i="71"/>
  <c r="AD407" i="71"/>
  <c r="AE407" i="71"/>
  <c r="AM407" i="71" a="1"/>
  <c r="AM407" i="71"/>
  <c r="S408" i="71"/>
  <c r="U408" i="71"/>
  <c r="V408" i="71"/>
  <c r="W408" i="71"/>
  <c r="X408" i="71"/>
  <c r="Z408" i="71"/>
  <c r="AA408" i="71"/>
  <c r="AB408" i="71"/>
  <c r="AC408" i="71"/>
  <c r="AD408" i="71"/>
  <c r="AE408" i="71"/>
  <c r="AM408" i="71" a="1"/>
  <c r="AM408" i="71" s="1"/>
  <c r="H421" i="71"/>
  <c r="I421" i="71"/>
  <c r="H422" i="71"/>
  <c r="I422" i="71"/>
  <c r="H423" i="71"/>
  <c r="I423" i="71"/>
  <c r="H424" i="71"/>
  <c r="I424" i="71"/>
  <c r="L430" i="71"/>
  <c r="L436" i="71"/>
  <c r="D53" i="71" l="1"/>
  <c r="J202" i="71"/>
  <c r="AH405" i="71"/>
  <c r="F421" i="71" s="1"/>
  <c r="AG408" i="71" a="1"/>
  <c r="AG408" i="71" s="1"/>
  <c r="G424" i="71" s="1"/>
  <c r="AN408" i="71"/>
  <c r="AH408" i="71" s="1"/>
  <c r="F424" i="71" s="1"/>
  <c r="G423" i="71"/>
  <c r="AG405" i="71" a="1"/>
  <c r="AG405" i="71" s="1"/>
  <c r="AN405" i="71"/>
  <c r="F365" i="71"/>
  <c r="D121" i="71"/>
  <c r="J328" i="71"/>
  <c r="J325" i="71"/>
  <c r="D80" i="71"/>
  <c r="J313" i="71"/>
  <c r="E386" i="71"/>
  <c r="C406" i="71"/>
  <c r="D90" i="71"/>
  <c r="D93" i="71"/>
  <c r="D100" i="71"/>
  <c r="J322" i="71"/>
  <c r="D50" i="71"/>
  <c r="J199" i="71"/>
  <c r="AN406" i="71"/>
  <c r="E389" i="71"/>
  <c r="E219" i="71"/>
  <c r="Q415" i="71"/>
  <c r="AH406" i="71"/>
  <c r="D63" i="71"/>
  <c r="E228" i="71"/>
  <c r="O399" i="71"/>
  <c r="P399" i="71"/>
  <c r="AG406" i="71" a="1"/>
  <c r="AG406" i="71" s="1"/>
  <c r="F422" i="71" s="1"/>
  <c r="H329" i="71"/>
  <c r="O396" i="71"/>
  <c r="P396" i="71"/>
  <c r="D132" i="71"/>
  <c r="J332" i="71"/>
  <c r="J330" i="71"/>
  <c r="D123" i="71"/>
  <c r="C218" i="71"/>
  <c r="J186" i="71"/>
  <c r="D9" i="71"/>
  <c r="C220" i="71"/>
  <c r="D15" i="71"/>
  <c r="D92" i="71"/>
  <c r="C405" i="71"/>
  <c r="C349" i="71"/>
  <c r="J321" i="71"/>
  <c r="C399" i="71"/>
  <c r="D131" i="71"/>
  <c r="C353" i="71"/>
  <c r="J331" i="71"/>
  <c r="C347" i="71"/>
  <c r="D115" i="71"/>
  <c r="J324" i="71"/>
  <c r="D12" i="71"/>
  <c r="J188" i="71"/>
  <c r="S396" i="71"/>
  <c r="K93" i="71" s="1"/>
  <c r="J93" i="71" s="1"/>
  <c r="Q396" i="71"/>
  <c r="H93" i="71" s="1"/>
  <c r="G93" i="71" s="1"/>
  <c r="P397" i="71"/>
  <c r="J334" i="71"/>
  <c r="D135" i="71"/>
  <c r="O397" i="71"/>
  <c r="D97" i="71"/>
  <c r="C348" i="71"/>
  <c r="H315" i="71"/>
  <c r="D42" i="71"/>
  <c r="C267" i="71"/>
  <c r="C274" i="71"/>
  <c r="D58" i="71"/>
  <c r="J205" i="71"/>
  <c r="C227" i="71"/>
  <c r="C397" i="71"/>
  <c r="F362" i="71"/>
  <c r="H314" i="71"/>
  <c r="D66" i="71"/>
  <c r="J211" i="71"/>
  <c r="D29" i="71"/>
  <c r="J194" i="71"/>
  <c r="J190" i="71"/>
  <c r="P414" i="71"/>
  <c r="P398" i="71"/>
  <c r="H333" i="71"/>
  <c r="E221" i="71"/>
  <c r="D62" i="71"/>
  <c r="J208" i="71"/>
  <c r="D34" i="71"/>
  <c r="C224" i="71"/>
  <c r="J191" i="71"/>
  <c r="Y275" i="71"/>
  <c r="BJ275" i="71" s="1"/>
  <c r="AA275" i="71"/>
  <c r="BK275" i="71" s="1"/>
  <c r="AC275" i="71"/>
  <c r="BL275" i="71" s="1"/>
  <c r="U275" i="71"/>
  <c r="BH275" i="71" s="1"/>
  <c r="O398" i="71"/>
  <c r="H335" i="71"/>
  <c r="Q293" i="71"/>
  <c r="H286" i="71" s="1"/>
  <c r="U293" i="71"/>
  <c r="V293" i="71"/>
  <c r="D64" i="71"/>
  <c r="J209" i="71"/>
  <c r="D130" i="71"/>
  <c r="D127" i="71"/>
  <c r="E398" i="71"/>
  <c r="D144" i="71"/>
  <c r="C408" i="71"/>
  <c r="D118" i="71"/>
  <c r="J326" i="71"/>
  <c r="C226" i="71"/>
  <c r="D32" i="71"/>
  <c r="C223" i="71"/>
  <c r="D56" i="71"/>
  <c r="J204" i="71"/>
  <c r="AG407" i="71" a="1"/>
  <c r="AG407" i="71" s="1"/>
  <c r="F423" i="71" s="1"/>
  <c r="L423" i="71" s="1"/>
  <c r="K149" i="71" s="1"/>
  <c r="J149" i="71" s="1"/>
  <c r="P415" i="71"/>
  <c r="H336" i="71"/>
  <c r="AE275" i="71"/>
  <c r="BM275" i="71" s="1"/>
  <c r="H210" i="71"/>
  <c r="C229" i="71" s="1"/>
  <c r="E201" i="71"/>
  <c r="F201" i="71"/>
  <c r="G201" i="71"/>
  <c r="D85" i="71"/>
  <c r="Q294" i="71"/>
  <c r="T294" i="71"/>
  <c r="C346" i="71"/>
  <c r="H312" i="71"/>
  <c r="W275" i="71"/>
  <c r="BI275" i="71" s="1"/>
  <c r="H198" i="71"/>
  <c r="D26" i="71"/>
  <c r="J192" i="71"/>
  <c r="D13" i="71"/>
  <c r="J189" i="71"/>
  <c r="C287" i="71"/>
  <c r="H187" i="71"/>
  <c r="C286" i="71"/>
  <c r="C407" i="71"/>
  <c r="D61" i="71"/>
  <c r="H327" i="71"/>
  <c r="S274" i="71"/>
  <c r="BG274" i="71" s="1"/>
  <c r="U274" i="71"/>
  <c r="BH274" i="71" s="1"/>
  <c r="W274" i="71"/>
  <c r="BI274" i="71" s="1"/>
  <c r="AI274" i="71"/>
  <c r="BO274" i="71" s="1"/>
  <c r="AK274" i="71"/>
  <c r="BP274" i="71" s="1"/>
  <c r="AM274" i="71"/>
  <c r="BQ274" i="71" s="1"/>
  <c r="D72" i="71"/>
  <c r="C268" i="71"/>
  <c r="H323" i="71"/>
  <c r="U273" i="71"/>
  <c r="BH273" i="71" s="1"/>
  <c r="W273" i="71"/>
  <c r="BI273" i="71" s="1"/>
  <c r="Y273" i="71"/>
  <c r="BJ273" i="71" s="1"/>
  <c r="AS273" i="71"/>
  <c r="BT273" i="71" s="1"/>
  <c r="J206" i="71"/>
  <c r="H184" i="71"/>
  <c r="C273" i="71"/>
  <c r="G212" i="71"/>
  <c r="E258" i="71"/>
  <c r="E212" i="71"/>
  <c r="H195" i="71"/>
  <c r="C222" i="71" s="1"/>
  <c r="C6" i="70"/>
  <c r="E6" i="70"/>
  <c r="G6" i="70"/>
  <c r="S6" i="70"/>
  <c r="P6" i="70" s="1"/>
  <c r="U6" i="70"/>
  <c r="AK6" i="70" s="1"/>
  <c r="V6" i="70"/>
  <c r="AL6" i="70" s="1"/>
  <c r="W6" i="70"/>
  <c r="AM6" i="70" s="1"/>
  <c r="Y6" i="70"/>
  <c r="AC6" i="70"/>
  <c r="AD6" i="70"/>
  <c r="AE6" i="70"/>
  <c r="AF6" i="70"/>
  <c r="AG6" i="70"/>
  <c r="AI6" i="70"/>
  <c r="AJ6" i="70"/>
  <c r="AN6" i="70"/>
  <c r="C7" i="70"/>
  <c r="E7" i="70"/>
  <c r="AC7" i="70" s="1"/>
  <c r="G7" i="70"/>
  <c r="AE7" i="70" s="1"/>
  <c r="S7" i="70"/>
  <c r="P7" i="70" s="1"/>
  <c r="AH7" i="70" s="1"/>
  <c r="V7" i="70"/>
  <c r="W7" i="70"/>
  <c r="Y7" i="70"/>
  <c r="AD7" i="70"/>
  <c r="AF7" i="70"/>
  <c r="AG7" i="70"/>
  <c r="AI7" i="70"/>
  <c r="AJ7" i="70"/>
  <c r="AL7" i="70"/>
  <c r="AM7" i="70"/>
  <c r="AN7" i="70"/>
  <c r="P8" i="70"/>
  <c r="S8" i="70"/>
  <c r="U8" i="70"/>
  <c r="AA8" i="70"/>
  <c r="Z8" i="70" s="1"/>
  <c r="AC8" i="70"/>
  <c r="AD8" i="70"/>
  <c r="AE8" i="70"/>
  <c r="AF8" i="70"/>
  <c r="AG8" i="70"/>
  <c r="AH8" i="70"/>
  <c r="AI8" i="70"/>
  <c r="AJ8" i="70"/>
  <c r="AK8" i="70"/>
  <c r="AL8" i="70"/>
  <c r="AM8" i="70"/>
  <c r="AN8" i="70"/>
  <c r="P9" i="70"/>
  <c r="S9" i="70"/>
  <c r="U9" i="70"/>
  <c r="AC9" i="70"/>
  <c r="AD9" i="70"/>
  <c r="AE9" i="70"/>
  <c r="AF9" i="70"/>
  <c r="AG9" i="70"/>
  <c r="AI9" i="70"/>
  <c r="AJ9" i="70"/>
  <c r="AK9" i="70"/>
  <c r="AL9" i="70"/>
  <c r="AM9" i="70"/>
  <c r="AN9" i="70"/>
  <c r="S10" i="70"/>
  <c r="P10" i="70" s="1"/>
  <c r="U10" i="70"/>
  <c r="AK10" i="70" s="1"/>
  <c r="AC10" i="70"/>
  <c r="AD10" i="70"/>
  <c r="AE10" i="70"/>
  <c r="AF10" i="70"/>
  <c r="AG10" i="70"/>
  <c r="AI10" i="70"/>
  <c r="AJ10" i="70"/>
  <c r="AL10" i="70"/>
  <c r="AM10" i="70"/>
  <c r="AN10" i="70"/>
  <c r="S11" i="70"/>
  <c r="P11" i="70" s="1"/>
  <c r="AH11" i="70" s="1"/>
  <c r="AP11" i="70" s="1"/>
  <c r="AO11" i="70" s="1"/>
  <c r="U11" i="70"/>
  <c r="AC11" i="70"/>
  <c r="AD11" i="70"/>
  <c r="AE11" i="70"/>
  <c r="AF11" i="70"/>
  <c r="AG11" i="70"/>
  <c r="AI11" i="70"/>
  <c r="AJ11" i="70"/>
  <c r="AK11" i="70"/>
  <c r="AL11" i="70"/>
  <c r="AM11" i="70"/>
  <c r="AN11" i="70"/>
  <c r="C12" i="70"/>
  <c r="E12" i="70"/>
  <c r="F12" i="70"/>
  <c r="G12" i="70"/>
  <c r="AE12" i="70" s="1"/>
  <c r="N12" i="70"/>
  <c r="AG12" i="70" s="1"/>
  <c r="O12" i="70"/>
  <c r="S12" i="70"/>
  <c r="U12" i="70" s="1"/>
  <c r="V12" i="70"/>
  <c r="AC12" i="70"/>
  <c r="AD12" i="70"/>
  <c r="AF12" i="70"/>
  <c r="AI12" i="70"/>
  <c r="AJ12" i="70"/>
  <c r="AK12" i="70"/>
  <c r="AL12" i="70"/>
  <c r="AM12" i="70"/>
  <c r="AN12" i="70"/>
  <c r="C13" i="70"/>
  <c r="E13" i="70"/>
  <c r="F13" i="70"/>
  <c r="G13" i="70"/>
  <c r="N13" i="70"/>
  <c r="O13" i="70"/>
  <c r="S13" i="70"/>
  <c r="U13" i="70"/>
  <c r="AK13" i="70" s="1"/>
  <c r="V13" i="70"/>
  <c r="AL13" i="70" s="1"/>
  <c r="AD13" i="70"/>
  <c r="AE13" i="70"/>
  <c r="AF13" i="70"/>
  <c r="AG13" i="70"/>
  <c r="AI13" i="70"/>
  <c r="AJ13" i="70"/>
  <c r="AM13" i="70"/>
  <c r="AN13" i="70"/>
  <c r="J14" i="70"/>
  <c r="V14" i="70" s="1"/>
  <c r="AL14" i="70" s="1"/>
  <c r="S14" i="70"/>
  <c r="P14" i="70" s="1"/>
  <c r="U14" i="70"/>
  <c r="AK14" i="70" s="1"/>
  <c r="AC14" i="70"/>
  <c r="AD14" i="70"/>
  <c r="AE14" i="70"/>
  <c r="AF14" i="70"/>
  <c r="AG14" i="70"/>
  <c r="AI14" i="70"/>
  <c r="AJ14" i="70"/>
  <c r="AM14" i="70"/>
  <c r="AN14" i="70"/>
  <c r="J15" i="70"/>
  <c r="S15" i="70"/>
  <c r="P15" i="70" s="1"/>
  <c r="U15" i="70"/>
  <c r="AK15" i="70" s="1"/>
  <c r="V15" i="70"/>
  <c r="AL15" i="70" s="1"/>
  <c r="AC15" i="70"/>
  <c r="AD15" i="70"/>
  <c r="AE15" i="70"/>
  <c r="AF15" i="70"/>
  <c r="AG15" i="70"/>
  <c r="AI15" i="70"/>
  <c r="AJ15" i="70"/>
  <c r="AM15" i="70"/>
  <c r="AN15" i="70"/>
  <c r="C16" i="70"/>
  <c r="E16" i="70"/>
  <c r="S16" i="70"/>
  <c r="U16" i="70"/>
  <c r="AK16" i="70" s="1"/>
  <c r="V16" i="70"/>
  <c r="AD16" i="70"/>
  <c r="AE16" i="70"/>
  <c r="AF16" i="70"/>
  <c r="AG16" i="70"/>
  <c r="AH16" i="70"/>
  <c r="AI16" i="70"/>
  <c r="AJ16" i="70"/>
  <c r="AL16" i="70"/>
  <c r="AM16" i="70"/>
  <c r="AN16" i="70"/>
  <c r="S17" i="70"/>
  <c r="P17" i="70" s="1"/>
  <c r="U17" i="70"/>
  <c r="AK17" i="70" s="1"/>
  <c r="AA17" i="70"/>
  <c r="Z17" i="70" s="1"/>
  <c r="AC17" i="70"/>
  <c r="AD17" i="70"/>
  <c r="AE17" i="70"/>
  <c r="AF17" i="70"/>
  <c r="AG17" i="70"/>
  <c r="AH17" i="70"/>
  <c r="AP17" i="70" s="1"/>
  <c r="AO17" i="70" s="1"/>
  <c r="AI17" i="70"/>
  <c r="AJ17" i="70"/>
  <c r="AL17" i="70"/>
  <c r="AM17" i="70"/>
  <c r="AN17" i="70"/>
  <c r="P18" i="70"/>
  <c r="AH18" i="70" s="1"/>
  <c r="S18" i="70"/>
  <c r="U18" i="70"/>
  <c r="AA18" i="70"/>
  <c r="Z18" i="70" s="1"/>
  <c r="AC18" i="70"/>
  <c r="AP18" i="70" s="1"/>
  <c r="AO18" i="70" s="1"/>
  <c r="AD18" i="70"/>
  <c r="AE18" i="70"/>
  <c r="AF18" i="70"/>
  <c r="AG18" i="70"/>
  <c r="AI18" i="70"/>
  <c r="AJ18" i="70"/>
  <c r="AK18" i="70"/>
  <c r="AL18" i="70"/>
  <c r="AM18" i="70"/>
  <c r="AN18" i="70"/>
  <c r="P19" i="70"/>
  <c r="S19" i="70"/>
  <c r="U19" i="70"/>
  <c r="AC19" i="70"/>
  <c r="AD19" i="70"/>
  <c r="AE19" i="70"/>
  <c r="AF19" i="70"/>
  <c r="AG19" i="70"/>
  <c r="AI19" i="70"/>
  <c r="AJ19" i="70"/>
  <c r="AK19" i="70"/>
  <c r="AL19" i="70"/>
  <c r="AM19" i="70"/>
  <c r="AN19" i="70"/>
  <c r="S20" i="70"/>
  <c r="P20" i="70" s="1"/>
  <c r="U20" i="70"/>
  <c r="AK20" i="70" s="1"/>
  <c r="AC20" i="70"/>
  <c r="AD20" i="70"/>
  <c r="AE20" i="70"/>
  <c r="AF20" i="70"/>
  <c r="AG20" i="70"/>
  <c r="AI20" i="70"/>
  <c r="AJ20" i="70"/>
  <c r="AL20" i="70"/>
  <c r="AM20" i="70"/>
  <c r="AN20" i="70"/>
  <c r="S21" i="70"/>
  <c r="P21" i="70" s="1"/>
  <c r="AH21" i="70" s="1"/>
  <c r="U21" i="70"/>
  <c r="AC21" i="70"/>
  <c r="AD21" i="70"/>
  <c r="AE21" i="70"/>
  <c r="AF21" i="70"/>
  <c r="AG21" i="70"/>
  <c r="AI21" i="70"/>
  <c r="AJ21" i="70"/>
  <c r="AK21" i="70"/>
  <c r="AL21" i="70"/>
  <c r="AM21" i="70"/>
  <c r="AN21" i="70"/>
  <c r="AP21" i="70"/>
  <c r="AO21" i="70" s="1"/>
  <c r="S22" i="70"/>
  <c r="P22" i="70" s="1"/>
  <c r="U22" i="70"/>
  <c r="AK22" i="70" s="1"/>
  <c r="V22" i="70"/>
  <c r="AL22" i="70" s="1"/>
  <c r="AC22" i="70"/>
  <c r="AD22" i="70"/>
  <c r="AE22" i="70"/>
  <c r="AF22" i="70"/>
  <c r="AG22" i="70"/>
  <c r="AI22" i="70"/>
  <c r="AJ22" i="70"/>
  <c r="AM22" i="70"/>
  <c r="AN22" i="70"/>
  <c r="S23" i="70"/>
  <c r="U23" i="70" s="1"/>
  <c r="AK23" i="70" s="1"/>
  <c r="V23" i="70"/>
  <c r="AC23" i="70"/>
  <c r="AD23" i="70"/>
  <c r="AE23" i="70"/>
  <c r="AF23" i="70"/>
  <c r="AG23" i="70"/>
  <c r="AI23" i="70"/>
  <c r="AJ23" i="70"/>
  <c r="AL23" i="70"/>
  <c r="AM23" i="70"/>
  <c r="AN23" i="70"/>
  <c r="S24" i="70"/>
  <c r="V24" i="70"/>
  <c r="AC24" i="70"/>
  <c r="AD24" i="70"/>
  <c r="AE24" i="70"/>
  <c r="AF24" i="70"/>
  <c r="AG24" i="70"/>
  <c r="AI24" i="70"/>
  <c r="AJ24" i="70"/>
  <c r="AL24" i="70"/>
  <c r="AM24" i="70"/>
  <c r="AN24" i="70"/>
  <c r="J25" i="70"/>
  <c r="S25" i="70"/>
  <c r="P25" i="70" s="1"/>
  <c r="U25" i="70"/>
  <c r="AK25" i="70" s="1"/>
  <c r="V25" i="70"/>
  <c r="AC25" i="70"/>
  <c r="AD25" i="70"/>
  <c r="AE25" i="70"/>
  <c r="AF25" i="70"/>
  <c r="AG25" i="70"/>
  <c r="AI25" i="70"/>
  <c r="AJ25" i="70"/>
  <c r="AL25" i="70"/>
  <c r="AM25" i="70"/>
  <c r="AN25" i="70"/>
  <c r="J26" i="70"/>
  <c r="V26" i="70" s="1"/>
  <c r="AL26" i="70" s="1"/>
  <c r="S26" i="70"/>
  <c r="AC26" i="70"/>
  <c r="AD26" i="70"/>
  <c r="AE26" i="70"/>
  <c r="AF26" i="70"/>
  <c r="AG26" i="70"/>
  <c r="AI26" i="70"/>
  <c r="AJ26" i="70"/>
  <c r="AM26" i="70"/>
  <c r="AN26" i="70"/>
  <c r="S27" i="70"/>
  <c r="P27" i="70" s="1"/>
  <c r="U27" i="70"/>
  <c r="AK27" i="70" s="1"/>
  <c r="V27" i="70"/>
  <c r="AC27" i="70"/>
  <c r="AD27" i="70"/>
  <c r="AE27" i="70"/>
  <c r="AF27" i="70"/>
  <c r="AG27" i="70"/>
  <c r="AI27" i="70"/>
  <c r="AJ27" i="70"/>
  <c r="AL27" i="70"/>
  <c r="AM27" i="70"/>
  <c r="AN27" i="70"/>
  <c r="S28" i="70"/>
  <c r="P28" i="70" s="1"/>
  <c r="U28" i="70"/>
  <c r="AK28" i="70" s="1"/>
  <c r="V28" i="70"/>
  <c r="AL28" i="70" s="1"/>
  <c r="AC28" i="70"/>
  <c r="AD28" i="70"/>
  <c r="AE28" i="70"/>
  <c r="AF28" i="70"/>
  <c r="AG28" i="70"/>
  <c r="AH28" i="70"/>
  <c r="AI28" i="70"/>
  <c r="AJ28" i="70"/>
  <c r="AM28" i="70"/>
  <c r="AN28" i="70"/>
  <c r="S29" i="70"/>
  <c r="P29" i="70" s="1"/>
  <c r="U29" i="70"/>
  <c r="AK29" i="70" s="1"/>
  <c r="V29" i="70"/>
  <c r="AL29" i="70" s="1"/>
  <c r="AA29" i="70"/>
  <c r="Z29" i="70" s="1"/>
  <c r="AC29" i="70"/>
  <c r="AD29" i="70"/>
  <c r="AE29" i="70"/>
  <c r="AF29" i="70"/>
  <c r="AG29" i="70"/>
  <c r="AH29" i="70"/>
  <c r="AP29" i="70" s="1"/>
  <c r="AO29" i="70" s="1"/>
  <c r="AI29" i="70"/>
  <c r="AJ29" i="70"/>
  <c r="AM29" i="70"/>
  <c r="AN29" i="70"/>
  <c r="P30" i="70"/>
  <c r="S30" i="70"/>
  <c r="U30" i="70"/>
  <c r="V30" i="70"/>
  <c r="AL30" i="70" s="1"/>
  <c r="Z30" i="70"/>
  <c r="AA30" i="70"/>
  <c r="AC30" i="70"/>
  <c r="AD30" i="70"/>
  <c r="AE30" i="70"/>
  <c r="AF30" i="70"/>
  <c r="AG30" i="70"/>
  <c r="AH30" i="70"/>
  <c r="AI30" i="70"/>
  <c r="AJ30" i="70"/>
  <c r="AK30" i="70"/>
  <c r="AM30" i="70"/>
  <c r="AN30" i="70"/>
  <c r="AP30" i="70"/>
  <c r="AO30" i="70" s="1"/>
  <c r="S31" i="70"/>
  <c r="P31" i="70" s="1"/>
  <c r="AC31" i="70"/>
  <c r="AD31" i="70"/>
  <c r="AE31" i="70"/>
  <c r="AF31" i="70"/>
  <c r="AG31" i="70"/>
  <c r="AI31" i="70"/>
  <c r="AJ31" i="70"/>
  <c r="AL31" i="70"/>
  <c r="AM31" i="70"/>
  <c r="AN31" i="70"/>
  <c r="S32" i="70"/>
  <c r="P32" i="70" s="1"/>
  <c r="U32" i="70"/>
  <c r="AK32" i="70" s="1"/>
  <c r="AC32" i="70"/>
  <c r="AD32" i="70"/>
  <c r="AE32" i="70"/>
  <c r="AF32" i="70"/>
  <c r="AG32" i="70"/>
  <c r="AI32" i="70"/>
  <c r="AJ32" i="70"/>
  <c r="AL32" i="70"/>
  <c r="AM32" i="70"/>
  <c r="AN32" i="70"/>
  <c r="S33" i="70"/>
  <c r="P33" i="70" s="1"/>
  <c r="U33" i="70"/>
  <c r="AK33" i="70" s="1"/>
  <c r="V33" i="70"/>
  <c r="AL33" i="70" s="1"/>
  <c r="AC33" i="70"/>
  <c r="AD33" i="70"/>
  <c r="AE33" i="70"/>
  <c r="AF33" i="70"/>
  <c r="AG33" i="70"/>
  <c r="AH33" i="70"/>
  <c r="AI33" i="70"/>
  <c r="AJ33" i="70"/>
  <c r="AM33" i="70"/>
  <c r="AN33" i="70"/>
  <c r="S34" i="70"/>
  <c r="P34" i="70" s="1"/>
  <c r="AH34" i="70" s="1"/>
  <c r="U34" i="70"/>
  <c r="AK34" i="70" s="1"/>
  <c r="V34" i="70"/>
  <c r="AL34" i="70" s="1"/>
  <c r="AA34" i="70"/>
  <c r="Z34" i="70" s="1"/>
  <c r="AC34" i="70"/>
  <c r="AD34" i="70"/>
  <c r="AE34" i="70"/>
  <c r="AF34" i="70"/>
  <c r="AG34" i="70"/>
  <c r="AI34" i="70"/>
  <c r="AJ34" i="70"/>
  <c r="AM34" i="70"/>
  <c r="AN34" i="70"/>
  <c r="P35" i="70"/>
  <c r="S35" i="70"/>
  <c r="U35" i="70"/>
  <c r="V35" i="70"/>
  <c r="AL35" i="70" s="1"/>
  <c r="AA35" i="70"/>
  <c r="Z35" i="70" s="1"/>
  <c r="AC35" i="70"/>
  <c r="AD35" i="70"/>
  <c r="AE35" i="70"/>
  <c r="AF35" i="70"/>
  <c r="AG35" i="70"/>
  <c r="AH35" i="70"/>
  <c r="AI35" i="70"/>
  <c r="AJ35" i="70"/>
  <c r="AK35" i="70"/>
  <c r="AM35" i="70"/>
  <c r="AN35" i="70"/>
  <c r="AP35" i="70"/>
  <c r="AO35" i="70" s="1"/>
  <c r="S36" i="70"/>
  <c r="V36" i="70"/>
  <c r="AC36" i="70"/>
  <c r="AD36" i="70"/>
  <c r="AE36" i="70"/>
  <c r="AF36" i="70"/>
  <c r="AG36" i="70"/>
  <c r="AI36" i="70"/>
  <c r="AJ36" i="70"/>
  <c r="AL36" i="70"/>
  <c r="AM36" i="70"/>
  <c r="AN36" i="70"/>
  <c r="S37" i="70"/>
  <c r="U37" i="70" s="1"/>
  <c r="AK37" i="70" s="1"/>
  <c r="AC37" i="70"/>
  <c r="AD37" i="70"/>
  <c r="AE37" i="70"/>
  <c r="AF37" i="70"/>
  <c r="AG37" i="70"/>
  <c r="AI37" i="70"/>
  <c r="AJ37" i="70"/>
  <c r="AL37" i="70"/>
  <c r="AM37" i="70"/>
  <c r="AN37" i="70"/>
  <c r="S38" i="70"/>
  <c r="P38" i="70" s="1"/>
  <c r="U38" i="70"/>
  <c r="AK38" i="70" s="1"/>
  <c r="AA38" i="70"/>
  <c r="Z38" i="70" s="1"/>
  <c r="AC38" i="70"/>
  <c r="AD38" i="70"/>
  <c r="AE38" i="70"/>
  <c r="AF38" i="70"/>
  <c r="AG38" i="70"/>
  <c r="AH38" i="70"/>
  <c r="AP38" i="70" s="1"/>
  <c r="AO38" i="70" s="1"/>
  <c r="AI38" i="70"/>
  <c r="AJ38" i="70"/>
  <c r="AL38" i="70"/>
  <c r="AM38" i="70"/>
  <c r="AN38" i="70"/>
  <c r="C39" i="70"/>
  <c r="E39" i="70"/>
  <c r="AC39" i="70" s="1"/>
  <c r="S39" i="70"/>
  <c r="U39" i="70"/>
  <c r="V39" i="70"/>
  <c r="AL39" i="70" s="1"/>
  <c r="AD39" i="70"/>
  <c r="AE39" i="70"/>
  <c r="AF39" i="70"/>
  <c r="AG39" i="70"/>
  <c r="AH39" i="70"/>
  <c r="AI39" i="70"/>
  <c r="AJ39" i="70"/>
  <c r="AM39" i="70"/>
  <c r="AN39" i="70"/>
  <c r="C40" i="70"/>
  <c r="E40" i="70"/>
  <c r="AC40" i="70" s="1"/>
  <c r="AP40" i="70" s="1"/>
  <c r="AO40" i="70" s="1"/>
  <c r="S40" i="70"/>
  <c r="U40" i="70"/>
  <c r="AK40" i="70" s="1"/>
  <c r="V40" i="70"/>
  <c r="AL40" i="70" s="1"/>
  <c r="AA40" i="70"/>
  <c r="Z40" i="70" s="1"/>
  <c r="AD40" i="70"/>
  <c r="AE40" i="70"/>
  <c r="AF40" i="70"/>
  <c r="AG40" i="70"/>
  <c r="AH40" i="70"/>
  <c r="AI40" i="70"/>
  <c r="AJ40" i="70"/>
  <c r="AM40" i="70"/>
  <c r="AN40" i="70"/>
  <c r="C41" i="70"/>
  <c r="E41" i="70"/>
  <c r="AC41" i="70" s="1"/>
  <c r="S41" i="70"/>
  <c r="U41" i="70"/>
  <c r="V41" i="70"/>
  <c r="AL41" i="70" s="1"/>
  <c r="AD41" i="70"/>
  <c r="AE41" i="70"/>
  <c r="AF41" i="70"/>
  <c r="AG41" i="70"/>
  <c r="AH41" i="70"/>
  <c r="AI41" i="70"/>
  <c r="AJ41" i="70"/>
  <c r="AM41" i="70"/>
  <c r="AN41" i="70"/>
  <c r="C42" i="70"/>
  <c r="E42" i="70"/>
  <c r="AC42" i="70" s="1"/>
  <c r="S42" i="70"/>
  <c r="U42" i="70"/>
  <c r="AK42" i="70" s="1"/>
  <c r="V42" i="70"/>
  <c r="AL42" i="70" s="1"/>
  <c r="AA42" i="70"/>
  <c r="Z42" i="70" s="1"/>
  <c r="AD42" i="70"/>
  <c r="AE42" i="70"/>
  <c r="AF42" i="70"/>
  <c r="AP42" i="70" s="1"/>
  <c r="AO42" i="70" s="1"/>
  <c r="AG42" i="70"/>
  <c r="AH42" i="70"/>
  <c r="AI42" i="70"/>
  <c r="AJ42" i="70"/>
  <c r="AM42" i="70"/>
  <c r="AN42" i="70"/>
  <c r="C43" i="70"/>
  <c r="E43" i="70"/>
  <c r="F43" i="70"/>
  <c r="AD43" i="70" s="1"/>
  <c r="H43" i="70"/>
  <c r="AF43" i="70" s="1"/>
  <c r="Q43" i="70"/>
  <c r="AI43" i="70" s="1"/>
  <c r="R43" i="70"/>
  <c r="AJ43" i="70" s="1"/>
  <c r="S43" i="70"/>
  <c r="U43" i="70" s="1"/>
  <c r="AK43" i="70" s="1"/>
  <c r="V43" i="70"/>
  <c r="AA43" i="70"/>
  <c r="Z43" i="70" s="1"/>
  <c r="AC43" i="70"/>
  <c r="AE43" i="70"/>
  <c r="AG43" i="70"/>
  <c r="AH43" i="70"/>
  <c r="AL43" i="70"/>
  <c r="AM43" i="70"/>
  <c r="AN43" i="70"/>
  <c r="C44" i="70"/>
  <c r="E44" i="70" s="1"/>
  <c r="F44" i="70"/>
  <c r="AD44" i="70" s="1"/>
  <c r="H44" i="70"/>
  <c r="Q44" i="70"/>
  <c r="AI44" i="70" s="1"/>
  <c r="R44" i="70"/>
  <c r="AJ44" i="70" s="1"/>
  <c r="S44" i="70"/>
  <c r="U44" i="70"/>
  <c r="AK44" i="70" s="1"/>
  <c r="V44" i="70"/>
  <c r="AE44" i="70"/>
  <c r="AF44" i="70"/>
  <c r="AG44" i="70"/>
  <c r="AH44" i="70"/>
  <c r="AL44" i="70"/>
  <c r="AM44" i="70"/>
  <c r="AN44" i="70"/>
  <c r="S45" i="70"/>
  <c r="P45" i="70" s="1"/>
  <c r="U45" i="70"/>
  <c r="AK45" i="70" s="1"/>
  <c r="V45" i="70"/>
  <c r="AL45" i="70" s="1"/>
  <c r="AA45" i="70"/>
  <c r="Z45" i="70" s="1"/>
  <c r="AC45" i="70"/>
  <c r="AD45" i="70"/>
  <c r="AE45" i="70"/>
  <c r="AF45" i="70"/>
  <c r="AP45" i="70" s="1"/>
  <c r="AO45" i="70" s="1"/>
  <c r="AG45" i="70"/>
  <c r="AH45" i="70"/>
  <c r="AI45" i="70"/>
  <c r="AJ45" i="70"/>
  <c r="AM45" i="70"/>
  <c r="AN45" i="70"/>
  <c r="S46" i="70"/>
  <c r="P46" i="70" s="1"/>
  <c r="U46" i="70"/>
  <c r="Z46" i="70"/>
  <c r="AA46" i="70"/>
  <c r="AC46" i="70"/>
  <c r="AP46" i="70" s="1"/>
  <c r="AO46" i="70" s="1"/>
  <c r="AD46" i="70"/>
  <c r="AE46" i="70"/>
  <c r="AF46" i="70"/>
  <c r="AG46" i="70"/>
  <c r="AH46" i="70"/>
  <c r="AI46" i="70"/>
  <c r="AJ46" i="70"/>
  <c r="AK46" i="70"/>
  <c r="AL46" i="70"/>
  <c r="AM46" i="70"/>
  <c r="AN46" i="70"/>
  <c r="S47" i="70"/>
  <c r="U47" i="70" s="1"/>
  <c r="AK47" i="70" s="1"/>
  <c r="V47" i="70"/>
  <c r="AC47" i="70"/>
  <c r="AD47" i="70"/>
  <c r="AE47" i="70"/>
  <c r="AF47" i="70"/>
  <c r="AG47" i="70"/>
  <c r="AI47" i="70"/>
  <c r="AJ47" i="70"/>
  <c r="AL47" i="70"/>
  <c r="AM47" i="70"/>
  <c r="AN47" i="70"/>
  <c r="P48" i="70"/>
  <c r="S48" i="70"/>
  <c r="U48" i="70"/>
  <c r="AK48" i="70" s="1"/>
  <c r="V48" i="70"/>
  <c r="AL48" i="70" s="1"/>
  <c r="AC48" i="70"/>
  <c r="AD48" i="70"/>
  <c r="AE48" i="70"/>
  <c r="AF48" i="70"/>
  <c r="AG48" i="70"/>
  <c r="AI48" i="70"/>
  <c r="AJ48" i="70"/>
  <c r="AM48" i="70"/>
  <c r="AN48" i="70"/>
  <c r="S49" i="70"/>
  <c r="P49" i="70" s="1"/>
  <c r="V49" i="70"/>
  <c r="AL49" i="70" s="1"/>
  <c r="AC49" i="70"/>
  <c r="AD49" i="70"/>
  <c r="AE49" i="70"/>
  <c r="AF49" i="70"/>
  <c r="AG49" i="70"/>
  <c r="AI49" i="70"/>
  <c r="AJ49" i="70"/>
  <c r="AM49" i="70"/>
  <c r="AN49" i="70"/>
  <c r="S50" i="70"/>
  <c r="P50" i="70" s="1"/>
  <c r="V50" i="70"/>
  <c r="AC50" i="70"/>
  <c r="AD50" i="70"/>
  <c r="AE50" i="70"/>
  <c r="AF50" i="70"/>
  <c r="AG50" i="70"/>
  <c r="AI50" i="70"/>
  <c r="AJ50" i="70"/>
  <c r="AL50" i="70"/>
  <c r="AM50" i="70"/>
  <c r="AN50" i="70"/>
  <c r="E51" i="70"/>
  <c r="F51" i="70"/>
  <c r="AD51" i="70" s="1"/>
  <c r="G51" i="70"/>
  <c r="AE51" i="70" s="1"/>
  <c r="N51" i="70"/>
  <c r="AG51" i="70" s="1"/>
  <c r="O51" i="70"/>
  <c r="P51" i="70" s="1"/>
  <c r="AH51" i="70" s="1"/>
  <c r="S51" i="70"/>
  <c r="U51" i="70"/>
  <c r="AK51" i="70" s="1"/>
  <c r="V51" i="70"/>
  <c r="AL51" i="70" s="1"/>
  <c r="W51" i="70"/>
  <c r="AM51" i="70" s="1"/>
  <c r="AC51" i="70"/>
  <c r="AF51" i="70"/>
  <c r="AI51" i="70"/>
  <c r="AJ51" i="70"/>
  <c r="AN51" i="70"/>
  <c r="E52" i="70"/>
  <c r="F52" i="70"/>
  <c r="AD52" i="70" s="1"/>
  <c r="G52" i="70"/>
  <c r="N52" i="70"/>
  <c r="AG52" i="70" s="1"/>
  <c r="O52" i="70"/>
  <c r="S52" i="70"/>
  <c r="P52" i="70" s="1"/>
  <c r="U52" i="70"/>
  <c r="AK52" i="70" s="1"/>
  <c r="V52" i="70"/>
  <c r="W52" i="70"/>
  <c r="AM52" i="70" s="1"/>
  <c r="AC52" i="70"/>
  <c r="AE52" i="70"/>
  <c r="AF52" i="70"/>
  <c r="AI52" i="70"/>
  <c r="AJ52" i="70"/>
  <c r="AL52" i="70"/>
  <c r="AN52" i="70"/>
  <c r="S53" i="70"/>
  <c r="U53" i="70" s="1"/>
  <c r="V53" i="70"/>
  <c r="AL53" i="70" s="1"/>
  <c r="Y53" i="70"/>
  <c r="AC53" i="70"/>
  <c r="AD53" i="70"/>
  <c r="AE53" i="70"/>
  <c r="AF53" i="70"/>
  <c r="AG53" i="70"/>
  <c r="AH53" i="70"/>
  <c r="AI53" i="70"/>
  <c r="AJ53" i="70"/>
  <c r="AM53" i="70"/>
  <c r="AN53" i="70"/>
  <c r="S54" i="70"/>
  <c r="P54" i="70" s="1"/>
  <c r="AC54" i="70"/>
  <c r="AD54" i="70"/>
  <c r="AE54" i="70"/>
  <c r="AF54" i="70"/>
  <c r="AG54" i="70"/>
  <c r="AI54" i="70"/>
  <c r="AJ54" i="70"/>
  <c r="AL54" i="70"/>
  <c r="AM54" i="70"/>
  <c r="AN54" i="70"/>
  <c r="S55" i="70"/>
  <c r="P55" i="70" s="1"/>
  <c r="U55" i="70"/>
  <c r="AK55" i="70" s="1"/>
  <c r="AC55" i="70"/>
  <c r="AP55" i="70" s="1"/>
  <c r="AO55" i="70" s="1"/>
  <c r="AD55" i="70"/>
  <c r="AE55" i="70"/>
  <c r="AF55" i="70"/>
  <c r="AG55" i="70"/>
  <c r="AH55" i="70"/>
  <c r="AI55" i="70"/>
  <c r="AJ55" i="70"/>
  <c r="AL55" i="70"/>
  <c r="AM55" i="70"/>
  <c r="AN55" i="70"/>
  <c r="P56" i="70"/>
  <c r="AH56" i="70" s="1"/>
  <c r="S56" i="70"/>
  <c r="U56" i="70"/>
  <c r="AK56" i="70" s="1"/>
  <c r="AP56" i="70" s="1"/>
  <c r="AO56" i="70" s="1"/>
  <c r="AA56" i="70"/>
  <c r="Z56" i="70" s="1"/>
  <c r="AC56" i="70"/>
  <c r="AD56" i="70"/>
  <c r="AE56" i="70"/>
  <c r="AF56" i="70"/>
  <c r="AG56" i="70"/>
  <c r="AI56" i="70"/>
  <c r="AJ56" i="70"/>
  <c r="AL56" i="70"/>
  <c r="AM56" i="70"/>
  <c r="AN56" i="70"/>
  <c r="S57" i="70"/>
  <c r="P57" i="70" s="1"/>
  <c r="U57" i="70"/>
  <c r="AK57" i="70" s="1"/>
  <c r="AC57" i="70"/>
  <c r="AD57" i="70"/>
  <c r="AE57" i="70"/>
  <c r="AF57" i="70"/>
  <c r="AG57" i="70"/>
  <c r="AI57" i="70"/>
  <c r="AJ57" i="70"/>
  <c r="AL57" i="70"/>
  <c r="AM57" i="70"/>
  <c r="AN57" i="70"/>
  <c r="S58" i="70"/>
  <c r="P58" i="70" s="1"/>
  <c r="AH58" i="70" s="1"/>
  <c r="AP58" i="70" s="1"/>
  <c r="AO58" i="70" s="1"/>
  <c r="U58" i="70"/>
  <c r="AK58" i="70" s="1"/>
  <c r="AA58" i="70"/>
  <c r="Z58" i="70" s="1"/>
  <c r="AC58" i="70"/>
  <c r="AD58" i="70"/>
  <c r="AE58" i="70"/>
  <c r="AF58" i="70"/>
  <c r="AG58" i="70"/>
  <c r="AI58" i="70"/>
  <c r="AJ58" i="70"/>
  <c r="AL58" i="70"/>
  <c r="AM58" i="70"/>
  <c r="AN58" i="70"/>
  <c r="S59" i="70"/>
  <c r="P59" i="70" s="1"/>
  <c r="AA59" i="70" s="1"/>
  <c r="Z59" i="70" s="1"/>
  <c r="U59" i="70"/>
  <c r="AC59" i="70"/>
  <c r="AD59" i="70"/>
  <c r="AE59" i="70"/>
  <c r="AF59" i="70"/>
  <c r="AG59" i="70"/>
  <c r="AI59" i="70"/>
  <c r="AJ59" i="70"/>
  <c r="AK59" i="70"/>
  <c r="AL59" i="70"/>
  <c r="AM59" i="70"/>
  <c r="AN59" i="70"/>
  <c r="C60" i="70"/>
  <c r="E60" i="70"/>
  <c r="AA60" i="70" s="1"/>
  <c r="Z60" i="70" s="1"/>
  <c r="S60" i="70"/>
  <c r="P60" i="70" s="1"/>
  <c r="U60" i="70"/>
  <c r="AK60" i="70" s="1"/>
  <c r="V60" i="70"/>
  <c r="AL60" i="70" s="1"/>
  <c r="AC60" i="70"/>
  <c r="AD60" i="70"/>
  <c r="AE60" i="70"/>
  <c r="AF60" i="70"/>
  <c r="AG60" i="70"/>
  <c r="AH60" i="70"/>
  <c r="AI60" i="70"/>
  <c r="AJ60" i="70"/>
  <c r="AM60" i="70"/>
  <c r="AN60" i="70"/>
  <c r="C61" i="70"/>
  <c r="E61" i="70" s="1"/>
  <c r="AC61" i="70" s="1"/>
  <c r="S61" i="70"/>
  <c r="P61" i="70" s="1"/>
  <c r="AH61" i="70" s="1"/>
  <c r="U61" i="70"/>
  <c r="AK61" i="70" s="1"/>
  <c r="V61" i="70"/>
  <c r="AL61" i="70" s="1"/>
  <c r="AA61" i="70"/>
  <c r="Z61" i="70" s="1"/>
  <c r="AD61" i="70"/>
  <c r="AE61" i="70"/>
  <c r="AF61" i="70"/>
  <c r="AP61" i="70" s="1"/>
  <c r="AO61" i="70" s="1"/>
  <c r="AG61" i="70"/>
  <c r="AI61" i="70"/>
  <c r="AJ61" i="70"/>
  <c r="AM61" i="70"/>
  <c r="AN61" i="70"/>
  <c r="C62" i="70"/>
  <c r="E62" i="70"/>
  <c r="S62" i="70"/>
  <c r="T62" i="70"/>
  <c r="U62" i="70" s="1"/>
  <c r="AK62" i="70" s="1"/>
  <c r="V62" i="70"/>
  <c r="AL62" i="70" s="1"/>
  <c r="AC62" i="70"/>
  <c r="AD62" i="70"/>
  <c r="AE62" i="70"/>
  <c r="AF62" i="70"/>
  <c r="AG62" i="70"/>
  <c r="AI62" i="70"/>
  <c r="AJ62" i="70"/>
  <c r="AN62" i="70"/>
  <c r="C63" i="70"/>
  <c r="C67" i="70" s="1"/>
  <c r="E67" i="70" s="1"/>
  <c r="AC67" i="70" s="1"/>
  <c r="S63" i="70"/>
  <c r="T63" i="70"/>
  <c r="V63" i="70"/>
  <c r="AL63" i="70" s="1"/>
  <c r="AD63" i="70"/>
  <c r="AE63" i="70"/>
  <c r="AF63" i="70"/>
  <c r="AG63" i="70"/>
  <c r="AI63" i="70"/>
  <c r="AJ63" i="70"/>
  <c r="AN63" i="70"/>
  <c r="C64" i="70"/>
  <c r="E64" i="70" s="1"/>
  <c r="S64" i="70"/>
  <c r="P64" i="70" s="1"/>
  <c r="AH64" i="70" s="1"/>
  <c r="T64" i="70"/>
  <c r="U64" i="70" s="1"/>
  <c r="AK64" i="70" s="1"/>
  <c r="V64" i="70"/>
  <c r="W64" i="70"/>
  <c r="AD64" i="70"/>
  <c r="AE64" i="70"/>
  <c r="AF64" i="70"/>
  <c r="AG64" i="70"/>
  <c r="AI64" i="70"/>
  <c r="AJ64" i="70"/>
  <c r="AL64" i="70"/>
  <c r="AM64" i="70"/>
  <c r="AN64" i="70"/>
  <c r="C65" i="70"/>
  <c r="E65" i="70"/>
  <c r="P65" i="70"/>
  <c r="AH65" i="70" s="1"/>
  <c r="S65" i="70"/>
  <c r="T65" i="70"/>
  <c r="U65" i="70" s="1"/>
  <c r="AA65" i="70" s="1"/>
  <c r="Z65" i="70" s="1"/>
  <c r="V65" i="70"/>
  <c r="AL65" i="70" s="1"/>
  <c r="W65" i="70"/>
  <c r="AM65" i="70" s="1"/>
  <c r="AC65" i="70"/>
  <c r="AD65" i="70"/>
  <c r="AE65" i="70"/>
  <c r="AF65" i="70"/>
  <c r="AG65" i="70"/>
  <c r="AI65" i="70"/>
  <c r="AJ65" i="70"/>
  <c r="AN65" i="70"/>
  <c r="S66" i="70"/>
  <c r="W66" i="70" s="1"/>
  <c r="T66" i="70"/>
  <c r="U66" i="70"/>
  <c r="AK66" i="70" s="1"/>
  <c r="V66" i="70"/>
  <c r="AL66" i="70" s="1"/>
  <c r="AD66" i="70"/>
  <c r="AE66" i="70"/>
  <c r="AF66" i="70"/>
  <c r="AG66" i="70"/>
  <c r="AI66" i="70"/>
  <c r="AJ66" i="70"/>
  <c r="AM66" i="70"/>
  <c r="AN66" i="70"/>
  <c r="S67" i="70"/>
  <c r="W67" i="70" s="1"/>
  <c r="AM67" i="70" s="1"/>
  <c r="T67" i="70"/>
  <c r="U67" i="70" s="1"/>
  <c r="AK67" i="70" s="1"/>
  <c r="V67" i="70"/>
  <c r="AD67" i="70"/>
  <c r="AE67" i="70"/>
  <c r="AF67" i="70"/>
  <c r="AG67" i="70"/>
  <c r="AI67" i="70"/>
  <c r="AJ67" i="70"/>
  <c r="AL67" i="70"/>
  <c r="AN67" i="70"/>
  <c r="AK65" i="70" l="1"/>
  <c r="D68" i="71"/>
  <c r="E229" i="71"/>
  <c r="L424" i="71"/>
  <c r="K150" i="71" s="1"/>
  <c r="J150" i="71" s="1"/>
  <c r="L422" i="71"/>
  <c r="K112" i="71" s="1"/>
  <c r="J112" i="71" s="1"/>
  <c r="E222" i="71"/>
  <c r="D31" i="71"/>
  <c r="D17" i="71"/>
  <c r="E220" i="71"/>
  <c r="D122" i="71"/>
  <c r="J329" i="71"/>
  <c r="D33" i="71"/>
  <c r="E223" i="71"/>
  <c r="D137" i="71"/>
  <c r="C355" i="71"/>
  <c r="J335" i="71"/>
  <c r="J315" i="71"/>
  <c r="D83" i="71"/>
  <c r="H201" i="71"/>
  <c r="O351" i="71"/>
  <c r="I388" i="71"/>
  <c r="O350" i="71"/>
  <c r="H387" i="71"/>
  <c r="I387" i="71"/>
  <c r="O352" i="71"/>
  <c r="H388" i="71"/>
  <c r="H287" i="71"/>
  <c r="D82" i="71"/>
  <c r="J314" i="71"/>
  <c r="C345" i="71"/>
  <c r="D98" i="71"/>
  <c r="E348" i="71"/>
  <c r="P348" i="71"/>
  <c r="P347" i="71"/>
  <c r="P349" i="71"/>
  <c r="I287" i="71"/>
  <c r="I386" i="71"/>
  <c r="H386" i="71"/>
  <c r="O348" i="71"/>
  <c r="H385" i="71"/>
  <c r="I385" i="71"/>
  <c r="O349" i="71"/>
  <c r="O347" i="71"/>
  <c r="J198" i="71"/>
  <c r="D35" i="71"/>
  <c r="D110" i="71"/>
  <c r="E406" i="71"/>
  <c r="E226" i="71"/>
  <c r="D57" i="71"/>
  <c r="D96" i="71"/>
  <c r="E347" i="71"/>
  <c r="E218" i="71"/>
  <c r="D11" i="71"/>
  <c r="D119" i="71"/>
  <c r="J327" i="71"/>
  <c r="D134" i="71"/>
  <c r="C354" i="71"/>
  <c r="J333" i="71"/>
  <c r="P355" i="71"/>
  <c r="P353" i="71"/>
  <c r="P354" i="71"/>
  <c r="D147" i="71"/>
  <c r="C423" i="71"/>
  <c r="D151" i="71"/>
  <c r="C436" i="71"/>
  <c r="E436" i="71" s="1"/>
  <c r="E407" i="71"/>
  <c r="C415" i="71"/>
  <c r="C424" i="71"/>
  <c r="D104" i="71"/>
  <c r="D107" i="71"/>
  <c r="E397" i="71"/>
  <c r="E353" i="71"/>
  <c r="D133" i="71"/>
  <c r="H390" i="71"/>
  <c r="H389" i="71"/>
  <c r="O353" i="71"/>
  <c r="O355" i="71"/>
  <c r="I390" i="71"/>
  <c r="I389" i="71"/>
  <c r="O354" i="71"/>
  <c r="E286" i="71"/>
  <c r="D47" i="71"/>
  <c r="D138" i="71"/>
  <c r="J336" i="71"/>
  <c r="P351" i="71"/>
  <c r="P352" i="71"/>
  <c r="P350" i="71"/>
  <c r="D60" i="71"/>
  <c r="E227" i="71"/>
  <c r="C352" i="71"/>
  <c r="D10" i="71"/>
  <c r="J187" i="71"/>
  <c r="D79" i="71"/>
  <c r="J312" i="71"/>
  <c r="C344" i="71"/>
  <c r="C351" i="71"/>
  <c r="G422" i="71"/>
  <c r="E399" i="71"/>
  <c r="D145" i="71"/>
  <c r="AT274" i="71"/>
  <c r="BU274" i="71" s="1"/>
  <c r="G287" i="71" s="1"/>
  <c r="AU274" i="71"/>
  <c r="BV274" i="71" s="1"/>
  <c r="AT273" i="71"/>
  <c r="BU273" i="71" s="1"/>
  <c r="F286" i="71" s="1"/>
  <c r="AU273" i="71"/>
  <c r="BV273" i="71" s="1"/>
  <c r="I286" i="71"/>
  <c r="H212" i="71"/>
  <c r="D76" i="71"/>
  <c r="E268" i="71"/>
  <c r="D46" i="71"/>
  <c r="E274" i="71"/>
  <c r="E349" i="71"/>
  <c r="D101" i="71"/>
  <c r="G421" i="71"/>
  <c r="L421" i="71" s="1"/>
  <c r="K111" i="71" s="1"/>
  <c r="J111" i="71" s="1"/>
  <c r="D114" i="71"/>
  <c r="C350" i="71"/>
  <c r="J323" i="71"/>
  <c r="D148" i="71"/>
  <c r="E408" i="71"/>
  <c r="C275" i="71"/>
  <c r="D36" i="71"/>
  <c r="E224" i="71"/>
  <c r="D43" i="71"/>
  <c r="E267" i="71"/>
  <c r="C414" i="71"/>
  <c r="C433" i="71"/>
  <c r="E433" i="71" s="1"/>
  <c r="D109" i="71"/>
  <c r="C421" i="71"/>
  <c r="C422" i="71"/>
  <c r="E405" i="71"/>
  <c r="C430" i="71"/>
  <c r="P344" i="71"/>
  <c r="P345" i="71"/>
  <c r="P346" i="71"/>
  <c r="D30" i="71"/>
  <c r="J195" i="71"/>
  <c r="D87" i="71"/>
  <c r="E346" i="71"/>
  <c r="AT275" i="71"/>
  <c r="BU275" i="71" s="1"/>
  <c r="AU275" i="71"/>
  <c r="BV275" i="71" s="1"/>
  <c r="O344" i="71"/>
  <c r="H383" i="71"/>
  <c r="O346" i="71"/>
  <c r="I384" i="71"/>
  <c r="I383" i="71"/>
  <c r="O345" i="71"/>
  <c r="H384" i="71"/>
  <c r="D6" i="71"/>
  <c r="J184" i="71"/>
  <c r="C217" i="71"/>
  <c r="B293" i="71"/>
  <c r="J210" i="71"/>
  <c r="D65" i="71"/>
  <c r="D48" i="71"/>
  <c r="E287" i="71"/>
  <c r="C280" i="71"/>
  <c r="E273" i="71"/>
  <c r="D45" i="71"/>
  <c r="Q398" i="71"/>
  <c r="H130" i="71" s="1"/>
  <c r="G130" i="71" s="1"/>
  <c r="S398" i="71"/>
  <c r="K130" i="71" s="1"/>
  <c r="J130" i="71" s="1"/>
  <c r="U63" i="70"/>
  <c r="AK63" i="70" s="1"/>
  <c r="AH57" i="70"/>
  <c r="AA57" i="70"/>
  <c r="Z57" i="70" s="1"/>
  <c r="AP67" i="70"/>
  <c r="AO67" i="70" s="1"/>
  <c r="AP43" i="70"/>
  <c r="AO43" i="70" s="1"/>
  <c r="AH52" i="70"/>
  <c r="AP52" i="70" s="1"/>
  <c r="AO52" i="70" s="1"/>
  <c r="AA52" i="70"/>
  <c r="Z52" i="70" s="1"/>
  <c r="AH49" i="70"/>
  <c r="AA49" i="70"/>
  <c r="Z49" i="70" s="1"/>
  <c r="AA54" i="70"/>
  <c r="Z54" i="70" s="1"/>
  <c r="AH54" i="70"/>
  <c r="AP54" i="70" s="1"/>
  <c r="AO54" i="70" s="1"/>
  <c r="AP65" i="70"/>
  <c r="AO65" i="70" s="1"/>
  <c r="AP34" i="70"/>
  <c r="AO34" i="70" s="1"/>
  <c r="AH10" i="70"/>
  <c r="AA10" i="70"/>
  <c r="Z10" i="70" s="1"/>
  <c r="AA51" i="70"/>
  <c r="Z51" i="70" s="1"/>
  <c r="P37" i="70"/>
  <c r="AP31" i="70"/>
  <c r="AO31" i="70" s="1"/>
  <c r="AA21" i="70"/>
  <c r="Z21" i="70" s="1"/>
  <c r="E63" i="70"/>
  <c r="W62" i="70"/>
  <c r="AM62" i="70" s="1"/>
  <c r="P62" i="70"/>
  <c r="AA55" i="70"/>
  <c r="Z55" i="70" s="1"/>
  <c r="U54" i="70"/>
  <c r="AK54" i="70" s="1"/>
  <c r="U50" i="70"/>
  <c r="AK50" i="70" s="1"/>
  <c r="U49" i="70"/>
  <c r="AK49" i="70" s="1"/>
  <c r="AP32" i="70"/>
  <c r="AO32" i="70" s="1"/>
  <c r="AH31" i="70"/>
  <c r="AP28" i="70"/>
  <c r="AO28" i="70" s="1"/>
  <c r="AP25" i="70"/>
  <c r="AO25" i="70" s="1"/>
  <c r="AA22" i="70"/>
  <c r="Z22" i="70" s="1"/>
  <c r="AH22" i="70"/>
  <c r="AP22" i="70" s="1"/>
  <c r="AO22" i="70" s="1"/>
  <c r="AP14" i="70"/>
  <c r="AO14" i="70" s="1"/>
  <c r="AH20" i="70"/>
  <c r="AA20" i="70"/>
  <c r="Z20" i="70" s="1"/>
  <c r="AK39" i="70"/>
  <c r="AA39" i="70"/>
  <c r="Z39" i="70" s="1"/>
  <c r="P36" i="70"/>
  <c r="U36" i="70"/>
  <c r="AK36" i="70" s="1"/>
  <c r="AA44" i="70"/>
  <c r="Z44" i="70" s="1"/>
  <c r="AC44" i="70"/>
  <c r="AP44" i="70" s="1"/>
  <c r="AO44" i="70" s="1"/>
  <c r="AP60" i="70"/>
  <c r="AO60" i="70" s="1"/>
  <c r="AH59" i="70"/>
  <c r="AP59" i="70" s="1"/>
  <c r="AO59" i="70" s="1"/>
  <c r="AA48" i="70"/>
  <c r="Z48" i="70" s="1"/>
  <c r="AH48" i="70"/>
  <c r="AH32" i="70"/>
  <c r="AA32" i="70"/>
  <c r="Z32" i="70" s="1"/>
  <c r="U24" i="70"/>
  <c r="AK24" i="70" s="1"/>
  <c r="P24" i="70"/>
  <c r="P23" i="70"/>
  <c r="AA14" i="70"/>
  <c r="Z14" i="70" s="1"/>
  <c r="AH14" i="70"/>
  <c r="P13" i="70"/>
  <c r="AH13" i="70" s="1"/>
  <c r="AA9" i="70"/>
  <c r="Z9" i="70" s="1"/>
  <c r="AH9" i="70"/>
  <c r="AP9" i="70" s="1"/>
  <c r="AO9" i="70" s="1"/>
  <c r="AA50" i="70"/>
  <c r="Z50" i="70" s="1"/>
  <c r="AP51" i="70"/>
  <c r="AO51" i="70" s="1"/>
  <c r="U26" i="70"/>
  <c r="AK26" i="70" s="1"/>
  <c r="P26" i="70"/>
  <c r="AA33" i="70"/>
  <c r="Z33" i="70" s="1"/>
  <c r="P12" i="70"/>
  <c r="AP33" i="70"/>
  <c r="AO33" i="70" s="1"/>
  <c r="AP48" i="70"/>
  <c r="AO48" i="70" s="1"/>
  <c r="AP39" i="70"/>
  <c r="AO39" i="70" s="1"/>
  <c r="AP19" i="70"/>
  <c r="AO19" i="70" s="1"/>
  <c r="P63" i="70"/>
  <c r="AH63" i="70" s="1"/>
  <c r="C66" i="70"/>
  <c r="E66" i="70" s="1"/>
  <c r="AA53" i="70"/>
  <c r="Z53" i="70" s="1"/>
  <c r="AH25" i="70"/>
  <c r="AA25" i="70"/>
  <c r="Z25" i="70" s="1"/>
  <c r="P47" i="70"/>
  <c r="AH15" i="70"/>
  <c r="AP15" i="70" s="1"/>
  <c r="AO15" i="70" s="1"/>
  <c r="AA15" i="70"/>
  <c r="Z15" i="70" s="1"/>
  <c r="AK53" i="70"/>
  <c r="AP53" i="70" s="1"/>
  <c r="AO53" i="70" s="1"/>
  <c r="AA16" i="70"/>
  <c r="Z16" i="70" s="1"/>
  <c r="AC13" i="70"/>
  <c r="AP10" i="70"/>
  <c r="AO10" i="70" s="1"/>
  <c r="AA64" i="70"/>
  <c r="Z64" i="70" s="1"/>
  <c r="AC64" i="70"/>
  <c r="AP64" i="70" s="1"/>
  <c r="AO64" i="70" s="1"/>
  <c r="AA19" i="70"/>
  <c r="Z19" i="70" s="1"/>
  <c r="AH19" i="70"/>
  <c r="P67" i="70"/>
  <c r="AH67" i="70" s="1"/>
  <c r="AK41" i="70"/>
  <c r="AP41" i="70" s="1"/>
  <c r="AO41" i="70" s="1"/>
  <c r="AA41" i="70"/>
  <c r="Z41" i="70" s="1"/>
  <c r="AH27" i="70"/>
  <c r="AP27" i="70" s="1"/>
  <c r="AO27" i="70" s="1"/>
  <c r="AA27" i="70"/>
  <c r="Z27" i="70" s="1"/>
  <c r="AA67" i="70"/>
  <c r="Z67" i="70" s="1"/>
  <c r="AA28" i="70"/>
  <c r="Z28" i="70" s="1"/>
  <c r="AP49" i="70"/>
  <c r="AO49" i="70" s="1"/>
  <c r="AH50" i="70"/>
  <c r="AP50" i="70" s="1"/>
  <c r="AO50" i="70" s="1"/>
  <c r="AH6" i="70"/>
  <c r="AP6" i="70" s="1"/>
  <c r="AO6" i="70" s="1"/>
  <c r="AA6" i="70"/>
  <c r="Z6" i="70" s="1"/>
  <c r="W63" i="70"/>
  <c r="AM63" i="70" s="1"/>
  <c r="AP57" i="70"/>
  <c r="AO57" i="70" s="1"/>
  <c r="AP20" i="70"/>
  <c r="AO20" i="70" s="1"/>
  <c r="AA11" i="70"/>
  <c r="Z11" i="70" s="1"/>
  <c r="AP8" i="70"/>
  <c r="AO8" i="70" s="1"/>
  <c r="P66" i="70"/>
  <c r="AH66" i="70" s="1"/>
  <c r="AC16" i="70"/>
  <c r="AP16" i="70" s="1"/>
  <c r="AO16" i="70" s="1"/>
  <c r="U31" i="70"/>
  <c r="AK31" i="70" s="1"/>
  <c r="U7" i="70"/>
  <c r="D112" i="71" l="1"/>
  <c r="E422" i="71"/>
  <c r="J422" i="71" s="1"/>
  <c r="H112" i="71" s="1"/>
  <c r="G112" i="71" s="1"/>
  <c r="O332" i="71"/>
  <c r="P332" i="71"/>
  <c r="O331" i="71"/>
  <c r="P331" i="71"/>
  <c r="AV274" i="71"/>
  <c r="H46" i="71" s="1"/>
  <c r="G46" i="71" s="1"/>
  <c r="AX274" i="71"/>
  <c r="BW274" i="71" s="1"/>
  <c r="K46" i="71" s="1"/>
  <c r="J46" i="71" s="1"/>
  <c r="D111" i="71"/>
  <c r="E421" i="71"/>
  <c r="J421" i="71" s="1"/>
  <c r="H111" i="71" s="1"/>
  <c r="G111" i="71" s="1"/>
  <c r="P335" i="71"/>
  <c r="P336" i="71"/>
  <c r="Q336" i="71" s="1"/>
  <c r="H138" i="71" s="1"/>
  <c r="G138" i="71" s="1"/>
  <c r="O336" i="71"/>
  <c r="O335" i="71"/>
  <c r="S335" i="71" s="1"/>
  <c r="K137" i="71" s="1"/>
  <c r="J137" i="71" s="1"/>
  <c r="W433" i="71"/>
  <c r="H152" i="71" s="1"/>
  <c r="G152" i="71" s="1"/>
  <c r="Y433" i="71"/>
  <c r="K152" i="71" s="1"/>
  <c r="J152" i="71" s="1"/>
  <c r="I280" i="71"/>
  <c r="L368" i="71"/>
  <c r="M368" i="71"/>
  <c r="M367" i="71"/>
  <c r="L367" i="71"/>
  <c r="O318" i="71"/>
  <c r="P318" i="71"/>
  <c r="O319" i="71"/>
  <c r="P319" i="71"/>
  <c r="M366" i="71"/>
  <c r="L365" i="71"/>
  <c r="M365" i="71"/>
  <c r="L366" i="71"/>
  <c r="J387" i="71"/>
  <c r="H127" i="71" s="1"/>
  <c r="G127" i="71" s="1"/>
  <c r="L387" i="71"/>
  <c r="K127" i="71" s="1"/>
  <c r="J127" i="71" s="1"/>
  <c r="O266" i="71"/>
  <c r="D49" i="71"/>
  <c r="D293" i="71"/>
  <c r="O293" i="71" s="1"/>
  <c r="O267" i="71"/>
  <c r="O377" i="71"/>
  <c r="N377" i="71"/>
  <c r="J390" i="71"/>
  <c r="H144" i="71" s="1"/>
  <c r="G144" i="71" s="1"/>
  <c r="L390" i="71"/>
  <c r="K144" i="71" s="1"/>
  <c r="J144" i="71" s="1"/>
  <c r="P321" i="71"/>
  <c r="P322" i="71"/>
  <c r="O322" i="71"/>
  <c r="O321" i="71"/>
  <c r="O325" i="71"/>
  <c r="P324" i="71"/>
  <c r="O324" i="71"/>
  <c r="O323" i="71"/>
  <c r="S323" i="71" s="1"/>
  <c r="K114" i="71" s="1"/>
  <c r="J114" i="71" s="1"/>
  <c r="P325" i="71"/>
  <c r="P323" i="71"/>
  <c r="Q335" i="71"/>
  <c r="H137" i="71" s="1"/>
  <c r="G137" i="71" s="1"/>
  <c r="J388" i="71"/>
  <c r="H129" i="71" s="1"/>
  <c r="G129" i="71" s="1"/>
  <c r="L388" i="71"/>
  <c r="K129" i="71" s="1"/>
  <c r="J129" i="71" s="1"/>
  <c r="O376" i="71"/>
  <c r="N376" i="71"/>
  <c r="D117" i="71"/>
  <c r="E350" i="71"/>
  <c r="D149" i="71"/>
  <c r="E423" i="71"/>
  <c r="J423" i="71" s="1"/>
  <c r="H149" i="71" s="1"/>
  <c r="G149" i="71" s="1"/>
  <c r="O329" i="71"/>
  <c r="S329" i="71" s="1"/>
  <c r="K122" i="71" s="1"/>
  <c r="J122" i="71" s="1"/>
  <c r="P328" i="71"/>
  <c r="P329" i="71"/>
  <c r="O328" i="71"/>
  <c r="O330" i="71"/>
  <c r="P330" i="71"/>
  <c r="D108" i="71"/>
  <c r="E414" i="71"/>
  <c r="D8" i="71"/>
  <c r="E217" i="71"/>
  <c r="Q346" i="71"/>
  <c r="H87" i="71" s="1"/>
  <c r="G87" i="71" s="1"/>
  <c r="S346" i="71"/>
  <c r="K87" i="71" s="1"/>
  <c r="J87" i="71" s="1"/>
  <c r="Q267" i="71"/>
  <c r="H43" i="71" s="1"/>
  <c r="G43" i="71" s="1"/>
  <c r="G286" i="71"/>
  <c r="J286" i="71" s="1"/>
  <c r="H47" i="71" s="1"/>
  <c r="G47" i="71" s="1"/>
  <c r="J280" i="71"/>
  <c r="E355" i="71"/>
  <c r="D139" i="71"/>
  <c r="AI405" i="71"/>
  <c r="H109" i="71" s="1"/>
  <c r="G109" i="71" s="1"/>
  <c r="AK405" i="71"/>
  <c r="K109" i="71" s="1"/>
  <c r="J109" i="71" s="1"/>
  <c r="M436" i="71"/>
  <c r="H151" i="71" s="1"/>
  <c r="G151" i="71" s="1"/>
  <c r="O436" i="71"/>
  <c r="K151" i="71" s="1"/>
  <c r="J151" i="71" s="1"/>
  <c r="D81" i="71"/>
  <c r="E344" i="71"/>
  <c r="Q333" i="71"/>
  <c r="H134" i="71" s="1"/>
  <c r="G134" i="71" s="1"/>
  <c r="L363" i="71"/>
  <c r="M363" i="71"/>
  <c r="L364" i="71"/>
  <c r="M364" i="71"/>
  <c r="J385" i="71"/>
  <c r="H104" i="71" s="1"/>
  <c r="G104" i="71" s="1"/>
  <c r="L385" i="71"/>
  <c r="K104" i="71" s="1"/>
  <c r="J104" i="71" s="1"/>
  <c r="Q397" i="71"/>
  <c r="H107" i="71" s="1"/>
  <c r="G107" i="71" s="1"/>
  <c r="S397" i="71"/>
  <c r="K107" i="71" s="1"/>
  <c r="J107" i="71" s="1"/>
  <c r="P266" i="71"/>
  <c r="Q349" i="71"/>
  <c r="H101" i="71" s="1"/>
  <c r="G101" i="71" s="1"/>
  <c r="S349" i="71"/>
  <c r="K101" i="71" s="1"/>
  <c r="J101" i="71" s="1"/>
  <c r="N375" i="71"/>
  <c r="O375" i="71"/>
  <c r="S348" i="71"/>
  <c r="K98" i="71" s="1"/>
  <c r="J98" i="71" s="1"/>
  <c r="Q348" i="71"/>
  <c r="H98" i="71" s="1"/>
  <c r="G98" i="71" s="1"/>
  <c r="O326" i="71"/>
  <c r="P326" i="71"/>
  <c r="O327" i="71"/>
  <c r="S327" i="71" s="1"/>
  <c r="K119" i="71" s="1"/>
  <c r="J119" i="71" s="1"/>
  <c r="P327" i="71"/>
  <c r="L386" i="71"/>
  <c r="K106" i="71" s="1"/>
  <c r="J106" i="71" s="1"/>
  <c r="M362" i="71"/>
  <c r="L361" i="71"/>
  <c r="M361" i="71"/>
  <c r="J383" i="71"/>
  <c r="H90" i="71" s="1"/>
  <c r="G90" i="71" s="1"/>
  <c r="L362" i="71"/>
  <c r="L383" i="71"/>
  <c r="K90" i="71" s="1"/>
  <c r="J90" i="71" s="1"/>
  <c r="O374" i="71"/>
  <c r="D120" i="71"/>
  <c r="E351" i="71"/>
  <c r="O313" i="71"/>
  <c r="O312" i="71"/>
  <c r="Q312" i="71" s="1"/>
  <c r="H79" i="71" s="1"/>
  <c r="G79" i="71" s="1"/>
  <c r="P313" i="71"/>
  <c r="P312" i="71"/>
  <c r="S347" i="71"/>
  <c r="K96" i="71" s="1"/>
  <c r="J96" i="71" s="1"/>
  <c r="Q347" i="71"/>
  <c r="H96" i="71" s="1"/>
  <c r="G96" i="71" s="1"/>
  <c r="D124" i="71"/>
  <c r="E352" i="71"/>
  <c r="Q353" i="71"/>
  <c r="H133" i="71" s="1"/>
  <c r="G133" i="71" s="1"/>
  <c r="S353" i="71"/>
  <c r="K133" i="71" s="1"/>
  <c r="J133" i="71" s="1"/>
  <c r="AK406" i="71"/>
  <c r="K110" i="71" s="1"/>
  <c r="J110" i="71" s="1"/>
  <c r="AI406" i="71"/>
  <c r="H110" i="71" s="1"/>
  <c r="G110" i="71" s="1"/>
  <c r="D67" i="71"/>
  <c r="J212" i="71"/>
  <c r="D136" i="71"/>
  <c r="E354" i="71"/>
  <c r="O320" i="71"/>
  <c r="P320" i="71"/>
  <c r="N374" i="71"/>
  <c r="J384" i="71"/>
  <c r="H92" i="71" s="1"/>
  <c r="G92" i="71" s="1"/>
  <c r="L384" i="71"/>
  <c r="K92" i="71" s="1"/>
  <c r="J92" i="71" s="1"/>
  <c r="F287" i="71"/>
  <c r="J287" i="71" s="1"/>
  <c r="H48" i="71" s="1"/>
  <c r="G48" i="71" s="1"/>
  <c r="O315" i="71"/>
  <c r="S315" i="71" s="1"/>
  <c r="K83" i="71" s="1"/>
  <c r="J83" i="71" s="1"/>
  <c r="P314" i="71"/>
  <c r="Q314" i="71" s="1"/>
  <c r="H82" i="71" s="1"/>
  <c r="G82" i="71" s="1"/>
  <c r="P315" i="71"/>
  <c r="O314" i="71"/>
  <c r="E275" i="71"/>
  <c r="B294" i="71"/>
  <c r="D77" i="71"/>
  <c r="Q399" i="71"/>
  <c r="H145" i="71" s="1"/>
  <c r="G145" i="71" s="1"/>
  <c r="S399" i="71"/>
  <c r="K145" i="71" s="1"/>
  <c r="J145" i="71" s="1"/>
  <c r="P268" i="71"/>
  <c r="D52" i="71"/>
  <c r="J201" i="71"/>
  <c r="C225" i="71"/>
  <c r="AV273" i="71"/>
  <c r="H45" i="71" s="1"/>
  <c r="G45" i="71" s="1"/>
  <c r="AX273" i="71"/>
  <c r="BW273" i="71" s="1"/>
  <c r="K45" i="71" s="1"/>
  <c r="J45" i="71" s="1"/>
  <c r="AK408" i="71"/>
  <c r="K148" i="71" s="1"/>
  <c r="J148" i="71" s="1"/>
  <c r="AI408" i="71"/>
  <c r="H148" i="71" s="1"/>
  <c r="G148" i="71" s="1"/>
  <c r="J389" i="71"/>
  <c r="H142" i="71" s="1"/>
  <c r="G142" i="71" s="1"/>
  <c r="D150" i="71"/>
  <c r="E424" i="71"/>
  <c r="J424" i="71" s="1"/>
  <c r="H150" i="71" s="1"/>
  <c r="G150" i="71" s="1"/>
  <c r="D84" i="71"/>
  <c r="E345" i="71"/>
  <c r="D44" i="71"/>
  <c r="E280" i="71"/>
  <c r="L389" i="71"/>
  <c r="K142" i="71" s="1"/>
  <c r="J142" i="71" s="1"/>
  <c r="D146" i="71"/>
  <c r="E415" i="71"/>
  <c r="J386" i="71"/>
  <c r="H106" i="71" s="1"/>
  <c r="G106" i="71" s="1"/>
  <c r="P267" i="71"/>
  <c r="P317" i="71"/>
  <c r="O316" i="71"/>
  <c r="O317" i="71"/>
  <c r="P316" i="71"/>
  <c r="D113" i="71"/>
  <c r="D152" i="71" s="1"/>
  <c r="E430" i="71"/>
  <c r="O268" i="71"/>
  <c r="Q268" i="71" s="1"/>
  <c r="H76" i="71" s="1"/>
  <c r="G76" i="71" s="1"/>
  <c r="O333" i="71"/>
  <c r="S333" i="71" s="1"/>
  <c r="K134" i="71" s="1"/>
  <c r="J134" i="71" s="1"/>
  <c r="P333" i="71"/>
  <c r="P334" i="71"/>
  <c r="O334" i="71"/>
  <c r="AK407" i="71"/>
  <c r="K147" i="71" s="1"/>
  <c r="J147" i="71" s="1"/>
  <c r="AI407" i="71"/>
  <c r="H147" i="71" s="1"/>
  <c r="G147" i="71" s="1"/>
  <c r="AA66" i="70"/>
  <c r="Z66" i="70" s="1"/>
  <c r="AC66" i="70"/>
  <c r="AP66" i="70" s="1"/>
  <c r="AO66" i="70" s="1"/>
  <c r="AH23" i="70"/>
  <c r="AP23" i="70" s="1"/>
  <c r="AO23" i="70" s="1"/>
  <c r="AA23" i="70"/>
  <c r="Z23" i="70" s="1"/>
  <c r="AP13" i="70"/>
  <c r="AO13" i="70" s="1"/>
  <c r="AA36" i="70"/>
  <c r="Z36" i="70" s="1"/>
  <c r="AH36" i="70"/>
  <c r="AP36" i="70" s="1"/>
  <c r="AO36" i="70" s="1"/>
  <c r="AA63" i="70"/>
  <c r="Z63" i="70" s="1"/>
  <c r="AC63" i="70"/>
  <c r="AP63" i="70" s="1"/>
  <c r="AO63" i="70" s="1"/>
  <c r="AK7" i="70"/>
  <c r="AP7" i="70" s="1"/>
  <c r="AO7" i="70" s="1"/>
  <c r="AA7" i="70"/>
  <c r="Z7" i="70" s="1"/>
  <c r="AA13" i="70"/>
  <c r="Z13" i="70" s="1"/>
  <c r="AH37" i="70"/>
  <c r="AP37" i="70" s="1"/>
  <c r="AO37" i="70" s="1"/>
  <c r="AA37" i="70"/>
  <c r="Z37" i="70" s="1"/>
  <c r="AA24" i="70"/>
  <c r="Z24" i="70" s="1"/>
  <c r="AH24" i="70"/>
  <c r="AP24" i="70" s="1"/>
  <c r="AO24" i="70" s="1"/>
  <c r="AH12" i="70"/>
  <c r="AP12" i="70" s="1"/>
  <c r="AO12" i="70" s="1"/>
  <c r="AA12" i="70"/>
  <c r="Z12" i="70" s="1"/>
  <c r="AA26" i="70"/>
  <c r="Z26" i="70" s="1"/>
  <c r="AH26" i="70"/>
  <c r="AP26" i="70" s="1"/>
  <c r="AO26" i="70" s="1"/>
  <c r="AA31" i="70"/>
  <c r="Z31" i="70" s="1"/>
  <c r="AH47" i="70"/>
  <c r="AP47" i="70" s="1"/>
  <c r="AO47" i="70" s="1"/>
  <c r="AA47" i="70"/>
  <c r="Z47" i="70" s="1"/>
  <c r="AA62" i="70"/>
  <c r="Z62" i="70" s="1"/>
  <c r="AH62" i="70"/>
  <c r="AP62" i="70" s="1"/>
  <c r="AO62" i="70" s="1"/>
  <c r="Q354" i="71" l="1"/>
  <c r="H136" i="71" s="1"/>
  <c r="G136" i="71" s="1"/>
  <c r="S354" i="71"/>
  <c r="K136" i="71" s="1"/>
  <c r="J136" i="71" s="1"/>
  <c r="P361" i="71"/>
  <c r="K88" i="71" s="1"/>
  <c r="J88" i="71" s="1"/>
  <c r="N361" i="71"/>
  <c r="H88" i="71" s="1"/>
  <c r="G88" i="71" s="1"/>
  <c r="S268" i="71"/>
  <c r="K76" i="71" s="1"/>
  <c r="J76" i="71" s="1"/>
  <c r="S334" i="71"/>
  <c r="K135" i="71" s="1"/>
  <c r="J135" i="71" s="1"/>
  <c r="Q334" i="71"/>
  <c r="H135" i="71" s="1"/>
  <c r="G135" i="71" s="1"/>
  <c r="S314" i="71"/>
  <c r="K82" i="71" s="1"/>
  <c r="J82" i="71" s="1"/>
  <c r="U220" i="71"/>
  <c r="U219" i="71"/>
  <c r="U217" i="71"/>
  <c r="V217" i="71" s="1"/>
  <c r="H8" i="71" s="1"/>
  <c r="G8" i="71" s="1"/>
  <c r="U221" i="71"/>
  <c r="U218" i="71"/>
  <c r="U222" i="71"/>
  <c r="U223" i="71"/>
  <c r="U224" i="71"/>
  <c r="AA293" i="71"/>
  <c r="K49" i="71" s="1"/>
  <c r="J49" i="71" s="1"/>
  <c r="Y293" i="71"/>
  <c r="H49" i="71" s="1"/>
  <c r="G49" i="71" s="1"/>
  <c r="Q318" i="71"/>
  <c r="H94" i="71" s="1"/>
  <c r="G94" i="71" s="1"/>
  <c r="S318" i="71"/>
  <c r="K94" i="71" s="1"/>
  <c r="J94" i="71" s="1"/>
  <c r="Q315" i="71"/>
  <c r="H83" i="71" s="1"/>
  <c r="G83" i="71" s="1"/>
  <c r="AX275" i="71"/>
  <c r="AV275" i="71"/>
  <c r="H77" i="71" s="1"/>
  <c r="G77" i="71" s="1"/>
  <c r="S344" i="71"/>
  <c r="K81" i="71" s="1"/>
  <c r="J81" i="71" s="1"/>
  <c r="Q344" i="71"/>
  <c r="H81" i="71" s="1"/>
  <c r="G81" i="71" s="1"/>
  <c r="J259" i="71"/>
  <c r="K259" i="71"/>
  <c r="J257" i="71"/>
  <c r="K257" i="71"/>
  <c r="T415" i="71"/>
  <c r="K146" i="71" s="1"/>
  <c r="J146" i="71" s="1"/>
  <c r="R415" i="71"/>
  <c r="H146" i="71" s="1"/>
  <c r="G146" i="71" s="1"/>
  <c r="L287" i="71"/>
  <c r="K48" i="71" s="1"/>
  <c r="J48" i="71" s="1"/>
  <c r="S267" i="71"/>
  <c r="K43" i="71" s="1"/>
  <c r="J43" i="71" s="1"/>
  <c r="D78" i="71"/>
  <c r="D294" i="71"/>
  <c r="O294" i="71" s="1"/>
  <c r="Q319" i="71"/>
  <c r="H95" i="71" s="1"/>
  <c r="G95" i="71" s="1"/>
  <c r="S319" i="71"/>
  <c r="K95" i="71" s="1"/>
  <c r="J95" i="71" s="1"/>
  <c r="S324" i="71"/>
  <c r="K115" i="71" s="1"/>
  <c r="J115" i="71" s="1"/>
  <c r="Q324" i="71"/>
  <c r="H115" i="71" s="1"/>
  <c r="G115" i="71" s="1"/>
  <c r="T220" i="71"/>
  <c r="T218" i="71"/>
  <c r="J258" i="71"/>
  <c r="T219" i="71"/>
  <c r="T224" i="71"/>
  <c r="K256" i="71"/>
  <c r="T222" i="71"/>
  <c r="K258" i="71"/>
  <c r="T223" i="71"/>
  <c r="T217" i="71"/>
  <c r="X217" i="71" s="1"/>
  <c r="K8" i="71" s="1"/>
  <c r="J8" i="71" s="1"/>
  <c r="J256" i="71"/>
  <c r="T221" i="71"/>
  <c r="Q266" i="71"/>
  <c r="H25" i="71" s="1"/>
  <c r="G25" i="71" s="1"/>
  <c r="S266" i="71"/>
  <c r="K25" i="71" s="1"/>
  <c r="J25" i="71" s="1"/>
  <c r="S312" i="71"/>
  <c r="K79" i="71" s="1"/>
  <c r="J79" i="71" s="1"/>
  <c r="S336" i="71"/>
  <c r="K138" i="71" s="1"/>
  <c r="J138" i="71" s="1"/>
  <c r="P367" i="71"/>
  <c r="K140" i="71" s="1"/>
  <c r="J140" i="71" s="1"/>
  <c r="N367" i="71"/>
  <c r="H140" i="71" s="1"/>
  <c r="G140" i="71" s="1"/>
  <c r="S331" i="71"/>
  <c r="K131" i="71" s="1"/>
  <c r="J131" i="71" s="1"/>
  <c r="Q331" i="71"/>
  <c r="H131" i="71" s="1"/>
  <c r="G131" i="71" s="1"/>
  <c r="K280" i="71"/>
  <c r="H44" i="71" s="1"/>
  <c r="G44" i="71" s="1"/>
  <c r="M280" i="71"/>
  <c r="K44" i="71" s="1"/>
  <c r="J44" i="71" s="1"/>
  <c r="Q326" i="71"/>
  <c r="H118" i="71" s="1"/>
  <c r="G118" i="71" s="1"/>
  <c r="S326" i="71"/>
  <c r="K118" i="71" s="1"/>
  <c r="J118" i="71" s="1"/>
  <c r="Q321" i="71"/>
  <c r="H99" i="71" s="1"/>
  <c r="G99" i="71" s="1"/>
  <c r="S321" i="71"/>
  <c r="K99" i="71" s="1"/>
  <c r="J99" i="71" s="1"/>
  <c r="R374" i="71"/>
  <c r="K91" i="71" s="1"/>
  <c r="J91" i="71" s="1"/>
  <c r="P374" i="71"/>
  <c r="H91" i="71" s="1"/>
  <c r="G91" i="71" s="1"/>
  <c r="T414" i="71"/>
  <c r="K108" i="71" s="1"/>
  <c r="J108" i="71" s="1"/>
  <c r="R414" i="71"/>
  <c r="H108" i="71" s="1"/>
  <c r="G108" i="71" s="1"/>
  <c r="P376" i="71"/>
  <c r="H128" i="71" s="1"/>
  <c r="G128" i="71" s="1"/>
  <c r="R376" i="71"/>
  <c r="K128" i="71" s="1"/>
  <c r="J128" i="71" s="1"/>
  <c r="N366" i="71"/>
  <c r="H126" i="71" s="1"/>
  <c r="G126" i="71" s="1"/>
  <c r="P366" i="71"/>
  <c r="K126" i="71" s="1"/>
  <c r="J126" i="71" s="1"/>
  <c r="L286" i="71"/>
  <c r="K47" i="71" s="1"/>
  <c r="J47" i="71" s="1"/>
  <c r="T227" i="71"/>
  <c r="J260" i="71"/>
  <c r="K260" i="71"/>
  <c r="T225" i="71"/>
  <c r="T226" i="71"/>
  <c r="K261" i="71"/>
  <c r="T229" i="71"/>
  <c r="T228" i="71"/>
  <c r="J261" i="71"/>
  <c r="M430" i="71"/>
  <c r="H113" i="71" s="1"/>
  <c r="G113" i="71" s="1"/>
  <c r="O430" i="71"/>
  <c r="K113" i="71" s="1"/>
  <c r="J113" i="71" s="1"/>
  <c r="D54" i="71"/>
  <c r="E225" i="71"/>
  <c r="S313" i="71"/>
  <c r="K80" i="71" s="1"/>
  <c r="J80" i="71" s="1"/>
  <c r="Q313" i="71"/>
  <c r="H80" i="71" s="1"/>
  <c r="G80" i="71" s="1"/>
  <c r="Q350" i="71"/>
  <c r="H117" i="71" s="1"/>
  <c r="G117" i="71" s="1"/>
  <c r="S350" i="71"/>
  <c r="K117" i="71" s="1"/>
  <c r="J117" i="71" s="1"/>
  <c r="Q332" i="71"/>
  <c r="H132" i="71" s="1"/>
  <c r="G132" i="71" s="1"/>
  <c r="S332" i="71"/>
  <c r="K132" i="71" s="1"/>
  <c r="J132" i="71" s="1"/>
  <c r="S317" i="71"/>
  <c r="K86" i="71" s="1"/>
  <c r="J86" i="71" s="1"/>
  <c r="Q317" i="71"/>
  <c r="H86" i="71" s="1"/>
  <c r="G86" i="71" s="1"/>
  <c r="Q327" i="71"/>
  <c r="H119" i="71" s="1"/>
  <c r="G119" i="71" s="1"/>
  <c r="U227" i="71"/>
  <c r="U226" i="71"/>
  <c r="U229" i="71"/>
  <c r="U228" i="71"/>
  <c r="U225" i="71"/>
  <c r="P364" i="71"/>
  <c r="K103" i="71" s="1"/>
  <c r="J103" i="71" s="1"/>
  <c r="N364" i="71"/>
  <c r="H103" i="71" s="1"/>
  <c r="G103" i="71" s="1"/>
  <c r="Q323" i="71"/>
  <c r="H114" i="71" s="1"/>
  <c r="G114" i="71" s="1"/>
  <c r="N368" i="71"/>
  <c r="H141" i="71" s="1"/>
  <c r="G141" i="71" s="1"/>
  <c r="P368" i="71"/>
  <c r="K141" i="71" s="1"/>
  <c r="J141" i="71" s="1"/>
  <c r="Q316" i="71"/>
  <c r="H85" i="71" s="1"/>
  <c r="G85" i="71" s="1"/>
  <c r="S316" i="71"/>
  <c r="K85" i="71" s="1"/>
  <c r="J85" i="71" s="1"/>
  <c r="N365" i="71"/>
  <c r="H125" i="71" s="1"/>
  <c r="G125" i="71" s="1"/>
  <c r="P365" i="71"/>
  <c r="K125" i="71" s="1"/>
  <c r="J125" i="71" s="1"/>
  <c r="Q325" i="71"/>
  <c r="H116" i="71" s="1"/>
  <c r="G116" i="71" s="1"/>
  <c r="S325" i="71"/>
  <c r="K116" i="71" s="1"/>
  <c r="J116" i="71" s="1"/>
  <c r="S352" i="71"/>
  <c r="K124" i="71" s="1"/>
  <c r="J124" i="71" s="1"/>
  <c r="Q352" i="71"/>
  <c r="H124" i="71" s="1"/>
  <c r="G124" i="71" s="1"/>
  <c r="P362" i="71"/>
  <c r="K89" i="71" s="1"/>
  <c r="J89" i="71" s="1"/>
  <c r="N362" i="71"/>
  <c r="H89" i="71" s="1"/>
  <c r="G89" i="71" s="1"/>
  <c r="N363" i="71"/>
  <c r="H102" i="71" s="1"/>
  <c r="G102" i="71" s="1"/>
  <c r="P363" i="71"/>
  <c r="K102" i="71" s="1"/>
  <c r="J102" i="71" s="1"/>
  <c r="Q355" i="71"/>
  <c r="H139" i="71" s="1"/>
  <c r="G139" i="71" s="1"/>
  <c r="S355" i="71"/>
  <c r="K139" i="71" s="1"/>
  <c r="J139" i="71" s="1"/>
  <c r="Q330" i="71"/>
  <c r="H123" i="71" s="1"/>
  <c r="G123" i="71" s="1"/>
  <c r="S330" i="71"/>
  <c r="K123" i="71" s="1"/>
  <c r="J123" i="71" s="1"/>
  <c r="Q329" i="71"/>
  <c r="H122" i="71" s="1"/>
  <c r="G122" i="71" s="1"/>
  <c r="S345" i="71"/>
  <c r="K84" i="71" s="1"/>
  <c r="J84" i="71" s="1"/>
  <c r="Q345" i="71"/>
  <c r="H84" i="71" s="1"/>
  <c r="G84" i="71" s="1"/>
  <c r="Q351" i="71"/>
  <c r="H120" i="71" s="1"/>
  <c r="G120" i="71" s="1"/>
  <c r="S351" i="71"/>
  <c r="K120" i="71" s="1"/>
  <c r="J120" i="71" s="1"/>
  <c r="Q322" i="71"/>
  <c r="H100" i="71" s="1"/>
  <c r="G100" i="71" s="1"/>
  <c r="S322" i="71"/>
  <c r="K100" i="71" s="1"/>
  <c r="J100" i="71" s="1"/>
  <c r="S320" i="71"/>
  <c r="K97" i="71" s="1"/>
  <c r="J97" i="71" s="1"/>
  <c r="Q320" i="71"/>
  <c r="H97" i="71" s="1"/>
  <c r="G97" i="71" s="1"/>
  <c r="R375" i="71"/>
  <c r="K105" i="71" s="1"/>
  <c r="J105" i="71" s="1"/>
  <c r="P375" i="71"/>
  <c r="H105" i="71" s="1"/>
  <c r="G105" i="71" s="1"/>
  <c r="S328" i="71"/>
  <c r="K121" i="71" s="1"/>
  <c r="J121" i="71" s="1"/>
  <c r="Q328" i="71"/>
  <c r="H121" i="71" s="1"/>
  <c r="G121" i="71" s="1"/>
  <c r="P377" i="71"/>
  <c r="H143" i="71" s="1"/>
  <c r="G143" i="71" s="1"/>
  <c r="R377" i="71"/>
  <c r="K143" i="71" s="1"/>
  <c r="J143" i="71" s="1"/>
  <c r="P210" i="71" l="1"/>
  <c r="O209" i="71"/>
  <c r="P209" i="71"/>
  <c r="O211" i="71"/>
  <c r="P212" i="71"/>
  <c r="P211" i="71"/>
  <c r="O212" i="71"/>
  <c r="O210" i="71"/>
  <c r="V229" i="71"/>
  <c r="H68" i="71" s="1"/>
  <c r="G68" i="71" s="1"/>
  <c r="X229" i="71"/>
  <c r="K68" i="71" s="1"/>
  <c r="J68" i="71" s="1"/>
  <c r="O190" i="71"/>
  <c r="P190" i="71"/>
  <c r="O191" i="71"/>
  <c r="P191" i="71"/>
  <c r="V220" i="71"/>
  <c r="H17" i="71" s="1"/>
  <c r="G17" i="71" s="1"/>
  <c r="X220" i="71"/>
  <c r="K17" i="71" s="1"/>
  <c r="J17" i="71" s="1"/>
  <c r="BW275" i="71"/>
  <c r="K77" i="71"/>
  <c r="J77" i="71" s="1"/>
  <c r="I239" i="71"/>
  <c r="J239" i="71"/>
  <c r="I238" i="71"/>
  <c r="J238" i="71"/>
  <c r="N257" i="71"/>
  <c r="K40" i="71" s="1"/>
  <c r="J40" i="71" s="1"/>
  <c r="L257" i="71"/>
  <c r="H40" i="71" s="1"/>
  <c r="G40" i="71" s="1"/>
  <c r="I237" i="71"/>
  <c r="J237" i="71"/>
  <c r="J236" i="71"/>
  <c r="I235" i="71"/>
  <c r="J235" i="71"/>
  <c r="I236" i="71"/>
  <c r="J234" i="71"/>
  <c r="I234" i="71"/>
  <c r="L256" i="71"/>
  <c r="H21" i="71" s="1"/>
  <c r="G21" i="71" s="1"/>
  <c r="N256" i="71"/>
  <c r="K21" i="71" s="1"/>
  <c r="J21" i="71" s="1"/>
  <c r="Y294" i="71"/>
  <c r="H78" i="71" s="1"/>
  <c r="G78" i="71" s="1"/>
  <c r="AA294" i="71"/>
  <c r="K78" i="71" s="1"/>
  <c r="J78" i="71" s="1"/>
  <c r="O195" i="71"/>
  <c r="O194" i="71"/>
  <c r="P194" i="71"/>
  <c r="P195" i="71"/>
  <c r="V222" i="71"/>
  <c r="H31" i="71" s="1"/>
  <c r="G31" i="71" s="1"/>
  <c r="X222" i="71"/>
  <c r="K31" i="71" s="1"/>
  <c r="J31" i="71" s="1"/>
  <c r="O196" i="71"/>
  <c r="P196" i="71"/>
  <c r="V223" i="71"/>
  <c r="H33" i="71" s="1"/>
  <c r="G33" i="71" s="1"/>
  <c r="X223" i="71"/>
  <c r="K33" i="71" s="1"/>
  <c r="J33" i="71" s="1"/>
  <c r="O205" i="71"/>
  <c r="O206" i="71"/>
  <c r="P206" i="71"/>
  <c r="P205" i="71"/>
  <c r="V227" i="71"/>
  <c r="H60" i="71" s="1"/>
  <c r="G60" i="71" s="1"/>
  <c r="X227" i="71"/>
  <c r="K60" i="71" s="1"/>
  <c r="J60" i="71" s="1"/>
  <c r="X225" i="71"/>
  <c r="K54" i="71" s="1"/>
  <c r="J54" i="71" s="1"/>
  <c r="V225" i="71"/>
  <c r="H54" i="71" s="1"/>
  <c r="G54" i="71" s="1"/>
  <c r="O198" i="71"/>
  <c r="P198" i="71"/>
  <c r="P197" i="71"/>
  <c r="O197" i="71"/>
  <c r="V224" i="71"/>
  <c r="H36" i="71" s="1"/>
  <c r="G36" i="71" s="1"/>
  <c r="X224" i="71"/>
  <c r="K36" i="71" s="1"/>
  <c r="J36" i="71" s="1"/>
  <c r="O184" i="71"/>
  <c r="P185" i="71"/>
  <c r="P184" i="71"/>
  <c r="O185" i="71"/>
  <c r="O189" i="71"/>
  <c r="P189" i="71"/>
  <c r="O188" i="71"/>
  <c r="P188" i="71"/>
  <c r="X219" i="71"/>
  <c r="K14" i="71" s="1"/>
  <c r="J14" i="71" s="1"/>
  <c r="V219" i="71"/>
  <c r="H14" i="71" s="1"/>
  <c r="G14" i="71" s="1"/>
  <c r="O207" i="71"/>
  <c r="P207" i="71"/>
  <c r="P208" i="71"/>
  <c r="O208" i="71"/>
  <c r="V228" i="71"/>
  <c r="H63" i="71" s="1"/>
  <c r="G63" i="71" s="1"/>
  <c r="X228" i="71"/>
  <c r="K63" i="71" s="1"/>
  <c r="J63" i="71" s="1"/>
  <c r="O199" i="71"/>
  <c r="P199" i="71"/>
  <c r="O202" i="71"/>
  <c r="O201" i="71"/>
  <c r="P201" i="71"/>
  <c r="P202" i="71"/>
  <c r="O200" i="71"/>
  <c r="P200" i="71"/>
  <c r="I242" i="71"/>
  <c r="J242" i="71"/>
  <c r="I241" i="71"/>
  <c r="J240" i="71"/>
  <c r="J241" i="71"/>
  <c r="I240" i="71"/>
  <c r="L260" i="71"/>
  <c r="H72" i="71" s="1"/>
  <c r="G72" i="71" s="1"/>
  <c r="N260" i="71"/>
  <c r="K72" i="71" s="1"/>
  <c r="J72" i="71" s="1"/>
  <c r="L248" i="71"/>
  <c r="K247" i="71"/>
  <c r="K248" i="71"/>
  <c r="L247" i="71"/>
  <c r="N258" i="71"/>
  <c r="K24" i="71" s="1"/>
  <c r="J24" i="71" s="1"/>
  <c r="L258" i="71"/>
  <c r="H24" i="71" s="1"/>
  <c r="G24" i="71" s="1"/>
  <c r="K249" i="71"/>
  <c r="L249" i="71"/>
  <c r="L259" i="71"/>
  <c r="H42" i="71" s="1"/>
  <c r="G42" i="71" s="1"/>
  <c r="N259" i="71"/>
  <c r="K42" i="71" s="1"/>
  <c r="J42" i="71" s="1"/>
  <c r="O204" i="71"/>
  <c r="O203" i="71"/>
  <c r="P203" i="71"/>
  <c r="P204" i="71"/>
  <c r="V226" i="71"/>
  <c r="H57" i="71" s="1"/>
  <c r="G57" i="71" s="1"/>
  <c r="X226" i="71"/>
  <c r="K57" i="71" s="1"/>
  <c r="J57" i="71" s="1"/>
  <c r="P193" i="71"/>
  <c r="O192" i="71"/>
  <c r="P192" i="71"/>
  <c r="O193" i="71"/>
  <c r="V221" i="71"/>
  <c r="H28" i="71" s="1"/>
  <c r="G28" i="71" s="1"/>
  <c r="X221" i="71"/>
  <c r="K28" i="71" s="1"/>
  <c r="J28" i="71" s="1"/>
  <c r="L250" i="71"/>
  <c r="K250" i="71"/>
  <c r="K251" i="71"/>
  <c r="L251" i="71"/>
  <c r="N261" i="71"/>
  <c r="K75" i="71" s="1"/>
  <c r="J75" i="71" s="1"/>
  <c r="L261" i="71"/>
  <c r="H75" i="71" s="1"/>
  <c r="G75" i="71" s="1"/>
  <c r="O187" i="71"/>
  <c r="O186" i="71"/>
  <c r="P186" i="71"/>
  <c r="P187" i="71"/>
  <c r="X218" i="71"/>
  <c r="K11" i="71" s="1"/>
  <c r="J11" i="71" s="1"/>
  <c r="V218" i="71"/>
  <c r="H11" i="71" s="1"/>
  <c r="G11" i="71" s="1"/>
  <c r="Q192" i="71" l="1"/>
  <c r="H26" i="71" s="1"/>
  <c r="G26" i="71" s="1"/>
  <c r="S192" i="71"/>
  <c r="K26" i="71" s="1"/>
  <c r="J26" i="71" s="1"/>
  <c r="S200" i="71"/>
  <c r="K51" i="71" s="1"/>
  <c r="J51" i="71" s="1"/>
  <c r="Q200" i="71"/>
  <c r="H51" i="71" s="1"/>
  <c r="G51" i="71" s="1"/>
  <c r="Q191" i="71"/>
  <c r="H16" i="71" s="1"/>
  <c r="G16" i="71" s="1"/>
  <c r="S191" i="71"/>
  <c r="K16" i="71" s="1"/>
  <c r="J16" i="71" s="1"/>
  <c r="S188" i="71"/>
  <c r="K12" i="71" s="1"/>
  <c r="J12" i="71" s="1"/>
  <c r="Q188" i="71"/>
  <c r="H12" i="71" s="1"/>
  <c r="G12" i="71" s="1"/>
  <c r="M237" i="71"/>
  <c r="K37" i="71" s="1"/>
  <c r="J37" i="71" s="1"/>
  <c r="K237" i="71"/>
  <c r="H37" i="71" s="1"/>
  <c r="G37" i="71" s="1"/>
  <c r="Q190" i="71"/>
  <c r="H15" i="71" s="1"/>
  <c r="G15" i="71" s="1"/>
  <c r="S190" i="71"/>
  <c r="K15" i="71" s="1"/>
  <c r="J15" i="71" s="1"/>
  <c r="Q201" i="71"/>
  <c r="H52" i="71" s="1"/>
  <c r="G52" i="71" s="1"/>
  <c r="S201" i="71"/>
  <c r="K52" i="71" s="1"/>
  <c r="J52" i="71" s="1"/>
  <c r="O248" i="71"/>
  <c r="K23" i="71" s="1"/>
  <c r="J23" i="71" s="1"/>
  <c r="M248" i="71"/>
  <c r="H23" i="71" s="1"/>
  <c r="G23" i="71" s="1"/>
  <c r="Q198" i="71"/>
  <c r="H35" i="71" s="1"/>
  <c r="G35" i="71" s="1"/>
  <c r="S198" i="71"/>
  <c r="K35" i="71" s="1"/>
  <c r="J35" i="71" s="1"/>
  <c r="S202" i="71"/>
  <c r="K53" i="71" s="1"/>
  <c r="J53" i="71" s="1"/>
  <c r="Q202" i="71"/>
  <c r="H53" i="71" s="1"/>
  <c r="G53" i="71" s="1"/>
  <c r="Q210" i="71"/>
  <c r="H65" i="71" s="1"/>
  <c r="G65" i="71" s="1"/>
  <c r="S210" i="71"/>
  <c r="K65" i="71" s="1"/>
  <c r="J65" i="71" s="1"/>
  <c r="Q193" i="71"/>
  <c r="H27" i="71" s="1"/>
  <c r="G27" i="71" s="1"/>
  <c r="S193" i="71"/>
  <c r="K27" i="71" s="1"/>
  <c r="J27" i="71" s="1"/>
  <c r="M235" i="71"/>
  <c r="K19" i="71" s="1"/>
  <c r="J19" i="71" s="1"/>
  <c r="K235" i="71"/>
  <c r="H19" i="71" s="1"/>
  <c r="G19" i="71" s="1"/>
  <c r="M247" i="71"/>
  <c r="H22" i="71" s="1"/>
  <c r="G22" i="71" s="1"/>
  <c r="O247" i="71"/>
  <c r="K22" i="71" s="1"/>
  <c r="J22" i="71" s="1"/>
  <c r="Q187" i="71"/>
  <c r="H10" i="71" s="1"/>
  <c r="G10" i="71" s="1"/>
  <c r="S187" i="71"/>
  <c r="K10" i="71" s="1"/>
  <c r="J10" i="71" s="1"/>
  <c r="Q189" i="71"/>
  <c r="H13" i="71" s="1"/>
  <c r="G13" i="71" s="1"/>
  <c r="S189" i="71"/>
  <c r="K13" i="71" s="1"/>
  <c r="J13" i="71" s="1"/>
  <c r="M238" i="71"/>
  <c r="K38" i="71" s="1"/>
  <c r="J38" i="71" s="1"/>
  <c r="K238" i="71"/>
  <c r="H38" i="71" s="1"/>
  <c r="G38" i="71" s="1"/>
  <c r="S203" i="71"/>
  <c r="K55" i="71" s="1"/>
  <c r="J55" i="71" s="1"/>
  <c r="Q203" i="71"/>
  <c r="H55" i="71" s="1"/>
  <c r="G55" i="71" s="1"/>
  <c r="M240" i="71"/>
  <c r="K69" i="71" s="1"/>
  <c r="J69" i="71" s="1"/>
  <c r="K240" i="71"/>
  <c r="H69" i="71" s="1"/>
  <c r="G69" i="71" s="1"/>
  <c r="S206" i="71"/>
  <c r="K59" i="71" s="1"/>
  <c r="J59" i="71" s="1"/>
  <c r="Q206" i="71"/>
  <c r="H59" i="71" s="1"/>
  <c r="G59" i="71" s="1"/>
  <c r="M251" i="71"/>
  <c r="H74" i="71" s="1"/>
  <c r="G74" i="71" s="1"/>
  <c r="O251" i="71"/>
  <c r="K74" i="71" s="1"/>
  <c r="J74" i="71" s="1"/>
  <c r="Q204" i="71"/>
  <c r="H56" i="71" s="1"/>
  <c r="G56" i="71" s="1"/>
  <c r="S204" i="71"/>
  <c r="K56" i="71" s="1"/>
  <c r="J56" i="71" s="1"/>
  <c r="Q184" i="71"/>
  <c r="H6" i="71" s="1"/>
  <c r="G6" i="71" s="1"/>
  <c r="S184" i="71"/>
  <c r="K6" i="71" s="1"/>
  <c r="J6" i="71" s="1"/>
  <c r="Q205" i="71"/>
  <c r="H58" i="71" s="1"/>
  <c r="G58" i="71" s="1"/>
  <c r="S205" i="71"/>
  <c r="K58" i="71" s="1"/>
  <c r="J58" i="71" s="1"/>
  <c r="M239" i="71"/>
  <c r="K39" i="71" s="1"/>
  <c r="J39" i="71" s="1"/>
  <c r="K239" i="71"/>
  <c r="H39" i="71" s="1"/>
  <c r="G39" i="71" s="1"/>
  <c r="Q194" i="71"/>
  <c r="H29" i="71" s="1"/>
  <c r="G29" i="71" s="1"/>
  <c r="S194" i="71"/>
  <c r="K29" i="71" s="1"/>
  <c r="J29" i="71" s="1"/>
  <c r="S185" i="71"/>
  <c r="K7" i="71" s="1"/>
  <c r="J7" i="71" s="1"/>
  <c r="Q185" i="71"/>
  <c r="H7" i="71" s="1"/>
  <c r="G7" i="71" s="1"/>
  <c r="S199" i="71"/>
  <c r="K50" i="71" s="1"/>
  <c r="J50" i="71" s="1"/>
  <c r="Q199" i="71"/>
  <c r="H50" i="71" s="1"/>
  <c r="G50" i="71" s="1"/>
  <c r="S212" i="71"/>
  <c r="K67" i="71" s="1"/>
  <c r="J67" i="71" s="1"/>
  <c r="Q212" i="71"/>
  <c r="H67" i="71" s="1"/>
  <c r="G67" i="71" s="1"/>
  <c r="M250" i="71"/>
  <c r="H73" i="71" s="1"/>
  <c r="G73" i="71" s="1"/>
  <c r="O250" i="71"/>
  <c r="K73" i="71" s="1"/>
  <c r="J73" i="71" s="1"/>
  <c r="Q208" i="71"/>
  <c r="H62" i="71" s="1"/>
  <c r="G62" i="71" s="1"/>
  <c r="S208" i="71"/>
  <c r="K62" i="71" s="1"/>
  <c r="J62" i="71" s="1"/>
  <c r="K234" i="71"/>
  <c r="H18" i="71" s="1"/>
  <c r="G18" i="71" s="1"/>
  <c r="M234" i="71"/>
  <c r="K18" i="71" s="1"/>
  <c r="J18" i="71" s="1"/>
  <c r="Q211" i="71"/>
  <c r="H66" i="71" s="1"/>
  <c r="G66" i="71" s="1"/>
  <c r="S211" i="71"/>
  <c r="K66" i="71" s="1"/>
  <c r="J66" i="71" s="1"/>
  <c r="Q186" i="71"/>
  <c r="H9" i="71" s="1"/>
  <c r="G9" i="71" s="1"/>
  <c r="S186" i="71"/>
  <c r="K9" i="71" s="1"/>
  <c r="J9" i="71" s="1"/>
  <c r="S195" i="71"/>
  <c r="K30" i="71" s="1"/>
  <c r="J30" i="71" s="1"/>
  <c r="Q195" i="71"/>
  <c r="H30" i="71" s="1"/>
  <c r="G30" i="71" s="1"/>
  <c r="K241" i="71"/>
  <c r="H70" i="71" s="1"/>
  <c r="G70" i="71" s="1"/>
  <c r="M241" i="71"/>
  <c r="K70" i="71" s="1"/>
  <c r="J70" i="71" s="1"/>
  <c r="Q197" i="71"/>
  <c r="H34" i="71" s="1"/>
  <c r="G34" i="71" s="1"/>
  <c r="S197" i="71"/>
  <c r="K34" i="71" s="1"/>
  <c r="J34" i="71" s="1"/>
  <c r="K236" i="71"/>
  <c r="H20" i="71" s="1"/>
  <c r="G20" i="71" s="1"/>
  <c r="M236" i="71"/>
  <c r="K20" i="71" s="1"/>
  <c r="J20" i="71" s="1"/>
  <c r="S209" i="71"/>
  <c r="K64" i="71" s="1"/>
  <c r="J64" i="71" s="1"/>
  <c r="Q209" i="71"/>
  <c r="H64" i="71" s="1"/>
  <c r="G64" i="71" s="1"/>
  <c r="M249" i="71"/>
  <c r="H41" i="71" s="1"/>
  <c r="G41" i="71" s="1"/>
  <c r="O249" i="71"/>
  <c r="K41" i="71" s="1"/>
  <c r="J41" i="71" s="1"/>
  <c r="K242" i="71"/>
  <c r="H71" i="71" s="1"/>
  <c r="G71" i="71" s="1"/>
  <c r="M242" i="71"/>
  <c r="K71" i="71" s="1"/>
  <c r="J71" i="71" s="1"/>
  <c r="Q207" i="71"/>
  <c r="H61" i="71" s="1"/>
  <c r="G61" i="71" s="1"/>
  <c r="S207" i="71"/>
  <c r="K61" i="71" s="1"/>
  <c r="J61" i="71" s="1"/>
  <c r="S196" i="71"/>
  <c r="K32" i="71" s="1"/>
  <c r="J32" i="71" s="1"/>
  <c r="Q196" i="71"/>
  <c r="H32" i="71" s="1"/>
  <c r="G32" i="71" s="1"/>
  <c r="H9" i="69" l="1"/>
  <c r="I9" i="69"/>
  <c r="H10" i="69"/>
  <c r="I10" i="69"/>
  <c r="H11" i="69"/>
  <c r="I11" i="69"/>
  <c r="H12" i="69"/>
  <c r="I12" i="69"/>
  <c r="H13" i="69"/>
  <c r="I13" i="69"/>
  <c r="N13" i="69"/>
  <c r="O13" i="69"/>
  <c r="H14" i="69"/>
  <c r="I14" i="69"/>
  <c r="N14" i="69"/>
  <c r="O14" i="69"/>
  <c r="H15" i="69"/>
  <c r="I15" i="69"/>
  <c r="N15" i="69"/>
  <c r="O15" i="69"/>
  <c r="I16" i="69"/>
  <c r="N16" i="69"/>
  <c r="O16" i="69"/>
  <c r="I17" i="69"/>
  <c r="N17" i="69"/>
  <c r="O17" i="69"/>
  <c r="I18" i="69"/>
  <c r="N18" i="69"/>
  <c r="O18" i="69"/>
  <c r="H22" i="69"/>
  <c r="I22" i="69"/>
  <c r="H23" i="69"/>
  <c r="I23" i="69"/>
  <c r="H24" i="69"/>
  <c r="I24" i="69"/>
  <c r="H25" i="69"/>
  <c r="I25" i="69"/>
  <c r="H26" i="69"/>
  <c r="I26" i="69"/>
  <c r="N26" i="69"/>
  <c r="O26" i="69"/>
  <c r="H27" i="69"/>
  <c r="I27" i="69"/>
  <c r="N27" i="69"/>
  <c r="O27" i="69"/>
  <c r="H28" i="69"/>
  <c r="I28" i="69"/>
  <c r="N28" i="69"/>
  <c r="O28" i="69"/>
  <c r="H29" i="69"/>
  <c r="I29" i="69"/>
  <c r="N29" i="69"/>
  <c r="O29" i="69"/>
  <c r="H30" i="69"/>
  <c r="I30" i="69"/>
  <c r="N30" i="69"/>
  <c r="O30" i="69"/>
  <c r="H31" i="69"/>
  <c r="I31" i="69"/>
  <c r="N31" i="69"/>
  <c r="O31" i="69"/>
  <c r="H32" i="69"/>
  <c r="I32" i="69"/>
  <c r="N32" i="69"/>
  <c r="O32" i="69"/>
  <c r="H33" i="69"/>
  <c r="I33" i="69"/>
  <c r="N33" i="69"/>
  <c r="O33" i="69"/>
  <c r="H34" i="69"/>
  <c r="N34" i="69"/>
  <c r="O34" i="69"/>
  <c r="H35" i="69"/>
  <c r="I35" i="69"/>
  <c r="H36" i="69"/>
  <c r="I36" i="69"/>
  <c r="H37" i="69"/>
  <c r="I37" i="69"/>
  <c r="H38" i="69"/>
  <c r="I38" i="69"/>
  <c r="H39" i="69"/>
  <c r="I39" i="69"/>
  <c r="N39" i="69"/>
  <c r="O39" i="69"/>
  <c r="H40" i="69"/>
  <c r="I40" i="69"/>
  <c r="N40" i="69"/>
  <c r="O40" i="69"/>
  <c r="H41" i="69"/>
  <c r="I41" i="69"/>
  <c r="N41" i="69"/>
  <c r="O41" i="69"/>
  <c r="H42" i="69"/>
  <c r="I42" i="69"/>
  <c r="N42" i="69"/>
  <c r="O42" i="69"/>
  <c r="H43" i="69"/>
  <c r="I43" i="69"/>
  <c r="N43" i="69"/>
  <c r="O43" i="69"/>
  <c r="H44" i="69"/>
  <c r="I44" i="69"/>
  <c r="N44" i="69"/>
  <c r="O44" i="69"/>
  <c r="H45" i="69"/>
  <c r="I45" i="69"/>
  <c r="N45" i="69"/>
  <c r="O45" i="69"/>
  <c r="H46" i="69"/>
  <c r="I46" i="69"/>
  <c r="N46" i="69"/>
  <c r="O46" i="69"/>
  <c r="H47" i="69"/>
  <c r="I47" i="69"/>
  <c r="N47" i="69"/>
  <c r="O47" i="69"/>
  <c r="H48" i="69"/>
  <c r="I48" i="69"/>
  <c r="H49" i="69"/>
  <c r="I49" i="69"/>
  <c r="H50" i="69"/>
  <c r="I50" i="69"/>
  <c r="H51" i="69"/>
  <c r="I51" i="69"/>
  <c r="H52" i="69"/>
  <c r="I52" i="69"/>
  <c r="H53" i="69"/>
  <c r="I53" i="69"/>
  <c r="H54" i="69"/>
  <c r="I54" i="69"/>
  <c r="N54" i="69"/>
  <c r="O54" i="69"/>
  <c r="H55" i="69"/>
  <c r="I55" i="69"/>
  <c r="N55" i="69"/>
  <c r="O55" i="69"/>
  <c r="H56" i="69"/>
  <c r="I56" i="69"/>
  <c r="N56" i="69"/>
  <c r="O56" i="69"/>
  <c r="H57" i="69"/>
  <c r="I57" i="69"/>
  <c r="N57" i="69"/>
  <c r="O57" i="69"/>
  <c r="H58" i="69"/>
  <c r="I58" i="69"/>
  <c r="N58" i="69"/>
  <c r="O58" i="69"/>
  <c r="H59" i="69"/>
  <c r="I59" i="69"/>
  <c r="N59" i="69"/>
  <c r="O59" i="69"/>
  <c r="H60" i="69"/>
  <c r="I60" i="69"/>
  <c r="N60" i="69"/>
  <c r="O60" i="69"/>
  <c r="F6" i="54" l="1"/>
  <c r="D7" i="54"/>
  <c r="G7" i="54"/>
  <c r="F7" i="54" s="1"/>
  <c r="D8" i="54"/>
  <c r="F8" i="54"/>
  <c r="G8" i="54"/>
  <c r="D9" i="54"/>
  <c r="F9" i="54"/>
  <c r="G9" i="54"/>
  <c r="D10" i="54"/>
  <c r="G10" i="54"/>
  <c r="F10" i="54" s="1"/>
  <c r="D11" i="54"/>
  <c r="F11" i="54"/>
  <c r="G11" i="54"/>
  <c r="F12" i="54"/>
  <c r="D13" i="54"/>
  <c r="G13" i="54"/>
  <c r="F13" i="54" s="1"/>
  <c r="D14" i="54"/>
  <c r="F14" i="54"/>
  <c r="G14" i="54"/>
  <c r="D15" i="54"/>
  <c r="F15" i="54"/>
  <c r="G15" i="54"/>
  <c r="D16" i="54"/>
  <c r="G16" i="54"/>
  <c r="F16" i="54" s="1"/>
  <c r="E19" i="54"/>
  <c r="G21" i="54" s="1"/>
  <c r="F20" i="54"/>
  <c r="D21" i="54"/>
  <c r="F21" i="54"/>
  <c r="D22" i="54"/>
  <c r="F22" i="54"/>
  <c r="G22" i="54"/>
  <c r="D23" i="54"/>
  <c r="F23" i="54"/>
  <c r="G23" i="54"/>
  <c r="D24" i="54"/>
  <c r="F24" i="54"/>
  <c r="G24" i="54"/>
  <c r="D25" i="54"/>
  <c r="F25" i="54"/>
  <c r="G25" i="54"/>
  <c r="F26" i="54"/>
  <c r="G26" i="54"/>
  <c r="D27" i="54"/>
  <c r="F27" i="54"/>
  <c r="G27" i="54"/>
  <c r="D28" i="54"/>
  <c r="F28" i="54"/>
  <c r="G28" i="54"/>
  <c r="D29" i="54"/>
  <c r="F29" i="54"/>
  <c r="G29" i="54"/>
  <c r="D30" i="54"/>
  <c r="F30" i="54"/>
  <c r="G30" i="54"/>
  <c r="D31" i="54"/>
  <c r="F31" i="54"/>
  <c r="G31" i="54"/>
  <c r="E34" i="54"/>
  <c r="G40" i="54" s="1"/>
  <c r="F35" i="54"/>
  <c r="D36" i="54"/>
  <c r="F36" i="54"/>
  <c r="D37" i="54"/>
  <c r="F37" i="54"/>
  <c r="D38" i="54"/>
  <c r="F38" i="54"/>
  <c r="D39" i="54"/>
  <c r="F39" i="54"/>
  <c r="D40" i="54"/>
  <c r="F40" i="54"/>
  <c r="F41" i="54"/>
  <c r="D42" i="54"/>
  <c r="F42" i="54"/>
  <c r="D43" i="54"/>
  <c r="F43" i="54"/>
  <c r="D44" i="54"/>
  <c r="F44" i="54"/>
  <c r="D45" i="54"/>
  <c r="F45" i="54"/>
  <c r="D46" i="54"/>
  <c r="F46" i="54"/>
  <c r="G20" i="54" l="1"/>
  <c r="G42" i="54"/>
  <c r="G39" i="54"/>
  <c r="G36" i="54"/>
  <c r="G37" i="54"/>
  <c r="G45" i="54"/>
  <c r="G44" i="54"/>
  <c r="G41" i="54"/>
  <c r="G38" i="54"/>
  <c r="G46" i="54"/>
  <c r="G35" i="54"/>
  <c r="G43" i="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6" authorId="0" shapeId="0" xr:uid="{00000000-0006-0000-0000-000001000000}">
      <text>
        <r>
          <rPr>
            <b/>
            <sz val="10"/>
            <color indexed="81"/>
            <rFont val="Tahoma"/>
            <family val="2"/>
          </rPr>
          <t>Author:</t>
        </r>
        <r>
          <rPr>
            <sz val="10"/>
            <color indexed="81"/>
            <rFont val="Tahoma"/>
            <family val="2"/>
          </rPr>
          <t xml:space="preserve">
Generator Data sheet, generator output as a function of inlet air temperature for 104F corrected for altitude. 7546' (.875)</t>
        </r>
      </text>
    </comment>
    <comment ref="D6" authorId="0" shapeId="0" xr:uid="{00000000-0006-0000-0000-000002000000}">
      <text>
        <r>
          <rPr>
            <b/>
            <sz val="10"/>
            <color indexed="81"/>
            <rFont val="Tahoma"/>
            <family val="2"/>
          </rPr>
          <t>Author:</t>
        </r>
        <r>
          <rPr>
            <sz val="10"/>
            <color indexed="81"/>
            <rFont val="Tahoma"/>
            <family val="2"/>
          </rPr>
          <t xml:space="preserve">
Info from Generator Data sheet, corrected for altitude.</t>
        </r>
      </text>
    </comment>
    <comment ref="E6" authorId="0" shapeId="0" xr:uid="{00000000-0006-0000-0000-000003000000}">
      <text>
        <r>
          <rPr>
            <b/>
            <sz val="10"/>
            <color indexed="81"/>
            <rFont val="Tahoma"/>
            <family val="2"/>
          </rPr>
          <t>Author:</t>
        </r>
        <r>
          <rPr>
            <sz val="10"/>
            <color indexed="81"/>
            <rFont val="Tahoma"/>
            <family val="2"/>
          </rPr>
          <t xml:space="preserve">
From Summer capability corrected for altitude. 104F corrected for altitude. 7546' (.875)</t>
        </r>
      </text>
    </comment>
    <comment ref="F6" authorId="0" shapeId="0" xr:uid="{00000000-0006-0000-0000-000004000000}">
      <text>
        <r>
          <rPr>
            <b/>
            <sz val="10"/>
            <color indexed="81"/>
            <rFont val="Tahoma"/>
            <family val="2"/>
          </rPr>
          <t>Author:</t>
        </r>
        <r>
          <rPr>
            <sz val="10"/>
            <color indexed="81"/>
            <rFont val="Tahoma"/>
            <family val="2"/>
          </rPr>
          <t xml:space="preserve">
See K14-76T-E5091</t>
        </r>
      </text>
    </comment>
    <comment ref="G6" authorId="0" shapeId="0" xr:uid="{00000000-0006-0000-0000-000005000000}">
      <text>
        <r>
          <rPr>
            <b/>
            <sz val="9"/>
            <color indexed="81"/>
            <rFont val="Tahoma"/>
            <family val="2"/>
          </rPr>
          <t>Author:</t>
        </r>
        <r>
          <rPr>
            <sz val="9"/>
            <color indexed="81"/>
            <rFont val="Tahoma"/>
            <family val="2"/>
          </rPr>
          <t xml:space="preserve">
Drawing 20-6.23 sh1
Unit Bus bars are 3" AL with 2X500Kcmil cable (insulated) connections. The connections will be the most limiting element. Value calculated from PLS CADD Model, absorbtivity and Emissivity of .97 used for black plastic insulation. reference file Alamosa U2 GSU Low Side Connection. Although insulated cable is used, the NEC allowable ampacity does not apply in this application)</t>
        </r>
      </text>
    </comment>
    <comment ref="J6" authorId="0" shapeId="0" xr:uid="{00000000-0006-0000-0000-000006000000}">
      <text>
        <r>
          <rPr>
            <b/>
            <sz val="10"/>
            <color indexed="81"/>
            <rFont val="Tahoma"/>
            <family val="2"/>
          </rPr>
          <t>Author:</t>
        </r>
        <r>
          <rPr>
            <sz val="10"/>
            <color indexed="81"/>
            <rFont val="Tahoma"/>
            <family val="2"/>
          </rPr>
          <t xml:space="preserve">
See nameplate picture</t>
        </r>
      </text>
    </comment>
    <comment ref="K6" authorId="0" shapeId="0" xr:uid="{00000000-0006-0000-0000-000007000000}">
      <text>
        <r>
          <rPr>
            <b/>
            <sz val="9"/>
            <color indexed="81"/>
            <rFont val="Tahoma"/>
            <family val="2"/>
          </rPr>
          <t>Author:</t>
        </r>
        <r>
          <rPr>
            <sz val="9"/>
            <color indexed="81"/>
            <rFont val="Tahoma"/>
            <family val="2"/>
          </rPr>
          <t xml:space="preserve">
See nameplate picture</t>
        </r>
      </text>
    </comment>
    <comment ref="L6" authorId="0" shapeId="0" xr:uid="{00000000-0006-0000-0000-000008000000}">
      <text>
        <r>
          <rPr>
            <b/>
            <sz val="10"/>
            <color indexed="81"/>
            <rFont val="Tahoma"/>
            <family val="2"/>
          </rPr>
          <t>Author:</t>
        </r>
        <r>
          <rPr>
            <sz val="10"/>
            <color indexed="81"/>
            <rFont val="Tahoma"/>
            <family val="2"/>
          </rPr>
          <t xml:space="preserve">
See nameplate picture</t>
        </r>
      </text>
    </comment>
    <comment ref="N6" authorId="0" shapeId="0" xr:uid="{00000000-0006-0000-0000-000009000000}">
      <text>
        <r>
          <rPr>
            <b/>
            <sz val="10"/>
            <color indexed="81"/>
            <rFont val="Tahoma"/>
            <family val="2"/>
          </rPr>
          <t>Author:</t>
        </r>
        <r>
          <rPr>
            <sz val="10"/>
            <color indexed="81"/>
            <rFont val="Tahoma"/>
            <family val="2"/>
          </rPr>
          <t xml:space="preserve">
See nameplate picture</t>
        </r>
      </text>
    </comment>
    <comment ref="O6" authorId="0" shapeId="0" xr:uid="{00000000-0006-0000-0000-00000A000000}">
      <text>
        <r>
          <rPr>
            <b/>
            <sz val="10"/>
            <color indexed="81"/>
            <rFont val="Tahoma"/>
            <family val="2"/>
          </rPr>
          <t>Author:</t>
        </r>
        <r>
          <rPr>
            <sz val="10"/>
            <color indexed="81"/>
            <rFont val="Tahoma"/>
            <family val="2"/>
          </rPr>
          <t xml:space="preserve">
See nameplate picture
KBS - Tapped at 400:5 (dwg 20-8.1 sh1)</t>
        </r>
      </text>
    </comment>
    <comment ref="Q6" authorId="0" shapeId="0" xr:uid="{00000000-0006-0000-0000-00000B000000}">
      <text>
        <r>
          <rPr>
            <b/>
            <sz val="10"/>
            <color indexed="81"/>
            <rFont val="Tahoma"/>
            <family val="2"/>
          </rPr>
          <t>Author:</t>
        </r>
        <r>
          <rPr>
            <sz val="10"/>
            <color indexed="81"/>
            <rFont val="Tahoma"/>
            <family val="2"/>
          </rPr>
          <t xml:space="preserve">
See K14-76T-E5091</t>
        </r>
      </text>
    </comment>
    <comment ref="R6" authorId="0" shapeId="0" xr:uid="{00000000-0006-0000-0000-00000C000000}">
      <text>
        <r>
          <rPr>
            <b/>
            <sz val="10"/>
            <color indexed="81"/>
            <rFont val="Tahoma"/>
            <family val="2"/>
          </rPr>
          <t>Author:</t>
        </r>
        <r>
          <rPr>
            <sz val="10"/>
            <color indexed="81"/>
            <rFont val="Tahoma"/>
            <family val="2"/>
          </rPr>
          <t xml:space="preserve">
See K14-76T-E5091</t>
        </r>
      </text>
    </comment>
    <comment ref="S6" authorId="0" shapeId="0" xr:uid="{00000000-0006-0000-0000-00000D000000}">
      <text>
        <r>
          <rPr>
            <b/>
            <sz val="9"/>
            <color indexed="81"/>
            <rFont val="Tahoma"/>
            <family val="2"/>
          </rPr>
          <t>Author:</t>
        </r>
        <r>
          <rPr>
            <sz val="9"/>
            <color indexed="81"/>
            <rFont val="Tahoma"/>
            <family val="2"/>
          </rPr>
          <t xml:space="preserve">
Tap 3
</t>
        </r>
      </text>
    </comment>
    <comment ref="T6" authorId="0" shapeId="0" xr:uid="{00000000-0006-0000-0000-00000E000000}">
      <text>
        <r>
          <rPr>
            <b/>
            <sz val="9"/>
            <color indexed="81"/>
            <rFont val="Tahoma"/>
            <family val="2"/>
          </rPr>
          <t>Author:</t>
        </r>
        <r>
          <rPr>
            <sz val="9"/>
            <color indexed="81"/>
            <rFont val="Tahoma"/>
            <family val="2"/>
          </rPr>
          <t xml:space="preserve">
Value from Subs Eng FAC-008-3 Spreadsheet.
Limiting Element: 795 ACSR Conductor</t>
        </r>
      </text>
    </comment>
    <comment ref="V6" authorId="0" shapeId="0" xr:uid="{00000000-0006-0000-0000-00000F000000}">
      <text>
        <r>
          <rPr>
            <b/>
            <sz val="9"/>
            <color indexed="81"/>
            <rFont val="Tahoma"/>
            <family val="2"/>
          </rPr>
          <t>Author:</t>
        </r>
        <r>
          <rPr>
            <sz val="9"/>
            <color indexed="81"/>
            <rFont val="Tahoma"/>
            <family val="2"/>
          </rPr>
          <t xml:space="preserve">
Nameplate rating is at 25MVA instead of the 28MVA for 65 degree rise, so a calculation is used</t>
        </r>
      </text>
    </comment>
    <comment ref="W6" authorId="0" shapeId="0" xr:uid="{00000000-0006-0000-0000-000010000000}">
      <text>
        <r>
          <rPr>
            <b/>
            <sz val="9"/>
            <color indexed="81"/>
            <rFont val="Tahoma"/>
            <family val="2"/>
          </rPr>
          <t>Brady Nunn:</t>
        </r>
        <r>
          <rPr>
            <sz val="9"/>
            <color indexed="81"/>
            <rFont val="Tahoma"/>
            <family val="2"/>
          </rPr>
          <t xml:space="preserve">
Verified from relay settings - 21 Zone 2 is set to PRC-025 criteria. HS 51 pickup value provided</t>
        </r>
      </text>
    </comment>
    <comment ref="Y6" authorId="0" shapeId="0" xr:uid="{00000000-0006-0000-0000-000011000000}">
      <text>
        <r>
          <rPr>
            <b/>
            <sz val="9"/>
            <color indexed="81"/>
            <rFont val="Tahoma"/>
            <family val="2"/>
          </rPr>
          <t>Author:</t>
        </r>
        <r>
          <rPr>
            <sz val="9"/>
            <color indexed="81"/>
            <rFont val="Tahoma"/>
            <family val="2"/>
          </rPr>
          <t xml:space="preserve">
Calculated, nameplate has lower transformer rating printed
</t>
        </r>
      </text>
    </comment>
    <comment ref="AC6" authorId="0" shapeId="0" xr:uid="{00000000-0006-0000-0000-000012000000}">
      <text>
        <r>
          <rPr>
            <b/>
            <sz val="10"/>
            <color indexed="81"/>
            <rFont val="Tahoma"/>
            <family val="2"/>
          </rPr>
          <t>Author:</t>
        </r>
        <r>
          <rPr>
            <sz val="10"/>
            <color indexed="81"/>
            <rFont val="Tahoma"/>
            <family val="2"/>
          </rPr>
          <t xml:space="preserve">
Info from Generator Data sheet, corrected for altitude.</t>
        </r>
      </text>
    </comment>
    <comment ref="AD6" authorId="0" shapeId="0" xr:uid="{00000000-0006-0000-0000-000013000000}">
      <text>
        <r>
          <rPr>
            <b/>
            <sz val="10"/>
            <color indexed="81"/>
            <rFont val="Tahoma"/>
            <family val="2"/>
          </rPr>
          <t>Author:</t>
        </r>
        <r>
          <rPr>
            <sz val="10"/>
            <color indexed="81"/>
            <rFont val="Tahoma"/>
            <family val="2"/>
          </rPr>
          <t xml:space="preserve">
See K14-76T-E5091</t>
        </r>
      </text>
    </comment>
    <comment ref="C7" authorId="0" shapeId="0" xr:uid="{00000000-0006-0000-0000-000014000000}">
      <text>
        <r>
          <rPr>
            <b/>
            <sz val="10"/>
            <color indexed="81"/>
            <rFont val="Tahoma"/>
            <family val="2"/>
          </rPr>
          <t>Author:</t>
        </r>
        <r>
          <rPr>
            <sz val="10"/>
            <color indexed="81"/>
            <rFont val="Tahoma"/>
            <family val="2"/>
          </rPr>
          <t xml:space="preserve">
Generator Data sheet, generator output as a function of inlet air temperature for 0F corrected for altitude. 7546' (.875) Winter rating taken from max value on D curve.</t>
        </r>
      </text>
    </comment>
    <comment ref="D7" authorId="0" shapeId="0" xr:uid="{00000000-0006-0000-0000-000015000000}">
      <text>
        <r>
          <rPr>
            <b/>
            <sz val="10"/>
            <color indexed="81"/>
            <rFont val="Tahoma"/>
            <family val="2"/>
          </rPr>
          <t>Author:</t>
        </r>
        <r>
          <rPr>
            <sz val="10"/>
            <color indexed="81"/>
            <rFont val="Tahoma"/>
            <family val="2"/>
          </rPr>
          <t xml:space="preserve">
Info from Generator Data sheet, corrected for altitude.</t>
        </r>
      </text>
    </comment>
    <comment ref="E7" authorId="0" shapeId="0" xr:uid="{00000000-0006-0000-0000-000016000000}">
      <text>
        <r>
          <rPr>
            <b/>
            <sz val="10"/>
            <color indexed="81"/>
            <rFont val="Tahoma"/>
            <family val="2"/>
          </rPr>
          <t>Author:</t>
        </r>
        <r>
          <rPr>
            <sz val="10"/>
            <color indexed="81"/>
            <rFont val="Tahoma"/>
            <family val="2"/>
          </rPr>
          <t xml:space="preserve">
Generator Data sheet, 0F corrected for altitude. 7546' (.875)</t>
        </r>
      </text>
    </comment>
    <comment ref="F7" authorId="0" shapeId="0" xr:uid="{00000000-0006-0000-0000-000017000000}">
      <text>
        <r>
          <rPr>
            <b/>
            <sz val="10"/>
            <color indexed="81"/>
            <rFont val="Tahoma"/>
            <family val="2"/>
          </rPr>
          <t>Author:</t>
        </r>
        <r>
          <rPr>
            <sz val="10"/>
            <color indexed="81"/>
            <rFont val="Tahoma"/>
            <family val="2"/>
          </rPr>
          <t xml:space="preserve">
See K14-76T-E5091</t>
        </r>
      </text>
    </comment>
    <comment ref="G7" authorId="0" shapeId="0" xr:uid="{00000000-0006-0000-0000-000018000000}">
      <text>
        <r>
          <rPr>
            <b/>
            <sz val="9"/>
            <color indexed="81"/>
            <rFont val="Tahoma"/>
            <family val="2"/>
          </rPr>
          <t>Author:
Drawing 20-6.23 sh1
Unit Bus bars are 3" AL with 2X500Kcmil cable (insulated) connections. The connections will be the most limiting element. Value calculated from PLS CADD Model, absorbtivity and Emissivity of .97 used for black plastic insulation. reference file Alamosa U2 GSU Low Side Connection. Although insulated cable is used, the NEC allowable ampacity does not apply in this application)</t>
        </r>
      </text>
    </comment>
    <comment ref="J7" authorId="0" shapeId="0" xr:uid="{00000000-0006-0000-0000-000019000000}">
      <text>
        <r>
          <rPr>
            <b/>
            <sz val="10"/>
            <color indexed="81"/>
            <rFont val="Tahoma"/>
            <family val="2"/>
          </rPr>
          <t>Author:</t>
        </r>
        <r>
          <rPr>
            <sz val="10"/>
            <color indexed="81"/>
            <rFont val="Tahoma"/>
            <family val="2"/>
          </rPr>
          <t xml:space="preserve">
See nameplate picture</t>
        </r>
      </text>
    </comment>
    <comment ref="K7" authorId="0" shapeId="0" xr:uid="{00000000-0006-0000-0000-00001A000000}">
      <text>
        <r>
          <rPr>
            <b/>
            <sz val="9"/>
            <color indexed="81"/>
            <rFont val="Tahoma"/>
            <family val="2"/>
          </rPr>
          <t>Author:</t>
        </r>
        <r>
          <rPr>
            <sz val="9"/>
            <color indexed="81"/>
            <rFont val="Tahoma"/>
            <family val="2"/>
          </rPr>
          <t xml:space="preserve">
See nameplate picture</t>
        </r>
      </text>
    </comment>
    <comment ref="L7" authorId="0" shapeId="0" xr:uid="{00000000-0006-0000-0000-00001B000000}">
      <text>
        <r>
          <rPr>
            <b/>
            <sz val="10"/>
            <color indexed="81"/>
            <rFont val="Tahoma"/>
            <family val="2"/>
          </rPr>
          <t>Author:</t>
        </r>
        <r>
          <rPr>
            <sz val="10"/>
            <color indexed="81"/>
            <rFont val="Tahoma"/>
            <family val="2"/>
          </rPr>
          <t xml:space="preserve">
See nameplate picture</t>
        </r>
      </text>
    </comment>
    <comment ref="N7" authorId="0" shapeId="0" xr:uid="{00000000-0006-0000-0000-00001C000000}">
      <text>
        <r>
          <rPr>
            <b/>
            <sz val="10"/>
            <color indexed="81"/>
            <rFont val="Tahoma"/>
            <family val="2"/>
          </rPr>
          <t>Author:</t>
        </r>
        <r>
          <rPr>
            <sz val="10"/>
            <color indexed="81"/>
            <rFont val="Tahoma"/>
            <family val="2"/>
          </rPr>
          <t xml:space="preserve">
See nameplate picture</t>
        </r>
      </text>
    </comment>
    <comment ref="O7" authorId="0" shapeId="0" xr:uid="{00000000-0006-0000-0000-00001D000000}">
      <text>
        <r>
          <rPr>
            <b/>
            <sz val="10"/>
            <color indexed="81"/>
            <rFont val="Tahoma"/>
            <family val="2"/>
          </rPr>
          <t>Author:</t>
        </r>
        <r>
          <rPr>
            <sz val="10"/>
            <color indexed="81"/>
            <rFont val="Tahoma"/>
            <family val="2"/>
          </rPr>
          <t xml:space="preserve">
See nameplate picture
KBS - Tapped at 400:5</t>
        </r>
      </text>
    </comment>
    <comment ref="Q7" authorId="0" shapeId="0" xr:uid="{00000000-0006-0000-0000-00001E000000}">
      <text>
        <r>
          <rPr>
            <b/>
            <sz val="10"/>
            <color indexed="81"/>
            <rFont val="Tahoma"/>
            <family val="2"/>
          </rPr>
          <t>Author:</t>
        </r>
        <r>
          <rPr>
            <sz val="10"/>
            <color indexed="81"/>
            <rFont val="Tahoma"/>
            <family val="2"/>
          </rPr>
          <t xml:space="preserve">
See K14-76T-E5091</t>
        </r>
      </text>
    </comment>
    <comment ref="R7" authorId="0" shapeId="0" xr:uid="{00000000-0006-0000-0000-00001F000000}">
      <text>
        <r>
          <rPr>
            <b/>
            <sz val="10"/>
            <color indexed="81"/>
            <rFont val="Tahoma"/>
            <family val="2"/>
          </rPr>
          <t>Author:</t>
        </r>
        <r>
          <rPr>
            <sz val="10"/>
            <color indexed="81"/>
            <rFont val="Tahoma"/>
            <family val="2"/>
          </rPr>
          <t xml:space="preserve">
See K14-76T-E5091</t>
        </r>
      </text>
    </comment>
    <comment ref="S7" authorId="0" shapeId="0" xr:uid="{00000000-0006-0000-0000-000020000000}">
      <text>
        <r>
          <rPr>
            <b/>
            <sz val="9"/>
            <color indexed="81"/>
            <rFont val="Tahoma"/>
            <family val="2"/>
          </rPr>
          <t>Author:</t>
        </r>
        <r>
          <rPr>
            <sz val="9"/>
            <color indexed="81"/>
            <rFont val="Tahoma"/>
            <family val="2"/>
          </rPr>
          <t xml:space="preserve">
Tap 3</t>
        </r>
      </text>
    </comment>
    <comment ref="T7" authorId="0" shapeId="0" xr:uid="{00000000-0006-0000-0000-000021000000}">
      <text>
        <r>
          <rPr>
            <b/>
            <sz val="9"/>
            <color indexed="81"/>
            <rFont val="Tahoma"/>
            <family val="2"/>
          </rPr>
          <t>Author:</t>
        </r>
        <r>
          <rPr>
            <sz val="9"/>
            <color indexed="81"/>
            <rFont val="Tahoma"/>
            <family val="2"/>
          </rPr>
          <t xml:space="preserve">
Value from Subs Eng FAC-008-3 Spreadsheet.
Limiting Element: 795 ACSR Conductor</t>
        </r>
      </text>
    </comment>
    <comment ref="V7" authorId="0" shapeId="0" xr:uid="{00000000-0006-0000-0000-000022000000}">
      <text>
        <r>
          <rPr>
            <b/>
            <sz val="9"/>
            <color indexed="81"/>
            <rFont val="Tahoma"/>
            <family val="2"/>
          </rPr>
          <t>Author:</t>
        </r>
        <r>
          <rPr>
            <sz val="9"/>
            <color indexed="81"/>
            <rFont val="Tahoma"/>
            <family val="2"/>
          </rPr>
          <t xml:space="preserve">
Nameplate rating is at 25MVA so a calculation is used</t>
        </r>
      </text>
    </comment>
    <comment ref="W7" authorId="0" shapeId="0" xr:uid="{00000000-0006-0000-0000-000023000000}">
      <text>
        <r>
          <rPr>
            <b/>
            <sz val="9"/>
            <color indexed="81"/>
            <rFont val="Tahoma"/>
            <family val="2"/>
          </rPr>
          <t xml:space="preserve">Brady Nunn:
</t>
        </r>
        <r>
          <rPr>
            <sz val="9"/>
            <color indexed="81"/>
            <rFont val="Tahoma"/>
            <family val="2"/>
          </rPr>
          <t>Verified from relay settings - 21 Zone 2 is set to PRC-025 criteria. HS 51 pickup value provided</t>
        </r>
      </text>
    </comment>
    <comment ref="Y7" authorId="0" shapeId="0" xr:uid="{00000000-0006-0000-0000-000024000000}">
      <text>
        <r>
          <rPr>
            <b/>
            <sz val="9"/>
            <color indexed="81"/>
            <rFont val="Tahoma"/>
            <family val="2"/>
          </rPr>
          <t>Author:</t>
        </r>
        <r>
          <rPr>
            <sz val="9"/>
            <color indexed="81"/>
            <rFont val="Tahoma"/>
            <family val="2"/>
          </rPr>
          <t xml:space="preserve">
Calculated, nameplate has lower transformer rating printed</t>
        </r>
      </text>
    </comment>
    <comment ref="AC7" authorId="0" shapeId="0" xr:uid="{00000000-0006-0000-0000-000025000000}">
      <text>
        <r>
          <rPr>
            <b/>
            <sz val="10"/>
            <color indexed="81"/>
            <rFont val="Tahoma"/>
            <family val="2"/>
          </rPr>
          <t>Author:</t>
        </r>
        <r>
          <rPr>
            <sz val="10"/>
            <color indexed="81"/>
            <rFont val="Tahoma"/>
            <family val="2"/>
          </rPr>
          <t xml:space="preserve">
Info from Generator Data sheet, corrected for altitude.</t>
        </r>
      </text>
    </comment>
    <comment ref="AD7" authorId="0" shapeId="0" xr:uid="{00000000-0006-0000-0000-000026000000}">
      <text>
        <r>
          <rPr>
            <b/>
            <sz val="10"/>
            <color indexed="81"/>
            <rFont val="Tahoma"/>
            <family val="2"/>
          </rPr>
          <t>Author:</t>
        </r>
        <r>
          <rPr>
            <sz val="10"/>
            <color indexed="81"/>
            <rFont val="Tahoma"/>
            <family val="2"/>
          </rPr>
          <t xml:space="preserve">
See K14-76T-E5091</t>
        </r>
      </text>
    </comment>
    <comment ref="C8" authorId="0" shapeId="0" xr:uid="{00000000-0006-0000-0000-000027000000}">
      <text>
        <r>
          <rPr>
            <b/>
            <sz val="10"/>
            <color indexed="81"/>
            <rFont val="Tahoma"/>
            <family val="2"/>
          </rPr>
          <t>Author:</t>
        </r>
        <r>
          <rPr>
            <sz val="10"/>
            <color indexed="81"/>
            <rFont val="Tahoma"/>
            <family val="2"/>
          </rPr>
          <t xml:space="preserve">
See BS 1 Gen Nameplate</t>
        </r>
      </text>
    </comment>
    <comment ref="D8" authorId="0" shapeId="0" xr:uid="{00000000-0006-0000-0000-000028000000}">
      <text>
        <r>
          <rPr>
            <b/>
            <sz val="10"/>
            <color indexed="81"/>
            <rFont val="Tahoma"/>
            <family val="2"/>
          </rPr>
          <t>Author:</t>
        </r>
        <r>
          <rPr>
            <sz val="10"/>
            <color indexed="81"/>
            <rFont val="Tahoma"/>
            <family val="2"/>
          </rPr>
          <t xml:space="preserve">
See BS 1 Gen Nameplate</t>
        </r>
      </text>
    </comment>
    <comment ref="E8" authorId="0" shapeId="0" xr:uid="{00000000-0006-0000-0000-000029000000}">
      <text>
        <r>
          <rPr>
            <b/>
            <sz val="10"/>
            <color indexed="81"/>
            <rFont val="Tahoma"/>
            <family val="2"/>
          </rPr>
          <t>Author:</t>
        </r>
        <r>
          <rPr>
            <sz val="10"/>
            <color indexed="81"/>
            <rFont val="Tahoma"/>
            <family val="2"/>
          </rPr>
          <t xml:space="preserve">
See BS 1 Gen Nameplate</t>
        </r>
      </text>
    </comment>
    <comment ref="F8" authorId="0" shapeId="0" xr:uid="{00000000-0006-0000-0000-00002A000000}">
      <text>
        <r>
          <rPr>
            <b/>
            <sz val="10"/>
            <color indexed="81"/>
            <rFont val="Tahoma"/>
            <family val="2"/>
          </rPr>
          <t>Author:</t>
        </r>
        <r>
          <rPr>
            <sz val="10"/>
            <color indexed="81"/>
            <rFont val="Tahoma"/>
            <family val="2"/>
          </rPr>
          <t xml:space="preserve">
See 207D1578</t>
        </r>
      </text>
    </comment>
    <comment ref="G8" authorId="0" shapeId="0" xr:uid="{00000000-0006-0000-0000-00002B000000}">
      <text>
        <r>
          <rPr>
            <b/>
            <sz val="10"/>
            <color indexed="81"/>
            <rFont val="Tahoma"/>
            <family val="2"/>
          </rPr>
          <t>Author:</t>
        </r>
        <r>
          <rPr>
            <sz val="10"/>
            <color indexed="81"/>
            <rFont val="Tahoma"/>
            <family val="2"/>
          </rPr>
          <t xml:space="preserve">
See E150</t>
        </r>
      </text>
    </comment>
    <comment ref="J8" authorId="0" shapeId="0" xr:uid="{00000000-0006-0000-0000-00002C000000}">
      <text>
        <r>
          <rPr>
            <b/>
            <sz val="10"/>
            <color indexed="81"/>
            <rFont val="Tahoma"/>
            <family val="2"/>
          </rPr>
          <t>Author:</t>
        </r>
        <r>
          <rPr>
            <sz val="10"/>
            <color indexed="81"/>
            <rFont val="Tahoma"/>
            <family val="2"/>
          </rPr>
          <t xml:space="preserve">
See nameplate picture</t>
        </r>
      </text>
    </comment>
    <comment ref="L8" authorId="0" shapeId="0" xr:uid="{00000000-0006-0000-0000-00002D000000}">
      <text>
        <r>
          <rPr>
            <b/>
            <sz val="10"/>
            <color indexed="81"/>
            <rFont val="Tahoma"/>
            <family val="2"/>
          </rPr>
          <t>Author:</t>
        </r>
        <r>
          <rPr>
            <sz val="10"/>
            <color indexed="81"/>
            <rFont val="Tahoma"/>
            <family val="2"/>
          </rPr>
          <t xml:space="preserve">
See nameplate picture</t>
        </r>
      </text>
    </comment>
    <comment ref="N8" authorId="0" shapeId="0" xr:uid="{00000000-0006-0000-0000-00002E000000}">
      <text>
        <r>
          <rPr>
            <b/>
            <sz val="10"/>
            <color indexed="81"/>
            <rFont val="Tahoma"/>
            <family val="2"/>
          </rPr>
          <t>Author:</t>
        </r>
        <r>
          <rPr>
            <sz val="10"/>
            <color indexed="81"/>
            <rFont val="Tahoma"/>
            <family val="2"/>
          </rPr>
          <t xml:space="preserve">
See nameplate picture</t>
        </r>
      </text>
    </comment>
    <comment ref="O8" authorId="0" shapeId="0" xr:uid="{00000000-0006-0000-0000-00002F000000}">
      <text>
        <r>
          <rPr>
            <b/>
            <sz val="10"/>
            <color indexed="81"/>
            <rFont val="Tahoma"/>
            <family val="2"/>
          </rPr>
          <t>Author:</t>
        </r>
        <r>
          <rPr>
            <sz val="10"/>
            <color indexed="81"/>
            <rFont val="Tahoma"/>
            <family val="2"/>
          </rPr>
          <t xml:space="preserve">
See nameplate picture</t>
        </r>
      </text>
    </comment>
    <comment ref="S8" authorId="0" shapeId="0" xr:uid="{00000000-0006-0000-0000-000030000000}">
      <text>
        <r>
          <rPr>
            <b/>
            <sz val="9"/>
            <color indexed="81"/>
            <rFont val="Tahoma"/>
            <family val="2"/>
          </rPr>
          <t>Author:</t>
        </r>
        <r>
          <rPr>
            <sz val="9"/>
            <color indexed="81"/>
            <rFont val="Tahoma"/>
            <family val="2"/>
          </rPr>
          <t xml:space="preserve">
Tap 3</t>
        </r>
      </text>
    </comment>
    <comment ref="T8" authorId="0" shapeId="0" xr:uid="{00000000-0006-0000-0000-000031000000}">
      <text>
        <r>
          <rPr>
            <b/>
            <sz val="9"/>
            <color indexed="81"/>
            <rFont val="Tahoma"/>
            <family val="2"/>
          </rPr>
          <t>Author:</t>
        </r>
        <r>
          <rPr>
            <sz val="9"/>
            <color indexed="81"/>
            <rFont val="Tahoma"/>
            <family val="2"/>
          </rPr>
          <t xml:space="preserve">
See sheet 2</t>
        </r>
      </text>
    </comment>
    <comment ref="V8" authorId="0" shapeId="0" xr:uid="{00000000-0006-0000-0000-000032000000}">
      <text>
        <r>
          <rPr>
            <b/>
            <sz val="9"/>
            <color indexed="81"/>
            <rFont val="Tahoma"/>
            <family val="2"/>
          </rPr>
          <t>Author:</t>
        </r>
        <r>
          <rPr>
            <sz val="9"/>
            <color indexed="81"/>
            <rFont val="Tahoma"/>
            <family val="2"/>
          </rPr>
          <t xml:space="preserve">
GSU Nameplate</t>
        </r>
      </text>
    </comment>
    <comment ref="W8" authorId="0" shapeId="0" xr:uid="{00000000-0006-0000-0000-000033000000}">
      <text>
        <r>
          <rPr>
            <b/>
            <sz val="9"/>
            <color indexed="81"/>
            <rFont val="Tahoma"/>
            <family val="2"/>
          </rPr>
          <t>Author:</t>
        </r>
        <r>
          <rPr>
            <sz val="9"/>
            <color indexed="81"/>
            <rFont val="Tahoma"/>
            <family val="2"/>
          </rPr>
          <t xml:space="preserve">
50 Relay setting set at 13A on 230kV 1200:5 CT = 3120A Primary =40872A Secondary. 
51 function is set to 4.5 Amps on 230kV 1200:5 = 1080A Primary = 14148A Secondary. 
21 function has been evaluated to PRC-025.  </t>
        </r>
      </text>
    </comment>
    <comment ref="Y8" authorId="0" shapeId="0" xr:uid="{00000000-0006-0000-0000-000034000000}">
      <text>
        <r>
          <rPr>
            <b/>
            <sz val="9"/>
            <color indexed="81"/>
            <rFont val="Tahoma"/>
            <family val="2"/>
          </rPr>
          <t>Author:</t>
        </r>
        <r>
          <rPr>
            <sz val="9"/>
            <color indexed="81"/>
            <rFont val="Tahoma"/>
            <family val="2"/>
          </rPr>
          <t xml:space="preserve">
GSU Nameplate</t>
        </r>
      </text>
    </comment>
    <comment ref="AC8" authorId="0" shapeId="0" xr:uid="{00000000-0006-0000-0000-000035000000}">
      <text>
        <r>
          <rPr>
            <b/>
            <sz val="10"/>
            <color indexed="81"/>
            <rFont val="Tahoma"/>
            <family val="2"/>
          </rPr>
          <t>Author:</t>
        </r>
        <r>
          <rPr>
            <sz val="10"/>
            <color indexed="81"/>
            <rFont val="Tahoma"/>
            <family val="2"/>
          </rPr>
          <t xml:space="preserve">
Info from Generator Data sheet, corrected for altitude.</t>
        </r>
      </text>
    </comment>
    <comment ref="AD8" authorId="0" shapeId="0" xr:uid="{00000000-0006-0000-0000-000036000000}">
      <text>
        <r>
          <rPr>
            <b/>
            <sz val="10"/>
            <color indexed="81"/>
            <rFont val="Tahoma"/>
            <family val="2"/>
          </rPr>
          <t>Author:</t>
        </r>
        <r>
          <rPr>
            <sz val="10"/>
            <color indexed="81"/>
            <rFont val="Tahoma"/>
            <family val="2"/>
          </rPr>
          <t xml:space="preserve">
See K14-76T-E5091</t>
        </r>
      </text>
    </comment>
    <comment ref="C9" authorId="0" shapeId="0" xr:uid="{00000000-0006-0000-0000-000037000000}">
      <text>
        <r>
          <rPr>
            <b/>
            <sz val="10"/>
            <color indexed="81"/>
            <rFont val="Tahoma"/>
            <family val="2"/>
          </rPr>
          <t>Author:</t>
        </r>
        <r>
          <rPr>
            <sz val="10"/>
            <color indexed="81"/>
            <rFont val="Tahoma"/>
            <family val="2"/>
          </rPr>
          <t xml:space="preserve">
See BS 1 Gen Nameplate</t>
        </r>
      </text>
    </comment>
    <comment ref="D9" authorId="0" shapeId="0" xr:uid="{00000000-0006-0000-0000-000038000000}">
      <text>
        <r>
          <rPr>
            <b/>
            <sz val="10"/>
            <color indexed="81"/>
            <rFont val="Tahoma"/>
            <family val="2"/>
          </rPr>
          <t>Author:</t>
        </r>
        <r>
          <rPr>
            <sz val="10"/>
            <color indexed="81"/>
            <rFont val="Tahoma"/>
            <family val="2"/>
          </rPr>
          <t xml:space="preserve">
See BS 1 Gen Nameplate</t>
        </r>
      </text>
    </comment>
    <comment ref="E9" authorId="0" shapeId="0" xr:uid="{00000000-0006-0000-0000-000039000000}">
      <text>
        <r>
          <rPr>
            <b/>
            <sz val="10"/>
            <color indexed="81"/>
            <rFont val="Tahoma"/>
            <family val="2"/>
          </rPr>
          <t>Author:</t>
        </r>
        <r>
          <rPr>
            <sz val="10"/>
            <color indexed="81"/>
            <rFont val="Tahoma"/>
            <family val="2"/>
          </rPr>
          <t xml:space="preserve">
See BS 1 Gen Nameplate</t>
        </r>
      </text>
    </comment>
    <comment ref="F9" authorId="0" shapeId="0" xr:uid="{00000000-0006-0000-0000-00003A000000}">
      <text>
        <r>
          <rPr>
            <b/>
            <sz val="10"/>
            <color indexed="81"/>
            <rFont val="Tahoma"/>
            <family val="2"/>
          </rPr>
          <t>Author:</t>
        </r>
        <r>
          <rPr>
            <sz val="10"/>
            <color indexed="81"/>
            <rFont val="Tahoma"/>
            <family val="2"/>
          </rPr>
          <t xml:space="preserve">
See 207D1578</t>
        </r>
      </text>
    </comment>
    <comment ref="G9" authorId="0" shapeId="0" xr:uid="{00000000-0006-0000-0000-00003B000000}">
      <text>
        <r>
          <rPr>
            <b/>
            <sz val="10"/>
            <color indexed="81"/>
            <rFont val="Tahoma"/>
            <family val="2"/>
          </rPr>
          <t>Author:</t>
        </r>
        <r>
          <rPr>
            <sz val="10"/>
            <color indexed="81"/>
            <rFont val="Tahoma"/>
            <family val="2"/>
          </rPr>
          <t xml:space="preserve">
See E150</t>
        </r>
      </text>
    </comment>
    <comment ref="J9" authorId="0" shapeId="0" xr:uid="{00000000-0006-0000-0000-00003C000000}">
      <text>
        <r>
          <rPr>
            <b/>
            <sz val="10"/>
            <color indexed="81"/>
            <rFont val="Tahoma"/>
            <family val="2"/>
          </rPr>
          <t>Author:</t>
        </r>
        <r>
          <rPr>
            <sz val="10"/>
            <color indexed="81"/>
            <rFont val="Tahoma"/>
            <family val="2"/>
          </rPr>
          <t xml:space="preserve">
See nameplate picture</t>
        </r>
      </text>
    </comment>
    <comment ref="L9" authorId="0" shapeId="0" xr:uid="{00000000-0006-0000-0000-00003D000000}">
      <text>
        <r>
          <rPr>
            <b/>
            <sz val="10"/>
            <color indexed="81"/>
            <rFont val="Tahoma"/>
            <family val="2"/>
          </rPr>
          <t>Author:</t>
        </r>
        <r>
          <rPr>
            <sz val="10"/>
            <color indexed="81"/>
            <rFont val="Tahoma"/>
            <family val="2"/>
          </rPr>
          <t xml:space="preserve">
See nameplate picture</t>
        </r>
      </text>
    </comment>
    <comment ref="N9" authorId="0" shapeId="0" xr:uid="{00000000-0006-0000-0000-00003E000000}">
      <text>
        <r>
          <rPr>
            <b/>
            <sz val="10"/>
            <color indexed="81"/>
            <rFont val="Tahoma"/>
            <family val="2"/>
          </rPr>
          <t>Author:</t>
        </r>
        <r>
          <rPr>
            <sz val="10"/>
            <color indexed="81"/>
            <rFont val="Tahoma"/>
            <family val="2"/>
          </rPr>
          <t xml:space="preserve">
See nameplate picture</t>
        </r>
      </text>
    </comment>
    <comment ref="O9" authorId="0" shapeId="0" xr:uid="{00000000-0006-0000-0000-00003F000000}">
      <text>
        <r>
          <rPr>
            <b/>
            <sz val="10"/>
            <color indexed="81"/>
            <rFont val="Tahoma"/>
            <family val="2"/>
          </rPr>
          <t>Author:</t>
        </r>
        <r>
          <rPr>
            <sz val="10"/>
            <color indexed="81"/>
            <rFont val="Tahoma"/>
            <family val="2"/>
          </rPr>
          <t xml:space="preserve">
See nameplate picture</t>
        </r>
      </text>
    </comment>
    <comment ref="S9" authorId="0" shapeId="0" xr:uid="{00000000-0006-0000-0000-000040000000}">
      <text>
        <r>
          <rPr>
            <b/>
            <sz val="9"/>
            <color indexed="81"/>
            <rFont val="Tahoma"/>
            <family val="2"/>
          </rPr>
          <t>Author:</t>
        </r>
        <r>
          <rPr>
            <sz val="9"/>
            <color indexed="81"/>
            <rFont val="Tahoma"/>
            <family val="2"/>
          </rPr>
          <t xml:space="preserve">
Tap 3</t>
        </r>
      </text>
    </comment>
    <comment ref="T9" authorId="0" shapeId="0" xr:uid="{00000000-0006-0000-0000-000041000000}">
      <text>
        <r>
          <rPr>
            <b/>
            <sz val="9"/>
            <color indexed="81"/>
            <rFont val="Tahoma"/>
            <family val="2"/>
          </rPr>
          <t>Author:</t>
        </r>
        <r>
          <rPr>
            <sz val="9"/>
            <color indexed="81"/>
            <rFont val="Tahoma"/>
            <family val="2"/>
          </rPr>
          <t xml:space="preserve">
See sheet 2</t>
        </r>
      </text>
    </comment>
    <comment ref="V9" authorId="0" shapeId="0" xr:uid="{00000000-0006-0000-0000-000042000000}">
      <text>
        <r>
          <rPr>
            <b/>
            <sz val="9"/>
            <color indexed="81"/>
            <rFont val="Tahoma"/>
            <family val="2"/>
          </rPr>
          <t>Author:</t>
        </r>
        <r>
          <rPr>
            <sz val="9"/>
            <color indexed="81"/>
            <rFont val="Tahoma"/>
            <family val="2"/>
          </rPr>
          <t xml:space="preserve">
GSU Nameplate</t>
        </r>
      </text>
    </comment>
    <comment ref="W9" authorId="0" shapeId="0" xr:uid="{00000000-0006-0000-0000-000043000000}">
      <text>
        <r>
          <rPr>
            <b/>
            <sz val="9"/>
            <color indexed="81"/>
            <rFont val="Tahoma"/>
            <family val="2"/>
          </rPr>
          <t>Author:</t>
        </r>
        <r>
          <rPr>
            <sz val="9"/>
            <color indexed="81"/>
            <rFont val="Tahoma"/>
            <family val="2"/>
          </rPr>
          <t xml:space="preserve">
50 Relay setting set at 13A on 230kV 1200:5 CT = 3120A Primary =40872A Secondary. 
51 function is set to 4.5 Amps on 230kV 1200:5 = 1080A Primary = 14148A Secondary. 
21 function has been evaluated to PRC-025.  </t>
        </r>
      </text>
    </comment>
    <comment ref="Y9" authorId="0" shapeId="0" xr:uid="{00000000-0006-0000-0000-000044000000}">
      <text>
        <r>
          <rPr>
            <b/>
            <sz val="9"/>
            <color indexed="81"/>
            <rFont val="Tahoma"/>
            <family val="2"/>
          </rPr>
          <t>Author:</t>
        </r>
        <r>
          <rPr>
            <sz val="9"/>
            <color indexed="81"/>
            <rFont val="Tahoma"/>
            <family val="2"/>
          </rPr>
          <t xml:space="preserve">
GSU Nameplate</t>
        </r>
      </text>
    </comment>
    <comment ref="AC9" authorId="0" shapeId="0" xr:uid="{00000000-0006-0000-0000-000045000000}">
      <text>
        <r>
          <rPr>
            <b/>
            <sz val="10"/>
            <color indexed="81"/>
            <rFont val="Tahoma"/>
            <family val="2"/>
          </rPr>
          <t>Author:</t>
        </r>
        <r>
          <rPr>
            <sz val="10"/>
            <color indexed="81"/>
            <rFont val="Tahoma"/>
            <family val="2"/>
          </rPr>
          <t xml:space="preserve">
Info from Generator Data sheet, corrected for altitude.</t>
        </r>
      </text>
    </comment>
    <comment ref="AD9" authorId="0" shapeId="0" xr:uid="{00000000-0006-0000-0000-000046000000}">
      <text>
        <r>
          <rPr>
            <b/>
            <sz val="10"/>
            <color indexed="81"/>
            <rFont val="Tahoma"/>
            <family val="2"/>
          </rPr>
          <t>Author:</t>
        </r>
        <r>
          <rPr>
            <sz val="10"/>
            <color indexed="81"/>
            <rFont val="Tahoma"/>
            <family val="2"/>
          </rPr>
          <t xml:space="preserve">
See K14-76T-E5091</t>
        </r>
      </text>
    </comment>
    <comment ref="C10" authorId="0" shapeId="0" xr:uid="{00000000-0006-0000-0000-000047000000}">
      <text>
        <r>
          <rPr>
            <b/>
            <sz val="10"/>
            <color indexed="81"/>
            <rFont val="Tahoma"/>
            <family val="2"/>
          </rPr>
          <t>Author:</t>
        </r>
        <r>
          <rPr>
            <sz val="10"/>
            <color indexed="81"/>
            <rFont val="Tahoma"/>
            <family val="2"/>
          </rPr>
          <t xml:space="preserve">
See BS 2 Gen namplate</t>
        </r>
      </text>
    </comment>
    <comment ref="D10" authorId="0" shapeId="0" xr:uid="{00000000-0006-0000-0000-000048000000}">
      <text>
        <r>
          <rPr>
            <b/>
            <sz val="10"/>
            <color indexed="81"/>
            <rFont val="Tahoma"/>
            <family val="2"/>
          </rPr>
          <t>Author:</t>
        </r>
        <r>
          <rPr>
            <sz val="10"/>
            <color indexed="81"/>
            <rFont val="Tahoma"/>
            <family val="2"/>
          </rPr>
          <t xml:space="preserve">
See BS 2 Gen namplate</t>
        </r>
      </text>
    </comment>
    <comment ref="E10" authorId="0" shapeId="0" xr:uid="{00000000-0006-0000-0000-000049000000}">
      <text>
        <r>
          <rPr>
            <b/>
            <sz val="10"/>
            <color indexed="81"/>
            <rFont val="Tahoma"/>
            <family val="2"/>
          </rPr>
          <t>Author:</t>
        </r>
        <r>
          <rPr>
            <sz val="10"/>
            <color indexed="81"/>
            <rFont val="Tahoma"/>
            <family val="2"/>
          </rPr>
          <t xml:space="preserve">
See BS 2 Gen namplate</t>
        </r>
      </text>
    </comment>
    <comment ref="F10" authorId="0" shapeId="0" xr:uid="{00000000-0006-0000-0000-00004A000000}">
      <text>
        <r>
          <rPr>
            <b/>
            <sz val="10"/>
            <color indexed="81"/>
            <rFont val="Tahoma"/>
            <family val="2"/>
          </rPr>
          <t>Author:</t>
        </r>
        <r>
          <rPr>
            <sz val="10"/>
            <color indexed="81"/>
            <rFont val="Tahoma"/>
            <family val="2"/>
          </rPr>
          <t xml:space="preserve">
See 207D1578</t>
        </r>
      </text>
    </comment>
    <comment ref="G10" authorId="0" shapeId="0" xr:uid="{00000000-0006-0000-0000-00004B000000}">
      <text>
        <r>
          <rPr>
            <b/>
            <sz val="10"/>
            <color indexed="81"/>
            <rFont val="Tahoma"/>
            <family val="2"/>
          </rPr>
          <t>Author:</t>
        </r>
        <r>
          <rPr>
            <sz val="10"/>
            <color indexed="81"/>
            <rFont val="Tahoma"/>
            <family val="2"/>
          </rPr>
          <t xml:space="preserve">
See E150</t>
        </r>
      </text>
    </comment>
    <comment ref="J10" authorId="0" shapeId="0" xr:uid="{00000000-0006-0000-0000-00004C000000}">
      <text>
        <r>
          <rPr>
            <b/>
            <sz val="10"/>
            <color indexed="81"/>
            <rFont val="Tahoma"/>
            <family val="2"/>
          </rPr>
          <t>Author:</t>
        </r>
        <r>
          <rPr>
            <sz val="10"/>
            <color indexed="81"/>
            <rFont val="Tahoma"/>
            <family val="2"/>
          </rPr>
          <t xml:space="preserve">
See nameplate picture</t>
        </r>
      </text>
    </comment>
    <comment ref="L10" authorId="0" shapeId="0" xr:uid="{00000000-0006-0000-0000-00004D000000}">
      <text>
        <r>
          <rPr>
            <b/>
            <sz val="10"/>
            <color indexed="81"/>
            <rFont val="Tahoma"/>
            <family val="2"/>
          </rPr>
          <t>Author:</t>
        </r>
        <r>
          <rPr>
            <sz val="10"/>
            <color indexed="81"/>
            <rFont val="Tahoma"/>
            <family val="2"/>
          </rPr>
          <t xml:space="preserve">
See nameplate picture</t>
        </r>
      </text>
    </comment>
    <comment ref="N10" authorId="0" shapeId="0" xr:uid="{00000000-0006-0000-0000-00004E000000}">
      <text>
        <r>
          <rPr>
            <b/>
            <sz val="10"/>
            <color indexed="81"/>
            <rFont val="Tahoma"/>
            <family val="2"/>
          </rPr>
          <t>Author:</t>
        </r>
        <r>
          <rPr>
            <sz val="10"/>
            <color indexed="81"/>
            <rFont val="Tahoma"/>
            <family val="2"/>
          </rPr>
          <t xml:space="preserve">
See nameplate picture</t>
        </r>
      </text>
    </comment>
    <comment ref="O10" authorId="0" shapeId="0" xr:uid="{00000000-0006-0000-0000-00004F000000}">
      <text>
        <r>
          <rPr>
            <b/>
            <sz val="10"/>
            <color indexed="81"/>
            <rFont val="Tahoma"/>
            <family val="2"/>
          </rPr>
          <t>Author:</t>
        </r>
        <r>
          <rPr>
            <sz val="10"/>
            <color indexed="81"/>
            <rFont val="Tahoma"/>
            <family val="2"/>
          </rPr>
          <t xml:space="preserve">
See nameplate picture</t>
        </r>
      </text>
    </comment>
    <comment ref="S10" authorId="0" shapeId="0" xr:uid="{00000000-0006-0000-0000-000050000000}">
      <text>
        <r>
          <rPr>
            <b/>
            <sz val="9"/>
            <color indexed="81"/>
            <rFont val="Tahoma"/>
            <family val="2"/>
          </rPr>
          <t>Author:</t>
        </r>
        <r>
          <rPr>
            <sz val="9"/>
            <color indexed="81"/>
            <rFont val="Tahoma"/>
            <family val="2"/>
          </rPr>
          <t xml:space="preserve">
Tap 3</t>
        </r>
      </text>
    </comment>
    <comment ref="T10" authorId="0" shapeId="0" xr:uid="{00000000-0006-0000-0000-000051000000}">
      <text>
        <r>
          <rPr>
            <b/>
            <sz val="9"/>
            <color indexed="81"/>
            <rFont val="Tahoma"/>
            <family val="2"/>
          </rPr>
          <t>Author:</t>
        </r>
        <r>
          <rPr>
            <sz val="9"/>
            <color indexed="81"/>
            <rFont val="Tahoma"/>
            <family val="2"/>
          </rPr>
          <t xml:space="preserve">
See sheet 2</t>
        </r>
      </text>
    </comment>
    <comment ref="V10" authorId="0" shapeId="0" xr:uid="{00000000-0006-0000-0000-000052000000}">
      <text>
        <r>
          <rPr>
            <b/>
            <sz val="9"/>
            <color indexed="81"/>
            <rFont val="Tahoma"/>
            <family val="2"/>
          </rPr>
          <t>Author:</t>
        </r>
        <r>
          <rPr>
            <sz val="9"/>
            <color indexed="81"/>
            <rFont val="Tahoma"/>
            <family val="2"/>
          </rPr>
          <t xml:space="preserve">
GSU Nameplate</t>
        </r>
      </text>
    </comment>
    <comment ref="W10" authorId="0" shapeId="0" xr:uid="{00000000-0006-0000-0000-000053000000}">
      <text>
        <r>
          <rPr>
            <b/>
            <sz val="9"/>
            <color indexed="81"/>
            <rFont val="Tahoma"/>
            <family val="2"/>
          </rPr>
          <t>Author:</t>
        </r>
        <r>
          <rPr>
            <sz val="9"/>
            <color indexed="81"/>
            <rFont val="Tahoma"/>
            <family val="2"/>
          </rPr>
          <t xml:space="preserve">
50 Relay setting set at 13A on 230kV 1200:5 CT = 3120A Primary =40872A Secondary. 
51 function is set to 4.5 Amps on 230kV 1200:5 = 1080A Primary = 14148A Secondary. 
21 function has been evaluated to PRC-025.  </t>
        </r>
      </text>
    </comment>
    <comment ref="Y10" authorId="0" shapeId="0" xr:uid="{00000000-0006-0000-0000-000054000000}">
      <text>
        <r>
          <rPr>
            <b/>
            <sz val="9"/>
            <color indexed="81"/>
            <rFont val="Tahoma"/>
            <family val="2"/>
          </rPr>
          <t>Author:</t>
        </r>
        <r>
          <rPr>
            <sz val="9"/>
            <color indexed="81"/>
            <rFont val="Tahoma"/>
            <family val="2"/>
          </rPr>
          <t xml:space="preserve">
GSU Nameplate</t>
        </r>
      </text>
    </comment>
    <comment ref="AC10" authorId="0" shapeId="0" xr:uid="{00000000-0006-0000-0000-000055000000}">
      <text>
        <r>
          <rPr>
            <b/>
            <sz val="10"/>
            <color indexed="81"/>
            <rFont val="Tahoma"/>
            <family val="2"/>
          </rPr>
          <t>Author:</t>
        </r>
        <r>
          <rPr>
            <sz val="10"/>
            <color indexed="81"/>
            <rFont val="Tahoma"/>
            <family val="2"/>
          </rPr>
          <t xml:space="preserve">
Info from Generator Data sheet, corrected for altitude.</t>
        </r>
      </text>
    </comment>
    <comment ref="AD10" authorId="0" shapeId="0" xr:uid="{00000000-0006-0000-0000-000056000000}">
      <text>
        <r>
          <rPr>
            <b/>
            <sz val="10"/>
            <color indexed="81"/>
            <rFont val="Tahoma"/>
            <family val="2"/>
          </rPr>
          <t>Author:</t>
        </r>
        <r>
          <rPr>
            <sz val="10"/>
            <color indexed="81"/>
            <rFont val="Tahoma"/>
            <family val="2"/>
          </rPr>
          <t xml:space="preserve">
See K14-76T-E5091</t>
        </r>
      </text>
    </comment>
    <comment ref="C11" authorId="0" shapeId="0" xr:uid="{00000000-0006-0000-0000-000057000000}">
      <text>
        <r>
          <rPr>
            <b/>
            <sz val="10"/>
            <color indexed="81"/>
            <rFont val="Tahoma"/>
            <family val="2"/>
          </rPr>
          <t>Author:</t>
        </r>
        <r>
          <rPr>
            <sz val="10"/>
            <color indexed="81"/>
            <rFont val="Tahoma"/>
            <family val="2"/>
          </rPr>
          <t xml:space="preserve">
See BS 2 Gen namplate</t>
        </r>
      </text>
    </comment>
    <comment ref="D11" authorId="0" shapeId="0" xr:uid="{00000000-0006-0000-0000-000058000000}">
      <text>
        <r>
          <rPr>
            <b/>
            <sz val="10"/>
            <color indexed="81"/>
            <rFont val="Tahoma"/>
            <family val="2"/>
          </rPr>
          <t>Author:</t>
        </r>
        <r>
          <rPr>
            <sz val="10"/>
            <color indexed="81"/>
            <rFont val="Tahoma"/>
            <family val="2"/>
          </rPr>
          <t xml:space="preserve">
See BS 2 Gen namplate</t>
        </r>
      </text>
    </comment>
    <comment ref="E11" authorId="0" shapeId="0" xr:uid="{00000000-0006-0000-0000-000059000000}">
      <text>
        <r>
          <rPr>
            <b/>
            <sz val="10"/>
            <color indexed="81"/>
            <rFont val="Tahoma"/>
            <family val="2"/>
          </rPr>
          <t>Author:</t>
        </r>
        <r>
          <rPr>
            <sz val="10"/>
            <color indexed="81"/>
            <rFont val="Tahoma"/>
            <family val="2"/>
          </rPr>
          <t xml:space="preserve">
See BS 2 Gen namplate</t>
        </r>
      </text>
    </comment>
    <comment ref="F11" authorId="0" shapeId="0" xr:uid="{00000000-0006-0000-0000-00005A000000}">
      <text>
        <r>
          <rPr>
            <b/>
            <sz val="10"/>
            <color indexed="81"/>
            <rFont val="Tahoma"/>
            <family val="2"/>
          </rPr>
          <t>Author:</t>
        </r>
        <r>
          <rPr>
            <sz val="10"/>
            <color indexed="81"/>
            <rFont val="Tahoma"/>
            <family val="2"/>
          </rPr>
          <t xml:space="preserve">
See 207D1578</t>
        </r>
      </text>
    </comment>
    <comment ref="G11" authorId="0" shapeId="0" xr:uid="{00000000-0006-0000-0000-00005B000000}">
      <text>
        <r>
          <rPr>
            <b/>
            <sz val="10"/>
            <color indexed="81"/>
            <rFont val="Tahoma"/>
            <family val="2"/>
          </rPr>
          <t>Author:</t>
        </r>
        <r>
          <rPr>
            <sz val="10"/>
            <color indexed="81"/>
            <rFont val="Tahoma"/>
            <family val="2"/>
          </rPr>
          <t xml:space="preserve">
See E150</t>
        </r>
      </text>
    </comment>
    <comment ref="J11" authorId="0" shapeId="0" xr:uid="{00000000-0006-0000-0000-00005C000000}">
      <text>
        <r>
          <rPr>
            <b/>
            <sz val="10"/>
            <color indexed="81"/>
            <rFont val="Tahoma"/>
            <family val="2"/>
          </rPr>
          <t>Author:</t>
        </r>
        <r>
          <rPr>
            <sz val="10"/>
            <color indexed="81"/>
            <rFont val="Tahoma"/>
            <family val="2"/>
          </rPr>
          <t xml:space="preserve">
See nameplate picture</t>
        </r>
      </text>
    </comment>
    <comment ref="L11" authorId="0" shapeId="0" xr:uid="{00000000-0006-0000-0000-00005D000000}">
      <text>
        <r>
          <rPr>
            <b/>
            <sz val="10"/>
            <color indexed="81"/>
            <rFont val="Tahoma"/>
            <family val="2"/>
          </rPr>
          <t>Author:</t>
        </r>
        <r>
          <rPr>
            <sz val="10"/>
            <color indexed="81"/>
            <rFont val="Tahoma"/>
            <family val="2"/>
          </rPr>
          <t xml:space="preserve">
See nameplate picture</t>
        </r>
      </text>
    </comment>
    <comment ref="N11" authorId="0" shapeId="0" xr:uid="{00000000-0006-0000-0000-00005E000000}">
      <text>
        <r>
          <rPr>
            <b/>
            <sz val="10"/>
            <color indexed="81"/>
            <rFont val="Tahoma"/>
            <family val="2"/>
          </rPr>
          <t>Author:</t>
        </r>
        <r>
          <rPr>
            <sz val="10"/>
            <color indexed="81"/>
            <rFont val="Tahoma"/>
            <family val="2"/>
          </rPr>
          <t xml:space="preserve">
See nameplate picture</t>
        </r>
      </text>
    </comment>
    <comment ref="O11" authorId="0" shapeId="0" xr:uid="{00000000-0006-0000-0000-00005F000000}">
      <text>
        <r>
          <rPr>
            <b/>
            <sz val="10"/>
            <color indexed="81"/>
            <rFont val="Tahoma"/>
            <family val="2"/>
          </rPr>
          <t>Author:</t>
        </r>
        <r>
          <rPr>
            <sz val="10"/>
            <color indexed="81"/>
            <rFont val="Tahoma"/>
            <family val="2"/>
          </rPr>
          <t xml:space="preserve">
See nameplate picture</t>
        </r>
      </text>
    </comment>
    <comment ref="S11" authorId="0" shapeId="0" xr:uid="{00000000-0006-0000-0000-000060000000}">
      <text>
        <r>
          <rPr>
            <b/>
            <sz val="9"/>
            <color indexed="81"/>
            <rFont val="Tahoma"/>
            <family val="2"/>
          </rPr>
          <t>Author:</t>
        </r>
        <r>
          <rPr>
            <sz val="9"/>
            <color indexed="81"/>
            <rFont val="Tahoma"/>
            <family val="2"/>
          </rPr>
          <t xml:space="preserve">
Tap 3</t>
        </r>
      </text>
    </comment>
    <comment ref="T11" authorId="0" shapeId="0" xr:uid="{00000000-0006-0000-0000-000061000000}">
      <text>
        <r>
          <rPr>
            <b/>
            <sz val="9"/>
            <color indexed="81"/>
            <rFont val="Tahoma"/>
            <family val="2"/>
          </rPr>
          <t>Author:</t>
        </r>
        <r>
          <rPr>
            <sz val="9"/>
            <color indexed="81"/>
            <rFont val="Tahoma"/>
            <family val="2"/>
          </rPr>
          <t xml:space="preserve">
See sheet 2</t>
        </r>
      </text>
    </comment>
    <comment ref="V11" authorId="0" shapeId="0" xr:uid="{00000000-0006-0000-0000-000062000000}">
      <text>
        <r>
          <rPr>
            <b/>
            <sz val="9"/>
            <color indexed="81"/>
            <rFont val="Tahoma"/>
            <family val="2"/>
          </rPr>
          <t>Author:</t>
        </r>
        <r>
          <rPr>
            <sz val="9"/>
            <color indexed="81"/>
            <rFont val="Tahoma"/>
            <family val="2"/>
          </rPr>
          <t xml:space="preserve">
GSU Nameplate</t>
        </r>
      </text>
    </comment>
    <comment ref="W11" authorId="0" shapeId="0" xr:uid="{00000000-0006-0000-0000-000063000000}">
      <text>
        <r>
          <rPr>
            <b/>
            <sz val="9"/>
            <color indexed="81"/>
            <rFont val="Tahoma"/>
            <family val="2"/>
          </rPr>
          <t>Author:</t>
        </r>
        <r>
          <rPr>
            <sz val="9"/>
            <color indexed="81"/>
            <rFont val="Tahoma"/>
            <family val="2"/>
          </rPr>
          <t xml:space="preserve">
50 Relay setting set at 13A on 230kV 1200:5 CT = 3120A Primary =40872A Secondary. 
51 function is set to 4.5 Amps on 230kV 1200:5 = 1080A Primary = 14148A Secondary. 
21 function has been evaluated to PRC-025.  </t>
        </r>
      </text>
    </comment>
    <comment ref="Y11" authorId="0" shapeId="0" xr:uid="{00000000-0006-0000-0000-000064000000}">
      <text>
        <r>
          <rPr>
            <b/>
            <sz val="9"/>
            <color indexed="81"/>
            <rFont val="Tahoma"/>
            <family val="2"/>
          </rPr>
          <t>Author:</t>
        </r>
        <r>
          <rPr>
            <sz val="9"/>
            <color indexed="81"/>
            <rFont val="Tahoma"/>
            <family val="2"/>
          </rPr>
          <t xml:space="preserve">
GSU Nameplate</t>
        </r>
      </text>
    </comment>
    <comment ref="AC11" authorId="0" shapeId="0" xr:uid="{00000000-0006-0000-0000-000065000000}">
      <text>
        <r>
          <rPr>
            <b/>
            <sz val="10"/>
            <color indexed="81"/>
            <rFont val="Tahoma"/>
            <family val="2"/>
          </rPr>
          <t>Author:</t>
        </r>
        <r>
          <rPr>
            <sz val="10"/>
            <color indexed="81"/>
            <rFont val="Tahoma"/>
            <family val="2"/>
          </rPr>
          <t xml:space="preserve">
Info from Generator Data sheet, corrected for altitude.</t>
        </r>
      </text>
    </comment>
    <comment ref="AD11" authorId="0" shapeId="0" xr:uid="{00000000-0006-0000-0000-000066000000}">
      <text>
        <r>
          <rPr>
            <b/>
            <sz val="10"/>
            <color indexed="81"/>
            <rFont val="Tahoma"/>
            <family val="2"/>
          </rPr>
          <t>Author:</t>
        </r>
        <r>
          <rPr>
            <sz val="10"/>
            <color indexed="81"/>
            <rFont val="Tahoma"/>
            <family val="2"/>
          </rPr>
          <t xml:space="preserve">
See K14-76T-E5091</t>
        </r>
      </text>
    </comment>
    <comment ref="B12" authorId="0" shapeId="0" xr:uid="{00000000-0006-0000-0000-000067000000}">
      <text>
        <r>
          <rPr>
            <b/>
            <sz val="9"/>
            <color indexed="81"/>
            <rFont val="Tahoma"/>
            <family val="2"/>
          </rPr>
          <t>Author:</t>
        </r>
        <r>
          <rPr>
            <sz val="9"/>
            <color indexed="81"/>
            <rFont val="Tahoma"/>
            <family val="2"/>
          </rPr>
          <t xml:space="preserve">
Combined rating for shared conductors to Spruce Sub
</t>
        </r>
      </text>
    </comment>
    <comment ref="C12" authorId="0" shapeId="0" xr:uid="{00000000-0006-0000-0000-000068000000}">
      <text>
        <r>
          <rPr>
            <b/>
            <sz val="9"/>
            <color indexed="81"/>
            <rFont val="Tahoma"/>
            <family val="2"/>
          </rPr>
          <t>Author:</t>
        </r>
        <r>
          <rPr>
            <sz val="9"/>
            <color indexed="81"/>
            <rFont val="Tahoma"/>
            <family val="2"/>
          </rPr>
          <t xml:space="preserve">
Combined rating of both ratings (summer)
</t>
        </r>
      </text>
    </comment>
    <comment ref="E12" authorId="0" shapeId="0" xr:uid="{00000000-0006-0000-0000-000069000000}">
      <text>
        <r>
          <rPr>
            <b/>
            <sz val="9"/>
            <color indexed="81"/>
            <rFont val="Tahoma"/>
            <family val="2"/>
          </rPr>
          <t>Author:</t>
        </r>
        <r>
          <rPr>
            <sz val="9"/>
            <color indexed="81"/>
            <rFont val="Tahoma"/>
            <family val="2"/>
          </rPr>
          <t xml:space="preserve">
Combined rating of both generators (summer)</t>
        </r>
      </text>
    </comment>
    <comment ref="J12" authorId="0" shapeId="0" xr:uid="{00000000-0006-0000-0000-00006A000000}">
      <text>
        <r>
          <rPr>
            <b/>
            <sz val="9"/>
            <color indexed="81"/>
            <rFont val="Tahoma"/>
            <family val="2"/>
          </rPr>
          <t>Author:</t>
        </r>
        <r>
          <rPr>
            <sz val="9"/>
            <color indexed="81"/>
            <rFont val="Tahoma"/>
            <family val="2"/>
          </rPr>
          <t xml:space="preserve">
Combined rating of both GSUs
</t>
        </r>
      </text>
    </comment>
    <comment ref="T12" authorId="0" shapeId="0" xr:uid="{00000000-0006-0000-0000-00006B000000}">
      <text>
        <r>
          <rPr>
            <b/>
            <sz val="9"/>
            <color indexed="81"/>
            <rFont val="Tahoma"/>
            <family val="2"/>
          </rPr>
          <t>Author:</t>
        </r>
        <r>
          <rPr>
            <sz val="9"/>
            <color indexed="81"/>
            <rFont val="Tahoma"/>
            <family val="2"/>
          </rPr>
          <t xml:space="preserve">
See sheet 2
Metering Element</t>
        </r>
      </text>
    </comment>
    <comment ref="B13" authorId="0" shapeId="0" xr:uid="{00000000-0006-0000-0000-00006C000000}">
      <text>
        <r>
          <rPr>
            <b/>
            <sz val="9"/>
            <color indexed="81"/>
            <rFont val="Tahoma"/>
            <family val="2"/>
          </rPr>
          <t>Author:</t>
        </r>
        <r>
          <rPr>
            <sz val="9"/>
            <color indexed="81"/>
            <rFont val="Tahoma"/>
            <family val="2"/>
          </rPr>
          <t xml:space="preserve">
Combined rating for shared conductors to Spruce Sub</t>
        </r>
      </text>
    </comment>
    <comment ref="C13" authorId="0" shapeId="0" xr:uid="{00000000-0006-0000-0000-00006D000000}">
      <text>
        <r>
          <rPr>
            <b/>
            <sz val="9"/>
            <color indexed="81"/>
            <rFont val="Tahoma"/>
            <family val="2"/>
          </rPr>
          <t>Author:</t>
        </r>
        <r>
          <rPr>
            <sz val="9"/>
            <color indexed="81"/>
            <rFont val="Tahoma"/>
            <family val="2"/>
          </rPr>
          <t xml:space="preserve">
Combined rating of both ratings (winter)
</t>
        </r>
      </text>
    </comment>
    <comment ref="E13" authorId="0" shapeId="0" xr:uid="{00000000-0006-0000-0000-00006E000000}">
      <text>
        <r>
          <rPr>
            <b/>
            <sz val="9"/>
            <color indexed="81"/>
            <rFont val="Tahoma"/>
            <family val="2"/>
          </rPr>
          <t>Author:</t>
        </r>
        <r>
          <rPr>
            <sz val="9"/>
            <color indexed="81"/>
            <rFont val="Tahoma"/>
            <family val="2"/>
          </rPr>
          <t xml:space="preserve">
Combined rating of both generators (winter)</t>
        </r>
      </text>
    </comment>
    <comment ref="J13" authorId="0" shapeId="0" xr:uid="{00000000-0006-0000-0000-00006F000000}">
      <text>
        <r>
          <rPr>
            <b/>
            <sz val="9"/>
            <color indexed="81"/>
            <rFont val="Tahoma"/>
            <family val="2"/>
          </rPr>
          <t>Author:</t>
        </r>
        <r>
          <rPr>
            <sz val="9"/>
            <color indexed="81"/>
            <rFont val="Tahoma"/>
            <family val="2"/>
          </rPr>
          <t xml:space="preserve">
Combined rating of both GSUs</t>
        </r>
      </text>
    </comment>
    <comment ref="T13" authorId="0" shapeId="0" xr:uid="{00000000-0006-0000-0000-000070000000}">
      <text>
        <r>
          <rPr>
            <b/>
            <sz val="9"/>
            <color indexed="81"/>
            <rFont val="Tahoma"/>
            <family val="2"/>
          </rPr>
          <t>Author:</t>
        </r>
        <r>
          <rPr>
            <sz val="9"/>
            <color indexed="81"/>
            <rFont val="Tahoma"/>
            <family val="2"/>
          </rPr>
          <t xml:space="preserve">
See sheet 2
Metering Element</t>
        </r>
      </text>
    </comment>
    <comment ref="C14" authorId="0" shapeId="0" xr:uid="{00000000-0006-0000-0000-000071000000}">
      <text>
        <r>
          <rPr>
            <b/>
            <sz val="10"/>
            <color indexed="81"/>
            <rFont val="Tahoma"/>
            <family val="2"/>
          </rPr>
          <t>Author:</t>
        </r>
        <r>
          <rPr>
            <sz val="10"/>
            <color indexed="81"/>
            <rFont val="Tahoma"/>
            <family val="2"/>
          </rPr>
          <t xml:space="preserve">
10930 GE-1A, Generator Electrical and Physical Data sheet,  and nameplate picture</t>
        </r>
      </text>
    </comment>
    <comment ref="D14" authorId="0" shapeId="0" xr:uid="{00000000-0006-0000-0000-000072000000}">
      <text>
        <r>
          <rPr>
            <b/>
            <sz val="10"/>
            <color indexed="81"/>
            <rFont val="Tahoma"/>
            <family val="2"/>
          </rPr>
          <t>Author:</t>
        </r>
        <r>
          <rPr>
            <sz val="10"/>
            <color indexed="81"/>
            <rFont val="Tahoma"/>
            <family val="2"/>
          </rPr>
          <t xml:space="preserve">
1-line, 10930 GE-1A and nameplate picture</t>
        </r>
      </text>
    </comment>
    <comment ref="E14" authorId="0" shapeId="0" xr:uid="{00000000-0006-0000-0000-000073000000}">
      <text>
        <r>
          <rPr>
            <b/>
            <sz val="10"/>
            <color indexed="81"/>
            <rFont val="Tahoma"/>
            <family val="2"/>
          </rPr>
          <t>Author:</t>
        </r>
        <r>
          <rPr>
            <sz val="10"/>
            <color indexed="81"/>
            <rFont val="Tahoma"/>
            <family val="2"/>
          </rPr>
          <t xml:space="preserve">
See name plate picture and Generator Electrical and Physical Data sheet HNAEM 4.02.1103 FR R10
</t>
        </r>
      </text>
    </comment>
    <comment ref="F14" authorId="0" shapeId="0" xr:uid="{00000000-0006-0000-0000-000074000000}">
      <text>
        <r>
          <rPr>
            <b/>
            <sz val="10"/>
            <color indexed="81"/>
            <rFont val="Tahoma"/>
            <family val="2"/>
          </rPr>
          <t>Author:</t>
        </r>
        <r>
          <rPr>
            <sz val="10"/>
            <color indexed="81"/>
            <rFont val="Tahoma"/>
            <family val="2"/>
          </rPr>
          <t xml:space="preserve">
1-line, 10930 GE-1A SH2
</t>
        </r>
      </text>
    </comment>
    <comment ref="G14" authorId="0" shapeId="0" xr:uid="{00000000-0006-0000-0000-000075000000}">
      <text>
        <r>
          <rPr>
            <b/>
            <sz val="10"/>
            <color indexed="81"/>
            <rFont val="Tahoma"/>
            <family val="2"/>
          </rPr>
          <t>Author:</t>
        </r>
        <r>
          <rPr>
            <sz val="10"/>
            <color indexed="81"/>
            <rFont val="Tahoma"/>
            <family val="2"/>
          </rPr>
          <t xml:space="preserve">
10930 GE-1A sh1</t>
        </r>
      </text>
    </comment>
    <comment ref="H14" authorId="0" shapeId="0" xr:uid="{00000000-0006-0000-0000-000076000000}">
      <text>
        <r>
          <rPr>
            <b/>
            <sz val="10"/>
            <color indexed="81"/>
            <rFont val="Tahoma"/>
            <family val="2"/>
          </rPr>
          <t>Author:</t>
        </r>
        <r>
          <rPr>
            <sz val="10"/>
            <color indexed="81"/>
            <rFont val="Tahoma"/>
            <family val="2"/>
          </rPr>
          <t xml:space="preserve">
Reversing switch, see GMZ60115R4 and GMZ60749R1
only disconnects b and c phase see 10930 ESA-7F SH5</t>
        </r>
      </text>
    </comment>
    <comment ref="J14" authorId="0" shapeId="0" xr:uid="{00000000-0006-0000-0000-000077000000}">
      <text>
        <r>
          <rPr>
            <b/>
            <sz val="10"/>
            <color indexed="81"/>
            <rFont val="Tahoma"/>
            <family val="2"/>
          </rPr>
          <t>Author:</t>
        </r>
        <r>
          <rPr>
            <sz val="10"/>
            <color indexed="81"/>
            <rFont val="Tahoma"/>
            <family val="2"/>
          </rPr>
          <t xml:space="preserve">
1-line, 10930 GE-1A and nameplate picture</t>
        </r>
      </text>
    </comment>
    <comment ref="K14" authorId="0" shapeId="0" xr:uid="{00000000-0006-0000-0000-000078000000}">
      <text>
        <r>
          <rPr>
            <b/>
            <sz val="9"/>
            <color indexed="81"/>
            <rFont val="Tahoma"/>
            <family val="2"/>
          </rPr>
          <t>Author:</t>
        </r>
        <r>
          <rPr>
            <sz val="9"/>
            <color indexed="81"/>
            <rFont val="Tahoma"/>
            <family val="2"/>
          </rPr>
          <t xml:space="preserve">
Tap 3</t>
        </r>
      </text>
    </comment>
    <comment ref="L14" authorId="0" shapeId="0" xr:uid="{00000000-0006-0000-0000-000079000000}">
      <text>
        <r>
          <rPr>
            <b/>
            <sz val="10"/>
            <color indexed="81"/>
            <rFont val="Tahoma"/>
            <family val="2"/>
          </rPr>
          <t>Author:</t>
        </r>
        <r>
          <rPr>
            <sz val="10"/>
            <color indexed="81"/>
            <rFont val="Tahoma"/>
            <family val="2"/>
          </rPr>
          <t xml:space="preserve">
1-line, 10930 GE-1A and nameplate picture</t>
        </r>
      </text>
    </comment>
    <comment ref="N14" authorId="0" shapeId="0" xr:uid="{00000000-0006-0000-0000-00007A000000}">
      <text>
        <r>
          <rPr>
            <b/>
            <sz val="10"/>
            <color indexed="81"/>
            <rFont val="Tahoma"/>
            <family val="2"/>
          </rPr>
          <t>Author:</t>
        </r>
        <r>
          <rPr>
            <sz val="10"/>
            <color indexed="81"/>
            <rFont val="Tahoma"/>
            <family val="2"/>
          </rPr>
          <t xml:space="preserve">
See 10930 GE-1F
</t>
        </r>
      </text>
    </comment>
    <comment ref="S14" authorId="0" shapeId="0" xr:uid="{00000000-0006-0000-0000-00007B000000}">
      <text>
        <r>
          <rPr>
            <b/>
            <sz val="9"/>
            <color indexed="81"/>
            <rFont val="Tahoma"/>
            <family val="2"/>
          </rPr>
          <t>Author:</t>
        </r>
        <r>
          <rPr>
            <sz val="9"/>
            <color indexed="81"/>
            <rFont val="Tahoma"/>
            <family val="2"/>
          </rPr>
          <t xml:space="preserve">
Tap 1
 </t>
        </r>
      </text>
    </comment>
    <comment ref="T14" authorId="0" shapeId="0" xr:uid="{00000000-0006-0000-0000-00007C000000}">
      <text>
        <r>
          <rPr>
            <b/>
            <sz val="9"/>
            <color indexed="81"/>
            <rFont val="Tahoma"/>
            <family val="2"/>
          </rPr>
          <t>Author:</t>
        </r>
        <r>
          <rPr>
            <sz val="9"/>
            <color indexed="81"/>
            <rFont val="Tahoma"/>
            <family val="2"/>
          </rPr>
          <t xml:space="preserve">
Value from Subs Eng FAC-008-3 Spreadsheet.
Limiting Element: Secondary Element</t>
        </r>
      </text>
    </comment>
    <comment ref="V14" authorId="0" shapeId="0" xr:uid="{00000000-0006-0000-0000-00007D000000}">
      <text>
        <r>
          <rPr>
            <b/>
            <sz val="9"/>
            <color indexed="81"/>
            <rFont val="Tahoma"/>
            <family val="2"/>
          </rPr>
          <t>Author:</t>
        </r>
        <r>
          <rPr>
            <sz val="9"/>
            <color indexed="81"/>
            <rFont val="Tahoma"/>
            <family val="2"/>
          </rPr>
          <t xml:space="preserve">
Matches Nameplate value of 5312*sqrt(3) to reflect effect on generator current</t>
        </r>
      </text>
    </comment>
    <comment ref="W14" authorId="0" shapeId="0" xr:uid="{00000000-0006-0000-0000-00007E000000}">
      <text>
        <r>
          <rPr>
            <sz val="9"/>
            <color indexed="81"/>
            <rFont val="Tahoma"/>
            <family val="2"/>
          </rPr>
          <t xml:space="preserve">Brady Nunn:
50 Function not used
51 Function not used
21 Function evaluated to PRC-025
</t>
        </r>
      </text>
    </comment>
    <comment ref="Y14" authorId="0" shapeId="0" xr:uid="{FE3AA44C-3F23-4D24-91ED-925F77DCAAA3}">
      <text>
        <r>
          <rPr>
            <b/>
            <sz val="9"/>
            <color indexed="81"/>
            <rFont val="Tahoma"/>
            <family val="2"/>
          </rPr>
          <t>Author:</t>
        </r>
        <r>
          <rPr>
            <sz val="9"/>
            <color indexed="81"/>
            <rFont val="Tahoma"/>
            <family val="2"/>
          </rPr>
          <t xml:space="preserve">
Nameplate</t>
        </r>
      </text>
    </comment>
    <comment ref="AC14" authorId="0" shapeId="0" xr:uid="{00000000-0006-0000-0000-00007F000000}">
      <text>
        <r>
          <rPr>
            <b/>
            <sz val="10"/>
            <color indexed="81"/>
            <rFont val="Tahoma"/>
            <family val="2"/>
          </rPr>
          <t>Author:</t>
        </r>
        <r>
          <rPr>
            <sz val="10"/>
            <color indexed="81"/>
            <rFont val="Tahoma"/>
            <family val="2"/>
          </rPr>
          <t xml:space="preserve">
Info from Generator Data sheet, corrected for altitude.</t>
        </r>
      </text>
    </comment>
    <comment ref="AD14" authorId="0" shapeId="0" xr:uid="{00000000-0006-0000-0000-000080000000}">
      <text>
        <r>
          <rPr>
            <b/>
            <sz val="10"/>
            <color indexed="81"/>
            <rFont val="Tahoma"/>
            <family val="2"/>
          </rPr>
          <t>Author:</t>
        </r>
        <r>
          <rPr>
            <sz val="10"/>
            <color indexed="81"/>
            <rFont val="Tahoma"/>
            <family val="2"/>
          </rPr>
          <t xml:space="preserve">
See K14-76T-E5091</t>
        </r>
      </text>
    </comment>
    <comment ref="C15" authorId="0" shapeId="0" xr:uid="{00000000-0006-0000-0000-000081000000}">
      <text>
        <r>
          <rPr>
            <b/>
            <sz val="10"/>
            <color indexed="81"/>
            <rFont val="Tahoma"/>
            <family val="2"/>
          </rPr>
          <t>Author:</t>
        </r>
        <r>
          <rPr>
            <sz val="10"/>
            <color indexed="81"/>
            <rFont val="Tahoma"/>
            <family val="2"/>
          </rPr>
          <t xml:space="preserve">
1-line, 10930 GE-1A and nameplate picture</t>
        </r>
      </text>
    </comment>
    <comment ref="D15" authorId="0" shapeId="0" xr:uid="{00000000-0006-0000-0000-000082000000}">
      <text>
        <r>
          <rPr>
            <b/>
            <sz val="10"/>
            <color indexed="81"/>
            <rFont val="Tahoma"/>
            <family val="2"/>
          </rPr>
          <t>Author:</t>
        </r>
        <r>
          <rPr>
            <sz val="10"/>
            <color indexed="81"/>
            <rFont val="Tahoma"/>
            <family val="2"/>
          </rPr>
          <t xml:space="preserve">
1-line, 10930 GE-1A and nameplate picture</t>
        </r>
      </text>
    </comment>
    <comment ref="E15" authorId="0" shapeId="0" xr:uid="{00000000-0006-0000-0000-000083000000}">
      <text>
        <r>
          <rPr>
            <b/>
            <sz val="10"/>
            <color indexed="81"/>
            <rFont val="Tahoma"/>
            <family val="2"/>
          </rPr>
          <t>Author:</t>
        </r>
        <r>
          <rPr>
            <sz val="10"/>
            <color indexed="81"/>
            <rFont val="Tahoma"/>
            <family val="2"/>
          </rPr>
          <t xml:space="preserve">
See name plate picture and Generator Electrical and Physical Data sheet HNAEM 4.02.1103 FR R10</t>
        </r>
      </text>
    </comment>
    <comment ref="F15" authorId="0" shapeId="0" xr:uid="{00000000-0006-0000-0000-000084000000}">
      <text>
        <r>
          <rPr>
            <b/>
            <sz val="10"/>
            <color indexed="81"/>
            <rFont val="Tahoma"/>
            <family val="2"/>
          </rPr>
          <t>Author:</t>
        </r>
        <r>
          <rPr>
            <sz val="10"/>
            <color indexed="81"/>
            <rFont val="Tahoma"/>
            <family val="2"/>
          </rPr>
          <t xml:space="preserve">
3-line, 10930 GE-1F sh2</t>
        </r>
      </text>
    </comment>
    <comment ref="G15" authorId="0" shapeId="0" xr:uid="{00000000-0006-0000-0000-000085000000}">
      <text>
        <r>
          <rPr>
            <b/>
            <sz val="10"/>
            <color indexed="81"/>
            <rFont val="Tahoma"/>
            <family val="2"/>
          </rPr>
          <t>Author:</t>
        </r>
        <r>
          <rPr>
            <sz val="10"/>
            <color indexed="81"/>
            <rFont val="Tahoma"/>
            <family val="2"/>
          </rPr>
          <t xml:space="preserve">
See 712E0067</t>
        </r>
      </text>
    </comment>
    <comment ref="H15" authorId="0" shapeId="0" xr:uid="{00000000-0006-0000-0000-000086000000}">
      <text>
        <r>
          <rPr>
            <b/>
            <sz val="10"/>
            <color indexed="81"/>
            <rFont val="Tahoma"/>
            <family val="2"/>
          </rPr>
          <t>Author:</t>
        </r>
        <r>
          <rPr>
            <sz val="10"/>
            <color indexed="81"/>
            <rFont val="Tahoma"/>
            <family val="2"/>
          </rPr>
          <t xml:space="preserve">
Reversing switch, see GMZ60115R4 and GMZ60749R1
only disconnects b and c phase see 10930 </t>
        </r>
      </text>
    </comment>
    <comment ref="J15" authorId="0" shapeId="0" xr:uid="{00000000-0006-0000-0000-000087000000}">
      <text>
        <r>
          <rPr>
            <b/>
            <sz val="10"/>
            <color indexed="81"/>
            <rFont val="Tahoma"/>
            <family val="2"/>
          </rPr>
          <t>Author:</t>
        </r>
        <r>
          <rPr>
            <sz val="10"/>
            <color indexed="81"/>
            <rFont val="Tahoma"/>
            <family val="2"/>
          </rPr>
          <t xml:space="preserve">
1-line, 10930 GE-1A and nameplate picture</t>
        </r>
      </text>
    </comment>
    <comment ref="K15" authorId="0" shapeId="0" xr:uid="{00000000-0006-0000-0000-000088000000}">
      <text>
        <r>
          <rPr>
            <b/>
            <sz val="9"/>
            <color indexed="81"/>
            <rFont val="Tahoma"/>
            <family val="2"/>
          </rPr>
          <t>Author:</t>
        </r>
        <r>
          <rPr>
            <sz val="9"/>
            <color indexed="81"/>
            <rFont val="Tahoma"/>
            <family val="2"/>
          </rPr>
          <t xml:space="preserve">
Tap 3</t>
        </r>
      </text>
    </comment>
    <comment ref="L15" authorId="0" shapeId="0" xr:uid="{00000000-0006-0000-0000-000089000000}">
      <text>
        <r>
          <rPr>
            <b/>
            <sz val="10"/>
            <color indexed="81"/>
            <rFont val="Tahoma"/>
            <family val="2"/>
          </rPr>
          <t>Author:</t>
        </r>
        <r>
          <rPr>
            <sz val="10"/>
            <color indexed="81"/>
            <rFont val="Tahoma"/>
            <family val="2"/>
          </rPr>
          <t xml:space="preserve">
1-line, 10930 GE-1A and nameplate picture</t>
        </r>
      </text>
    </comment>
    <comment ref="N15" authorId="0" shapeId="0" xr:uid="{00000000-0006-0000-0000-00008A000000}">
      <text>
        <r>
          <rPr>
            <b/>
            <sz val="10"/>
            <color indexed="81"/>
            <rFont val="Tahoma"/>
            <family val="2"/>
          </rPr>
          <t>Author:</t>
        </r>
        <r>
          <rPr>
            <sz val="10"/>
            <color indexed="81"/>
            <rFont val="Tahoma"/>
            <family val="2"/>
          </rPr>
          <t xml:space="preserve">
See 10930 GE-1F SH2</t>
        </r>
      </text>
    </comment>
    <comment ref="S15" authorId="0" shapeId="0" xr:uid="{00000000-0006-0000-0000-00008B000000}">
      <text>
        <r>
          <rPr>
            <b/>
            <sz val="9"/>
            <color indexed="81"/>
            <rFont val="Tahoma"/>
            <family val="2"/>
          </rPr>
          <t>Author:</t>
        </r>
        <r>
          <rPr>
            <sz val="9"/>
            <color indexed="81"/>
            <rFont val="Tahoma"/>
            <family val="2"/>
          </rPr>
          <t xml:space="preserve">
Tap 1
 </t>
        </r>
      </text>
    </comment>
    <comment ref="T15" authorId="0" shapeId="0" xr:uid="{00000000-0006-0000-0000-00008C000000}">
      <text>
        <r>
          <rPr>
            <b/>
            <sz val="9"/>
            <color indexed="81"/>
            <rFont val="Tahoma"/>
            <family val="2"/>
          </rPr>
          <t>Author:</t>
        </r>
        <r>
          <rPr>
            <sz val="9"/>
            <color indexed="81"/>
            <rFont val="Tahoma"/>
            <family val="2"/>
          </rPr>
          <t xml:space="preserve">
Value from Subs Eng FAC-008-3 Spreadsheet.
Limiting Element: Secondary Element</t>
        </r>
      </text>
    </comment>
    <comment ref="V15" authorId="0" shapeId="0" xr:uid="{00000000-0006-0000-0000-00008D000000}">
      <text>
        <r>
          <rPr>
            <b/>
            <sz val="9"/>
            <color indexed="81"/>
            <rFont val="Tahoma"/>
            <family val="2"/>
          </rPr>
          <t>Author:</t>
        </r>
        <r>
          <rPr>
            <sz val="9"/>
            <color indexed="81"/>
            <rFont val="Tahoma"/>
            <family val="2"/>
          </rPr>
          <t xml:space="preserve">
Matches Nameplate value of 5312*sqrt(3) to reflect effect on generator current</t>
        </r>
      </text>
    </comment>
    <comment ref="W15" authorId="0" shapeId="0" xr:uid="{00000000-0006-0000-0000-00008E000000}">
      <text>
        <r>
          <rPr>
            <b/>
            <sz val="9"/>
            <color indexed="81"/>
            <rFont val="Tahoma"/>
            <family val="2"/>
          </rPr>
          <t>Author:</t>
        </r>
        <r>
          <rPr>
            <sz val="9"/>
            <color indexed="81"/>
            <rFont val="Tahoma"/>
            <family val="2"/>
          </rPr>
          <t xml:space="preserve">
50 Function not available
51 Function Not Available
21 Function not evaluated to PRC-025
67 Function not evaluated to PRC-025</t>
        </r>
      </text>
    </comment>
    <comment ref="Y15" authorId="0" shapeId="0" xr:uid="{3E254225-AA46-4BC2-9A0D-EFA2E65E84D6}">
      <text>
        <r>
          <rPr>
            <b/>
            <sz val="9"/>
            <color indexed="81"/>
            <rFont val="Tahoma"/>
            <family val="2"/>
          </rPr>
          <t>Author:</t>
        </r>
        <r>
          <rPr>
            <sz val="9"/>
            <color indexed="81"/>
            <rFont val="Tahoma"/>
            <family val="2"/>
          </rPr>
          <t xml:space="preserve">
Nameplate</t>
        </r>
      </text>
    </comment>
    <comment ref="AC15" authorId="0" shapeId="0" xr:uid="{00000000-0006-0000-0000-00008F000000}">
      <text>
        <r>
          <rPr>
            <b/>
            <sz val="10"/>
            <color indexed="81"/>
            <rFont val="Tahoma"/>
            <family val="2"/>
          </rPr>
          <t>Author:</t>
        </r>
        <r>
          <rPr>
            <sz val="10"/>
            <color indexed="81"/>
            <rFont val="Tahoma"/>
            <family val="2"/>
          </rPr>
          <t xml:space="preserve">
Info from Generator Data sheet, corrected for altitude.</t>
        </r>
      </text>
    </comment>
    <comment ref="AD15" authorId="0" shapeId="0" xr:uid="{00000000-0006-0000-0000-000090000000}">
      <text>
        <r>
          <rPr>
            <b/>
            <sz val="10"/>
            <color indexed="81"/>
            <rFont val="Tahoma"/>
            <family val="2"/>
          </rPr>
          <t>Author:</t>
        </r>
        <r>
          <rPr>
            <sz val="10"/>
            <color indexed="81"/>
            <rFont val="Tahoma"/>
            <family val="2"/>
          </rPr>
          <t xml:space="preserve">
See K14-76T-E5091</t>
        </r>
      </text>
    </comment>
    <comment ref="C16" authorId="0" shapeId="0" xr:uid="{00000000-0006-0000-0000-000091000000}">
      <text>
        <r>
          <rPr>
            <b/>
            <sz val="10"/>
            <color indexed="81"/>
            <rFont val="Tahoma"/>
            <family val="2"/>
          </rPr>
          <t>Author:</t>
        </r>
        <r>
          <rPr>
            <sz val="10"/>
            <color indexed="81"/>
            <rFont val="Tahoma"/>
            <family val="2"/>
          </rPr>
          <t xml:space="preserve">
See PRC-019 curve for limits and "CHR2 Capability Curve2" for MVAR and MW maximums</t>
        </r>
      </text>
    </comment>
    <comment ref="D16" authorId="0" shapeId="0" xr:uid="{00000000-0006-0000-0000-000092000000}">
      <text>
        <r>
          <rPr>
            <b/>
            <sz val="10"/>
            <color indexed="81"/>
            <rFont val="Tahoma"/>
            <family val="2"/>
          </rPr>
          <t>Author:</t>
        </r>
        <r>
          <rPr>
            <sz val="10"/>
            <color indexed="81"/>
            <rFont val="Tahoma"/>
            <family val="2"/>
          </rPr>
          <t xml:space="preserve">
1-line, G130723 and nameplate picture</t>
        </r>
      </text>
    </comment>
    <comment ref="E16" authorId="0" shapeId="0" xr:uid="{125176F0-4A99-4F82-8C64-F211EE0A1B87}">
      <text>
        <r>
          <rPr>
            <b/>
            <sz val="10"/>
            <color indexed="81"/>
            <rFont val="Tahoma"/>
            <family val="2"/>
          </rPr>
          <t>Author:</t>
        </r>
        <r>
          <rPr>
            <sz val="10"/>
            <color indexed="81"/>
            <rFont val="Tahoma"/>
            <family val="2"/>
          </rPr>
          <t xml:space="preserve">
From Summer capability corrected for altitude. 104F corrected for altitude. 7546' (.875)</t>
        </r>
      </text>
    </comment>
    <comment ref="F16" authorId="0" shapeId="0" xr:uid="{00000000-0006-0000-0000-000094000000}">
      <text>
        <r>
          <rPr>
            <b/>
            <sz val="10"/>
            <color indexed="81"/>
            <rFont val="Tahoma"/>
            <family val="2"/>
          </rPr>
          <t>Author:</t>
        </r>
        <r>
          <rPr>
            <sz val="10"/>
            <color indexed="81"/>
            <rFont val="Tahoma"/>
            <family val="2"/>
          </rPr>
          <t xml:space="preserve">
1-line, G130723</t>
        </r>
      </text>
    </comment>
    <comment ref="G16" authorId="0" shapeId="0" xr:uid="{00000000-0006-0000-0000-000095000000}">
      <text>
        <r>
          <rPr>
            <b/>
            <sz val="10"/>
            <color indexed="81"/>
            <rFont val="Tahoma"/>
            <family val="2"/>
          </rPr>
          <t>Author:</t>
        </r>
        <r>
          <rPr>
            <sz val="10"/>
            <color indexed="81"/>
            <rFont val="Tahoma"/>
            <family val="2"/>
          </rPr>
          <t xml:space="preserve">
See summary of Equipment document CH2 isophase</t>
        </r>
      </text>
    </comment>
    <comment ref="J16" authorId="0" shapeId="0" xr:uid="{00000000-0006-0000-0000-000096000000}">
      <text>
        <r>
          <rPr>
            <b/>
            <sz val="10"/>
            <color indexed="81"/>
            <rFont val="Tahoma"/>
            <family val="2"/>
          </rPr>
          <t>Author:</t>
        </r>
        <r>
          <rPr>
            <sz val="10"/>
            <color indexed="81"/>
            <rFont val="Tahoma"/>
            <family val="2"/>
          </rPr>
          <t xml:space="preserve">
See name plate picture</t>
        </r>
      </text>
    </comment>
    <comment ref="K16" authorId="0" shapeId="0" xr:uid="{00000000-0006-0000-0000-000097000000}">
      <text>
        <r>
          <rPr>
            <b/>
            <sz val="9"/>
            <color indexed="81"/>
            <rFont val="Tahoma"/>
            <family val="2"/>
          </rPr>
          <t>Author:</t>
        </r>
        <r>
          <rPr>
            <sz val="9"/>
            <color indexed="81"/>
            <rFont val="Tahoma"/>
            <family val="2"/>
          </rPr>
          <t xml:space="preserve">
Tap D sqrt(3)*64740V</t>
        </r>
      </text>
    </comment>
    <comment ref="L16" authorId="0" shapeId="0" xr:uid="{00000000-0006-0000-0000-000098000000}">
      <text>
        <r>
          <rPr>
            <b/>
            <sz val="10"/>
            <color indexed="81"/>
            <rFont val="Tahoma"/>
            <family val="2"/>
          </rPr>
          <t>Author:</t>
        </r>
        <r>
          <rPr>
            <sz val="10"/>
            <color indexed="81"/>
            <rFont val="Tahoma"/>
            <family val="2"/>
          </rPr>
          <t xml:space="preserve">
See name plate picture</t>
        </r>
      </text>
    </comment>
    <comment ref="N16" authorId="0" shapeId="0" xr:uid="{00000000-0006-0000-0000-000099000000}">
      <text>
        <r>
          <rPr>
            <b/>
            <sz val="10"/>
            <color indexed="81"/>
            <rFont val="Tahoma"/>
            <family val="2"/>
          </rPr>
          <t>Author:</t>
        </r>
        <r>
          <rPr>
            <sz val="10"/>
            <color indexed="81"/>
            <rFont val="Tahoma"/>
            <family val="2"/>
          </rPr>
          <t xml:space="preserve">
See name plate picture note, rating 4000A with TR=2</t>
        </r>
      </text>
    </comment>
    <comment ref="S16" authorId="0" shapeId="0" xr:uid="{00000000-0006-0000-0000-00009A000000}">
      <text>
        <r>
          <rPr>
            <b/>
            <sz val="9"/>
            <color indexed="81"/>
            <rFont val="Tahoma"/>
            <family val="2"/>
          </rPr>
          <t>Author:</t>
        </r>
        <r>
          <rPr>
            <sz val="9"/>
            <color indexed="81"/>
            <rFont val="Tahoma"/>
            <family val="2"/>
          </rPr>
          <t xml:space="preserve">
Tap B</t>
        </r>
      </text>
    </comment>
    <comment ref="T16" authorId="0" shapeId="0" xr:uid="{00000000-0006-0000-0000-00009B000000}">
      <text>
        <r>
          <rPr>
            <b/>
            <sz val="9"/>
            <color indexed="81"/>
            <rFont val="Tahoma"/>
            <family val="2"/>
          </rPr>
          <t>Author:</t>
        </r>
        <r>
          <rPr>
            <sz val="9"/>
            <color indexed="81"/>
            <rFont val="Tahoma"/>
            <family val="2"/>
          </rPr>
          <t xml:space="preserve">
Value from Subs Eng FAC-008-3 Spreadsheet.
Limiting Element: 715.5 Al Jumper</t>
        </r>
      </text>
    </comment>
    <comment ref="V16" authorId="0" shapeId="0" xr:uid="{00000000-0006-0000-0000-00009C000000}">
      <text>
        <r>
          <rPr>
            <b/>
            <sz val="9"/>
            <color indexed="81"/>
            <rFont val="Tahoma"/>
            <family val="2"/>
          </rPr>
          <t>Author:</t>
        </r>
        <r>
          <rPr>
            <sz val="9"/>
            <color indexed="81"/>
            <rFont val="Tahoma"/>
            <family val="2"/>
          </rPr>
          <t xml:space="preserve">
Nameplate rating at 3178, multiply by sqrt(3) for generator amps due to 3 separate transformers.</t>
        </r>
      </text>
    </comment>
    <comment ref="W16" authorId="0" shapeId="0" xr:uid="{00000000-0006-0000-0000-00009D000000}">
      <text>
        <r>
          <rPr>
            <b/>
            <sz val="9"/>
            <color indexed="81"/>
            <rFont val="Tahoma"/>
            <family val="2"/>
          </rPr>
          <t>Author:</t>
        </r>
        <r>
          <rPr>
            <sz val="9"/>
            <color indexed="81"/>
            <rFont val="Tahoma"/>
            <family val="2"/>
          </rPr>
          <t xml:space="preserve">
50 Relay setting set above 51 function
51 function is set to 4.32 Amps on 115kV 1200:5 = 1037A Primary = 8265A Secondary. 
21 function has been evaluated to PRC-025.  </t>
        </r>
      </text>
    </comment>
    <comment ref="Y16" authorId="0" shapeId="0" xr:uid="{00000000-0006-0000-0000-00009E000000}">
      <text>
        <r>
          <rPr>
            <b/>
            <sz val="9"/>
            <color indexed="81"/>
            <rFont val="Tahoma"/>
            <family val="2"/>
          </rPr>
          <t>Author:</t>
        </r>
        <r>
          <rPr>
            <sz val="9"/>
            <color indexed="81"/>
            <rFont val="Tahoma"/>
            <family val="2"/>
          </rPr>
          <t xml:space="preserve">
From nameplate.</t>
        </r>
      </text>
    </comment>
    <comment ref="AC16" authorId="0" shapeId="0" xr:uid="{00000000-0006-0000-0000-00009F000000}">
      <text>
        <r>
          <rPr>
            <b/>
            <sz val="10"/>
            <color indexed="81"/>
            <rFont val="Tahoma"/>
            <family val="2"/>
          </rPr>
          <t>Author:</t>
        </r>
        <r>
          <rPr>
            <sz val="10"/>
            <color indexed="81"/>
            <rFont val="Tahoma"/>
            <family val="2"/>
          </rPr>
          <t xml:space="preserve">
Info from Generator Data sheet, corrected for altitude.</t>
        </r>
      </text>
    </comment>
    <comment ref="AD16" authorId="0" shapeId="0" xr:uid="{00000000-0006-0000-0000-0000A0000000}">
      <text>
        <r>
          <rPr>
            <b/>
            <sz val="10"/>
            <color indexed="81"/>
            <rFont val="Tahoma"/>
            <family val="2"/>
          </rPr>
          <t>Author:</t>
        </r>
        <r>
          <rPr>
            <sz val="10"/>
            <color indexed="81"/>
            <rFont val="Tahoma"/>
            <family val="2"/>
          </rPr>
          <t xml:space="preserve">
See K14-76T-E5091</t>
        </r>
      </text>
    </comment>
    <comment ref="C17" authorId="0" shapeId="0" xr:uid="{00000000-0006-0000-0000-0000A1000000}">
      <text>
        <r>
          <rPr>
            <b/>
            <sz val="10"/>
            <color indexed="81"/>
            <rFont val="Tahoma"/>
            <family val="2"/>
          </rPr>
          <t>Author:</t>
        </r>
        <r>
          <rPr>
            <sz val="10"/>
            <color indexed="81"/>
            <rFont val="Tahoma"/>
            <family val="2"/>
          </rPr>
          <t xml:space="preserve">
1-line, L-21500 E2-1 and nameplate picture</t>
        </r>
      </text>
    </comment>
    <comment ref="D17" authorId="0" shapeId="0" xr:uid="{00000000-0006-0000-0000-0000A2000000}">
      <text>
        <r>
          <rPr>
            <b/>
            <sz val="10"/>
            <color indexed="81"/>
            <rFont val="Tahoma"/>
            <family val="2"/>
          </rPr>
          <t>Author:</t>
        </r>
        <r>
          <rPr>
            <sz val="10"/>
            <color indexed="81"/>
            <rFont val="Tahoma"/>
            <family val="2"/>
          </rPr>
          <t xml:space="preserve">
1-line, L-21500 E2-1 and nameplate picture</t>
        </r>
      </text>
    </comment>
    <comment ref="E17" authorId="0" shapeId="0" xr:uid="{00000000-0006-0000-0000-0000A3000000}">
      <text>
        <r>
          <rPr>
            <b/>
            <sz val="10"/>
            <color indexed="81"/>
            <rFont val="Tahoma"/>
            <family val="2"/>
          </rPr>
          <t xml:space="preserve">Brady Nunn:
Nameplate
</t>
        </r>
      </text>
    </comment>
    <comment ref="F17" authorId="0" shapeId="0" xr:uid="{00000000-0006-0000-0000-0000A4000000}">
      <text>
        <r>
          <rPr>
            <b/>
            <sz val="10"/>
            <color indexed="81"/>
            <rFont val="Tahoma"/>
            <family val="2"/>
          </rPr>
          <t>Author:</t>
        </r>
        <r>
          <rPr>
            <sz val="10"/>
            <color indexed="81"/>
            <rFont val="Tahoma"/>
            <family val="2"/>
          </rPr>
          <t xml:space="preserve">
1-line, L-21500 E2-1 </t>
        </r>
      </text>
    </comment>
    <comment ref="G17" authorId="0" shapeId="0" xr:uid="{00000000-0006-0000-0000-0000A5000000}">
      <text>
        <r>
          <rPr>
            <b/>
            <sz val="10"/>
            <color indexed="81"/>
            <rFont val="Tahoma"/>
            <family val="2"/>
          </rPr>
          <t>Author:</t>
        </r>
        <r>
          <rPr>
            <sz val="10"/>
            <color indexed="81"/>
            <rFont val="Tahoma"/>
            <family val="2"/>
          </rPr>
          <t xml:space="preserve">
See summary of Equipment document</t>
        </r>
      </text>
    </comment>
    <comment ref="J17" authorId="0" shapeId="0" xr:uid="{00000000-0006-0000-0000-0000A6000000}">
      <text>
        <r>
          <rPr>
            <b/>
            <sz val="10"/>
            <color indexed="81"/>
            <rFont val="Tahoma"/>
            <family val="2"/>
          </rPr>
          <t>Author:</t>
        </r>
        <r>
          <rPr>
            <sz val="10"/>
            <color indexed="81"/>
            <rFont val="Tahoma"/>
            <family val="2"/>
          </rPr>
          <t xml:space="preserve">
See name plate picture, at 45C rise.</t>
        </r>
      </text>
    </comment>
    <comment ref="L17" authorId="0" shapeId="0" xr:uid="{00000000-0006-0000-0000-0000A7000000}">
      <text>
        <r>
          <rPr>
            <b/>
            <sz val="10"/>
            <color indexed="81"/>
            <rFont val="Tahoma"/>
            <family val="2"/>
          </rPr>
          <t>Author:</t>
        </r>
        <r>
          <rPr>
            <sz val="10"/>
            <color indexed="81"/>
            <rFont val="Tahoma"/>
            <family val="2"/>
          </rPr>
          <t xml:space="preserve">
See name plate picture</t>
        </r>
      </text>
    </comment>
    <comment ref="O17" authorId="0" shapeId="0" xr:uid="{00000000-0006-0000-0000-0000A8000000}">
      <text>
        <r>
          <rPr>
            <b/>
            <sz val="10"/>
            <color indexed="81"/>
            <rFont val="Tahoma"/>
            <family val="2"/>
          </rPr>
          <t>Author:</t>
        </r>
        <r>
          <rPr>
            <sz val="10"/>
            <color indexed="81"/>
            <rFont val="Tahoma"/>
            <family val="2"/>
          </rPr>
          <t xml:space="preserve">
1-line, L-21500 E2-1 and nameplate picture</t>
        </r>
      </text>
    </comment>
    <comment ref="S17" authorId="0" shapeId="0" xr:uid="{00000000-0006-0000-0000-0000A9000000}">
      <text>
        <r>
          <rPr>
            <b/>
            <sz val="9"/>
            <color indexed="81"/>
            <rFont val="Tahoma"/>
            <family val="2"/>
          </rPr>
          <t>Author:</t>
        </r>
        <r>
          <rPr>
            <sz val="9"/>
            <color indexed="81"/>
            <rFont val="Tahoma"/>
            <family val="2"/>
          </rPr>
          <t xml:space="preserve">
Tap 5</t>
        </r>
      </text>
    </comment>
    <comment ref="T17" authorId="0" shapeId="0" xr:uid="{00000000-0006-0000-0000-0000AA000000}">
      <text>
        <r>
          <rPr>
            <sz val="9"/>
            <color indexed="81"/>
            <rFont val="Tahoma"/>
            <family val="2"/>
          </rPr>
          <t>Value from switch nameplate
Limiting Element: Switches and Secondary Element
Transmission removed methodology to split current between switches.</t>
        </r>
      </text>
    </comment>
    <comment ref="V17" authorId="0" shapeId="0" xr:uid="{00000000-0006-0000-0000-0000AB000000}">
      <text>
        <r>
          <rPr>
            <b/>
            <sz val="9"/>
            <color indexed="81"/>
            <rFont val="Tahoma"/>
            <family val="2"/>
          </rPr>
          <t>Author:</t>
        </r>
        <r>
          <rPr>
            <sz val="9"/>
            <color indexed="81"/>
            <rFont val="Tahoma"/>
            <family val="2"/>
          </rPr>
          <t xml:space="preserve">
From Nameplate</t>
        </r>
      </text>
    </comment>
    <comment ref="W17" authorId="0" shapeId="0" xr:uid="{00000000-0006-0000-0000-0000AC000000}">
      <text>
        <r>
          <rPr>
            <b/>
            <sz val="9"/>
            <color indexed="81"/>
            <rFont val="Tahoma"/>
            <family val="2"/>
          </rPr>
          <t>Brady Nunn:</t>
        </r>
        <r>
          <rPr>
            <sz val="9"/>
            <color indexed="81"/>
            <rFont val="Tahoma"/>
            <family val="2"/>
          </rPr>
          <t xml:space="preserve">
50 Function not available
51 Function Not Available
21 Function evaluated to PRC-025
67 Function evaluated to PRC-025</t>
        </r>
      </text>
    </comment>
    <comment ref="Y17" authorId="0" shapeId="0" xr:uid="{110179AE-3447-4091-8672-568C678A5DF2}">
      <text>
        <r>
          <rPr>
            <b/>
            <sz val="9"/>
            <color indexed="81"/>
            <rFont val="Tahoma"/>
            <family val="2"/>
          </rPr>
          <t>Author:</t>
        </r>
        <r>
          <rPr>
            <sz val="9"/>
            <color indexed="81"/>
            <rFont val="Tahoma"/>
            <family val="2"/>
          </rPr>
          <t xml:space="preserve">
Nameplate</t>
        </r>
      </text>
    </comment>
    <comment ref="AC17" authorId="0" shapeId="0" xr:uid="{00000000-0006-0000-0000-0000AD000000}">
      <text>
        <r>
          <rPr>
            <b/>
            <sz val="10"/>
            <color indexed="81"/>
            <rFont val="Tahoma"/>
            <family val="2"/>
          </rPr>
          <t>Author:</t>
        </r>
        <r>
          <rPr>
            <sz val="10"/>
            <color indexed="81"/>
            <rFont val="Tahoma"/>
            <family val="2"/>
          </rPr>
          <t xml:space="preserve">
Info from Generator Data sheet, corrected for altitude.</t>
        </r>
      </text>
    </comment>
    <comment ref="AD17" authorId="0" shapeId="0" xr:uid="{00000000-0006-0000-0000-0000AE000000}">
      <text>
        <r>
          <rPr>
            <b/>
            <sz val="10"/>
            <color indexed="81"/>
            <rFont val="Tahoma"/>
            <family val="2"/>
          </rPr>
          <t>Author:</t>
        </r>
        <r>
          <rPr>
            <sz val="10"/>
            <color indexed="81"/>
            <rFont val="Tahoma"/>
            <family val="2"/>
          </rPr>
          <t xml:space="preserve">
See K14-76T-E5091</t>
        </r>
      </text>
    </comment>
    <comment ref="C18" authorId="0" shapeId="0" xr:uid="{00000000-0006-0000-0000-0000AF000000}">
      <text>
        <r>
          <rPr>
            <b/>
            <sz val="9"/>
            <color indexed="81"/>
            <rFont val="Tahoma"/>
            <family val="2"/>
          </rPr>
          <t>Author:</t>
        </r>
        <r>
          <rPr>
            <sz val="9"/>
            <color indexed="81"/>
            <rFont val="Tahoma"/>
            <family val="2"/>
          </rPr>
          <t xml:space="preserve">
1-Line Dwg E11007-ESHVE107001 and nameplate picture.</t>
        </r>
      </text>
    </comment>
    <comment ref="D18" authorId="0" shapeId="0" xr:uid="{00000000-0006-0000-0000-0000B0000000}">
      <text>
        <r>
          <rPr>
            <b/>
            <sz val="9"/>
            <color indexed="81"/>
            <rFont val="Tahoma"/>
            <family val="2"/>
          </rPr>
          <t>Author:</t>
        </r>
        <r>
          <rPr>
            <sz val="9"/>
            <color indexed="81"/>
            <rFont val="Tahoma"/>
            <family val="2"/>
          </rPr>
          <t xml:space="preserve">
1-Line Dwg E11007-ESHVE107001 and nameplate picture.</t>
        </r>
      </text>
    </comment>
    <comment ref="E18" authorId="0" shapeId="0" xr:uid="{00000000-0006-0000-0000-0000B1000000}">
      <text>
        <r>
          <rPr>
            <b/>
            <sz val="9"/>
            <color indexed="81"/>
            <rFont val="Tahoma"/>
            <family val="2"/>
          </rPr>
          <t>Author:</t>
        </r>
        <r>
          <rPr>
            <sz val="9"/>
            <color indexed="81"/>
            <rFont val="Tahoma"/>
            <family val="2"/>
          </rPr>
          <t xml:space="preserve">
See nameplate picture.</t>
        </r>
      </text>
    </comment>
    <comment ref="F18" authorId="0" shapeId="0" xr:uid="{00000000-0006-0000-0000-0000B2000000}">
      <text>
        <r>
          <rPr>
            <b/>
            <sz val="9"/>
            <color indexed="81"/>
            <rFont val="Tahoma"/>
            <family val="2"/>
          </rPr>
          <t>Author:</t>
        </r>
        <r>
          <rPr>
            <sz val="9"/>
            <color indexed="81"/>
            <rFont val="Tahoma"/>
            <family val="2"/>
          </rPr>
          <t xml:space="preserve">
1-Line Dwg E11005-ESHVE105001.</t>
        </r>
      </text>
    </comment>
    <comment ref="G18" authorId="0" shapeId="0" xr:uid="{00000000-0006-0000-0000-0000B3000000}">
      <text>
        <r>
          <rPr>
            <b/>
            <sz val="9"/>
            <color indexed="81"/>
            <rFont val="Tahoma"/>
            <family val="2"/>
          </rPr>
          <t>Author:</t>
        </r>
        <r>
          <rPr>
            <sz val="9"/>
            <color indexed="81"/>
            <rFont val="Tahoma"/>
            <family val="2"/>
          </rPr>
          <t xml:space="preserve">
1-Line Dwg E11007-ESHVE107001.</t>
        </r>
      </text>
    </comment>
    <comment ref="H18" authorId="0" shapeId="0" xr:uid="{00000000-0006-0000-0000-0000B4000000}">
      <text>
        <r>
          <rPr>
            <b/>
            <sz val="9"/>
            <color indexed="81"/>
            <rFont val="Tahoma"/>
            <family val="2"/>
          </rPr>
          <t>Author:</t>
        </r>
        <r>
          <rPr>
            <sz val="9"/>
            <color indexed="81"/>
            <rFont val="Tahoma"/>
            <family val="2"/>
          </rPr>
          <t xml:space="preserve">
1-Line Dwg E11007-ESHVE107001.</t>
        </r>
      </text>
    </comment>
    <comment ref="J18" authorId="0" shapeId="0" xr:uid="{00000000-0006-0000-0000-0000B5000000}">
      <text>
        <r>
          <rPr>
            <b/>
            <sz val="9"/>
            <color indexed="81"/>
            <rFont val="Tahoma"/>
            <family val="2"/>
          </rPr>
          <t>Author:</t>
        </r>
        <r>
          <rPr>
            <sz val="9"/>
            <color indexed="81"/>
            <rFont val="Tahoma"/>
            <family val="2"/>
          </rPr>
          <t xml:space="preserve">
1-Line Dwg E11007-ESHVE107001 and nameplate picture.</t>
        </r>
      </text>
    </comment>
    <comment ref="L18" authorId="0" shapeId="0" xr:uid="{00000000-0006-0000-0000-0000B6000000}">
      <text>
        <r>
          <rPr>
            <b/>
            <sz val="9"/>
            <color indexed="81"/>
            <rFont val="Tahoma"/>
            <family val="2"/>
          </rPr>
          <t>Author:</t>
        </r>
        <r>
          <rPr>
            <sz val="9"/>
            <color indexed="81"/>
            <rFont val="Tahoma"/>
            <family val="2"/>
          </rPr>
          <t xml:space="preserve">
1-Line Dwg E11007-ESHVE107001 and nameplate picture.</t>
        </r>
      </text>
    </comment>
    <comment ref="N18" authorId="0" shapeId="0" xr:uid="{00000000-0006-0000-0000-0000B7000000}">
      <text>
        <r>
          <rPr>
            <b/>
            <sz val="9"/>
            <color indexed="81"/>
            <rFont val="Tahoma"/>
            <family val="2"/>
          </rPr>
          <t>Author:</t>
        </r>
        <r>
          <rPr>
            <sz val="9"/>
            <color indexed="81"/>
            <rFont val="Tahoma"/>
            <family val="2"/>
          </rPr>
          <t xml:space="preserve">
1-Line Dwg E11005-ESHVE105002 and nameplate picture.</t>
        </r>
      </text>
    </comment>
    <comment ref="O18" authorId="0" shapeId="0" xr:uid="{00000000-0006-0000-0000-0000B8000000}">
      <text>
        <r>
          <rPr>
            <b/>
            <sz val="9"/>
            <color indexed="81"/>
            <rFont val="Tahoma"/>
            <family val="2"/>
          </rPr>
          <t>Author:</t>
        </r>
        <r>
          <rPr>
            <sz val="9"/>
            <color indexed="81"/>
            <rFont val="Tahoma"/>
            <family val="2"/>
          </rPr>
          <t xml:space="preserve">
1-Line Dwg E11005-ESHVE105002 and nameplate picture.
</t>
        </r>
      </text>
    </comment>
    <comment ref="Q18" authorId="0" shapeId="0" xr:uid="{00000000-0006-0000-0000-0000B9000000}">
      <text>
        <r>
          <rPr>
            <b/>
            <sz val="9"/>
            <color indexed="81"/>
            <rFont val="Tahoma"/>
            <family val="2"/>
          </rPr>
          <t>Author:</t>
        </r>
        <r>
          <rPr>
            <sz val="9"/>
            <color indexed="81"/>
            <rFont val="Tahoma"/>
            <family val="2"/>
          </rPr>
          <t xml:space="preserve">
1-Line Dwg E11005-ESHVE105001.</t>
        </r>
      </text>
    </comment>
    <comment ref="R18" authorId="0" shapeId="0" xr:uid="{00000000-0006-0000-0000-0000BA000000}">
      <text>
        <r>
          <rPr>
            <b/>
            <sz val="9"/>
            <color indexed="81"/>
            <rFont val="Tahoma"/>
            <family val="2"/>
          </rPr>
          <t>Author:</t>
        </r>
        <r>
          <rPr>
            <sz val="9"/>
            <color indexed="81"/>
            <rFont val="Tahoma"/>
            <family val="2"/>
          </rPr>
          <t xml:space="preserve">
1-Line Dwg E11005-ESHVE105001.</t>
        </r>
      </text>
    </comment>
    <comment ref="S18" authorId="0" shapeId="0" xr:uid="{00000000-0006-0000-0000-0000BB000000}">
      <text>
        <r>
          <rPr>
            <b/>
            <sz val="9"/>
            <color indexed="81"/>
            <rFont val="Tahoma"/>
            <family val="2"/>
          </rPr>
          <t>Author:</t>
        </r>
        <r>
          <rPr>
            <sz val="9"/>
            <color indexed="81"/>
            <rFont val="Tahoma"/>
            <family val="2"/>
          </rPr>
          <t xml:space="preserve">
Tap 3</t>
        </r>
      </text>
    </comment>
    <comment ref="T18" authorId="0" shapeId="0" xr:uid="{00000000-0006-0000-0000-0000BC000000}">
      <text>
        <r>
          <rPr>
            <b/>
            <sz val="9"/>
            <color indexed="81"/>
            <rFont val="Tahoma"/>
            <family val="2"/>
          </rPr>
          <t>Author:</t>
        </r>
        <r>
          <rPr>
            <sz val="9"/>
            <color indexed="81"/>
            <rFont val="Tahoma"/>
            <family val="2"/>
          </rPr>
          <t xml:space="preserve">
See sheet 2</t>
        </r>
      </text>
    </comment>
    <comment ref="V18" authorId="0" shapeId="0" xr:uid="{00000000-0006-0000-0000-0000BD000000}">
      <text>
        <r>
          <rPr>
            <b/>
            <sz val="9"/>
            <color indexed="81"/>
            <rFont val="Tahoma"/>
            <family val="2"/>
          </rPr>
          <t>Author:</t>
        </r>
        <r>
          <rPr>
            <sz val="9"/>
            <color indexed="81"/>
            <rFont val="Tahoma"/>
            <family val="2"/>
          </rPr>
          <t xml:space="preserve">
agrees with nameplate</t>
        </r>
      </text>
    </comment>
    <comment ref="W18" authorId="0" shapeId="0" xr:uid="{00000000-0006-0000-0000-0000BE000000}">
      <text>
        <r>
          <rPr>
            <b/>
            <sz val="9"/>
            <color indexed="81"/>
            <rFont val="Tahoma"/>
            <family val="2"/>
          </rPr>
          <t>Brady Nunn:</t>
        </r>
        <r>
          <rPr>
            <sz val="9"/>
            <color indexed="81"/>
            <rFont val="Tahoma"/>
            <family val="2"/>
          </rPr>
          <t xml:space="preserve">
50 Relay setting set above 51 setting
51 function is set to 6.67 Amps on 115kV 1600:5 = 2134 Primary = 13978A Secondary. 
21 function has been evaluated to PRC-025.  </t>
        </r>
      </text>
    </comment>
    <comment ref="Y18" authorId="0" shapeId="0" xr:uid="{39D7D642-CA5A-4154-AD73-AF37A4B92EE2}">
      <text>
        <r>
          <rPr>
            <b/>
            <sz val="9"/>
            <color indexed="81"/>
            <rFont val="Tahoma"/>
            <family val="2"/>
          </rPr>
          <t>Author:</t>
        </r>
        <r>
          <rPr>
            <sz val="9"/>
            <color indexed="81"/>
            <rFont val="Tahoma"/>
            <family val="2"/>
          </rPr>
          <t xml:space="preserve">
Nameplate</t>
        </r>
      </text>
    </comment>
    <comment ref="C19" authorId="0" shapeId="0" xr:uid="{00000000-0006-0000-0000-0000BF000000}">
      <text>
        <r>
          <rPr>
            <b/>
            <sz val="9"/>
            <color indexed="81"/>
            <rFont val="Tahoma"/>
            <family val="2"/>
          </rPr>
          <t>Author:</t>
        </r>
        <r>
          <rPr>
            <sz val="9"/>
            <color indexed="81"/>
            <rFont val="Tahoma"/>
            <family val="2"/>
          </rPr>
          <t xml:space="preserve">
1-Line Dwg E11007-ESHVE107001 and nameplate picture.</t>
        </r>
      </text>
    </comment>
    <comment ref="D19" authorId="0" shapeId="0" xr:uid="{00000000-0006-0000-0000-0000C0000000}">
      <text>
        <r>
          <rPr>
            <b/>
            <sz val="9"/>
            <color indexed="81"/>
            <rFont val="Tahoma"/>
            <family val="2"/>
          </rPr>
          <t>Author:</t>
        </r>
        <r>
          <rPr>
            <sz val="9"/>
            <color indexed="81"/>
            <rFont val="Tahoma"/>
            <family val="2"/>
          </rPr>
          <t xml:space="preserve">
1-Line Dwg E11007-ESHVE107001 and nameplate picture.</t>
        </r>
      </text>
    </comment>
    <comment ref="E19" authorId="0" shapeId="0" xr:uid="{00000000-0006-0000-0000-0000C1000000}">
      <text>
        <r>
          <rPr>
            <b/>
            <sz val="9"/>
            <color indexed="81"/>
            <rFont val="Tahoma"/>
            <family val="2"/>
          </rPr>
          <t>Author:</t>
        </r>
        <r>
          <rPr>
            <sz val="9"/>
            <color indexed="81"/>
            <rFont val="Tahoma"/>
            <family val="2"/>
          </rPr>
          <t xml:space="preserve">
See nameplate picture.</t>
        </r>
      </text>
    </comment>
    <comment ref="F19" authorId="0" shapeId="0" xr:uid="{00000000-0006-0000-0000-0000C2000000}">
      <text>
        <r>
          <rPr>
            <b/>
            <sz val="9"/>
            <color indexed="81"/>
            <rFont val="Tahoma"/>
            <family val="2"/>
          </rPr>
          <t>Author:</t>
        </r>
        <r>
          <rPr>
            <sz val="9"/>
            <color indexed="81"/>
            <rFont val="Tahoma"/>
            <family val="2"/>
          </rPr>
          <t xml:space="preserve">
1-Line Dwg E11005-ESHVE105001.</t>
        </r>
      </text>
    </comment>
    <comment ref="G19" authorId="0" shapeId="0" xr:uid="{00000000-0006-0000-0000-0000C3000000}">
      <text>
        <r>
          <rPr>
            <b/>
            <sz val="9"/>
            <color indexed="81"/>
            <rFont val="Tahoma"/>
            <family val="2"/>
          </rPr>
          <t>Author:</t>
        </r>
        <r>
          <rPr>
            <sz val="9"/>
            <color indexed="81"/>
            <rFont val="Tahoma"/>
            <family val="2"/>
          </rPr>
          <t xml:space="preserve">
1-Line Dwg E11007-ESHVE107001.</t>
        </r>
      </text>
    </comment>
    <comment ref="H19" authorId="0" shapeId="0" xr:uid="{00000000-0006-0000-0000-0000C4000000}">
      <text>
        <r>
          <rPr>
            <b/>
            <sz val="9"/>
            <color indexed="81"/>
            <rFont val="Tahoma"/>
            <family val="2"/>
          </rPr>
          <t>Author:</t>
        </r>
        <r>
          <rPr>
            <sz val="9"/>
            <color indexed="81"/>
            <rFont val="Tahoma"/>
            <family val="2"/>
          </rPr>
          <t xml:space="preserve">
1-Line Dwg E11007-ESHVE107001.</t>
        </r>
      </text>
    </comment>
    <comment ref="J19" authorId="0" shapeId="0" xr:uid="{00000000-0006-0000-0000-0000C5000000}">
      <text>
        <r>
          <rPr>
            <b/>
            <sz val="9"/>
            <color indexed="81"/>
            <rFont val="Tahoma"/>
            <family val="2"/>
          </rPr>
          <t>Author:</t>
        </r>
        <r>
          <rPr>
            <sz val="9"/>
            <color indexed="81"/>
            <rFont val="Tahoma"/>
            <family val="2"/>
          </rPr>
          <t xml:space="preserve">
1-Line Dwg E11007-ESHVE107001 and nameplate picture.</t>
        </r>
      </text>
    </comment>
    <comment ref="L19" authorId="0" shapeId="0" xr:uid="{00000000-0006-0000-0000-0000C6000000}">
      <text>
        <r>
          <rPr>
            <b/>
            <sz val="9"/>
            <color indexed="81"/>
            <rFont val="Tahoma"/>
            <family val="2"/>
          </rPr>
          <t>Author:</t>
        </r>
        <r>
          <rPr>
            <sz val="9"/>
            <color indexed="81"/>
            <rFont val="Tahoma"/>
            <family val="2"/>
          </rPr>
          <t xml:space="preserve">
1-Line Dwg E11007-ESHVE107001 and nameplate picture.</t>
        </r>
      </text>
    </comment>
    <comment ref="N19" authorId="0" shapeId="0" xr:uid="{00000000-0006-0000-0000-0000C7000000}">
      <text>
        <r>
          <rPr>
            <b/>
            <sz val="9"/>
            <color indexed="81"/>
            <rFont val="Tahoma"/>
            <family val="2"/>
          </rPr>
          <t>Author:</t>
        </r>
        <r>
          <rPr>
            <sz val="9"/>
            <color indexed="81"/>
            <rFont val="Tahoma"/>
            <family val="2"/>
          </rPr>
          <t xml:space="preserve">
1-Line Dwg E11005-ESHVE105002 and nameplate picture.</t>
        </r>
      </text>
    </comment>
    <comment ref="O19" authorId="0" shapeId="0" xr:uid="{00000000-0006-0000-0000-0000C8000000}">
      <text>
        <r>
          <rPr>
            <b/>
            <sz val="9"/>
            <color indexed="81"/>
            <rFont val="Tahoma"/>
            <family val="2"/>
          </rPr>
          <t>Author:</t>
        </r>
        <r>
          <rPr>
            <sz val="9"/>
            <color indexed="81"/>
            <rFont val="Tahoma"/>
            <family val="2"/>
          </rPr>
          <t xml:space="preserve">
1-Line Dwg E11005-ESHVE105002 and nameplate picture.
</t>
        </r>
      </text>
    </comment>
    <comment ref="Q19" authorId="0" shapeId="0" xr:uid="{00000000-0006-0000-0000-0000C9000000}">
      <text>
        <r>
          <rPr>
            <b/>
            <sz val="9"/>
            <color indexed="81"/>
            <rFont val="Tahoma"/>
            <family val="2"/>
          </rPr>
          <t>Author:</t>
        </r>
        <r>
          <rPr>
            <sz val="9"/>
            <color indexed="81"/>
            <rFont val="Tahoma"/>
            <family val="2"/>
          </rPr>
          <t xml:space="preserve">
1-Line Dwg E11005-ESHVE105001.</t>
        </r>
      </text>
    </comment>
    <comment ref="R19" authorId="0" shapeId="0" xr:uid="{00000000-0006-0000-0000-0000CA000000}">
      <text>
        <r>
          <rPr>
            <b/>
            <sz val="9"/>
            <color indexed="81"/>
            <rFont val="Tahoma"/>
            <family val="2"/>
          </rPr>
          <t>Author:</t>
        </r>
        <r>
          <rPr>
            <sz val="9"/>
            <color indexed="81"/>
            <rFont val="Tahoma"/>
            <family val="2"/>
          </rPr>
          <t xml:space="preserve">
1-Line Dwg E11005-ESHVE105001.</t>
        </r>
      </text>
    </comment>
    <comment ref="S19" authorId="0" shapeId="0" xr:uid="{00000000-0006-0000-0000-0000CB000000}">
      <text>
        <r>
          <rPr>
            <b/>
            <sz val="9"/>
            <color indexed="81"/>
            <rFont val="Tahoma"/>
            <family val="2"/>
          </rPr>
          <t>Author:</t>
        </r>
        <r>
          <rPr>
            <sz val="9"/>
            <color indexed="81"/>
            <rFont val="Tahoma"/>
            <family val="2"/>
          </rPr>
          <t xml:space="preserve">
Tap 3</t>
        </r>
      </text>
    </comment>
    <comment ref="T19" authorId="0" shapeId="0" xr:uid="{00000000-0006-0000-0000-0000CC000000}">
      <text>
        <r>
          <rPr>
            <b/>
            <sz val="9"/>
            <color indexed="81"/>
            <rFont val="Tahoma"/>
            <family val="2"/>
          </rPr>
          <t>Author:</t>
        </r>
        <r>
          <rPr>
            <sz val="9"/>
            <color indexed="81"/>
            <rFont val="Tahoma"/>
            <family val="2"/>
          </rPr>
          <t xml:space="preserve">
See sheet 2</t>
        </r>
      </text>
    </comment>
    <comment ref="W19" authorId="0" shapeId="0" xr:uid="{00000000-0006-0000-0000-0000CD000000}">
      <text>
        <r>
          <rPr>
            <b/>
            <sz val="9"/>
            <color indexed="81"/>
            <rFont val="Tahoma"/>
            <family val="2"/>
          </rPr>
          <t xml:space="preserve">Brady Nunn:
</t>
        </r>
        <r>
          <rPr>
            <sz val="9"/>
            <color indexed="81"/>
            <rFont val="Tahoma"/>
            <family val="2"/>
          </rPr>
          <t xml:space="preserve">50 Relay setting set above 51 setting
51 function is set to 6.67 Amps on 115kV 1600:5 = 2134 Primary = 13978A Secondary. 
21 function has been evaluated to PRC-025. </t>
        </r>
      </text>
    </comment>
    <comment ref="Y19" authorId="0" shapeId="0" xr:uid="{F04CC4E4-765C-4ACB-BC58-37F521B28C5F}">
      <text>
        <r>
          <rPr>
            <b/>
            <sz val="9"/>
            <color indexed="81"/>
            <rFont val="Tahoma"/>
            <family val="2"/>
          </rPr>
          <t>Author:</t>
        </r>
        <r>
          <rPr>
            <sz val="9"/>
            <color indexed="81"/>
            <rFont val="Tahoma"/>
            <family val="2"/>
          </rPr>
          <t xml:space="preserve">
Nameplate</t>
        </r>
      </text>
    </comment>
    <comment ref="C20" authorId="0" shapeId="0" xr:uid="{00000000-0006-0000-0000-0000CE000000}">
      <text>
        <r>
          <rPr>
            <b/>
            <sz val="9"/>
            <color indexed="81"/>
            <rFont val="Tahoma"/>
            <family val="2"/>
          </rPr>
          <t>Author:</t>
        </r>
        <r>
          <rPr>
            <sz val="9"/>
            <color indexed="81"/>
            <rFont val="Tahoma"/>
            <family val="2"/>
          </rPr>
          <t xml:space="preserve">
1-Line Dwg E11007-ESHVE107001 and nameplate picture.</t>
        </r>
      </text>
    </comment>
    <comment ref="D20" authorId="0" shapeId="0" xr:uid="{00000000-0006-0000-0000-0000CF000000}">
      <text>
        <r>
          <rPr>
            <b/>
            <sz val="9"/>
            <color indexed="81"/>
            <rFont val="Tahoma"/>
            <family val="2"/>
          </rPr>
          <t>Author:</t>
        </r>
        <r>
          <rPr>
            <sz val="9"/>
            <color indexed="81"/>
            <rFont val="Tahoma"/>
            <family val="2"/>
          </rPr>
          <t xml:space="preserve">
1-Line Dwg E11007-ESHVE107001 and nameplate picture.</t>
        </r>
      </text>
    </comment>
    <comment ref="E20" authorId="0" shapeId="0" xr:uid="{00000000-0006-0000-0000-0000D0000000}">
      <text>
        <r>
          <rPr>
            <b/>
            <sz val="9"/>
            <color indexed="81"/>
            <rFont val="Tahoma"/>
            <family val="2"/>
          </rPr>
          <t>Author:</t>
        </r>
        <r>
          <rPr>
            <sz val="9"/>
            <color indexed="81"/>
            <rFont val="Tahoma"/>
            <family val="2"/>
          </rPr>
          <t xml:space="preserve">
See nameplate picture.</t>
        </r>
      </text>
    </comment>
    <comment ref="F20" authorId="0" shapeId="0" xr:uid="{00000000-0006-0000-0000-0000D1000000}">
      <text>
        <r>
          <rPr>
            <b/>
            <sz val="9"/>
            <color indexed="81"/>
            <rFont val="Tahoma"/>
            <family val="2"/>
          </rPr>
          <t>Author:</t>
        </r>
        <r>
          <rPr>
            <sz val="9"/>
            <color indexed="81"/>
            <rFont val="Tahoma"/>
            <family val="2"/>
          </rPr>
          <t xml:space="preserve">
1-Line Dwg E11006-ESHVE106001.</t>
        </r>
      </text>
    </comment>
    <comment ref="G20" authorId="0" shapeId="0" xr:uid="{00000000-0006-0000-0000-0000D2000000}">
      <text>
        <r>
          <rPr>
            <b/>
            <sz val="9"/>
            <color indexed="81"/>
            <rFont val="Tahoma"/>
            <family val="2"/>
          </rPr>
          <t>Author:</t>
        </r>
        <r>
          <rPr>
            <sz val="9"/>
            <color indexed="81"/>
            <rFont val="Tahoma"/>
            <family val="2"/>
          </rPr>
          <t xml:space="preserve">
1-Line Dwg E11007-ESHVE107001.</t>
        </r>
      </text>
    </comment>
    <comment ref="H20" authorId="0" shapeId="0" xr:uid="{00000000-0006-0000-0000-0000D3000000}">
      <text>
        <r>
          <rPr>
            <b/>
            <sz val="9"/>
            <color indexed="81"/>
            <rFont val="Tahoma"/>
            <family val="2"/>
          </rPr>
          <t>Author:</t>
        </r>
        <r>
          <rPr>
            <sz val="9"/>
            <color indexed="81"/>
            <rFont val="Tahoma"/>
            <family val="2"/>
          </rPr>
          <t xml:space="preserve">
1-Line Dwg E11007-ESHVE107001.</t>
        </r>
      </text>
    </comment>
    <comment ref="J20" authorId="0" shapeId="0" xr:uid="{00000000-0006-0000-0000-0000D4000000}">
      <text>
        <r>
          <rPr>
            <b/>
            <sz val="9"/>
            <color indexed="81"/>
            <rFont val="Tahoma"/>
            <family val="2"/>
          </rPr>
          <t>Author:</t>
        </r>
        <r>
          <rPr>
            <sz val="9"/>
            <color indexed="81"/>
            <rFont val="Tahoma"/>
            <family val="2"/>
          </rPr>
          <t xml:space="preserve">
1-Line Dwg E11007-ESHVE107001 and nameplate picture.</t>
        </r>
      </text>
    </comment>
    <comment ref="L20" authorId="0" shapeId="0" xr:uid="{00000000-0006-0000-0000-0000D5000000}">
      <text>
        <r>
          <rPr>
            <b/>
            <sz val="9"/>
            <color indexed="81"/>
            <rFont val="Tahoma"/>
            <family val="2"/>
          </rPr>
          <t>Author:</t>
        </r>
        <r>
          <rPr>
            <sz val="9"/>
            <color indexed="81"/>
            <rFont val="Tahoma"/>
            <family val="2"/>
          </rPr>
          <t xml:space="preserve">
1-Line Dwg E11007-ESHVE107001 and nameplate picture.</t>
        </r>
      </text>
    </comment>
    <comment ref="N20" authorId="0" shapeId="0" xr:uid="{00000000-0006-0000-0000-0000D6000000}">
      <text>
        <r>
          <rPr>
            <b/>
            <sz val="9"/>
            <color indexed="81"/>
            <rFont val="Tahoma"/>
            <family val="2"/>
          </rPr>
          <t>Author:</t>
        </r>
        <r>
          <rPr>
            <sz val="9"/>
            <color indexed="81"/>
            <rFont val="Tahoma"/>
            <family val="2"/>
          </rPr>
          <t xml:space="preserve">
1-Line Dwg E11006-ESHVE106002 and nameplate picture.</t>
        </r>
      </text>
    </comment>
    <comment ref="O20" authorId="0" shapeId="0" xr:uid="{00000000-0006-0000-0000-0000D7000000}">
      <text>
        <r>
          <rPr>
            <b/>
            <sz val="9"/>
            <color indexed="81"/>
            <rFont val="Tahoma"/>
            <family val="2"/>
          </rPr>
          <t>Author:</t>
        </r>
        <r>
          <rPr>
            <sz val="9"/>
            <color indexed="81"/>
            <rFont val="Tahoma"/>
            <family val="2"/>
          </rPr>
          <t xml:space="preserve">
1-Line Dwg E11006-ESHVE106002 and nameplate picture.
</t>
        </r>
      </text>
    </comment>
    <comment ref="Q20" authorId="0" shapeId="0" xr:uid="{00000000-0006-0000-0000-0000D8000000}">
      <text>
        <r>
          <rPr>
            <b/>
            <sz val="9"/>
            <color indexed="81"/>
            <rFont val="Tahoma"/>
            <family val="2"/>
          </rPr>
          <t>Author:</t>
        </r>
        <r>
          <rPr>
            <sz val="9"/>
            <color indexed="81"/>
            <rFont val="Tahoma"/>
            <family val="2"/>
          </rPr>
          <t xml:space="preserve">
1-Line Dwg E1106-ESHVE106001.</t>
        </r>
      </text>
    </comment>
    <comment ref="R20" authorId="0" shapeId="0" xr:uid="{00000000-0006-0000-0000-0000D9000000}">
      <text>
        <r>
          <rPr>
            <b/>
            <sz val="9"/>
            <color indexed="81"/>
            <rFont val="Tahoma"/>
            <family val="2"/>
          </rPr>
          <t>Author:</t>
        </r>
        <r>
          <rPr>
            <sz val="9"/>
            <color indexed="81"/>
            <rFont val="Tahoma"/>
            <family val="2"/>
          </rPr>
          <t xml:space="preserve">
1-Line Dwg E1106-ESHVE106001.</t>
        </r>
      </text>
    </comment>
    <comment ref="S20" authorId="0" shapeId="0" xr:uid="{00000000-0006-0000-0000-0000DA000000}">
      <text>
        <r>
          <rPr>
            <b/>
            <sz val="9"/>
            <color indexed="81"/>
            <rFont val="Tahoma"/>
            <family val="2"/>
          </rPr>
          <t>Author:</t>
        </r>
        <r>
          <rPr>
            <sz val="9"/>
            <color indexed="81"/>
            <rFont val="Tahoma"/>
            <family val="2"/>
          </rPr>
          <t xml:space="preserve">
Tap 3</t>
        </r>
      </text>
    </comment>
    <comment ref="T20" authorId="0" shapeId="0" xr:uid="{00000000-0006-0000-0000-0000DB000000}">
      <text>
        <r>
          <rPr>
            <b/>
            <sz val="9"/>
            <color indexed="81"/>
            <rFont val="Tahoma"/>
            <family val="2"/>
          </rPr>
          <t>Author:</t>
        </r>
        <r>
          <rPr>
            <sz val="9"/>
            <color indexed="81"/>
            <rFont val="Tahoma"/>
            <family val="2"/>
          </rPr>
          <t xml:space="preserve">
See sheet 2</t>
        </r>
      </text>
    </comment>
    <comment ref="V20" authorId="0" shapeId="0" xr:uid="{00000000-0006-0000-0000-0000DC000000}">
      <text>
        <r>
          <rPr>
            <b/>
            <sz val="9"/>
            <color indexed="81"/>
            <rFont val="Tahoma"/>
            <family val="2"/>
          </rPr>
          <t>Author:</t>
        </r>
        <r>
          <rPr>
            <sz val="9"/>
            <color indexed="81"/>
            <rFont val="Tahoma"/>
            <family val="2"/>
          </rPr>
          <t xml:space="preserve">
agrees with nameplate</t>
        </r>
      </text>
    </comment>
    <comment ref="W20" authorId="0" shapeId="0" xr:uid="{00000000-0006-0000-0000-0000DD000000}">
      <text>
        <r>
          <rPr>
            <b/>
            <sz val="9"/>
            <color indexed="81"/>
            <rFont val="Tahoma"/>
            <family val="2"/>
          </rPr>
          <t xml:space="preserve">Brady Nunn:
</t>
        </r>
        <r>
          <rPr>
            <sz val="9"/>
            <color indexed="81"/>
            <rFont val="Tahoma"/>
            <family val="2"/>
          </rPr>
          <t xml:space="preserve">50 Relay setting set above 51 setting
51 function is set to 6.67 Amps on 115kV 1600:5 = 2134 Primary = 13978A Secondary. 
21 function has been evaluated to PRC-025. </t>
        </r>
      </text>
    </comment>
    <comment ref="Y20" authorId="0" shapeId="0" xr:uid="{CE50E71D-DAF1-4389-BA00-1F187D67761E}">
      <text>
        <r>
          <rPr>
            <b/>
            <sz val="9"/>
            <color indexed="81"/>
            <rFont val="Tahoma"/>
            <family val="2"/>
          </rPr>
          <t>Author:</t>
        </r>
        <r>
          <rPr>
            <sz val="9"/>
            <color indexed="81"/>
            <rFont val="Tahoma"/>
            <family val="2"/>
          </rPr>
          <t xml:space="preserve">
Nameplate</t>
        </r>
      </text>
    </comment>
    <comment ref="C21" authorId="0" shapeId="0" xr:uid="{00000000-0006-0000-0000-0000DE000000}">
      <text>
        <r>
          <rPr>
            <b/>
            <sz val="9"/>
            <color indexed="81"/>
            <rFont val="Tahoma"/>
            <family val="2"/>
          </rPr>
          <t>Author:</t>
        </r>
        <r>
          <rPr>
            <sz val="9"/>
            <color indexed="81"/>
            <rFont val="Tahoma"/>
            <family val="2"/>
          </rPr>
          <t xml:space="preserve">
1-Line Dwg E11007-ESHVE107001 and nameplate picture.</t>
        </r>
      </text>
    </comment>
    <comment ref="D21" authorId="0" shapeId="0" xr:uid="{00000000-0006-0000-0000-0000DF000000}">
      <text>
        <r>
          <rPr>
            <b/>
            <sz val="9"/>
            <color indexed="81"/>
            <rFont val="Tahoma"/>
            <family val="2"/>
          </rPr>
          <t>Author:</t>
        </r>
        <r>
          <rPr>
            <sz val="9"/>
            <color indexed="81"/>
            <rFont val="Tahoma"/>
            <family val="2"/>
          </rPr>
          <t xml:space="preserve">
1-Line Dwg E11007-ESHVE107001 and nameplate picture.</t>
        </r>
      </text>
    </comment>
    <comment ref="E21" authorId="0" shapeId="0" xr:uid="{00000000-0006-0000-0000-0000E0000000}">
      <text>
        <r>
          <rPr>
            <b/>
            <sz val="9"/>
            <color indexed="81"/>
            <rFont val="Tahoma"/>
            <family val="2"/>
          </rPr>
          <t>Author:</t>
        </r>
        <r>
          <rPr>
            <sz val="9"/>
            <color indexed="81"/>
            <rFont val="Tahoma"/>
            <family val="2"/>
          </rPr>
          <t xml:space="preserve">
See nameplate picture.</t>
        </r>
      </text>
    </comment>
    <comment ref="F21" authorId="0" shapeId="0" xr:uid="{00000000-0006-0000-0000-0000E1000000}">
      <text>
        <r>
          <rPr>
            <b/>
            <sz val="9"/>
            <color indexed="81"/>
            <rFont val="Tahoma"/>
            <family val="2"/>
          </rPr>
          <t>Author:</t>
        </r>
        <r>
          <rPr>
            <sz val="9"/>
            <color indexed="81"/>
            <rFont val="Tahoma"/>
            <family val="2"/>
          </rPr>
          <t xml:space="preserve">
1-Line Dwg E11006-ESHVE106001.</t>
        </r>
      </text>
    </comment>
    <comment ref="G21" authorId="0" shapeId="0" xr:uid="{00000000-0006-0000-0000-0000E2000000}">
      <text>
        <r>
          <rPr>
            <b/>
            <sz val="9"/>
            <color indexed="81"/>
            <rFont val="Tahoma"/>
            <family val="2"/>
          </rPr>
          <t>Author:</t>
        </r>
        <r>
          <rPr>
            <sz val="9"/>
            <color indexed="81"/>
            <rFont val="Tahoma"/>
            <family val="2"/>
          </rPr>
          <t xml:space="preserve">
1-Line Dwg E11007-ESHVE107001.</t>
        </r>
      </text>
    </comment>
    <comment ref="H21" authorId="0" shapeId="0" xr:uid="{00000000-0006-0000-0000-0000E3000000}">
      <text>
        <r>
          <rPr>
            <b/>
            <sz val="9"/>
            <color indexed="81"/>
            <rFont val="Tahoma"/>
            <family val="2"/>
          </rPr>
          <t>Author:</t>
        </r>
        <r>
          <rPr>
            <sz val="9"/>
            <color indexed="81"/>
            <rFont val="Tahoma"/>
            <family val="2"/>
          </rPr>
          <t xml:space="preserve">
1-Line Dwg E11007-ESHVE107001.</t>
        </r>
      </text>
    </comment>
    <comment ref="J21" authorId="0" shapeId="0" xr:uid="{00000000-0006-0000-0000-0000E4000000}">
      <text>
        <r>
          <rPr>
            <b/>
            <sz val="9"/>
            <color indexed="81"/>
            <rFont val="Tahoma"/>
            <family val="2"/>
          </rPr>
          <t>Author:</t>
        </r>
        <r>
          <rPr>
            <sz val="9"/>
            <color indexed="81"/>
            <rFont val="Tahoma"/>
            <family val="2"/>
          </rPr>
          <t xml:space="preserve">
1-Line Dwg E11007-ESHVE107001 and nameplate picture.</t>
        </r>
      </text>
    </comment>
    <comment ref="L21" authorId="0" shapeId="0" xr:uid="{00000000-0006-0000-0000-0000E5000000}">
      <text>
        <r>
          <rPr>
            <b/>
            <sz val="9"/>
            <color indexed="81"/>
            <rFont val="Tahoma"/>
            <family val="2"/>
          </rPr>
          <t>Author:</t>
        </r>
        <r>
          <rPr>
            <sz val="9"/>
            <color indexed="81"/>
            <rFont val="Tahoma"/>
            <family val="2"/>
          </rPr>
          <t xml:space="preserve">
1-Line Dwg E11007-ESHVE107001 and nameplate picture.</t>
        </r>
      </text>
    </comment>
    <comment ref="N21" authorId="0" shapeId="0" xr:uid="{00000000-0006-0000-0000-0000E6000000}">
      <text>
        <r>
          <rPr>
            <b/>
            <sz val="9"/>
            <color indexed="81"/>
            <rFont val="Tahoma"/>
            <family val="2"/>
          </rPr>
          <t>Author:</t>
        </r>
        <r>
          <rPr>
            <sz val="9"/>
            <color indexed="81"/>
            <rFont val="Tahoma"/>
            <family val="2"/>
          </rPr>
          <t xml:space="preserve">
1-Line Dwg E11006-ESHVE106002 and nameplate picture.</t>
        </r>
      </text>
    </comment>
    <comment ref="O21" authorId="0" shapeId="0" xr:uid="{00000000-0006-0000-0000-0000E7000000}">
      <text>
        <r>
          <rPr>
            <b/>
            <sz val="9"/>
            <color indexed="81"/>
            <rFont val="Tahoma"/>
            <family val="2"/>
          </rPr>
          <t>Author:</t>
        </r>
        <r>
          <rPr>
            <sz val="9"/>
            <color indexed="81"/>
            <rFont val="Tahoma"/>
            <family val="2"/>
          </rPr>
          <t xml:space="preserve">
1-Line Dwg E11006-ESHVE106002 and nameplate picture.
</t>
        </r>
      </text>
    </comment>
    <comment ref="Q21" authorId="0" shapeId="0" xr:uid="{00000000-0006-0000-0000-0000E8000000}">
      <text>
        <r>
          <rPr>
            <b/>
            <sz val="9"/>
            <color indexed="81"/>
            <rFont val="Tahoma"/>
            <family val="2"/>
          </rPr>
          <t>Author:</t>
        </r>
        <r>
          <rPr>
            <sz val="9"/>
            <color indexed="81"/>
            <rFont val="Tahoma"/>
            <family val="2"/>
          </rPr>
          <t xml:space="preserve">
1-Line Dwg E1106-ESHVE106001.</t>
        </r>
      </text>
    </comment>
    <comment ref="R21" authorId="0" shapeId="0" xr:uid="{00000000-0006-0000-0000-0000E9000000}">
      <text>
        <r>
          <rPr>
            <b/>
            <sz val="9"/>
            <color indexed="81"/>
            <rFont val="Tahoma"/>
            <family val="2"/>
          </rPr>
          <t>Author:</t>
        </r>
        <r>
          <rPr>
            <sz val="9"/>
            <color indexed="81"/>
            <rFont val="Tahoma"/>
            <family val="2"/>
          </rPr>
          <t xml:space="preserve">
1-Line Dwg E1106-ESHVE106001.</t>
        </r>
      </text>
    </comment>
    <comment ref="S21" authorId="0" shapeId="0" xr:uid="{00000000-0006-0000-0000-0000EA000000}">
      <text>
        <r>
          <rPr>
            <b/>
            <sz val="9"/>
            <color indexed="81"/>
            <rFont val="Tahoma"/>
            <family val="2"/>
          </rPr>
          <t>Author:</t>
        </r>
        <r>
          <rPr>
            <sz val="9"/>
            <color indexed="81"/>
            <rFont val="Tahoma"/>
            <family val="2"/>
          </rPr>
          <t xml:space="preserve">
Tap 3</t>
        </r>
      </text>
    </comment>
    <comment ref="T21" authorId="0" shapeId="0" xr:uid="{00000000-0006-0000-0000-0000EB000000}">
      <text>
        <r>
          <rPr>
            <b/>
            <sz val="9"/>
            <color indexed="81"/>
            <rFont val="Tahoma"/>
            <family val="2"/>
          </rPr>
          <t>Author:</t>
        </r>
        <r>
          <rPr>
            <sz val="9"/>
            <color indexed="81"/>
            <rFont val="Tahoma"/>
            <family val="2"/>
          </rPr>
          <t xml:space="preserve">
See sheet 2</t>
        </r>
      </text>
    </comment>
    <comment ref="W21" authorId="0" shapeId="0" xr:uid="{00000000-0006-0000-0000-0000EC000000}">
      <text>
        <r>
          <rPr>
            <b/>
            <sz val="9"/>
            <color indexed="81"/>
            <rFont val="Tahoma"/>
            <family val="2"/>
          </rPr>
          <t xml:space="preserve">Brady Nunn:
</t>
        </r>
        <r>
          <rPr>
            <sz val="9"/>
            <color indexed="81"/>
            <rFont val="Tahoma"/>
            <family val="2"/>
          </rPr>
          <t xml:space="preserve">50 Relay setting set above 51 setting
51 function is set to 6.67 Amps on 115kV 1600:5 = 2134 Primary = 13978A Secondary. 
21 function has been evaluated to PRC-025. </t>
        </r>
      </text>
    </comment>
    <comment ref="Y21" authorId="0" shapeId="0" xr:uid="{12547CD0-9FE2-4699-80A7-E8424E204DA7}">
      <text>
        <r>
          <rPr>
            <b/>
            <sz val="9"/>
            <color indexed="81"/>
            <rFont val="Tahoma"/>
            <family val="2"/>
          </rPr>
          <t>Author:</t>
        </r>
        <r>
          <rPr>
            <sz val="9"/>
            <color indexed="81"/>
            <rFont val="Tahoma"/>
            <family val="2"/>
          </rPr>
          <t xml:space="preserve">
Nameplate</t>
        </r>
      </text>
    </comment>
    <comment ref="C22" authorId="0" shapeId="0" xr:uid="{00000000-0006-0000-0000-0000ED000000}">
      <text>
        <r>
          <rPr>
            <b/>
            <sz val="9"/>
            <color indexed="81"/>
            <rFont val="Tahoma"/>
            <family val="2"/>
          </rPr>
          <t>Author:</t>
        </r>
        <r>
          <rPr>
            <sz val="9"/>
            <color indexed="81"/>
            <rFont val="Tahoma"/>
            <family val="2"/>
          </rPr>
          <t xml:space="preserve">
1-Line Dwg E11007-ESHVE107001 and nameplate picture.</t>
        </r>
      </text>
    </comment>
    <comment ref="D22" authorId="0" shapeId="0" xr:uid="{00000000-0006-0000-0000-0000EE000000}">
      <text>
        <r>
          <rPr>
            <b/>
            <sz val="9"/>
            <color indexed="81"/>
            <rFont val="Tahoma"/>
            <family val="2"/>
          </rPr>
          <t>Author:</t>
        </r>
        <r>
          <rPr>
            <sz val="9"/>
            <color indexed="81"/>
            <rFont val="Tahoma"/>
            <family val="2"/>
          </rPr>
          <t xml:space="preserve">
1-Line Dwg E11007-ESHVE107001 and nameplate picture.</t>
        </r>
      </text>
    </comment>
    <comment ref="E22" authorId="0" shapeId="0" xr:uid="{00000000-0006-0000-0000-0000EF000000}">
      <text>
        <r>
          <rPr>
            <b/>
            <sz val="9"/>
            <color indexed="81"/>
            <rFont val="Tahoma"/>
            <family val="2"/>
          </rPr>
          <t>Author:</t>
        </r>
        <r>
          <rPr>
            <sz val="9"/>
            <color indexed="81"/>
            <rFont val="Tahoma"/>
            <family val="2"/>
          </rPr>
          <t xml:space="preserve">
See nameplate picture.</t>
        </r>
      </text>
    </comment>
    <comment ref="F22" authorId="0" shapeId="0" xr:uid="{00000000-0006-0000-0000-0000F0000000}">
      <text>
        <r>
          <rPr>
            <b/>
            <sz val="9"/>
            <color indexed="81"/>
            <rFont val="Tahoma"/>
            <family val="2"/>
          </rPr>
          <t>Author:</t>
        </r>
        <r>
          <rPr>
            <sz val="9"/>
            <color indexed="81"/>
            <rFont val="Tahoma"/>
            <family val="2"/>
          </rPr>
          <t xml:space="preserve">
1-Line Dwg e11007-eshve107002.</t>
        </r>
      </text>
    </comment>
    <comment ref="G22" authorId="0" shapeId="0" xr:uid="{00000000-0006-0000-0000-0000F1000000}">
      <text>
        <r>
          <rPr>
            <b/>
            <sz val="9"/>
            <color indexed="81"/>
            <rFont val="Tahoma"/>
            <family val="2"/>
          </rPr>
          <t>Author:</t>
        </r>
        <r>
          <rPr>
            <sz val="9"/>
            <color indexed="81"/>
            <rFont val="Tahoma"/>
            <family val="2"/>
          </rPr>
          <t xml:space="preserve">
1-Line Dwg E11007-ESHVE107001.</t>
        </r>
      </text>
    </comment>
    <comment ref="J22" authorId="0" shapeId="0" xr:uid="{00000000-0006-0000-0000-0000F2000000}">
      <text>
        <r>
          <rPr>
            <b/>
            <sz val="9"/>
            <color indexed="81"/>
            <rFont val="Tahoma"/>
            <family val="2"/>
          </rPr>
          <t>Author:</t>
        </r>
        <r>
          <rPr>
            <sz val="9"/>
            <color indexed="81"/>
            <rFont val="Tahoma"/>
            <family val="2"/>
          </rPr>
          <t xml:space="preserve">
1-Line Dwg E11007-ESHVE107001 and nameplate picture.</t>
        </r>
      </text>
    </comment>
    <comment ref="L22" authorId="0" shapeId="0" xr:uid="{00000000-0006-0000-0000-0000F3000000}">
      <text>
        <r>
          <rPr>
            <b/>
            <sz val="9"/>
            <color indexed="81"/>
            <rFont val="Tahoma"/>
            <family val="2"/>
          </rPr>
          <t>Author:</t>
        </r>
        <r>
          <rPr>
            <sz val="9"/>
            <color indexed="81"/>
            <rFont val="Tahoma"/>
            <family val="2"/>
          </rPr>
          <t xml:space="preserve">
1-Line Dwg E11007-ESHVE107001 and nameplate picture.</t>
        </r>
      </text>
    </comment>
    <comment ref="N22" authorId="0" shapeId="0" xr:uid="{00000000-0006-0000-0000-0000F4000000}">
      <text>
        <r>
          <rPr>
            <b/>
            <sz val="9"/>
            <color indexed="81"/>
            <rFont val="Tahoma"/>
            <family val="2"/>
          </rPr>
          <t>Brady Nunn:</t>
        </r>
        <r>
          <rPr>
            <sz val="9"/>
            <color indexed="81"/>
            <rFont val="Tahoma"/>
            <family val="2"/>
          </rPr>
          <t xml:space="preserve">
1-Line Dwg E11007-ESHVE107003 and nameplate picture.
10000 A CTs with a TRF=1.5 
10000*1.5= 15000A</t>
        </r>
      </text>
    </comment>
    <comment ref="O22" authorId="0" shapeId="0" xr:uid="{00000000-0006-0000-0000-0000F5000000}">
      <text>
        <r>
          <rPr>
            <b/>
            <sz val="9"/>
            <color indexed="81"/>
            <rFont val="Tahoma"/>
            <family val="2"/>
          </rPr>
          <t>Brady Nunn:</t>
        </r>
        <r>
          <rPr>
            <sz val="9"/>
            <color indexed="81"/>
            <rFont val="Tahoma"/>
            <family val="2"/>
          </rPr>
          <t xml:space="preserve">
1-Line Dwg E11007-ESHVE107003 and nameplate picture.
2000A CTs on all phases and 1600A CT on H2. All have 1.5 TRF. 1600A*1.5 = 2400A
</t>
        </r>
      </text>
    </comment>
    <comment ref="S22" authorId="0" shapeId="0" xr:uid="{00000000-0006-0000-0000-0000F6000000}">
      <text>
        <r>
          <rPr>
            <b/>
            <sz val="9"/>
            <color indexed="81"/>
            <rFont val="Tahoma"/>
            <family val="2"/>
          </rPr>
          <t>Author:</t>
        </r>
        <r>
          <rPr>
            <sz val="9"/>
            <color indexed="81"/>
            <rFont val="Tahoma"/>
            <family val="2"/>
          </rPr>
          <t xml:space="preserve">
Tap 3</t>
        </r>
      </text>
    </comment>
    <comment ref="T22" authorId="0" shapeId="0" xr:uid="{00000000-0006-0000-0000-0000F7000000}">
      <text>
        <r>
          <rPr>
            <b/>
            <sz val="9"/>
            <color indexed="81"/>
            <rFont val="Tahoma"/>
            <family val="2"/>
          </rPr>
          <t>Author:</t>
        </r>
        <r>
          <rPr>
            <sz val="9"/>
            <color indexed="81"/>
            <rFont val="Tahoma"/>
            <family val="2"/>
          </rPr>
          <t xml:space="preserve">
See sheet 2</t>
        </r>
      </text>
    </comment>
    <comment ref="V22" authorId="0" shapeId="0" xr:uid="{00000000-0006-0000-0000-0000F8000000}">
      <text>
        <r>
          <rPr>
            <b/>
            <sz val="9"/>
            <color indexed="81"/>
            <rFont val="Tahoma"/>
            <family val="2"/>
          </rPr>
          <t>Author:</t>
        </r>
        <r>
          <rPr>
            <sz val="9"/>
            <color indexed="81"/>
            <rFont val="Tahoma"/>
            <family val="2"/>
          </rPr>
          <t xml:space="preserve">
See Nameplate</t>
        </r>
      </text>
    </comment>
    <comment ref="W22" authorId="0" shapeId="0" xr:uid="{00000000-0006-0000-0000-0000F9000000}">
      <text>
        <r>
          <rPr>
            <b/>
            <sz val="9"/>
            <color indexed="81"/>
            <rFont val="Tahoma"/>
            <family val="2"/>
          </rPr>
          <t>Author:</t>
        </r>
        <r>
          <rPr>
            <sz val="9"/>
            <color indexed="81"/>
            <rFont val="Tahoma"/>
            <family val="2"/>
          </rPr>
          <t xml:space="preserve">
50 Relay setting set at 47.07A on 115kV 2000:5 CT = 18828A Primary = 123374A Secondary. 
51 function is set to 6.76 Amps on 115kV 2000:5 = 2704A Primary = 17718A Secondary. 
21 function has been evaluated to PRC-025. </t>
        </r>
      </text>
    </comment>
    <comment ref="Y22" authorId="0" shapeId="0" xr:uid="{1C117BF9-62FE-4221-A635-9AC297674A8F}">
      <text>
        <r>
          <rPr>
            <b/>
            <sz val="9"/>
            <color indexed="81"/>
            <rFont val="Tahoma"/>
            <family val="2"/>
          </rPr>
          <t>Author:</t>
        </r>
        <r>
          <rPr>
            <sz val="9"/>
            <color indexed="81"/>
            <rFont val="Tahoma"/>
            <family val="2"/>
          </rPr>
          <t xml:space="preserve">
Nameplate</t>
        </r>
      </text>
    </comment>
    <comment ref="C23" authorId="0" shapeId="0" xr:uid="{00000000-0006-0000-0000-0000FA000000}">
      <text>
        <r>
          <rPr>
            <b/>
            <sz val="9"/>
            <color indexed="81"/>
            <rFont val="Tahoma"/>
            <family val="2"/>
          </rPr>
          <t>Author:</t>
        </r>
        <r>
          <rPr>
            <sz val="9"/>
            <color indexed="81"/>
            <rFont val="Tahoma"/>
            <family val="2"/>
          </rPr>
          <t xml:space="preserve">
1-Line Dwg E11007-ESHVE107001 and nameplate picture.</t>
        </r>
      </text>
    </comment>
    <comment ref="D23" authorId="0" shapeId="0" xr:uid="{00000000-0006-0000-0000-0000FB000000}">
      <text>
        <r>
          <rPr>
            <b/>
            <sz val="9"/>
            <color indexed="81"/>
            <rFont val="Tahoma"/>
            <family val="2"/>
          </rPr>
          <t>Author:</t>
        </r>
        <r>
          <rPr>
            <sz val="9"/>
            <color indexed="81"/>
            <rFont val="Tahoma"/>
            <family val="2"/>
          </rPr>
          <t xml:space="preserve">
1-Line Dwg E11007-ESHVE107001 and nameplate picture.</t>
        </r>
      </text>
    </comment>
    <comment ref="E23" authorId="0" shapeId="0" xr:uid="{00000000-0006-0000-0000-0000FC000000}">
      <text>
        <r>
          <rPr>
            <b/>
            <sz val="9"/>
            <color indexed="81"/>
            <rFont val="Tahoma"/>
            <family val="2"/>
          </rPr>
          <t>Author:</t>
        </r>
        <r>
          <rPr>
            <sz val="9"/>
            <color indexed="81"/>
            <rFont val="Tahoma"/>
            <family val="2"/>
          </rPr>
          <t xml:space="preserve">
See nameplate picture.</t>
        </r>
      </text>
    </comment>
    <comment ref="F23" authorId="0" shapeId="0" xr:uid="{00000000-0006-0000-0000-0000FD000000}">
      <text>
        <r>
          <rPr>
            <b/>
            <sz val="9"/>
            <color indexed="81"/>
            <rFont val="Tahoma"/>
            <family val="2"/>
          </rPr>
          <t>Author:</t>
        </r>
        <r>
          <rPr>
            <sz val="9"/>
            <color indexed="81"/>
            <rFont val="Tahoma"/>
            <family val="2"/>
          </rPr>
          <t xml:space="preserve">
1-Line Dwg e11007-eshve107002.</t>
        </r>
      </text>
    </comment>
    <comment ref="G23" authorId="0" shapeId="0" xr:uid="{00000000-0006-0000-0000-0000FE000000}">
      <text>
        <r>
          <rPr>
            <b/>
            <sz val="9"/>
            <color indexed="81"/>
            <rFont val="Tahoma"/>
            <family val="2"/>
          </rPr>
          <t>Author:</t>
        </r>
        <r>
          <rPr>
            <sz val="9"/>
            <color indexed="81"/>
            <rFont val="Tahoma"/>
            <family val="2"/>
          </rPr>
          <t xml:space="preserve">
1-Line Dwg E11007-ESHVE107001.</t>
        </r>
      </text>
    </comment>
    <comment ref="J23" authorId="0" shapeId="0" xr:uid="{00000000-0006-0000-0000-0000FF000000}">
      <text>
        <r>
          <rPr>
            <b/>
            <sz val="9"/>
            <color indexed="81"/>
            <rFont val="Tahoma"/>
            <family val="2"/>
          </rPr>
          <t>Author:</t>
        </r>
        <r>
          <rPr>
            <sz val="9"/>
            <color indexed="81"/>
            <rFont val="Tahoma"/>
            <family val="2"/>
          </rPr>
          <t xml:space="preserve">
1-Line Dwg E11007-ESHVE107001 and nameplate picture.</t>
        </r>
      </text>
    </comment>
    <comment ref="L23" authorId="0" shapeId="0" xr:uid="{00000000-0006-0000-0000-000000010000}">
      <text>
        <r>
          <rPr>
            <b/>
            <sz val="9"/>
            <color indexed="81"/>
            <rFont val="Tahoma"/>
            <family val="2"/>
          </rPr>
          <t>Author:</t>
        </r>
        <r>
          <rPr>
            <sz val="9"/>
            <color indexed="81"/>
            <rFont val="Tahoma"/>
            <family val="2"/>
          </rPr>
          <t xml:space="preserve">
1-Line Dwg E11007-ESHVE107001 and nameplate picture.</t>
        </r>
      </text>
    </comment>
    <comment ref="N23" authorId="0" shapeId="0" xr:uid="{00000000-0006-0000-0000-000001010000}">
      <text>
        <r>
          <rPr>
            <b/>
            <sz val="9"/>
            <color indexed="81"/>
            <rFont val="Tahoma"/>
            <family val="2"/>
          </rPr>
          <t>Brady Nunn:</t>
        </r>
        <r>
          <rPr>
            <sz val="9"/>
            <color indexed="81"/>
            <rFont val="Tahoma"/>
            <family val="2"/>
          </rPr>
          <t xml:space="preserve">
1-Line Dwg E11007-ESHVE107003 and nameplate picture.
10000 A CTs with a TRF=1.5 
10000*1.5= 15000A</t>
        </r>
      </text>
    </comment>
    <comment ref="O23" authorId="0" shapeId="0" xr:uid="{00000000-0006-0000-0000-000002010000}">
      <text>
        <r>
          <rPr>
            <b/>
            <sz val="9"/>
            <color indexed="81"/>
            <rFont val="Tahoma"/>
            <family val="2"/>
          </rPr>
          <t>Brady Nunn:</t>
        </r>
        <r>
          <rPr>
            <sz val="9"/>
            <color indexed="81"/>
            <rFont val="Tahoma"/>
            <family val="2"/>
          </rPr>
          <t xml:space="preserve">
1-Line Dwg E11007-ESHVE107003 and nameplate picture.
2000A CTs on all phases and 1600A CT on H2. All have 1.5 TRF. 1600A*1.5 = 2400A
</t>
        </r>
      </text>
    </comment>
    <comment ref="S23" authorId="0" shapeId="0" xr:uid="{00000000-0006-0000-0000-000003010000}">
      <text>
        <r>
          <rPr>
            <b/>
            <sz val="9"/>
            <color indexed="81"/>
            <rFont val="Tahoma"/>
            <family val="2"/>
          </rPr>
          <t>Author:</t>
        </r>
        <r>
          <rPr>
            <sz val="9"/>
            <color indexed="81"/>
            <rFont val="Tahoma"/>
            <family val="2"/>
          </rPr>
          <t xml:space="preserve">
Tap 3</t>
        </r>
      </text>
    </comment>
    <comment ref="T23" authorId="0" shapeId="0" xr:uid="{00000000-0006-0000-0000-000004010000}">
      <text>
        <r>
          <rPr>
            <b/>
            <sz val="9"/>
            <color indexed="81"/>
            <rFont val="Tahoma"/>
            <family val="2"/>
          </rPr>
          <t>Author:</t>
        </r>
        <r>
          <rPr>
            <sz val="9"/>
            <color indexed="81"/>
            <rFont val="Tahoma"/>
            <family val="2"/>
          </rPr>
          <t xml:space="preserve">
See sheet 2</t>
        </r>
      </text>
    </comment>
    <comment ref="V23" authorId="0" shapeId="0" xr:uid="{6AEB8DCF-B8F0-4555-AA6E-D784F366D116}">
      <text>
        <r>
          <rPr>
            <b/>
            <sz val="9"/>
            <color indexed="81"/>
            <rFont val="Tahoma"/>
            <family val="2"/>
          </rPr>
          <t>Author:</t>
        </r>
        <r>
          <rPr>
            <sz val="9"/>
            <color indexed="81"/>
            <rFont val="Tahoma"/>
            <family val="2"/>
          </rPr>
          <t xml:space="preserve">
See Nameplate</t>
        </r>
      </text>
    </comment>
    <comment ref="W23" authorId="0" shapeId="0" xr:uid="{00000000-0006-0000-0000-000005010000}">
      <text>
        <r>
          <rPr>
            <b/>
            <sz val="9"/>
            <color indexed="81"/>
            <rFont val="Tahoma"/>
            <family val="2"/>
          </rPr>
          <t>Author:</t>
        </r>
        <r>
          <rPr>
            <sz val="9"/>
            <color indexed="81"/>
            <rFont val="Tahoma"/>
            <family val="2"/>
          </rPr>
          <t xml:space="preserve">
50 Relay setting set at 47.07A on 115kV 2000:5 CT = 18828A Primary = 123374A Secondary. 
51 function is set to 6.76 Amps on 115kV 2000:5 = 2704A Primary = 17718A Secondary. 
21 function has been evaluated to PRC-025. </t>
        </r>
      </text>
    </comment>
    <comment ref="Y23" authorId="0" shapeId="0" xr:uid="{1FC4F344-8C21-4DFF-B787-33CCD15E13CE}">
      <text>
        <r>
          <rPr>
            <b/>
            <sz val="9"/>
            <color indexed="81"/>
            <rFont val="Tahoma"/>
            <family val="2"/>
          </rPr>
          <t>Author:</t>
        </r>
        <r>
          <rPr>
            <sz val="9"/>
            <color indexed="81"/>
            <rFont val="Tahoma"/>
            <family val="2"/>
          </rPr>
          <t xml:space="preserve">
Nameplate</t>
        </r>
      </text>
    </comment>
    <comment ref="C24" authorId="0" shapeId="0" xr:uid="{00000000-0006-0000-0000-000006010000}">
      <text>
        <r>
          <rPr>
            <b/>
            <sz val="10"/>
            <color indexed="81"/>
            <rFont val="Tahoma"/>
            <family val="2"/>
          </rPr>
          <t>Author:</t>
        </r>
        <r>
          <rPr>
            <sz val="10"/>
            <color indexed="81"/>
            <rFont val="Tahoma"/>
            <family val="2"/>
          </rPr>
          <t xml:space="preserve">
Mike H: See nameplate picture and L-22329 E2-1</t>
        </r>
      </text>
    </comment>
    <comment ref="D24" authorId="0" shapeId="0" xr:uid="{00000000-0006-0000-0000-000007010000}">
      <text>
        <r>
          <rPr>
            <b/>
            <sz val="10"/>
            <color indexed="81"/>
            <rFont val="Tahoma"/>
            <family val="2"/>
          </rPr>
          <t>Author:</t>
        </r>
        <r>
          <rPr>
            <sz val="10"/>
            <color indexed="81"/>
            <rFont val="Tahoma"/>
            <family val="2"/>
          </rPr>
          <t xml:space="preserve">
Mike H: See nameplate picture and L-22329 E2-1</t>
        </r>
      </text>
    </comment>
    <comment ref="E24" authorId="0" shapeId="0" xr:uid="{00000000-0006-0000-0000-000008010000}">
      <text>
        <r>
          <rPr>
            <b/>
            <sz val="10"/>
            <color indexed="81"/>
            <rFont val="Tahoma"/>
            <family val="2"/>
          </rPr>
          <t>Author:</t>
        </r>
        <r>
          <rPr>
            <sz val="10"/>
            <color indexed="81"/>
            <rFont val="Tahoma"/>
            <family val="2"/>
          </rPr>
          <t xml:space="preserve">
Mike H: See nameplate picture and L-22329 E2-1</t>
        </r>
      </text>
    </comment>
    <comment ref="F24" authorId="0" shapeId="0" xr:uid="{00000000-0006-0000-0000-000009010000}">
      <text>
        <r>
          <rPr>
            <b/>
            <sz val="10"/>
            <color indexed="81"/>
            <rFont val="Tahoma"/>
            <family val="2"/>
          </rPr>
          <t>Author:</t>
        </r>
        <r>
          <rPr>
            <sz val="10"/>
            <color indexed="81"/>
            <rFont val="Tahoma"/>
            <family val="2"/>
          </rPr>
          <t xml:space="preserve">
Mike H: See L-22329 E2-1</t>
        </r>
      </text>
    </comment>
    <comment ref="G24" authorId="0" shapeId="0" xr:uid="{00000000-0006-0000-0000-00000A010000}">
      <text>
        <r>
          <rPr>
            <b/>
            <sz val="10"/>
            <color indexed="81"/>
            <rFont val="Tahoma"/>
            <family val="2"/>
          </rPr>
          <t>Author:</t>
        </r>
        <r>
          <rPr>
            <sz val="10"/>
            <color indexed="81"/>
            <rFont val="Tahoma"/>
            <family val="2"/>
          </rPr>
          <t xml:space="preserve">
Mike H: See L-22329 E2-1</t>
        </r>
      </text>
    </comment>
    <comment ref="J24" authorId="0" shapeId="0" xr:uid="{00000000-0006-0000-0000-00000B010000}">
      <text>
        <r>
          <rPr>
            <b/>
            <sz val="10"/>
            <color indexed="81"/>
            <rFont val="Tahoma"/>
            <family val="2"/>
          </rPr>
          <t>Author:</t>
        </r>
        <r>
          <rPr>
            <sz val="10"/>
            <color indexed="81"/>
            <rFont val="Tahoma"/>
            <family val="2"/>
          </rPr>
          <t xml:space="preserve">
Mike H: See nameplate picture and L-22329 E2-1</t>
        </r>
      </text>
    </comment>
    <comment ref="L24" authorId="0" shapeId="0" xr:uid="{00000000-0006-0000-0000-00000C010000}">
      <text>
        <r>
          <rPr>
            <b/>
            <sz val="10"/>
            <color indexed="81"/>
            <rFont val="Tahoma"/>
            <family val="2"/>
          </rPr>
          <t>Author:</t>
        </r>
        <r>
          <rPr>
            <sz val="10"/>
            <color indexed="81"/>
            <rFont val="Tahoma"/>
            <family val="2"/>
          </rPr>
          <t xml:space="preserve">
Mike H: See nameplate picture and L-22329 E2-1</t>
        </r>
      </text>
    </comment>
    <comment ref="O24" authorId="0" shapeId="0" xr:uid="{00000000-0006-0000-0000-00000D010000}">
      <text>
        <r>
          <rPr>
            <b/>
            <sz val="10"/>
            <color indexed="81"/>
            <rFont val="Tahoma"/>
            <family val="2"/>
          </rPr>
          <t>Author:</t>
        </r>
        <r>
          <rPr>
            <sz val="10"/>
            <color indexed="81"/>
            <rFont val="Tahoma"/>
            <family val="2"/>
          </rPr>
          <t xml:space="preserve">
Mike H: See nameplate picture and L-22329 E2-1</t>
        </r>
      </text>
    </comment>
    <comment ref="S24" authorId="0" shapeId="0" xr:uid="{00000000-0006-0000-0000-00000E010000}">
      <text>
        <r>
          <rPr>
            <b/>
            <sz val="9"/>
            <color indexed="81"/>
            <rFont val="Tahoma"/>
            <family val="2"/>
          </rPr>
          <t>Author:</t>
        </r>
        <r>
          <rPr>
            <sz val="9"/>
            <color indexed="81"/>
            <rFont val="Tahoma"/>
            <family val="2"/>
          </rPr>
          <t xml:space="preserve">
Tap 3</t>
        </r>
      </text>
    </comment>
    <comment ref="T24" authorId="0" shapeId="0" xr:uid="{00000000-0006-0000-0000-00000F010000}">
      <text>
        <r>
          <rPr>
            <b/>
            <sz val="9"/>
            <color indexed="81"/>
            <rFont val="Tahoma"/>
            <family val="2"/>
          </rPr>
          <t>Author:</t>
        </r>
        <r>
          <rPr>
            <sz val="9"/>
            <color indexed="81"/>
            <rFont val="Tahoma"/>
            <family val="2"/>
          </rPr>
          <t xml:space="preserve">
Value from Subs Eng FAC-008-3 Spreadsheet.
Limiting element: Relaying SLA</t>
        </r>
      </text>
    </comment>
    <comment ref="V24" authorId="0" shapeId="0" xr:uid="{00000000-0006-0000-0000-000010010000}">
      <text>
        <r>
          <rPr>
            <b/>
            <sz val="9"/>
            <color indexed="81"/>
            <rFont val="Tahoma"/>
            <family val="2"/>
          </rPr>
          <t>Author:</t>
        </r>
        <r>
          <rPr>
            <sz val="9"/>
            <color indexed="81"/>
            <rFont val="Tahoma"/>
            <family val="2"/>
          </rPr>
          <t xml:space="preserve">
Matches Nameplate</t>
        </r>
      </text>
    </comment>
    <comment ref="W24" authorId="0" shapeId="0" xr:uid="{00000000-0006-0000-0000-000011010000}">
      <text>
        <r>
          <rPr>
            <b/>
            <sz val="9"/>
            <color indexed="81"/>
            <rFont val="Tahoma"/>
            <family val="2"/>
          </rPr>
          <t>Brady Nunn:</t>
        </r>
        <r>
          <rPr>
            <sz val="9"/>
            <color indexed="81"/>
            <rFont val="Tahoma"/>
            <family val="2"/>
          </rPr>
          <t xml:space="preserve">
50 function not set
51 function pickup at 2219A on GSU high side, 22190A on GSU low side. 
21 function has NOT been evaluated to PRC-025.</t>
        </r>
      </text>
    </comment>
    <comment ref="Y24" authorId="0" shapeId="0" xr:uid="{00000000-0006-0000-0000-000012010000}">
      <text>
        <r>
          <rPr>
            <b/>
            <sz val="9"/>
            <color indexed="81"/>
            <rFont val="Tahoma"/>
            <family val="2"/>
          </rPr>
          <t>Author:</t>
        </r>
        <r>
          <rPr>
            <sz val="9"/>
            <color indexed="81"/>
            <rFont val="Tahoma"/>
            <family val="2"/>
          </rPr>
          <t xml:space="preserve">
From Nameplate</t>
        </r>
      </text>
    </comment>
    <comment ref="AC24" authorId="0" shapeId="0" xr:uid="{00000000-0006-0000-0000-000013010000}">
      <text>
        <r>
          <rPr>
            <b/>
            <sz val="10"/>
            <color indexed="81"/>
            <rFont val="Tahoma"/>
            <family val="2"/>
          </rPr>
          <t>Author:</t>
        </r>
        <r>
          <rPr>
            <sz val="10"/>
            <color indexed="81"/>
            <rFont val="Tahoma"/>
            <family val="2"/>
          </rPr>
          <t xml:space="preserve">
Info from Generator Data sheet, corrected for altitude.</t>
        </r>
      </text>
    </comment>
    <comment ref="AD24" authorId="0" shapeId="0" xr:uid="{00000000-0006-0000-0000-000014010000}">
      <text>
        <r>
          <rPr>
            <b/>
            <sz val="10"/>
            <color indexed="81"/>
            <rFont val="Tahoma"/>
            <family val="2"/>
          </rPr>
          <t>Author:</t>
        </r>
        <r>
          <rPr>
            <sz val="10"/>
            <color indexed="81"/>
            <rFont val="Tahoma"/>
            <family val="2"/>
          </rPr>
          <t xml:space="preserve">
See K14-76T-E5091</t>
        </r>
      </text>
    </comment>
    <comment ref="C25" authorId="0" shapeId="0" xr:uid="{00000000-0006-0000-0000-000015010000}">
      <text>
        <r>
          <rPr>
            <b/>
            <sz val="10"/>
            <color indexed="81"/>
            <rFont val="Tahoma"/>
            <family val="2"/>
          </rPr>
          <t>Author:</t>
        </r>
        <r>
          <rPr>
            <sz val="10"/>
            <color indexed="81"/>
            <rFont val="Tahoma"/>
            <family val="2"/>
          </rPr>
          <t xml:space="preserve">
1-line, E0178803-ESMVE13002 Sh1.</t>
        </r>
      </text>
    </comment>
    <comment ref="D25" authorId="0" shapeId="0" xr:uid="{00000000-0006-0000-0000-000016010000}">
      <text>
        <r>
          <rPr>
            <b/>
            <sz val="10"/>
            <color indexed="81"/>
            <rFont val="Tahoma"/>
            <family val="2"/>
          </rPr>
          <t>Author:</t>
        </r>
        <r>
          <rPr>
            <sz val="10"/>
            <color indexed="81"/>
            <rFont val="Tahoma"/>
            <family val="2"/>
          </rPr>
          <t xml:space="preserve">
1-line, E0178803-ESMVE13002 Sh1.</t>
        </r>
      </text>
    </comment>
    <comment ref="E25" authorId="0" shapeId="0" xr:uid="{00000000-0006-0000-0000-000017010000}">
      <text>
        <r>
          <rPr>
            <b/>
            <sz val="10"/>
            <color indexed="81"/>
            <rFont val="Tahoma"/>
            <family val="2"/>
          </rPr>
          <t>Author:</t>
        </r>
        <r>
          <rPr>
            <sz val="10"/>
            <color indexed="81"/>
            <rFont val="Tahoma"/>
            <family val="2"/>
          </rPr>
          <t xml:space="preserve">
1-line, E0178803-ESMVE13002 Sh1.</t>
        </r>
      </text>
    </comment>
    <comment ref="F25" authorId="0" shapeId="0" xr:uid="{00000000-0006-0000-0000-000018010000}">
      <text>
        <r>
          <rPr>
            <b/>
            <sz val="10"/>
            <color indexed="81"/>
            <rFont val="Tahoma"/>
            <family val="2"/>
          </rPr>
          <t>Author:</t>
        </r>
        <r>
          <rPr>
            <sz val="10"/>
            <color indexed="81"/>
            <rFont val="Tahoma"/>
            <family val="2"/>
          </rPr>
          <t xml:space="preserve">
1-line, E0178803-ESMVE13002 Sh1.</t>
        </r>
      </text>
    </comment>
    <comment ref="G25" authorId="0" shapeId="0" xr:uid="{00000000-0006-0000-0000-000019010000}">
      <text>
        <r>
          <rPr>
            <b/>
            <sz val="10"/>
            <color indexed="81"/>
            <rFont val="Tahoma"/>
            <family val="2"/>
          </rPr>
          <t>Author:</t>
        </r>
        <r>
          <rPr>
            <sz val="10"/>
            <color indexed="81"/>
            <rFont val="Tahoma"/>
            <family val="2"/>
          </rPr>
          <t xml:space="preserve">
Equipment data sheet, page 21 of 119573-S-S-40600 SIL R01</t>
        </r>
      </text>
    </comment>
    <comment ref="J25" authorId="0" shapeId="0" xr:uid="{00000000-0006-0000-0000-00001A010000}">
      <text>
        <r>
          <rPr>
            <b/>
            <sz val="10"/>
            <color indexed="81"/>
            <rFont val="Tahoma"/>
            <family val="2"/>
          </rPr>
          <t>Author:</t>
        </r>
        <r>
          <rPr>
            <sz val="10"/>
            <color indexed="81"/>
            <rFont val="Tahoma"/>
            <family val="2"/>
          </rPr>
          <t xml:space="preserve">
1-line, E0178803-ESMVE13002 Sh1.</t>
        </r>
      </text>
    </comment>
    <comment ref="L25" authorId="0" shapeId="0" xr:uid="{00000000-0006-0000-0000-00001B010000}">
      <text>
        <r>
          <rPr>
            <b/>
            <sz val="10"/>
            <color indexed="81"/>
            <rFont val="Tahoma"/>
            <family val="2"/>
          </rPr>
          <t>Author:</t>
        </r>
        <r>
          <rPr>
            <sz val="10"/>
            <color indexed="81"/>
            <rFont val="Tahoma"/>
            <family val="2"/>
          </rPr>
          <t xml:space="preserve">
1-line, E0178803-ESMVE13002 Sh1.</t>
        </r>
      </text>
    </comment>
    <comment ref="N25" authorId="0" shapeId="0" xr:uid="{00000000-0006-0000-0000-00001C010000}">
      <text>
        <r>
          <rPr>
            <b/>
            <sz val="10"/>
            <color indexed="81"/>
            <rFont val="Tahoma"/>
            <family val="2"/>
          </rPr>
          <t>Author:</t>
        </r>
        <r>
          <rPr>
            <sz val="10"/>
            <color indexed="81"/>
            <rFont val="Tahoma"/>
            <family val="2"/>
          </rPr>
          <t xml:space="preserve">
1-line, E0178803-ESMVE13002 Sh1. 16000A per phase connected delta. Therefore multiply by square root of 3 to get equivalent value of phase current. </t>
        </r>
      </text>
    </comment>
    <comment ref="O25" authorId="0" shapeId="0" xr:uid="{00000000-0006-0000-0000-00001D010000}">
      <text>
        <r>
          <rPr>
            <b/>
            <sz val="10"/>
            <color indexed="81"/>
            <rFont val="Tahoma"/>
            <family val="2"/>
          </rPr>
          <t>Author:</t>
        </r>
        <r>
          <rPr>
            <sz val="10"/>
            <color indexed="81"/>
            <rFont val="Tahoma"/>
            <family val="2"/>
          </rPr>
          <t xml:space="preserve">
E0178803-ESMVE13002 Sh1.</t>
        </r>
      </text>
    </comment>
    <comment ref="S25" authorId="0" shapeId="0" xr:uid="{00000000-0006-0000-0000-00001E010000}">
      <text>
        <r>
          <rPr>
            <b/>
            <sz val="9"/>
            <color indexed="81"/>
            <rFont val="Tahoma"/>
            <family val="2"/>
          </rPr>
          <t>Author:</t>
        </r>
        <r>
          <rPr>
            <sz val="9"/>
            <color indexed="81"/>
            <rFont val="Tahoma"/>
            <family val="2"/>
          </rPr>
          <t xml:space="preserve">
Tap 2</t>
        </r>
      </text>
    </comment>
    <comment ref="T25" authorId="0" shapeId="0" xr:uid="{00000000-0006-0000-0000-00001F010000}">
      <text>
        <r>
          <rPr>
            <b/>
            <sz val="9"/>
            <color indexed="81"/>
            <rFont val="Tahoma"/>
            <family val="2"/>
          </rPr>
          <t>Author:</t>
        </r>
        <r>
          <rPr>
            <sz val="9"/>
            <color indexed="81"/>
            <rFont val="Tahoma"/>
            <family val="2"/>
          </rPr>
          <t xml:space="preserve">
See sheet 2</t>
        </r>
      </text>
    </comment>
    <comment ref="V25" authorId="0" shapeId="0" xr:uid="{00000000-0006-0000-0000-000020010000}">
      <text>
        <r>
          <rPr>
            <b/>
            <sz val="9"/>
            <color indexed="81"/>
            <rFont val="Tahoma"/>
            <family val="2"/>
          </rPr>
          <t>Author:</t>
        </r>
        <r>
          <rPr>
            <sz val="9"/>
            <color indexed="81"/>
            <rFont val="Tahoma"/>
            <family val="2"/>
          </rPr>
          <t xml:space="preserve">
Matches current rating. Tap 2 HS 1645.7 LS 12444.4 Multiply by sqrt(3) for generator impact at 21554.33307
See Hyundai manufacturer report page 24</t>
        </r>
      </text>
    </comment>
    <comment ref="W25" authorId="0" shapeId="0" xr:uid="{00000000-0006-0000-0000-000021010000}">
      <text>
        <r>
          <rPr>
            <b/>
            <sz val="9"/>
            <color indexed="81"/>
            <rFont val="Tahoma"/>
            <family val="2"/>
          </rPr>
          <t>Brady Nunn:</t>
        </r>
        <r>
          <rPr>
            <sz val="9"/>
            <color indexed="81"/>
            <rFont val="Tahoma"/>
            <family val="2"/>
          </rPr>
          <t xml:space="preserve">
50 function set @ 22435A GSU high side, 293899
51 function is set to 8.22 Amps on 345kV 2000:5 = 3288A GSU HS = 43072.8A Secondary. 
21 function has been evaluated to PRC-025.</t>
        </r>
      </text>
    </comment>
    <comment ref="Y25" authorId="0" shapeId="0" xr:uid="{00000000-0006-0000-0000-000022010000}">
      <text>
        <r>
          <rPr>
            <b/>
            <sz val="9"/>
            <color indexed="81"/>
            <rFont val="Tahoma"/>
            <family val="2"/>
          </rPr>
          <t>Author:</t>
        </r>
        <r>
          <rPr>
            <sz val="9"/>
            <color indexed="81"/>
            <rFont val="Tahoma"/>
            <family val="2"/>
          </rPr>
          <t xml:space="preserve">
Based on Manufacturer test report</t>
        </r>
      </text>
    </comment>
    <comment ref="AC25" authorId="0" shapeId="0" xr:uid="{00000000-0006-0000-0000-000023010000}">
      <text>
        <r>
          <rPr>
            <b/>
            <sz val="10"/>
            <color indexed="81"/>
            <rFont val="Tahoma"/>
            <family val="2"/>
          </rPr>
          <t>Author:</t>
        </r>
        <r>
          <rPr>
            <sz val="10"/>
            <color indexed="81"/>
            <rFont val="Tahoma"/>
            <family val="2"/>
          </rPr>
          <t xml:space="preserve">
Info from Generator Data sheet, corrected for altitude.</t>
        </r>
      </text>
    </comment>
    <comment ref="AD25" authorId="0" shapeId="0" xr:uid="{00000000-0006-0000-0000-000024010000}">
      <text>
        <r>
          <rPr>
            <b/>
            <sz val="10"/>
            <color indexed="81"/>
            <rFont val="Tahoma"/>
            <family val="2"/>
          </rPr>
          <t>Author:</t>
        </r>
        <r>
          <rPr>
            <sz val="10"/>
            <color indexed="81"/>
            <rFont val="Tahoma"/>
            <family val="2"/>
          </rPr>
          <t xml:space="preserve">
See K14-76T-E5091</t>
        </r>
      </text>
    </comment>
    <comment ref="C26" authorId="0" shapeId="0" xr:uid="{00000000-0006-0000-0000-000025010000}">
      <text>
        <r>
          <rPr>
            <b/>
            <sz val="10"/>
            <color indexed="81"/>
            <rFont val="Tahoma"/>
            <family val="2"/>
          </rPr>
          <t>Author:</t>
        </r>
        <r>
          <rPr>
            <sz val="10"/>
            <color indexed="81"/>
            <rFont val="Tahoma"/>
            <family val="2"/>
          </rPr>
          <t xml:space="preserve">
1-line, E0178803-ESMVE13002 Sh1.</t>
        </r>
      </text>
    </comment>
    <comment ref="D26" authorId="0" shapeId="0" xr:uid="{00000000-0006-0000-0000-000026010000}">
      <text>
        <r>
          <rPr>
            <b/>
            <sz val="10"/>
            <color indexed="81"/>
            <rFont val="Tahoma"/>
            <family val="2"/>
          </rPr>
          <t>Author:</t>
        </r>
        <r>
          <rPr>
            <sz val="10"/>
            <color indexed="81"/>
            <rFont val="Tahoma"/>
            <family val="2"/>
          </rPr>
          <t xml:space="preserve">
1-line, E0178803-ESMVE13002 Sh1.</t>
        </r>
      </text>
    </comment>
    <comment ref="E26" authorId="0" shapeId="0" xr:uid="{00000000-0006-0000-0000-000027010000}">
      <text>
        <r>
          <rPr>
            <b/>
            <sz val="10"/>
            <color indexed="81"/>
            <rFont val="Tahoma"/>
            <family val="2"/>
          </rPr>
          <t>Author:</t>
        </r>
        <r>
          <rPr>
            <sz val="10"/>
            <color indexed="81"/>
            <rFont val="Tahoma"/>
            <family val="2"/>
          </rPr>
          <t xml:space="preserve">
1-line, E0178803-ESMVE13002 Sh1.</t>
        </r>
      </text>
    </comment>
    <comment ref="F26" authorId="0" shapeId="0" xr:uid="{00000000-0006-0000-0000-000028010000}">
      <text>
        <r>
          <rPr>
            <b/>
            <sz val="10"/>
            <color indexed="81"/>
            <rFont val="Tahoma"/>
            <family val="2"/>
          </rPr>
          <t>Author:</t>
        </r>
        <r>
          <rPr>
            <sz val="10"/>
            <color indexed="81"/>
            <rFont val="Tahoma"/>
            <family val="2"/>
          </rPr>
          <t xml:space="preserve">
1-line, E0178803-ESMVE13002 Sh1.</t>
        </r>
      </text>
    </comment>
    <comment ref="G26" authorId="0" shapeId="0" xr:uid="{00000000-0006-0000-0000-000029010000}">
      <text>
        <r>
          <rPr>
            <b/>
            <sz val="10"/>
            <color indexed="81"/>
            <rFont val="Tahoma"/>
            <family val="2"/>
          </rPr>
          <t>Author:</t>
        </r>
        <r>
          <rPr>
            <sz val="10"/>
            <color indexed="81"/>
            <rFont val="Tahoma"/>
            <family val="2"/>
          </rPr>
          <t xml:space="preserve">
Equipment data sheet, page 21 of 119573-S-S-40600 SIL R01</t>
        </r>
      </text>
    </comment>
    <comment ref="J26" authorId="0" shapeId="0" xr:uid="{00000000-0006-0000-0000-00002A010000}">
      <text>
        <r>
          <rPr>
            <b/>
            <sz val="10"/>
            <color indexed="81"/>
            <rFont val="Tahoma"/>
            <family val="2"/>
          </rPr>
          <t>Author:</t>
        </r>
        <r>
          <rPr>
            <sz val="10"/>
            <color indexed="81"/>
            <rFont val="Tahoma"/>
            <family val="2"/>
          </rPr>
          <t xml:space="preserve">
1-line, E0178803-ESMVE13002 Sh1.</t>
        </r>
      </text>
    </comment>
    <comment ref="L26" authorId="0" shapeId="0" xr:uid="{00000000-0006-0000-0000-00002B010000}">
      <text>
        <r>
          <rPr>
            <b/>
            <sz val="10"/>
            <color indexed="81"/>
            <rFont val="Tahoma"/>
            <family val="2"/>
          </rPr>
          <t>Author:</t>
        </r>
        <r>
          <rPr>
            <sz val="10"/>
            <color indexed="81"/>
            <rFont val="Tahoma"/>
            <family val="2"/>
          </rPr>
          <t xml:space="preserve">
1-line, E0178803-ESMVE13002 Sh1.</t>
        </r>
      </text>
    </comment>
    <comment ref="N26" authorId="0" shapeId="0" xr:uid="{00000000-0006-0000-0000-00002C010000}">
      <text>
        <r>
          <rPr>
            <b/>
            <sz val="8"/>
            <color indexed="81"/>
            <rFont val="Tahoma"/>
            <family val="2"/>
          </rPr>
          <t>Author:</t>
        </r>
        <r>
          <rPr>
            <sz val="8"/>
            <color indexed="81"/>
            <rFont val="Tahoma"/>
            <family val="2"/>
          </rPr>
          <t xml:space="preserve">
1-line, E0178803-ESMVE13002 Sh1. 16000A per phase connected delta. Therefore multiply by square root of 3 to get equivalent value of phase current. </t>
        </r>
      </text>
    </comment>
    <comment ref="O26" authorId="0" shapeId="0" xr:uid="{00000000-0006-0000-0000-00002D010000}">
      <text>
        <r>
          <rPr>
            <b/>
            <sz val="10"/>
            <color indexed="81"/>
            <rFont val="Tahoma"/>
            <family val="2"/>
          </rPr>
          <t>Author:</t>
        </r>
        <r>
          <rPr>
            <sz val="10"/>
            <color indexed="81"/>
            <rFont val="Tahoma"/>
            <family val="2"/>
          </rPr>
          <t xml:space="preserve">
E0178803-ESMVE13002 Sh1.</t>
        </r>
      </text>
    </comment>
    <comment ref="S26" authorId="0" shapeId="0" xr:uid="{00000000-0006-0000-0000-00002E010000}">
      <text>
        <r>
          <rPr>
            <b/>
            <sz val="9"/>
            <color indexed="81"/>
            <rFont val="Tahoma"/>
            <family val="2"/>
          </rPr>
          <t>Author:</t>
        </r>
        <r>
          <rPr>
            <sz val="9"/>
            <color indexed="81"/>
            <rFont val="Tahoma"/>
            <family val="2"/>
          </rPr>
          <t xml:space="preserve">
Tap 2</t>
        </r>
      </text>
    </comment>
    <comment ref="T26" authorId="0" shapeId="0" xr:uid="{00000000-0006-0000-0000-00002F010000}">
      <text>
        <r>
          <rPr>
            <b/>
            <sz val="9"/>
            <color indexed="81"/>
            <rFont val="Tahoma"/>
            <family val="2"/>
          </rPr>
          <t>Author:</t>
        </r>
        <r>
          <rPr>
            <sz val="9"/>
            <color indexed="81"/>
            <rFont val="Tahoma"/>
            <family val="2"/>
          </rPr>
          <t xml:space="preserve">
See sheet 2</t>
        </r>
      </text>
    </comment>
    <comment ref="V26" authorId="0" shapeId="0" xr:uid="{00000000-0006-0000-0000-000030010000}">
      <text>
        <r>
          <rPr>
            <b/>
            <sz val="9"/>
            <color indexed="81"/>
            <rFont val="Tahoma"/>
            <family val="2"/>
          </rPr>
          <t>Author:</t>
        </r>
        <r>
          <rPr>
            <sz val="9"/>
            <color indexed="81"/>
            <rFont val="Tahoma"/>
            <family val="2"/>
          </rPr>
          <t xml:space="preserve">
Matches current rating. Tap 2 HS 1645.7 LS 12444.4 Multiply by sqrt(3) for generator impact at 21554.33307
See Hyundai manufacturer report page 24</t>
        </r>
      </text>
    </comment>
    <comment ref="W26" authorId="0" shapeId="0" xr:uid="{00000000-0006-0000-0000-000031010000}">
      <text>
        <r>
          <rPr>
            <b/>
            <sz val="9"/>
            <color indexed="81"/>
            <rFont val="Tahoma"/>
            <family val="2"/>
          </rPr>
          <t xml:space="preserve">Brady Nunn:
</t>
        </r>
        <r>
          <rPr>
            <sz val="9"/>
            <color indexed="81"/>
            <rFont val="Tahoma"/>
            <family val="2"/>
          </rPr>
          <t>50 function set @ 22435A GSU high side, 293899
51 function is set to 8.22 Amps on 345kV 2000:5 = 3288A GSU HS = 43072.8A Secondary. 
21 function has been evaluated to PRC-025.</t>
        </r>
      </text>
    </comment>
    <comment ref="Y26" authorId="0" shapeId="0" xr:uid="{00000000-0006-0000-0000-000032010000}">
      <text>
        <r>
          <rPr>
            <b/>
            <sz val="9"/>
            <color indexed="81"/>
            <rFont val="Tahoma"/>
            <family val="2"/>
          </rPr>
          <t>Author:</t>
        </r>
        <r>
          <rPr>
            <sz val="9"/>
            <color indexed="81"/>
            <rFont val="Tahoma"/>
            <family val="2"/>
          </rPr>
          <t xml:space="preserve">
Based on Manufacturer test report</t>
        </r>
      </text>
    </comment>
    <comment ref="AC26" authorId="0" shapeId="0" xr:uid="{00000000-0006-0000-0000-000033010000}">
      <text>
        <r>
          <rPr>
            <b/>
            <sz val="10"/>
            <color indexed="81"/>
            <rFont val="Tahoma"/>
            <family val="2"/>
          </rPr>
          <t>Author:</t>
        </r>
        <r>
          <rPr>
            <sz val="10"/>
            <color indexed="81"/>
            <rFont val="Tahoma"/>
            <family val="2"/>
          </rPr>
          <t xml:space="preserve">
Info from Generator Data sheet, corrected for altitude.</t>
        </r>
      </text>
    </comment>
    <comment ref="AD26" authorId="0" shapeId="0" xr:uid="{00000000-0006-0000-0000-000034010000}">
      <text>
        <r>
          <rPr>
            <b/>
            <sz val="10"/>
            <color indexed="81"/>
            <rFont val="Tahoma"/>
            <family val="2"/>
          </rPr>
          <t>Author:</t>
        </r>
        <r>
          <rPr>
            <sz val="10"/>
            <color indexed="81"/>
            <rFont val="Tahoma"/>
            <family val="2"/>
          </rPr>
          <t xml:space="preserve">
See K14-76T-E5091</t>
        </r>
      </text>
    </comment>
    <comment ref="C27" authorId="0" shapeId="0" xr:uid="{00000000-0006-0000-0000-000035010000}">
      <text>
        <r>
          <rPr>
            <b/>
            <sz val="10"/>
            <color indexed="81"/>
            <rFont val="Tahoma"/>
            <family val="2"/>
          </rPr>
          <t>Author:</t>
        </r>
        <r>
          <rPr>
            <sz val="10"/>
            <color indexed="81"/>
            <rFont val="Tahoma"/>
            <family val="2"/>
          </rPr>
          <t xml:space="preserve">
See nameplate picture or 1APK-E1001</t>
        </r>
      </text>
    </comment>
    <comment ref="D27" authorId="0" shapeId="0" xr:uid="{00000000-0006-0000-0000-000036010000}">
      <text>
        <r>
          <rPr>
            <b/>
            <sz val="10"/>
            <color indexed="81"/>
            <rFont val="Tahoma"/>
            <family val="2"/>
          </rPr>
          <t>Author:</t>
        </r>
        <r>
          <rPr>
            <sz val="10"/>
            <color indexed="81"/>
            <rFont val="Tahoma"/>
            <family val="2"/>
          </rPr>
          <t xml:space="preserve">
See nameplate picture or 1APK-E1001</t>
        </r>
      </text>
    </comment>
    <comment ref="E27" authorId="0" shapeId="0" xr:uid="{00000000-0006-0000-0000-000037010000}">
      <text>
        <r>
          <rPr>
            <b/>
            <sz val="10"/>
            <color indexed="81"/>
            <rFont val="Tahoma"/>
            <family val="2"/>
          </rPr>
          <t>Author:</t>
        </r>
        <r>
          <rPr>
            <sz val="10"/>
            <color indexed="81"/>
            <rFont val="Tahoma"/>
            <family val="2"/>
          </rPr>
          <t xml:space="preserve">
See nameplate picture
</t>
        </r>
      </text>
    </comment>
    <comment ref="F27" authorId="0" shapeId="0" xr:uid="{00000000-0006-0000-0000-000038010000}">
      <text>
        <r>
          <rPr>
            <b/>
            <sz val="10"/>
            <color indexed="81"/>
            <rFont val="Tahoma"/>
            <family val="2"/>
          </rPr>
          <t>Author:</t>
        </r>
        <r>
          <rPr>
            <sz val="10"/>
            <color indexed="81"/>
            <rFont val="Tahoma"/>
            <family val="2"/>
          </rPr>
          <t xml:space="preserve">
See 1APK-E1001</t>
        </r>
      </text>
    </comment>
    <comment ref="G27" authorId="0" shapeId="0" xr:uid="{00000000-0006-0000-0000-000039010000}">
      <text>
        <r>
          <rPr>
            <b/>
            <sz val="10"/>
            <color indexed="81"/>
            <rFont val="Tahoma"/>
            <family val="2"/>
          </rPr>
          <t>Author:</t>
        </r>
        <r>
          <rPr>
            <sz val="10"/>
            <color indexed="81"/>
            <rFont val="Tahoma"/>
            <family val="2"/>
          </rPr>
          <t xml:space="preserve">
See FP 90/92-N-050-0001</t>
        </r>
      </text>
    </comment>
    <comment ref="J27" authorId="0" shapeId="0" xr:uid="{00000000-0006-0000-0000-00003A010000}">
      <text>
        <r>
          <rPr>
            <b/>
            <sz val="10"/>
            <color indexed="81"/>
            <rFont val="Tahoma"/>
            <family val="2"/>
          </rPr>
          <t>Author:</t>
        </r>
        <r>
          <rPr>
            <sz val="10"/>
            <color indexed="81"/>
            <rFont val="Tahoma"/>
            <family val="2"/>
          </rPr>
          <t xml:space="preserve">
See nameplate picture </t>
        </r>
      </text>
    </comment>
    <comment ref="L27" authorId="0" shapeId="0" xr:uid="{00000000-0006-0000-0000-00003B010000}">
      <text>
        <r>
          <rPr>
            <b/>
            <sz val="10"/>
            <color indexed="81"/>
            <rFont val="Tahoma"/>
            <family val="2"/>
          </rPr>
          <t>Author:</t>
        </r>
        <r>
          <rPr>
            <sz val="10"/>
            <color indexed="81"/>
            <rFont val="Tahoma"/>
            <family val="2"/>
          </rPr>
          <t xml:space="preserve">
See nameplate picture </t>
        </r>
      </text>
    </comment>
    <comment ref="O27" authorId="0" shapeId="0" xr:uid="{00000000-0006-0000-0000-00003C010000}">
      <text>
        <r>
          <rPr>
            <b/>
            <sz val="9"/>
            <color indexed="81"/>
            <rFont val="Tahoma"/>
            <family val="2"/>
          </rPr>
          <t>Author:</t>
        </r>
        <r>
          <rPr>
            <sz val="9"/>
            <color indexed="81"/>
            <rFont val="Tahoma"/>
            <family val="2"/>
          </rPr>
          <t xml:space="preserve">
Hot Spot CT</t>
        </r>
      </text>
    </comment>
    <comment ref="S27" authorId="0" shapeId="0" xr:uid="{00000000-0006-0000-0000-00003D010000}">
      <text>
        <r>
          <rPr>
            <b/>
            <sz val="9"/>
            <color indexed="81"/>
            <rFont val="Tahoma"/>
            <family val="2"/>
          </rPr>
          <t>Author:</t>
        </r>
        <r>
          <rPr>
            <sz val="9"/>
            <color indexed="81"/>
            <rFont val="Tahoma"/>
            <family val="2"/>
          </rPr>
          <t xml:space="preserve">
Tap 3</t>
        </r>
      </text>
    </comment>
    <comment ref="T27" authorId="0" shapeId="0" xr:uid="{00000000-0006-0000-0000-00003E010000}">
      <text>
        <r>
          <rPr>
            <b/>
            <sz val="9"/>
            <color indexed="81"/>
            <rFont val="Tahoma"/>
            <family val="2"/>
          </rPr>
          <t>Author:</t>
        </r>
        <r>
          <rPr>
            <sz val="9"/>
            <color indexed="81"/>
            <rFont val="Tahoma"/>
            <family val="2"/>
          </rPr>
          <t xml:space="preserve">
Value from Subs Eng FAC-008-3 Spreadsheet.
Limiting Element: Metering Unit CTs</t>
        </r>
      </text>
    </comment>
    <comment ref="V27" authorId="0" shapeId="0" xr:uid="{00000000-0006-0000-0000-00003F010000}">
      <text>
        <r>
          <rPr>
            <b/>
            <sz val="9"/>
            <color indexed="81"/>
            <rFont val="Tahoma"/>
            <family val="2"/>
          </rPr>
          <t>Author:</t>
        </r>
        <r>
          <rPr>
            <sz val="9"/>
            <color indexed="81"/>
            <rFont val="Tahoma"/>
            <family val="2"/>
          </rPr>
          <t xml:space="preserve">
Calculation since nameplate is in 403000kva or the 55C hot spot capability</t>
        </r>
      </text>
    </comment>
    <comment ref="W27" authorId="0" shapeId="0" xr:uid="{00000000-0006-0000-0000-000040010000}">
      <text>
        <r>
          <rPr>
            <b/>
            <sz val="9"/>
            <color indexed="81"/>
            <rFont val="Tahoma"/>
            <family val="2"/>
          </rPr>
          <t>Brady Nunn:</t>
        </r>
        <r>
          <rPr>
            <sz val="9"/>
            <color indexed="81"/>
            <rFont val="Tahoma"/>
            <family val="2"/>
          </rPr>
          <t xml:space="preserve">
50 function set at 32.878A secondary, CTR = 400. GSU HS Pickup = 13151.2A. GSU LS pickup = 144005.6A 
51 function set at 4.93A secondary, CTR=400. GSU HS pickup = 1972A. GSU LS pickup = 21593.4A
21 function has been evaluated to PRC-025.</t>
        </r>
      </text>
    </comment>
    <comment ref="Y27" authorId="0" shapeId="0" xr:uid="{00000000-0006-0000-0000-000041010000}">
      <text>
        <r>
          <rPr>
            <b/>
            <sz val="9"/>
            <color indexed="81"/>
            <rFont val="Tahoma"/>
            <family val="2"/>
          </rPr>
          <t>Author:</t>
        </r>
        <r>
          <rPr>
            <sz val="9"/>
            <color indexed="81"/>
            <rFont val="Tahoma"/>
            <family val="2"/>
          </rPr>
          <t xml:space="preserve">
from nameplate</t>
        </r>
      </text>
    </comment>
    <comment ref="AC27" authorId="0" shapeId="0" xr:uid="{00000000-0006-0000-0000-000042010000}">
      <text>
        <r>
          <rPr>
            <b/>
            <sz val="10"/>
            <color indexed="81"/>
            <rFont val="Tahoma"/>
            <family val="2"/>
          </rPr>
          <t>Author:</t>
        </r>
        <r>
          <rPr>
            <sz val="10"/>
            <color indexed="81"/>
            <rFont val="Tahoma"/>
            <family val="2"/>
          </rPr>
          <t xml:space="preserve">
Info from Generator Data sheet, corrected for altitude.</t>
        </r>
      </text>
    </comment>
    <comment ref="AD27" authorId="0" shapeId="0" xr:uid="{00000000-0006-0000-0000-000043010000}">
      <text>
        <r>
          <rPr>
            <b/>
            <sz val="10"/>
            <color indexed="81"/>
            <rFont val="Tahoma"/>
            <family val="2"/>
          </rPr>
          <t>Author:</t>
        </r>
        <r>
          <rPr>
            <sz val="10"/>
            <color indexed="81"/>
            <rFont val="Tahoma"/>
            <family val="2"/>
          </rPr>
          <t xml:space="preserve">
See K14-76T-E5091</t>
        </r>
      </text>
    </comment>
    <comment ref="C28" authorId="0" shapeId="0" xr:uid="{00000000-0006-0000-0000-000044010000}">
      <text>
        <r>
          <rPr>
            <b/>
            <sz val="10"/>
            <color indexed="81"/>
            <rFont val="Tahoma"/>
            <family val="2"/>
          </rPr>
          <t>Author:</t>
        </r>
        <r>
          <rPr>
            <sz val="10"/>
            <color indexed="81"/>
            <rFont val="Tahoma"/>
            <family val="2"/>
          </rPr>
          <t xml:space="preserve">
See nameplate picture or 1APK-E1001</t>
        </r>
      </text>
    </comment>
    <comment ref="D28" authorId="0" shapeId="0" xr:uid="{00000000-0006-0000-0000-000045010000}">
      <text>
        <r>
          <rPr>
            <b/>
            <sz val="10"/>
            <color indexed="81"/>
            <rFont val="Tahoma"/>
            <family val="2"/>
          </rPr>
          <t>Author:</t>
        </r>
        <r>
          <rPr>
            <sz val="10"/>
            <color indexed="81"/>
            <rFont val="Tahoma"/>
            <family val="2"/>
          </rPr>
          <t xml:space="preserve">
See nameplate picture or 1APK-E1001</t>
        </r>
      </text>
    </comment>
    <comment ref="E28" authorId="0" shapeId="0" xr:uid="{00000000-0006-0000-0000-000046010000}">
      <text>
        <r>
          <rPr>
            <b/>
            <sz val="10"/>
            <color indexed="81"/>
            <rFont val="Tahoma"/>
            <family val="2"/>
          </rPr>
          <t>Author:</t>
        </r>
        <r>
          <rPr>
            <sz val="10"/>
            <color indexed="81"/>
            <rFont val="Tahoma"/>
            <family val="2"/>
          </rPr>
          <t xml:space="preserve">
See nameplate picture</t>
        </r>
      </text>
    </comment>
    <comment ref="F28" authorId="0" shapeId="0" xr:uid="{00000000-0006-0000-0000-000047010000}">
      <text>
        <r>
          <rPr>
            <b/>
            <sz val="10"/>
            <color indexed="81"/>
            <rFont val="Tahoma"/>
            <family val="2"/>
          </rPr>
          <t>Author:</t>
        </r>
        <r>
          <rPr>
            <sz val="10"/>
            <color indexed="81"/>
            <rFont val="Tahoma"/>
            <family val="2"/>
          </rPr>
          <t xml:space="preserve">
See 1APK-E1001</t>
        </r>
      </text>
    </comment>
    <comment ref="G28" authorId="0" shapeId="0" xr:uid="{00000000-0006-0000-0000-000048010000}">
      <text>
        <r>
          <rPr>
            <b/>
            <sz val="10"/>
            <color indexed="81"/>
            <rFont val="Tahoma"/>
            <family val="2"/>
          </rPr>
          <t>Author:</t>
        </r>
        <r>
          <rPr>
            <sz val="10"/>
            <color indexed="81"/>
            <rFont val="Tahoma"/>
            <family val="2"/>
          </rPr>
          <t xml:space="preserve">
See FP 90/92-N-050-0001</t>
        </r>
      </text>
    </comment>
    <comment ref="J28" authorId="0" shapeId="0" xr:uid="{00000000-0006-0000-0000-000049010000}">
      <text>
        <r>
          <rPr>
            <b/>
            <sz val="10"/>
            <color indexed="81"/>
            <rFont val="Tahoma"/>
            <family val="2"/>
          </rPr>
          <t>Author:</t>
        </r>
        <r>
          <rPr>
            <sz val="10"/>
            <color indexed="81"/>
            <rFont val="Tahoma"/>
            <family val="2"/>
          </rPr>
          <t xml:space="preserve">
See nameplate picture or 1APK-E1001</t>
        </r>
      </text>
    </comment>
    <comment ref="L28" authorId="0" shapeId="0" xr:uid="{00000000-0006-0000-0000-00004A010000}">
      <text>
        <r>
          <rPr>
            <b/>
            <sz val="10"/>
            <color indexed="81"/>
            <rFont val="Tahoma"/>
            <family val="2"/>
          </rPr>
          <t>Author:</t>
        </r>
        <r>
          <rPr>
            <sz val="10"/>
            <color indexed="81"/>
            <rFont val="Tahoma"/>
            <family val="2"/>
          </rPr>
          <t xml:space="preserve">
See nameplate picture </t>
        </r>
      </text>
    </comment>
    <comment ref="O28" authorId="0" shapeId="0" xr:uid="{00000000-0006-0000-0000-00004B010000}">
      <text>
        <r>
          <rPr>
            <b/>
            <sz val="9"/>
            <color indexed="81"/>
            <rFont val="Tahoma"/>
            <family val="2"/>
          </rPr>
          <t>Author:</t>
        </r>
        <r>
          <rPr>
            <sz val="9"/>
            <color indexed="81"/>
            <rFont val="Tahoma"/>
            <family val="2"/>
          </rPr>
          <t xml:space="preserve">
Hot Spot CT</t>
        </r>
      </text>
    </comment>
    <comment ref="S28" authorId="0" shapeId="0" xr:uid="{00000000-0006-0000-0000-00004C010000}">
      <text>
        <r>
          <rPr>
            <b/>
            <sz val="9"/>
            <color indexed="81"/>
            <rFont val="Tahoma"/>
            <family val="2"/>
          </rPr>
          <t>Author:</t>
        </r>
        <r>
          <rPr>
            <sz val="9"/>
            <color indexed="81"/>
            <rFont val="Tahoma"/>
            <family val="2"/>
          </rPr>
          <t xml:space="preserve">
Tap 3</t>
        </r>
      </text>
    </comment>
    <comment ref="T28" authorId="0" shapeId="0" xr:uid="{00000000-0006-0000-0000-00004D010000}">
      <text>
        <r>
          <rPr>
            <b/>
            <sz val="9"/>
            <color indexed="81"/>
            <rFont val="Tahoma"/>
            <family val="2"/>
          </rPr>
          <t>Author:</t>
        </r>
        <r>
          <rPr>
            <sz val="9"/>
            <color indexed="81"/>
            <rFont val="Tahoma"/>
            <family val="2"/>
          </rPr>
          <t xml:space="preserve">
Value from Subs Eng FAC-008-3 Spreadsheet.
Limiting Element: Metering Unit CTs</t>
        </r>
      </text>
    </comment>
    <comment ref="V28" authorId="0" shapeId="0" xr:uid="{00000000-0006-0000-0000-00004E010000}">
      <text>
        <r>
          <rPr>
            <b/>
            <sz val="9"/>
            <color indexed="81"/>
            <rFont val="Tahoma"/>
            <family val="2"/>
          </rPr>
          <t>Author:</t>
        </r>
        <r>
          <rPr>
            <sz val="9"/>
            <color indexed="81"/>
            <rFont val="Tahoma"/>
            <family val="2"/>
          </rPr>
          <t xml:space="preserve">
Calculation since nameplate is in 403000kva or the 55C hot spot capability</t>
        </r>
      </text>
    </comment>
    <comment ref="W28" authorId="0" shapeId="0" xr:uid="{00000000-0006-0000-0000-00004F010000}">
      <text>
        <r>
          <rPr>
            <b/>
            <sz val="9"/>
            <color indexed="81"/>
            <rFont val="Tahoma"/>
            <family val="2"/>
          </rPr>
          <t xml:space="preserve">Brady Nunn:
</t>
        </r>
        <r>
          <rPr>
            <sz val="9"/>
            <color indexed="81"/>
            <rFont val="Tahoma"/>
            <family val="2"/>
          </rPr>
          <t>50 function set at 32.878A secondary, CTR = 400. GSU HS Pickup = 13151.2A. GSU LS pickup = 144005.6A 
51 function set at 4.93A secondary, CTR=400. GSU HS pickup = 1972A. GSU LS pickup = 21593.4A
21 function has been evaluated to PRC-025</t>
        </r>
        <r>
          <rPr>
            <b/>
            <sz val="9"/>
            <color indexed="81"/>
            <rFont val="Tahoma"/>
            <family val="2"/>
          </rPr>
          <t>.</t>
        </r>
      </text>
    </comment>
    <comment ref="Y28" authorId="0" shapeId="0" xr:uid="{00000000-0006-0000-0000-000050010000}">
      <text>
        <r>
          <rPr>
            <b/>
            <sz val="9"/>
            <color indexed="81"/>
            <rFont val="Tahoma"/>
            <family val="2"/>
          </rPr>
          <t>Author:</t>
        </r>
        <r>
          <rPr>
            <sz val="9"/>
            <color indexed="81"/>
            <rFont val="Tahoma"/>
            <family val="2"/>
          </rPr>
          <t xml:space="preserve">
From Nameplate</t>
        </r>
      </text>
    </comment>
    <comment ref="AC28" authorId="0" shapeId="0" xr:uid="{00000000-0006-0000-0000-000051010000}">
      <text>
        <r>
          <rPr>
            <b/>
            <sz val="10"/>
            <color indexed="81"/>
            <rFont val="Tahoma"/>
            <family val="2"/>
          </rPr>
          <t>Author:</t>
        </r>
        <r>
          <rPr>
            <sz val="10"/>
            <color indexed="81"/>
            <rFont val="Tahoma"/>
            <family val="2"/>
          </rPr>
          <t xml:space="preserve">
Info from Generator Data sheet, corrected for altitude.</t>
        </r>
      </text>
    </comment>
    <comment ref="AD28" authorId="0" shapeId="0" xr:uid="{00000000-0006-0000-0000-000052010000}">
      <text>
        <r>
          <rPr>
            <b/>
            <sz val="10"/>
            <color indexed="81"/>
            <rFont val="Tahoma"/>
            <family val="2"/>
          </rPr>
          <t>Author:</t>
        </r>
        <r>
          <rPr>
            <sz val="10"/>
            <color indexed="81"/>
            <rFont val="Tahoma"/>
            <family val="2"/>
          </rPr>
          <t xml:space="preserve">
See K14-76T-E5091</t>
        </r>
      </text>
    </comment>
    <comment ref="C29" authorId="0" shapeId="0" xr:uid="{00000000-0006-0000-0000-000053010000}">
      <text>
        <r>
          <rPr>
            <b/>
            <sz val="10"/>
            <color indexed="81"/>
            <rFont val="Tahoma"/>
            <family val="2"/>
          </rPr>
          <t>Author:</t>
        </r>
        <r>
          <rPr>
            <sz val="10"/>
            <color indexed="81"/>
            <rFont val="Tahoma"/>
            <family val="2"/>
          </rPr>
          <t xml:space="preserve">
See nameplate picture</t>
        </r>
      </text>
    </comment>
    <comment ref="D29" authorId="0" shapeId="0" xr:uid="{00000000-0006-0000-0000-000054010000}">
      <text>
        <r>
          <rPr>
            <b/>
            <sz val="10"/>
            <color indexed="81"/>
            <rFont val="Tahoma"/>
            <family val="2"/>
          </rPr>
          <t>Author:</t>
        </r>
        <r>
          <rPr>
            <sz val="10"/>
            <color indexed="81"/>
            <rFont val="Tahoma"/>
            <family val="2"/>
          </rPr>
          <t xml:space="preserve">
See nameplate picture</t>
        </r>
      </text>
    </comment>
    <comment ref="E29" authorId="0" shapeId="0" xr:uid="{00000000-0006-0000-0000-000055010000}">
      <text>
        <r>
          <rPr>
            <b/>
            <sz val="10"/>
            <color indexed="81"/>
            <rFont val="Tahoma"/>
            <family val="2"/>
          </rPr>
          <t>Author:</t>
        </r>
        <r>
          <rPr>
            <sz val="10"/>
            <color indexed="81"/>
            <rFont val="Tahoma"/>
            <family val="2"/>
          </rPr>
          <t xml:space="preserve">
See nameplate picture</t>
        </r>
      </text>
    </comment>
    <comment ref="F29" authorId="0" shapeId="0" xr:uid="{00000000-0006-0000-0000-000056010000}">
      <text>
        <r>
          <rPr>
            <b/>
            <sz val="10"/>
            <color indexed="81"/>
            <rFont val="Tahoma"/>
            <family val="2"/>
          </rPr>
          <t>Author:</t>
        </r>
        <r>
          <rPr>
            <sz val="10"/>
            <color indexed="81"/>
            <rFont val="Tahoma"/>
            <family val="2"/>
          </rPr>
          <t xml:space="preserve">
See 188D8641</t>
        </r>
      </text>
    </comment>
    <comment ref="G29" authorId="0" shapeId="0" xr:uid="{00000000-0006-0000-0000-000057010000}">
      <text>
        <r>
          <rPr>
            <b/>
            <sz val="10"/>
            <color indexed="81"/>
            <rFont val="Tahoma"/>
            <family val="2"/>
          </rPr>
          <t>Author:</t>
        </r>
        <r>
          <rPr>
            <sz val="10"/>
            <color indexed="81"/>
            <rFont val="Tahoma"/>
            <family val="2"/>
          </rPr>
          <t xml:space="preserve">
See 167D7871 Sh1</t>
        </r>
      </text>
    </comment>
    <comment ref="H29" authorId="0" shapeId="0" xr:uid="{00000000-0006-0000-0000-000058010000}">
      <text>
        <r>
          <rPr>
            <b/>
            <sz val="10"/>
            <color indexed="81"/>
            <rFont val="Tahoma"/>
            <family val="2"/>
          </rPr>
          <t>Author:</t>
        </r>
        <r>
          <rPr>
            <sz val="10"/>
            <color indexed="81"/>
            <rFont val="Tahoma"/>
            <family val="2"/>
          </rPr>
          <t xml:space="preserve">
Part of generator bkr.
See nameplate photo
</t>
        </r>
      </text>
    </comment>
    <comment ref="J29" authorId="0" shapeId="0" xr:uid="{00000000-0006-0000-0000-000059010000}">
      <text>
        <r>
          <rPr>
            <b/>
            <sz val="10"/>
            <color indexed="81"/>
            <rFont val="Tahoma"/>
            <family val="2"/>
          </rPr>
          <t>Author:</t>
        </r>
        <r>
          <rPr>
            <sz val="10"/>
            <color indexed="81"/>
            <rFont val="Tahoma"/>
            <family val="2"/>
          </rPr>
          <t xml:space="preserve">
See nameplate picture</t>
        </r>
      </text>
    </comment>
    <comment ref="L29" authorId="0" shapeId="0" xr:uid="{00000000-0006-0000-0000-00005A010000}">
      <text>
        <r>
          <rPr>
            <b/>
            <sz val="10"/>
            <color indexed="81"/>
            <rFont val="Tahoma"/>
            <family val="2"/>
          </rPr>
          <t>Author:</t>
        </r>
        <r>
          <rPr>
            <sz val="10"/>
            <color indexed="81"/>
            <rFont val="Tahoma"/>
            <family val="2"/>
          </rPr>
          <t xml:space="preserve">
See nameplate picture</t>
        </r>
      </text>
    </comment>
    <comment ref="N29" authorId="0" shapeId="0" xr:uid="{00000000-0006-0000-0000-00005B010000}">
      <text>
        <r>
          <rPr>
            <b/>
            <sz val="9"/>
            <color indexed="81"/>
            <rFont val="Tahoma"/>
            <family val="2"/>
          </rPr>
          <t>Author:</t>
        </r>
        <r>
          <rPr>
            <sz val="9"/>
            <color indexed="81"/>
            <rFont val="Tahoma"/>
            <family val="2"/>
          </rPr>
          <t xml:space="preserve">
CT to WTI, ratio 7600/5 with a continuous current rating factor = 2.0. See nameplate photo.
7600*2=15200</t>
        </r>
      </text>
    </comment>
    <comment ref="O29" authorId="0" shapeId="0" xr:uid="{00000000-0006-0000-0000-00005C010000}">
      <text>
        <r>
          <rPr>
            <b/>
            <sz val="9"/>
            <color indexed="81"/>
            <rFont val="Tahoma"/>
            <family val="2"/>
          </rPr>
          <t xml:space="preserve">Brady Nunn:
</t>
        </r>
        <r>
          <rPr>
            <sz val="9"/>
            <color indexed="81"/>
            <rFont val="Tahoma"/>
            <family val="2"/>
          </rPr>
          <t>CT4 rated at 625/5A, with a continous current factor = 2.0. See nameplate photo.
625*2 = 1250</t>
        </r>
      </text>
    </comment>
    <comment ref="Q29" authorId="0" shapeId="0" xr:uid="{00000000-0006-0000-0000-00005D010000}">
      <text>
        <r>
          <rPr>
            <b/>
            <sz val="10"/>
            <color indexed="81"/>
            <rFont val="Tahoma"/>
            <family val="2"/>
          </rPr>
          <t>Author:</t>
        </r>
        <r>
          <rPr>
            <sz val="10"/>
            <color indexed="81"/>
            <rFont val="Tahoma"/>
            <family val="2"/>
          </rPr>
          <t xml:space="preserve">
See Bkr 252G nameplate picture</t>
        </r>
      </text>
    </comment>
    <comment ref="R29" authorId="0" shapeId="0" xr:uid="{00000000-0006-0000-0000-00005E010000}">
      <text>
        <r>
          <rPr>
            <b/>
            <sz val="10"/>
            <color indexed="81"/>
            <rFont val="Tahoma"/>
            <family val="2"/>
          </rPr>
          <t>Author:</t>
        </r>
        <r>
          <rPr>
            <sz val="10"/>
            <color indexed="81"/>
            <rFont val="Tahoma"/>
            <family val="2"/>
          </rPr>
          <t xml:space="preserve">
See 188D8641 Sh2</t>
        </r>
      </text>
    </comment>
    <comment ref="S29" authorId="0" shapeId="0" xr:uid="{00000000-0006-0000-0000-00005F010000}">
      <text>
        <r>
          <rPr>
            <b/>
            <sz val="9"/>
            <color indexed="81"/>
            <rFont val="Tahoma"/>
            <family val="2"/>
          </rPr>
          <t>Author:</t>
        </r>
        <r>
          <rPr>
            <sz val="9"/>
            <color indexed="81"/>
            <rFont val="Tahoma"/>
            <family val="2"/>
          </rPr>
          <t xml:space="preserve">
Tap 2</t>
        </r>
      </text>
    </comment>
    <comment ref="T29" authorId="0" shapeId="0" xr:uid="{00000000-0006-0000-0000-000060010000}">
      <text>
        <r>
          <rPr>
            <b/>
            <sz val="9"/>
            <color indexed="81"/>
            <rFont val="Tahoma"/>
            <family val="2"/>
          </rPr>
          <t>Author:</t>
        </r>
        <r>
          <rPr>
            <sz val="9"/>
            <color indexed="81"/>
            <rFont val="Tahoma"/>
            <family val="2"/>
          </rPr>
          <t xml:space="preserve">
Value from Subs Eng FAC-008-3 Spreadsheet.
Limiting Element: Metering Unit CTs</t>
        </r>
      </text>
    </comment>
    <comment ref="V29" authorId="0" shapeId="0" xr:uid="{00000000-0006-0000-0000-000061010000}">
      <text>
        <r>
          <rPr>
            <b/>
            <sz val="9"/>
            <color indexed="81"/>
            <rFont val="Tahoma"/>
            <family val="2"/>
          </rPr>
          <t>Author:</t>
        </r>
        <r>
          <rPr>
            <sz val="9"/>
            <color indexed="81"/>
            <rFont val="Tahoma"/>
            <family val="2"/>
          </rPr>
          <t xml:space="preserve">
Matches Nameplate Value</t>
        </r>
      </text>
    </comment>
    <comment ref="W29" authorId="0" shapeId="0" xr:uid="{00000000-0006-0000-0000-000062010000}">
      <text>
        <r>
          <rPr>
            <b/>
            <sz val="9"/>
            <color indexed="81"/>
            <rFont val="Tahoma"/>
            <family val="2"/>
          </rPr>
          <t>Brady Nunn:</t>
        </r>
        <r>
          <rPr>
            <sz val="9"/>
            <color indexed="81"/>
            <rFont val="Tahoma"/>
            <family val="2"/>
          </rPr>
          <t xml:space="preserve">
50 function pickup at 23.612A secondary, CTR=240A. HS GSU pickup = 5666.9A. GSU LS pickup = 76106.5A
51 function pickup at 4.2A secondary, CTR=240A. HS GSU pickup = 1008A. GSU LS pickup = 13537 A.
21 function has been evaluated to PRC-025.</t>
        </r>
      </text>
    </comment>
    <comment ref="Y29" authorId="0" shapeId="0" xr:uid="{00000000-0006-0000-0000-000063010000}">
      <text>
        <r>
          <rPr>
            <b/>
            <sz val="9"/>
            <color indexed="81"/>
            <rFont val="Tahoma"/>
            <family val="2"/>
          </rPr>
          <t>Author:</t>
        </r>
        <r>
          <rPr>
            <sz val="9"/>
            <color indexed="81"/>
            <rFont val="Tahoma"/>
            <family val="2"/>
          </rPr>
          <t xml:space="preserve">
Nameplate</t>
        </r>
      </text>
    </comment>
    <comment ref="AC29" authorId="0" shapeId="0" xr:uid="{00000000-0006-0000-0000-000064010000}">
      <text>
        <r>
          <rPr>
            <b/>
            <sz val="10"/>
            <color indexed="81"/>
            <rFont val="Tahoma"/>
            <family val="2"/>
          </rPr>
          <t>Author:</t>
        </r>
        <r>
          <rPr>
            <sz val="10"/>
            <color indexed="81"/>
            <rFont val="Tahoma"/>
            <family val="2"/>
          </rPr>
          <t xml:space="preserve">
Info from Generator Data sheet, corrected for altitude.</t>
        </r>
      </text>
    </comment>
    <comment ref="AD29" authorId="0" shapeId="0" xr:uid="{00000000-0006-0000-0000-000065010000}">
      <text>
        <r>
          <rPr>
            <b/>
            <sz val="10"/>
            <color indexed="81"/>
            <rFont val="Tahoma"/>
            <family val="2"/>
          </rPr>
          <t>Author:</t>
        </r>
        <r>
          <rPr>
            <sz val="10"/>
            <color indexed="81"/>
            <rFont val="Tahoma"/>
            <family val="2"/>
          </rPr>
          <t xml:space="preserve">
See K14-76T-E5091</t>
        </r>
      </text>
    </comment>
    <comment ref="C30" authorId="0" shapeId="0" xr:uid="{00000000-0006-0000-0000-000066010000}">
      <text>
        <r>
          <rPr>
            <b/>
            <sz val="10"/>
            <color indexed="81"/>
            <rFont val="Tahoma"/>
            <family val="2"/>
          </rPr>
          <t>Author:</t>
        </r>
        <r>
          <rPr>
            <sz val="10"/>
            <color indexed="81"/>
            <rFont val="Tahoma"/>
            <family val="2"/>
          </rPr>
          <t xml:space="preserve">
See nameplate picture</t>
        </r>
      </text>
    </comment>
    <comment ref="D30" authorId="0" shapeId="0" xr:uid="{00000000-0006-0000-0000-000067010000}">
      <text>
        <r>
          <rPr>
            <b/>
            <sz val="10"/>
            <color indexed="81"/>
            <rFont val="Tahoma"/>
            <family val="2"/>
          </rPr>
          <t>Author:</t>
        </r>
        <r>
          <rPr>
            <sz val="10"/>
            <color indexed="81"/>
            <rFont val="Tahoma"/>
            <family val="2"/>
          </rPr>
          <t xml:space="preserve">
See nameplate picture</t>
        </r>
      </text>
    </comment>
    <comment ref="E30" authorId="0" shapeId="0" xr:uid="{00000000-0006-0000-0000-000068010000}">
      <text>
        <r>
          <rPr>
            <b/>
            <sz val="10"/>
            <color indexed="81"/>
            <rFont val="Tahoma"/>
            <family val="2"/>
          </rPr>
          <t>Author:</t>
        </r>
        <r>
          <rPr>
            <sz val="10"/>
            <color indexed="81"/>
            <rFont val="Tahoma"/>
            <family val="2"/>
          </rPr>
          <t xml:space="preserve">
See nameplate picture</t>
        </r>
      </text>
    </comment>
    <comment ref="F30" authorId="0" shapeId="0" xr:uid="{00000000-0006-0000-0000-000069010000}">
      <text>
        <r>
          <rPr>
            <b/>
            <sz val="10"/>
            <color indexed="81"/>
            <rFont val="Tahoma"/>
            <family val="2"/>
          </rPr>
          <t>Author:</t>
        </r>
        <r>
          <rPr>
            <sz val="10"/>
            <color indexed="81"/>
            <rFont val="Tahoma"/>
            <family val="2"/>
          </rPr>
          <t xml:space="preserve">
See 188D8641</t>
        </r>
      </text>
    </comment>
    <comment ref="G30" authorId="0" shapeId="0" xr:uid="{00000000-0006-0000-0000-00006A010000}">
      <text>
        <r>
          <rPr>
            <b/>
            <sz val="10"/>
            <color indexed="81"/>
            <rFont val="Tahoma"/>
            <family val="2"/>
          </rPr>
          <t>Author:</t>
        </r>
        <r>
          <rPr>
            <sz val="10"/>
            <color indexed="81"/>
            <rFont val="Tahoma"/>
            <family val="2"/>
          </rPr>
          <t xml:space="preserve">
See 167D7871 Sh1</t>
        </r>
      </text>
    </comment>
    <comment ref="H30" authorId="0" shapeId="0" xr:uid="{00000000-0006-0000-0000-00006B010000}">
      <text>
        <r>
          <rPr>
            <b/>
            <sz val="10"/>
            <color indexed="81"/>
            <rFont val="Tahoma"/>
            <family val="2"/>
          </rPr>
          <t>Author:</t>
        </r>
        <r>
          <rPr>
            <sz val="10"/>
            <color indexed="81"/>
            <rFont val="Tahoma"/>
            <family val="2"/>
          </rPr>
          <t xml:space="preserve">
Part of generator bkr See nameplate photo</t>
        </r>
      </text>
    </comment>
    <comment ref="J30" authorId="0" shapeId="0" xr:uid="{00000000-0006-0000-0000-00006C010000}">
      <text>
        <r>
          <rPr>
            <b/>
            <sz val="10"/>
            <color indexed="81"/>
            <rFont val="Tahoma"/>
            <family val="2"/>
          </rPr>
          <t>Author:</t>
        </r>
        <r>
          <rPr>
            <sz val="10"/>
            <color indexed="81"/>
            <rFont val="Tahoma"/>
            <family val="2"/>
          </rPr>
          <t xml:space="preserve">
See nameplate picture</t>
        </r>
      </text>
    </comment>
    <comment ref="L30" authorId="0" shapeId="0" xr:uid="{00000000-0006-0000-0000-00006D010000}">
      <text>
        <r>
          <rPr>
            <b/>
            <sz val="10"/>
            <color indexed="81"/>
            <rFont val="Tahoma"/>
            <family val="2"/>
          </rPr>
          <t>Author:</t>
        </r>
        <r>
          <rPr>
            <sz val="10"/>
            <color indexed="81"/>
            <rFont val="Tahoma"/>
            <family val="2"/>
          </rPr>
          <t xml:space="preserve">
See nameplate picture</t>
        </r>
      </text>
    </comment>
    <comment ref="N30" authorId="0" shapeId="0" xr:uid="{00000000-0006-0000-0000-00006E010000}">
      <text>
        <r>
          <rPr>
            <b/>
            <sz val="9"/>
            <color indexed="81"/>
            <rFont val="Tahoma"/>
            <family val="2"/>
          </rPr>
          <t>Author:</t>
        </r>
        <r>
          <rPr>
            <sz val="9"/>
            <color indexed="81"/>
            <rFont val="Tahoma"/>
            <family val="2"/>
          </rPr>
          <t xml:space="preserve">
CT to WTI, ratio 7600/5 with a continuous current rating factor = 2.0. See nameplate photo.
7600*2=15200</t>
        </r>
      </text>
    </comment>
    <comment ref="O30" authorId="0" shapeId="0" xr:uid="{00000000-0006-0000-0000-00006F010000}">
      <text>
        <r>
          <rPr>
            <b/>
            <sz val="9"/>
            <color indexed="81"/>
            <rFont val="Tahoma"/>
            <family val="2"/>
          </rPr>
          <t xml:space="preserve">Brady Nunn:
</t>
        </r>
        <r>
          <rPr>
            <sz val="9"/>
            <color indexed="81"/>
            <rFont val="Tahoma"/>
            <family val="2"/>
          </rPr>
          <t>CT4 rated at 625/5A, with a continous current factor = 2.0. See nameplate photo.
625*2 = 1250</t>
        </r>
      </text>
    </comment>
    <comment ref="Q30" authorId="0" shapeId="0" xr:uid="{00000000-0006-0000-0000-000070010000}">
      <text>
        <r>
          <rPr>
            <b/>
            <sz val="10"/>
            <color indexed="81"/>
            <rFont val="Tahoma"/>
            <family val="2"/>
          </rPr>
          <t>Author:</t>
        </r>
        <r>
          <rPr>
            <sz val="10"/>
            <color indexed="81"/>
            <rFont val="Tahoma"/>
            <family val="2"/>
          </rPr>
          <t xml:space="preserve">
See Bkr 252G nameplate picture</t>
        </r>
      </text>
    </comment>
    <comment ref="R30" authorId="0" shapeId="0" xr:uid="{00000000-0006-0000-0000-000071010000}">
      <text>
        <r>
          <rPr>
            <b/>
            <sz val="10"/>
            <color indexed="81"/>
            <rFont val="Tahoma"/>
            <family val="2"/>
          </rPr>
          <t>Author:</t>
        </r>
        <r>
          <rPr>
            <sz val="10"/>
            <color indexed="81"/>
            <rFont val="Tahoma"/>
            <family val="2"/>
          </rPr>
          <t xml:space="preserve">
See 188D8641 Sh2</t>
        </r>
      </text>
    </comment>
    <comment ref="S30" authorId="0" shapeId="0" xr:uid="{00000000-0006-0000-0000-000072010000}">
      <text>
        <r>
          <rPr>
            <b/>
            <sz val="9"/>
            <color indexed="81"/>
            <rFont val="Tahoma"/>
            <family val="2"/>
          </rPr>
          <t>Author:</t>
        </r>
        <r>
          <rPr>
            <sz val="9"/>
            <color indexed="81"/>
            <rFont val="Tahoma"/>
            <family val="2"/>
          </rPr>
          <t xml:space="preserve">
Tap 2</t>
        </r>
      </text>
    </comment>
    <comment ref="T30" authorId="0" shapeId="0" xr:uid="{00000000-0006-0000-0000-000073010000}">
      <text>
        <r>
          <rPr>
            <b/>
            <sz val="9"/>
            <color indexed="81"/>
            <rFont val="Tahoma"/>
            <family val="2"/>
          </rPr>
          <t>Author:</t>
        </r>
        <r>
          <rPr>
            <sz val="9"/>
            <color indexed="81"/>
            <rFont val="Tahoma"/>
            <family val="2"/>
          </rPr>
          <t xml:space="preserve">
Value from Subs Eng FAC-008-3 Spreadsheet.
Limiting Element: Metering Unit CTs</t>
        </r>
      </text>
    </comment>
    <comment ref="V30" authorId="0" shapeId="0" xr:uid="{00000000-0006-0000-0000-000074010000}">
      <text>
        <r>
          <rPr>
            <b/>
            <sz val="9"/>
            <color indexed="81"/>
            <rFont val="Tahoma"/>
            <family val="2"/>
          </rPr>
          <t>Author:</t>
        </r>
        <r>
          <rPr>
            <sz val="9"/>
            <color indexed="81"/>
            <rFont val="Tahoma"/>
            <family val="2"/>
          </rPr>
          <t xml:space="preserve">
Matches Nameplate Value</t>
        </r>
      </text>
    </comment>
    <comment ref="W30" authorId="0" shapeId="0" xr:uid="{00000000-0006-0000-0000-000075010000}">
      <text>
        <r>
          <rPr>
            <b/>
            <sz val="9"/>
            <color indexed="81"/>
            <rFont val="Tahoma"/>
            <family val="2"/>
          </rPr>
          <t xml:space="preserve">Brady Nunn:
</t>
        </r>
        <r>
          <rPr>
            <sz val="9"/>
            <color indexed="81"/>
            <rFont val="Tahoma"/>
            <family val="2"/>
          </rPr>
          <t>50 function pickup at 23.612A secondary, CTR=240A. HS GSU pickup = 5666.9A. GSU LS pickup = 76106.5A
51 function pickup at 4.2A secondary, CTR=240A. HS GSU pickup = 1008A. GSU LS pickup = 13537 A.
21 function has been evaluated to PRC-025.</t>
        </r>
      </text>
    </comment>
    <comment ref="Y30" authorId="0" shapeId="0" xr:uid="{00000000-0006-0000-0000-000076010000}">
      <text>
        <r>
          <rPr>
            <b/>
            <sz val="9"/>
            <color indexed="81"/>
            <rFont val="Tahoma"/>
            <family val="2"/>
          </rPr>
          <t>Author:</t>
        </r>
        <r>
          <rPr>
            <sz val="9"/>
            <color indexed="81"/>
            <rFont val="Tahoma"/>
            <family val="2"/>
          </rPr>
          <t xml:space="preserve">
Nameplate</t>
        </r>
      </text>
    </comment>
    <comment ref="AC30" authorId="0" shapeId="0" xr:uid="{00000000-0006-0000-0000-000077010000}">
      <text>
        <r>
          <rPr>
            <b/>
            <sz val="10"/>
            <color indexed="81"/>
            <rFont val="Tahoma"/>
            <family val="2"/>
          </rPr>
          <t>Author:</t>
        </r>
        <r>
          <rPr>
            <sz val="10"/>
            <color indexed="81"/>
            <rFont val="Tahoma"/>
            <family val="2"/>
          </rPr>
          <t xml:space="preserve">
Info from Generator Data sheet, corrected for altitude.</t>
        </r>
      </text>
    </comment>
    <comment ref="AD30" authorId="0" shapeId="0" xr:uid="{00000000-0006-0000-0000-000078010000}">
      <text>
        <r>
          <rPr>
            <b/>
            <sz val="10"/>
            <color indexed="81"/>
            <rFont val="Tahoma"/>
            <family val="2"/>
          </rPr>
          <t>Author:</t>
        </r>
        <r>
          <rPr>
            <sz val="10"/>
            <color indexed="81"/>
            <rFont val="Tahoma"/>
            <family val="2"/>
          </rPr>
          <t xml:space="preserve">
See K14-76T-E5091</t>
        </r>
      </text>
    </comment>
    <comment ref="C31" authorId="0" shapeId="0" xr:uid="{00000000-0006-0000-0000-000079010000}">
      <text>
        <r>
          <rPr>
            <b/>
            <sz val="10"/>
            <color indexed="81"/>
            <rFont val="Tahoma"/>
            <family val="2"/>
          </rPr>
          <t>Author:</t>
        </r>
        <r>
          <rPr>
            <sz val="10"/>
            <color indexed="81"/>
            <rFont val="Tahoma"/>
            <family val="2"/>
          </rPr>
          <t xml:space="preserve">
See nameplate picture</t>
        </r>
      </text>
    </comment>
    <comment ref="D31" authorId="0" shapeId="0" xr:uid="{00000000-0006-0000-0000-00007A010000}">
      <text>
        <r>
          <rPr>
            <b/>
            <sz val="10"/>
            <color indexed="81"/>
            <rFont val="Tahoma"/>
            <family val="2"/>
          </rPr>
          <t>Author:</t>
        </r>
        <r>
          <rPr>
            <sz val="10"/>
            <color indexed="81"/>
            <rFont val="Tahoma"/>
            <family val="2"/>
          </rPr>
          <t xml:space="preserve">
See nameplate picture</t>
        </r>
      </text>
    </comment>
    <comment ref="E31" authorId="0" shapeId="0" xr:uid="{00000000-0006-0000-0000-00007B010000}">
      <text>
        <r>
          <rPr>
            <b/>
            <sz val="10"/>
            <color indexed="81"/>
            <rFont val="Tahoma"/>
            <family val="2"/>
          </rPr>
          <t>Author:</t>
        </r>
        <r>
          <rPr>
            <sz val="10"/>
            <color indexed="81"/>
            <rFont val="Tahoma"/>
            <family val="2"/>
          </rPr>
          <t xml:space="preserve">
See nameplate picture</t>
        </r>
      </text>
    </comment>
    <comment ref="F31" authorId="0" shapeId="0" xr:uid="{00000000-0006-0000-0000-00007C010000}">
      <text>
        <r>
          <rPr>
            <b/>
            <sz val="10"/>
            <color indexed="81"/>
            <rFont val="Tahoma"/>
            <family val="2"/>
          </rPr>
          <t>Author:</t>
        </r>
        <r>
          <rPr>
            <sz val="10"/>
            <color indexed="81"/>
            <rFont val="Tahoma"/>
            <family val="2"/>
          </rPr>
          <t xml:space="preserve">
See 194D5743 Sh 2</t>
        </r>
      </text>
    </comment>
    <comment ref="G31" authorId="0" shapeId="0" xr:uid="{00000000-0006-0000-0000-00007D010000}">
      <text>
        <r>
          <rPr>
            <b/>
            <sz val="10"/>
            <color indexed="81"/>
            <rFont val="Tahoma"/>
            <family val="2"/>
          </rPr>
          <t>Author:</t>
        </r>
        <r>
          <rPr>
            <sz val="10"/>
            <color indexed="81"/>
            <rFont val="Tahoma"/>
            <family val="2"/>
          </rPr>
          <t xml:space="preserve">
See 192D1174 Sh 1</t>
        </r>
      </text>
    </comment>
    <comment ref="H31" authorId="0" shapeId="0" xr:uid="{00000000-0006-0000-0000-00007E010000}">
      <text>
        <r>
          <rPr>
            <b/>
            <sz val="10"/>
            <color indexed="81"/>
            <rFont val="Tahoma"/>
            <family val="2"/>
          </rPr>
          <t>Author:</t>
        </r>
        <r>
          <rPr>
            <sz val="10"/>
            <color indexed="81"/>
            <rFont val="Tahoma"/>
            <family val="2"/>
          </rPr>
          <t xml:space="preserve">
Part of generator bkr See nameplate photo</t>
        </r>
      </text>
    </comment>
    <comment ref="J31" authorId="0" shapeId="0" xr:uid="{00000000-0006-0000-0000-00007F010000}">
      <text>
        <r>
          <rPr>
            <b/>
            <sz val="10"/>
            <color indexed="81"/>
            <rFont val="Tahoma"/>
            <family val="2"/>
          </rPr>
          <t>Author:</t>
        </r>
        <r>
          <rPr>
            <sz val="10"/>
            <color indexed="81"/>
            <rFont val="Tahoma"/>
            <family val="2"/>
          </rPr>
          <t xml:space="preserve">
See nameplate picture</t>
        </r>
      </text>
    </comment>
    <comment ref="L31" authorId="0" shapeId="0" xr:uid="{00000000-0006-0000-0000-000080010000}">
      <text>
        <r>
          <rPr>
            <b/>
            <sz val="10"/>
            <color indexed="81"/>
            <rFont val="Tahoma"/>
            <family val="2"/>
          </rPr>
          <t>Author:</t>
        </r>
        <r>
          <rPr>
            <sz val="10"/>
            <color indexed="81"/>
            <rFont val="Tahoma"/>
            <family val="2"/>
          </rPr>
          <t xml:space="preserve">
See nameplate picture</t>
        </r>
      </text>
    </comment>
    <comment ref="O31" authorId="0" shapeId="0" xr:uid="{00000000-0006-0000-0000-000081010000}">
      <text>
        <r>
          <rPr>
            <b/>
            <sz val="10"/>
            <color indexed="81"/>
            <rFont val="Tahoma"/>
            <family val="2"/>
          </rPr>
          <t>Author:</t>
        </r>
        <r>
          <rPr>
            <sz val="10"/>
            <color indexed="81"/>
            <rFont val="Tahoma"/>
            <family val="2"/>
          </rPr>
          <t xml:space="preserve">
See nameplate picture
KBS - Not Used
</t>
        </r>
      </text>
    </comment>
    <comment ref="Q31" authorId="0" shapeId="0" xr:uid="{00000000-0006-0000-0000-000082010000}">
      <text>
        <r>
          <rPr>
            <b/>
            <sz val="10"/>
            <color indexed="81"/>
            <rFont val="Tahoma"/>
            <family val="2"/>
          </rPr>
          <t>Author:</t>
        </r>
        <r>
          <rPr>
            <sz val="10"/>
            <color indexed="81"/>
            <rFont val="Tahoma"/>
            <family val="2"/>
          </rPr>
          <t xml:space="preserve">
See nameplate picture</t>
        </r>
      </text>
    </comment>
    <comment ref="R31" authorId="0" shapeId="0" xr:uid="{00000000-0006-0000-0000-000083010000}">
      <text>
        <r>
          <rPr>
            <b/>
            <sz val="10"/>
            <color indexed="81"/>
            <rFont val="Tahoma"/>
            <family val="2"/>
          </rPr>
          <t>Author:</t>
        </r>
        <r>
          <rPr>
            <sz val="10"/>
            <color indexed="81"/>
            <rFont val="Tahoma"/>
            <family val="2"/>
          </rPr>
          <t xml:space="preserve">
See 194D5743 Sh 2</t>
        </r>
      </text>
    </comment>
    <comment ref="S31" authorId="0" shapeId="0" xr:uid="{00000000-0006-0000-0000-000084010000}">
      <text>
        <r>
          <rPr>
            <b/>
            <sz val="9"/>
            <color indexed="81"/>
            <rFont val="Tahoma"/>
            <family val="2"/>
          </rPr>
          <t>Author:</t>
        </r>
        <r>
          <rPr>
            <sz val="9"/>
            <color indexed="81"/>
            <rFont val="Tahoma"/>
            <family val="2"/>
          </rPr>
          <t xml:space="preserve">
Tap 2</t>
        </r>
      </text>
    </comment>
    <comment ref="T31" authorId="0" shapeId="0" xr:uid="{00000000-0006-0000-0000-000085010000}">
      <text>
        <r>
          <rPr>
            <b/>
            <sz val="9"/>
            <color indexed="81"/>
            <rFont val="Tahoma"/>
            <family val="2"/>
          </rPr>
          <t>Author:</t>
        </r>
        <r>
          <rPr>
            <sz val="9"/>
            <color indexed="81"/>
            <rFont val="Tahoma"/>
            <family val="2"/>
          </rPr>
          <t xml:space="preserve">
Value from Subs Eng FAC-008-3 Spreadsheet.
Limiting Element: Metering Unit CTs</t>
        </r>
      </text>
    </comment>
    <comment ref="V31" authorId="0" shapeId="0" xr:uid="{00000000-0006-0000-0000-000086010000}">
      <text>
        <r>
          <rPr>
            <b/>
            <sz val="9"/>
            <color indexed="81"/>
            <rFont val="Tahoma"/>
            <family val="2"/>
          </rPr>
          <t>Author:</t>
        </r>
        <r>
          <rPr>
            <sz val="9"/>
            <color indexed="81"/>
            <rFont val="Tahoma"/>
            <family val="2"/>
          </rPr>
          <t xml:space="preserve">
See namplate</t>
        </r>
      </text>
    </comment>
    <comment ref="W31" authorId="0" shapeId="0" xr:uid="{00000000-0006-0000-0000-000087010000}">
      <text>
        <r>
          <rPr>
            <b/>
            <sz val="9"/>
            <color indexed="81"/>
            <rFont val="Tahoma"/>
            <family val="2"/>
          </rPr>
          <t xml:space="preserve">Brady Nunn:
</t>
        </r>
        <r>
          <rPr>
            <sz val="9"/>
            <color indexed="81"/>
            <rFont val="Tahoma"/>
            <family val="2"/>
          </rPr>
          <t>50 function pickup at 22.816A secondary, CTR=240A. HS GSU pickup = 5475.8A. GSU LS pickup = 73540.5A
51 function pickup at 4.2A secondary, CTR=240A. HS GSU pickup = 1008A. GSU LS pickup = 13537 A.
21 function has been evaluated to PRC-025.</t>
        </r>
      </text>
    </comment>
    <comment ref="Y31" authorId="0" shapeId="0" xr:uid="{00000000-0006-0000-0000-000088010000}">
      <text>
        <r>
          <rPr>
            <b/>
            <sz val="9"/>
            <color indexed="81"/>
            <rFont val="Tahoma"/>
            <family val="2"/>
          </rPr>
          <t>Author:</t>
        </r>
        <r>
          <rPr>
            <sz val="9"/>
            <color indexed="81"/>
            <rFont val="Tahoma"/>
            <family val="2"/>
          </rPr>
          <t xml:space="preserve">
See Nameplate</t>
        </r>
      </text>
    </comment>
    <comment ref="AC31" authorId="0" shapeId="0" xr:uid="{00000000-0006-0000-0000-000089010000}">
      <text>
        <r>
          <rPr>
            <b/>
            <sz val="10"/>
            <color indexed="81"/>
            <rFont val="Tahoma"/>
            <family val="2"/>
          </rPr>
          <t>Author:</t>
        </r>
        <r>
          <rPr>
            <sz val="10"/>
            <color indexed="81"/>
            <rFont val="Tahoma"/>
            <family val="2"/>
          </rPr>
          <t xml:space="preserve">
Info from Generator Data sheet, corrected for altitude.</t>
        </r>
      </text>
    </comment>
    <comment ref="AD31" authorId="0" shapeId="0" xr:uid="{00000000-0006-0000-0000-00008A010000}">
      <text>
        <r>
          <rPr>
            <b/>
            <sz val="10"/>
            <color indexed="81"/>
            <rFont val="Tahoma"/>
            <family val="2"/>
          </rPr>
          <t>Author:</t>
        </r>
        <r>
          <rPr>
            <sz val="10"/>
            <color indexed="81"/>
            <rFont val="Tahoma"/>
            <family val="2"/>
          </rPr>
          <t xml:space="preserve">
See K14-76T-E5091</t>
        </r>
      </text>
    </comment>
    <comment ref="C32" authorId="0" shapeId="0" xr:uid="{00000000-0006-0000-0000-00008B010000}">
      <text>
        <r>
          <rPr>
            <b/>
            <sz val="10"/>
            <color indexed="81"/>
            <rFont val="Tahoma"/>
            <family val="2"/>
          </rPr>
          <t>Author:</t>
        </r>
        <r>
          <rPr>
            <sz val="10"/>
            <color indexed="81"/>
            <rFont val="Tahoma"/>
            <family val="2"/>
          </rPr>
          <t xml:space="preserve">
See nameplate picture</t>
        </r>
      </text>
    </comment>
    <comment ref="D32" authorId="0" shapeId="0" xr:uid="{00000000-0006-0000-0000-00008C010000}">
      <text>
        <r>
          <rPr>
            <b/>
            <sz val="10"/>
            <color indexed="81"/>
            <rFont val="Tahoma"/>
            <family val="2"/>
          </rPr>
          <t>Author:</t>
        </r>
        <r>
          <rPr>
            <sz val="10"/>
            <color indexed="81"/>
            <rFont val="Tahoma"/>
            <family val="2"/>
          </rPr>
          <t xml:space="preserve">
See nameplate picture</t>
        </r>
      </text>
    </comment>
    <comment ref="E32" authorId="0" shapeId="0" xr:uid="{00000000-0006-0000-0000-00008D010000}">
      <text>
        <r>
          <rPr>
            <b/>
            <sz val="10"/>
            <color indexed="81"/>
            <rFont val="Tahoma"/>
            <family val="2"/>
          </rPr>
          <t>Author:</t>
        </r>
        <r>
          <rPr>
            <sz val="10"/>
            <color indexed="81"/>
            <rFont val="Tahoma"/>
            <family val="2"/>
          </rPr>
          <t xml:space="preserve">
See nameplate picture</t>
        </r>
      </text>
    </comment>
    <comment ref="F32" authorId="0" shapeId="0" xr:uid="{00000000-0006-0000-0000-00008E010000}">
      <text>
        <r>
          <rPr>
            <b/>
            <sz val="10"/>
            <color indexed="81"/>
            <rFont val="Tahoma"/>
            <family val="2"/>
          </rPr>
          <t>Author:</t>
        </r>
        <r>
          <rPr>
            <sz val="10"/>
            <color indexed="81"/>
            <rFont val="Tahoma"/>
            <family val="2"/>
          </rPr>
          <t xml:space="preserve">
See 194D5743 Sh 2</t>
        </r>
      </text>
    </comment>
    <comment ref="G32" authorId="0" shapeId="0" xr:uid="{00000000-0006-0000-0000-00008F010000}">
      <text>
        <r>
          <rPr>
            <b/>
            <sz val="10"/>
            <color indexed="81"/>
            <rFont val="Tahoma"/>
            <family val="2"/>
          </rPr>
          <t>Author:</t>
        </r>
        <r>
          <rPr>
            <sz val="10"/>
            <color indexed="81"/>
            <rFont val="Tahoma"/>
            <family val="2"/>
          </rPr>
          <t xml:space="preserve">
See 192D1174 Sh 1</t>
        </r>
      </text>
    </comment>
    <comment ref="H32" authorId="0" shapeId="0" xr:uid="{00000000-0006-0000-0000-000090010000}">
      <text>
        <r>
          <rPr>
            <b/>
            <sz val="10"/>
            <color indexed="81"/>
            <rFont val="Tahoma"/>
            <family val="2"/>
          </rPr>
          <t>Author:</t>
        </r>
        <r>
          <rPr>
            <sz val="10"/>
            <color indexed="81"/>
            <rFont val="Tahoma"/>
            <family val="2"/>
          </rPr>
          <t xml:space="preserve">
Part of generator bkr See nameplate photo</t>
        </r>
      </text>
    </comment>
    <comment ref="J32" authorId="0" shapeId="0" xr:uid="{00000000-0006-0000-0000-000091010000}">
      <text>
        <r>
          <rPr>
            <b/>
            <sz val="10"/>
            <color indexed="81"/>
            <rFont val="Tahoma"/>
            <family val="2"/>
          </rPr>
          <t>Author:</t>
        </r>
        <r>
          <rPr>
            <sz val="10"/>
            <color indexed="81"/>
            <rFont val="Tahoma"/>
            <family val="2"/>
          </rPr>
          <t xml:space="preserve">
See nameplate picture</t>
        </r>
      </text>
    </comment>
    <comment ref="L32" authorId="0" shapeId="0" xr:uid="{00000000-0006-0000-0000-000092010000}">
      <text>
        <r>
          <rPr>
            <b/>
            <sz val="10"/>
            <color indexed="81"/>
            <rFont val="Tahoma"/>
            <family val="2"/>
          </rPr>
          <t>Author:</t>
        </r>
        <r>
          <rPr>
            <sz val="10"/>
            <color indexed="81"/>
            <rFont val="Tahoma"/>
            <family val="2"/>
          </rPr>
          <t xml:space="preserve">
See nameplate picture</t>
        </r>
      </text>
    </comment>
    <comment ref="O32" authorId="0" shapeId="0" xr:uid="{00000000-0006-0000-0000-000093010000}">
      <text>
        <r>
          <rPr>
            <b/>
            <sz val="10"/>
            <color indexed="81"/>
            <rFont val="Tahoma"/>
            <family val="2"/>
          </rPr>
          <t>Author:</t>
        </r>
        <r>
          <rPr>
            <sz val="10"/>
            <color indexed="81"/>
            <rFont val="Tahoma"/>
            <family val="2"/>
          </rPr>
          <t xml:space="preserve">
See nameplate picture
KBS - Not Used</t>
        </r>
      </text>
    </comment>
    <comment ref="Q32" authorId="0" shapeId="0" xr:uid="{00000000-0006-0000-0000-000094010000}">
      <text>
        <r>
          <rPr>
            <b/>
            <sz val="10"/>
            <color indexed="81"/>
            <rFont val="Tahoma"/>
            <family val="2"/>
          </rPr>
          <t>Author:</t>
        </r>
        <r>
          <rPr>
            <sz val="10"/>
            <color indexed="81"/>
            <rFont val="Tahoma"/>
            <family val="2"/>
          </rPr>
          <t xml:space="preserve">
See nameplate picture</t>
        </r>
      </text>
    </comment>
    <comment ref="R32" authorId="0" shapeId="0" xr:uid="{00000000-0006-0000-0000-000095010000}">
      <text>
        <r>
          <rPr>
            <b/>
            <sz val="10"/>
            <color indexed="81"/>
            <rFont val="Tahoma"/>
            <family val="2"/>
          </rPr>
          <t>Author:</t>
        </r>
        <r>
          <rPr>
            <sz val="10"/>
            <color indexed="81"/>
            <rFont val="Tahoma"/>
            <family val="2"/>
          </rPr>
          <t xml:space="preserve">
See 194D5743 Sh 2</t>
        </r>
      </text>
    </comment>
    <comment ref="S32" authorId="0" shapeId="0" xr:uid="{00000000-0006-0000-0000-000096010000}">
      <text>
        <r>
          <rPr>
            <b/>
            <sz val="9"/>
            <color indexed="81"/>
            <rFont val="Tahoma"/>
            <family val="2"/>
          </rPr>
          <t>Author:</t>
        </r>
        <r>
          <rPr>
            <sz val="9"/>
            <color indexed="81"/>
            <rFont val="Tahoma"/>
            <family val="2"/>
          </rPr>
          <t xml:space="preserve">
Tap 2</t>
        </r>
      </text>
    </comment>
    <comment ref="T32" authorId="0" shapeId="0" xr:uid="{00000000-0006-0000-0000-000097010000}">
      <text>
        <r>
          <rPr>
            <b/>
            <sz val="9"/>
            <color indexed="81"/>
            <rFont val="Tahoma"/>
            <family val="2"/>
          </rPr>
          <t>Author:</t>
        </r>
        <r>
          <rPr>
            <sz val="9"/>
            <color indexed="81"/>
            <rFont val="Tahoma"/>
            <family val="2"/>
          </rPr>
          <t xml:space="preserve">
Value from Subs Eng FAC-008-3 Spreadsheet.
Limiting Element: Metering Unit CTs</t>
        </r>
      </text>
    </comment>
    <comment ref="V32" authorId="0" shapeId="0" xr:uid="{00000000-0006-0000-0000-000098010000}">
      <text>
        <r>
          <rPr>
            <b/>
            <sz val="9"/>
            <color indexed="81"/>
            <rFont val="Tahoma"/>
            <family val="2"/>
          </rPr>
          <t>Author:</t>
        </r>
        <r>
          <rPr>
            <sz val="9"/>
            <color indexed="81"/>
            <rFont val="Tahoma"/>
            <family val="2"/>
          </rPr>
          <t xml:space="preserve">
See Nameplate</t>
        </r>
      </text>
    </comment>
    <comment ref="W32" authorId="0" shapeId="0" xr:uid="{00000000-0006-0000-0000-000099010000}">
      <text>
        <r>
          <rPr>
            <b/>
            <sz val="9"/>
            <color indexed="81"/>
            <rFont val="Tahoma"/>
            <family val="2"/>
          </rPr>
          <t>Brady Nunn:</t>
        </r>
        <r>
          <rPr>
            <sz val="9"/>
            <color indexed="81"/>
            <rFont val="Tahoma"/>
            <family val="2"/>
          </rPr>
          <t xml:space="preserve">
50 function pickup at 22.816A secondary, CTR=240A. HS GSU pickup = 5475.8A. GSU LS pickup = 73540.5A
51 function pickup at 4.2A secondary, CTR=240A. HS GSU pickup = 1008A. GSU LS pickup = 13537 A.
21 function has been evaluated to PRC-025.</t>
        </r>
      </text>
    </comment>
    <comment ref="Y32" authorId="0" shapeId="0" xr:uid="{00000000-0006-0000-0000-00009A010000}">
      <text>
        <r>
          <rPr>
            <b/>
            <sz val="9"/>
            <color indexed="81"/>
            <rFont val="Tahoma"/>
            <family val="2"/>
          </rPr>
          <t>Author:</t>
        </r>
        <r>
          <rPr>
            <sz val="9"/>
            <color indexed="81"/>
            <rFont val="Tahoma"/>
            <family val="2"/>
          </rPr>
          <t xml:space="preserve">
See Nameplate</t>
        </r>
      </text>
    </comment>
    <comment ref="AC32" authorId="0" shapeId="0" xr:uid="{00000000-0006-0000-0000-00009B010000}">
      <text>
        <r>
          <rPr>
            <b/>
            <sz val="10"/>
            <color indexed="81"/>
            <rFont val="Tahoma"/>
            <family val="2"/>
          </rPr>
          <t>Author:</t>
        </r>
        <r>
          <rPr>
            <sz val="10"/>
            <color indexed="81"/>
            <rFont val="Tahoma"/>
            <family val="2"/>
          </rPr>
          <t xml:space="preserve">
Info from Generator Data sheet, corrected for altitude.</t>
        </r>
      </text>
    </comment>
    <comment ref="AD32" authorId="0" shapeId="0" xr:uid="{00000000-0006-0000-0000-00009C010000}">
      <text>
        <r>
          <rPr>
            <b/>
            <sz val="10"/>
            <color indexed="81"/>
            <rFont val="Tahoma"/>
            <family val="2"/>
          </rPr>
          <t>Author:</t>
        </r>
        <r>
          <rPr>
            <sz val="10"/>
            <color indexed="81"/>
            <rFont val="Tahoma"/>
            <family val="2"/>
          </rPr>
          <t xml:space="preserve">
See K14-76T-E5091</t>
        </r>
      </text>
    </comment>
    <comment ref="C33" authorId="0" shapeId="0" xr:uid="{00000000-0006-0000-0000-00009D010000}">
      <text>
        <r>
          <rPr>
            <b/>
            <sz val="10"/>
            <color indexed="81"/>
            <rFont val="Tahoma"/>
            <family val="2"/>
          </rPr>
          <t>Author:</t>
        </r>
        <r>
          <rPr>
            <sz val="10"/>
            <color indexed="81"/>
            <rFont val="Tahoma"/>
            <family val="2"/>
          </rPr>
          <t xml:space="preserve">
See nameplate picture</t>
        </r>
      </text>
    </comment>
    <comment ref="D33" authorId="0" shapeId="0" xr:uid="{00000000-0006-0000-0000-00009E010000}">
      <text>
        <r>
          <rPr>
            <b/>
            <sz val="10"/>
            <color indexed="81"/>
            <rFont val="Tahoma"/>
            <family val="2"/>
          </rPr>
          <t>Author:</t>
        </r>
        <r>
          <rPr>
            <sz val="10"/>
            <color indexed="81"/>
            <rFont val="Tahoma"/>
            <family val="2"/>
          </rPr>
          <t xml:space="preserve">
See nameplate picture</t>
        </r>
      </text>
    </comment>
    <comment ref="E33" authorId="0" shapeId="0" xr:uid="{00000000-0006-0000-0000-00009F010000}">
      <text>
        <r>
          <rPr>
            <b/>
            <sz val="10"/>
            <color indexed="81"/>
            <rFont val="Tahoma"/>
            <family val="2"/>
          </rPr>
          <t>Author:</t>
        </r>
        <r>
          <rPr>
            <sz val="10"/>
            <color indexed="81"/>
            <rFont val="Tahoma"/>
            <family val="2"/>
          </rPr>
          <t xml:space="preserve">
See nameplate picture</t>
        </r>
      </text>
    </comment>
    <comment ref="F33" authorId="0" shapeId="0" xr:uid="{00000000-0006-0000-0000-0000A0010000}">
      <text>
        <r>
          <rPr>
            <b/>
            <sz val="10"/>
            <color indexed="81"/>
            <rFont val="Tahoma"/>
            <family val="2"/>
          </rPr>
          <t>Author:</t>
        </r>
        <r>
          <rPr>
            <sz val="10"/>
            <color indexed="81"/>
            <rFont val="Tahoma"/>
            <family val="2"/>
          </rPr>
          <t xml:space="preserve">
See E158 Sh 2</t>
        </r>
      </text>
    </comment>
    <comment ref="G33" authorId="0" shapeId="0" xr:uid="{00000000-0006-0000-0000-0000A1010000}">
      <text>
        <r>
          <rPr>
            <b/>
            <sz val="10"/>
            <color indexed="81"/>
            <rFont val="Tahoma"/>
            <family val="2"/>
          </rPr>
          <t>Author:</t>
        </r>
        <r>
          <rPr>
            <sz val="10"/>
            <color indexed="81"/>
            <rFont val="Tahoma"/>
            <family val="2"/>
          </rPr>
          <t xml:space="preserve">
See 192D2849 Sh1</t>
        </r>
      </text>
    </comment>
    <comment ref="H33" authorId="0" shapeId="0" xr:uid="{00000000-0006-0000-0000-0000A2010000}">
      <text>
        <r>
          <rPr>
            <b/>
            <sz val="10"/>
            <color indexed="81"/>
            <rFont val="Tahoma"/>
            <family val="2"/>
          </rPr>
          <t>Author:</t>
        </r>
        <r>
          <rPr>
            <sz val="10"/>
            <color indexed="81"/>
            <rFont val="Tahoma"/>
            <family val="2"/>
          </rPr>
          <t xml:space="preserve">
Part of generator bkr See nameplate photo</t>
        </r>
      </text>
    </comment>
    <comment ref="J33" authorId="0" shapeId="0" xr:uid="{00000000-0006-0000-0000-0000A3010000}">
      <text>
        <r>
          <rPr>
            <b/>
            <sz val="10"/>
            <color indexed="81"/>
            <rFont val="Tahoma"/>
            <family val="2"/>
          </rPr>
          <t>Author:</t>
        </r>
        <r>
          <rPr>
            <sz val="10"/>
            <color indexed="81"/>
            <rFont val="Tahoma"/>
            <family val="2"/>
          </rPr>
          <t xml:space="preserve">
See nameplate picture</t>
        </r>
      </text>
    </comment>
    <comment ref="L33" authorId="0" shapeId="0" xr:uid="{00000000-0006-0000-0000-0000A4010000}">
      <text>
        <r>
          <rPr>
            <b/>
            <sz val="10"/>
            <color indexed="81"/>
            <rFont val="Tahoma"/>
            <family val="2"/>
          </rPr>
          <t>Author:</t>
        </r>
        <r>
          <rPr>
            <sz val="10"/>
            <color indexed="81"/>
            <rFont val="Tahoma"/>
            <family val="2"/>
          </rPr>
          <t xml:space="preserve">
See nameplate picture</t>
        </r>
      </text>
    </comment>
    <comment ref="O33" authorId="0" shapeId="0" xr:uid="{00000000-0006-0000-0000-0000A5010000}">
      <text>
        <r>
          <rPr>
            <b/>
            <sz val="10"/>
            <color indexed="81"/>
            <rFont val="Tahoma"/>
            <family val="2"/>
          </rPr>
          <t>Author:</t>
        </r>
        <r>
          <rPr>
            <sz val="10"/>
            <color indexed="81"/>
            <rFont val="Tahoma"/>
            <family val="2"/>
          </rPr>
          <t xml:space="preserve">
See nameplate picture
KBS - HOT SPOT CT</t>
        </r>
      </text>
    </comment>
    <comment ref="Q33" authorId="0" shapeId="0" xr:uid="{00000000-0006-0000-0000-0000A6010000}">
      <text>
        <r>
          <rPr>
            <b/>
            <sz val="10"/>
            <color indexed="81"/>
            <rFont val="Tahoma"/>
            <family val="2"/>
          </rPr>
          <t>Author:</t>
        </r>
        <r>
          <rPr>
            <sz val="10"/>
            <color indexed="81"/>
            <rFont val="Tahoma"/>
            <family val="2"/>
          </rPr>
          <t xml:space="preserve">
See Bkr 452G nameplate picture</t>
        </r>
      </text>
    </comment>
    <comment ref="R33" authorId="0" shapeId="0" xr:uid="{00000000-0006-0000-0000-0000A7010000}">
      <text>
        <r>
          <rPr>
            <b/>
            <sz val="10"/>
            <color indexed="81"/>
            <rFont val="Tahoma"/>
            <family val="2"/>
          </rPr>
          <t>Author:</t>
        </r>
        <r>
          <rPr>
            <sz val="10"/>
            <color indexed="81"/>
            <rFont val="Tahoma"/>
            <family val="2"/>
          </rPr>
          <t xml:space="preserve">
See Bkr 452G nameplate picture</t>
        </r>
      </text>
    </comment>
    <comment ref="S33" authorId="0" shapeId="0" xr:uid="{00000000-0006-0000-0000-0000A8010000}">
      <text>
        <r>
          <rPr>
            <b/>
            <sz val="9"/>
            <color indexed="81"/>
            <rFont val="Tahoma"/>
            <family val="2"/>
          </rPr>
          <t>Author:</t>
        </r>
        <r>
          <rPr>
            <sz val="9"/>
            <color indexed="81"/>
            <rFont val="Tahoma"/>
            <family val="2"/>
          </rPr>
          <t xml:space="preserve">
Tap 2</t>
        </r>
      </text>
    </comment>
    <comment ref="T33" authorId="0" shapeId="0" xr:uid="{00000000-0006-0000-0000-0000A9010000}">
      <text>
        <r>
          <rPr>
            <b/>
            <sz val="9"/>
            <color indexed="81"/>
            <rFont val="Tahoma"/>
            <family val="2"/>
          </rPr>
          <t>Author:</t>
        </r>
        <r>
          <rPr>
            <sz val="9"/>
            <color indexed="81"/>
            <rFont val="Tahoma"/>
            <family val="2"/>
          </rPr>
          <t xml:space="preserve">
Value from Subs Eng FAC-008-3 Spreadsheet.
Limiting Element: Metering Unit CTs</t>
        </r>
      </text>
    </comment>
    <comment ref="V33" authorId="0" shapeId="0" xr:uid="{00000000-0006-0000-0000-0000AA010000}">
      <text>
        <r>
          <rPr>
            <b/>
            <sz val="9"/>
            <color indexed="81"/>
            <rFont val="Tahoma"/>
            <family val="2"/>
          </rPr>
          <t>Author:</t>
        </r>
        <r>
          <rPr>
            <sz val="9"/>
            <color indexed="81"/>
            <rFont val="Tahoma"/>
            <family val="2"/>
          </rPr>
          <t xml:space="preserve">
Matches Nameplate data</t>
        </r>
      </text>
    </comment>
    <comment ref="W33" authorId="0" shapeId="0" xr:uid="{00000000-0006-0000-0000-0000AB010000}">
      <text>
        <r>
          <rPr>
            <b/>
            <sz val="9"/>
            <color indexed="81"/>
            <rFont val="Tahoma"/>
            <family val="2"/>
          </rPr>
          <t>Brady Nunn:</t>
        </r>
        <r>
          <rPr>
            <sz val="9"/>
            <color indexed="81"/>
            <rFont val="Tahoma"/>
            <family val="2"/>
          </rPr>
          <t xml:space="preserve">
50 function pickup at 22.816A secondary, CTR=240A. HS GSU pickup = 5475.8A. GSU LS pickup = 73540.5A
51 function pickup at 4.2A secondary, CTR=240A. HS GSU pickup = 1008A. GSU LS pickup = 13537 A.
21 function has been evaluated to PRC-025.</t>
        </r>
      </text>
    </comment>
    <comment ref="Y33" authorId="0" shapeId="0" xr:uid="{8047E346-9D58-459E-BE0E-FE4124733993}">
      <text>
        <r>
          <rPr>
            <b/>
            <sz val="9"/>
            <color indexed="81"/>
            <rFont val="Tahoma"/>
            <family val="2"/>
          </rPr>
          <t>Author:</t>
        </r>
        <r>
          <rPr>
            <sz val="9"/>
            <color indexed="81"/>
            <rFont val="Tahoma"/>
            <family val="2"/>
          </rPr>
          <t xml:space="preserve">
Nameplate</t>
        </r>
      </text>
    </comment>
    <comment ref="AC33" authorId="0" shapeId="0" xr:uid="{00000000-0006-0000-0000-0000AC010000}">
      <text>
        <r>
          <rPr>
            <b/>
            <sz val="10"/>
            <color indexed="81"/>
            <rFont val="Tahoma"/>
            <family val="2"/>
          </rPr>
          <t>Author:</t>
        </r>
        <r>
          <rPr>
            <sz val="10"/>
            <color indexed="81"/>
            <rFont val="Tahoma"/>
            <family val="2"/>
          </rPr>
          <t xml:space="preserve">
Info from Generator Data sheet, corrected for altitude.</t>
        </r>
      </text>
    </comment>
    <comment ref="AD33" authorId="0" shapeId="0" xr:uid="{00000000-0006-0000-0000-0000AD010000}">
      <text>
        <r>
          <rPr>
            <b/>
            <sz val="10"/>
            <color indexed="81"/>
            <rFont val="Tahoma"/>
            <family val="2"/>
          </rPr>
          <t>Author:</t>
        </r>
        <r>
          <rPr>
            <sz val="10"/>
            <color indexed="81"/>
            <rFont val="Tahoma"/>
            <family val="2"/>
          </rPr>
          <t xml:space="preserve">
See K14-76T-E5091</t>
        </r>
      </text>
    </comment>
    <comment ref="C34" authorId="0" shapeId="0" xr:uid="{00000000-0006-0000-0000-0000AE010000}">
      <text>
        <r>
          <rPr>
            <b/>
            <sz val="10"/>
            <color indexed="81"/>
            <rFont val="Tahoma"/>
            <family val="2"/>
          </rPr>
          <t>Author:</t>
        </r>
        <r>
          <rPr>
            <sz val="10"/>
            <color indexed="81"/>
            <rFont val="Tahoma"/>
            <family val="2"/>
          </rPr>
          <t xml:space="preserve">
See nameplate picture</t>
        </r>
      </text>
    </comment>
    <comment ref="D34" authorId="0" shapeId="0" xr:uid="{00000000-0006-0000-0000-0000AF010000}">
      <text>
        <r>
          <rPr>
            <b/>
            <sz val="10"/>
            <color indexed="81"/>
            <rFont val="Tahoma"/>
            <family val="2"/>
          </rPr>
          <t>Author:</t>
        </r>
        <r>
          <rPr>
            <sz val="10"/>
            <color indexed="81"/>
            <rFont val="Tahoma"/>
            <family val="2"/>
          </rPr>
          <t xml:space="preserve">
See nameplate picture</t>
        </r>
      </text>
    </comment>
    <comment ref="E34" authorId="0" shapeId="0" xr:uid="{00000000-0006-0000-0000-0000B0010000}">
      <text>
        <r>
          <rPr>
            <b/>
            <sz val="10"/>
            <color indexed="81"/>
            <rFont val="Tahoma"/>
            <family val="2"/>
          </rPr>
          <t>Author:</t>
        </r>
        <r>
          <rPr>
            <sz val="10"/>
            <color indexed="81"/>
            <rFont val="Tahoma"/>
            <family val="2"/>
          </rPr>
          <t xml:space="preserve">
See nameplate picture</t>
        </r>
      </text>
    </comment>
    <comment ref="F34" authorId="0" shapeId="0" xr:uid="{00000000-0006-0000-0000-0000B1010000}">
      <text>
        <r>
          <rPr>
            <b/>
            <sz val="10"/>
            <color indexed="81"/>
            <rFont val="Tahoma"/>
            <family val="2"/>
          </rPr>
          <t>Author:</t>
        </r>
        <r>
          <rPr>
            <sz val="10"/>
            <color indexed="81"/>
            <rFont val="Tahoma"/>
            <family val="2"/>
          </rPr>
          <t xml:space="preserve">
See E158 Sh 2</t>
        </r>
      </text>
    </comment>
    <comment ref="G34" authorId="0" shapeId="0" xr:uid="{00000000-0006-0000-0000-0000B2010000}">
      <text>
        <r>
          <rPr>
            <b/>
            <sz val="10"/>
            <color indexed="81"/>
            <rFont val="Tahoma"/>
            <family val="2"/>
          </rPr>
          <t>Author:</t>
        </r>
        <r>
          <rPr>
            <sz val="10"/>
            <color indexed="81"/>
            <rFont val="Tahoma"/>
            <family val="2"/>
          </rPr>
          <t xml:space="preserve">
See 192D2849 Sh1</t>
        </r>
      </text>
    </comment>
    <comment ref="H34" authorId="0" shapeId="0" xr:uid="{00000000-0006-0000-0000-0000B3010000}">
      <text>
        <r>
          <rPr>
            <b/>
            <sz val="10"/>
            <color indexed="81"/>
            <rFont val="Tahoma"/>
            <family val="2"/>
          </rPr>
          <t>Author:</t>
        </r>
        <r>
          <rPr>
            <sz val="10"/>
            <color indexed="81"/>
            <rFont val="Tahoma"/>
            <family val="2"/>
          </rPr>
          <t xml:space="preserve">
Part of generator bkr See nameplate photo</t>
        </r>
      </text>
    </comment>
    <comment ref="J34" authorId="0" shapeId="0" xr:uid="{00000000-0006-0000-0000-0000B4010000}">
      <text>
        <r>
          <rPr>
            <b/>
            <sz val="10"/>
            <color indexed="81"/>
            <rFont val="Tahoma"/>
            <family val="2"/>
          </rPr>
          <t>Author:</t>
        </r>
        <r>
          <rPr>
            <sz val="10"/>
            <color indexed="81"/>
            <rFont val="Tahoma"/>
            <family val="2"/>
          </rPr>
          <t xml:space="preserve">
See nameplate picture</t>
        </r>
      </text>
    </comment>
    <comment ref="L34" authorId="0" shapeId="0" xr:uid="{00000000-0006-0000-0000-0000B5010000}">
      <text>
        <r>
          <rPr>
            <b/>
            <sz val="10"/>
            <color indexed="81"/>
            <rFont val="Tahoma"/>
            <family val="2"/>
          </rPr>
          <t>Author:</t>
        </r>
        <r>
          <rPr>
            <sz val="10"/>
            <color indexed="81"/>
            <rFont val="Tahoma"/>
            <family val="2"/>
          </rPr>
          <t xml:space="preserve">
See nameplate picture</t>
        </r>
      </text>
    </comment>
    <comment ref="O34" authorId="0" shapeId="0" xr:uid="{00000000-0006-0000-0000-0000B6010000}">
      <text>
        <r>
          <rPr>
            <b/>
            <sz val="10"/>
            <color indexed="81"/>
            <rFont val="Tahoma"/>
            <family val="2"/>
          </rPr>
          <t>Author:</t>
        </r>
        <r>
          <rPr>
            <sz val="10"/>
            <color indexed="81"/>
            <rFont val="Tahoma"/>
            <family val="2"/>
          </rPr>
          <t xml:space="preserve">
See nameplate picture
KBS - HOT SPOT CT</t>
        </r>
      </text>
    </comment>
    <comment ref="Q34" authorId="0" shapeId="0" xr:uid="{00000000-0006-0000-0000-0000B7010000}">
      <text>
        <r>
          <rPr>
            <b/>
            <sz val="10"/>
            <color indexed="81"/>
            <rFont val="Tahoma"/>
            <family val="2"/>
          </rPr>
          <t>Author:</t>
        </r>
        <r>
          <rPr>
            <sz val="10"/>
            <color indexed="81"/>
            <rFont val="Tahoma"/>
            <family val="2"/>
          </rPr>
          <t xml:space="preserve">
See Bkr 452G nameplate picture</t>
        </r>
      </text>
    </comment>
    <comment ref="R34" authorId="0" shapeId="0" xr:uid="{00000000-0006-0000-0000-0000B8010000}">
      <text>
        <r>
          <rPr>
            <b/>
            <sz val="10"/>
            <color indexed="81"/>
            <rFont val="Tahoma"/>
            <family val="2"/>
          </rPr>
          <t>Author:</t>
        </r>
        <r>
          <rPr>
            <sz val="10"/>
            <color indexed="81"/>
            <rFont val="Tahoma"/>
            <family val="2"/>
          </rPr>
          <t xml:space="preserve">
See Bkr 452G nameplate picture</t>
        </r>
      </text>
    </comment>
    <comment ref="S34" authorId="0" shapeId="0" xr:uid="{00000000-0006-0000-0000-0000B9010000}">
      <text>
        <r>
          <rPr>
            <b/>
            <sz val="9"/>
            <color indexed="81"/>
            <rFont val="Tahoma"/>
            <family val="2"/>
          </rPr>
          <t>Author:</t>
        </r>
        <r>
          <rPr>
            <sz val="9"/>
            <color indexed="81"/>
            <rFont val="Tahoma"/>
            <family val="2"/>
          </rPr>
          <t xml:space="preserve">
Tap 2</t>
        </r>
      </text>
    </comment>
    <comment ref="T34" authorId="0" shapeId="0" xr:uid="{00000000-0006-0000-0000-0000BA010000}">
      <text>
        <r>
          <rPr>
            <b/>
            <sz val="9"/>
            <color indexed="81"/>
            <rFont val="Tahoma"/>
            <family val="2"/>
          </rPr>
          <t>Author:</t>
        </r>
        <r>
          <rPr>
            <sz val="9"/>
            <color indexed="81"/>
            <rFont val="Tahoma"/>
            <family val="2"/>
          </rPr>
          <t xml:space="preserve">
Value from Subs Eng FAC-008-3 Spreadsheet.
Limiting Element: Metering Unit CTs</t>
        </r>
      </text>
    </comment>
    <comment ref="V34" authorId="0" shapeId="0" xr:uid="{00000000-0006-0000-0000-0000BB010000}">
      <text>
        <r>
          <rPr>
            <b/>
            <sz val="9"/>
            <color indexed="81"/>
            <rFont val="Tahoma"/>
            <family val="2"/>
          </rPr>
          <t>Author:</t>
        </r>
        <r>
          <rPr>
            <sz val="9"/>
            <color indexed="81"/>
            <rFont val="Tahoma"/>
            <family val="2"/>
          </rPr>
          <t xml:space="preserve">
Matches Nameplate data</t>
        </r>
      </text>
    </comment>
    <comment ref="W34" authorId="0" shapeId="0" xr:uid="{00000000-0006-0000-0000-0000BC010000}">
      <text>
        <r>
          <rPr>
            <b/>
            <sz val="9"/>
            <color indexed="81"/>
            <rFont val="Tahoma"/>
            <family val="2"/>
          </rPr>
          <t>Brady Nunn:</t>
        </r>
        <r>
          <rPr>
            <sz val="9"/>
            <color indexed="81"/>
            <rFont val="Tahoma"/>
            <family val="2"/>
          </rPr>
          <t xml:space="preserve">
50 function pickup at 22.816A secondary, CTR=240A. HS GSU pickup = 5475.8A. GSU LS pickup = 73540.5A
51 function pickup at 4.2A secondary, CTR=240A. HS GSU pickup = 1008A. GSU LS pickup = 13537 A.
21 function has been evaluated to PRC-025.</t>
        </r>
      </text>
    </comment>
    <comment ref="Y34" authorId="0" shapeId="0" xr:uid="{C1FAB953-A86E-45B9-8515-8F673FB7DC95}">
      <text>
        <r>
          <rPr>
            <b/>
            <sz val="9"/>
            <color indexed="81"/>
            <rFont val="Tahoma"/>
            <family val="2"/>
          </rPr>
          <t>Author:</t>
        </r>
        <r>
          <rPr>
            <sz val="9"/>
            <color indexed="81"/>
            <rFont val="Tahoma"/>
            <family val="2"/>
          </rPr>
          <t xml:space="preserve">
Nameplate</t>
        </r>
      </text>
    </comment>
    <comment ref="AC34" authorId="0" shapeId="0" xr:uid="{00000000-0006-0000-0000-0000BD010000}">
      <text>
        <r>
          <rPr>
            <b/>
            <sz val="10"/>
            <color indexed="81"/>
            <rFont val="Tahoma"/>
            <family val="2"/>
          </rPr>
          <t>Author:</t>
        </r>
        <r>
          <rPr>
            <sz val="10"/>
            <color indexed="81"/>
            <rFont val="Tahoma"/>
            <family val="2"/>
          </rPr>
          <t xml:space="preserve">
Info from Generator Data sheet, corrected for altitude.</t>
        </r>
      </text>
    </comment>
    <comment ref="AD34" authorId="0" shapeId="0" xr:uid="{00000000-0006-0000-0000-0000BE010000}">
      <text>
        <r>
          <rPr>
            <b/>
            <sz val="10"/>
            <color indexed="81"/>
            <rFont val="Tahoma"/>
            <family val="2"/>
          </rPr>
          <t>Author:</t>
        </r>
        <r>
          <rPr>
            <sz val="10"/>
            <color indexed="81"/>
            <rFont val="Tahoma"/>
            <family val="2"/>
          </rPr>
          <t xml:space="preserve">
See K14-76T-E5091</t>
        </r>
      </text>
    </comment>
    <comment ref="C35" authorId="0" shapeId="0" xr:uid="{00000000-0006-0000-0000-0000BF010000}">
      <text>
        <r>
          <rPr>
            <b/>
            <sz val="10"/>
            <color indexed="81"/>
            <rFont val="Tahoma"/>
            <family val="2"/>
          </rPr>
          <t>Author:</t>
        </r>
        <r>
          <rPr>
            <sz val="10"/>
            <color indexed="81"/>
            <rFont val="Tahoma"/>
            <family val="2"/>
          </rPr>
          <t xml:space="preserve">
See nameplate picture</t>
        </r>
      </text>
    </comment>
    <comment ref="D35" authorId="0" shapeId="0" xr:uid="{00000000-0006-0000-0000-0000C0010000}">
      <text>
        <r>
          <rPr>
            <b/>
            <sz val="10"/>
            <color indexed="81"/>
            <rFont val="Tahoma"/>
            <family val="2"/>
          </rPr>
          <t>Author:</t>
        </r>
        <r>
          <rPr>
            <sz val="10"/>
            <color indexed="81"/>
            <rFont val="Tahoma"/>
            <family val="2"/>
          </rPr>
          <t xml:space="preserve">
See nameplate picture</t>
        </r>
      </text>
    </comment>
    <comment ref="E35" authorId="0" shapeId="0" xr:uid="{00000000-0006-0000-0000-0000C1010000}">
      <text>
        <r>
          <rPr>
            <b/>
            <sz val="10"/>
            <color indexed="81"/>
            <rFont val="Tahoma"/>
            <family val="2"/>
          </rPr>
          <t>Author:</t>
        </r>
        <r>
          <rPr>
            <sz val="10"/>
            <color indexed="81"/>
            <rFont val="Tahoma"/>
            <family val="2"/>
          </rPr>
          <t xml:space="preserve">
See nameplate picture</t>
        </r>
      </text>
    </comment>
    <comment ref="F35" authorId="0" shapeId="0" xr:uid="{00000000-0006-0000-0000-0000C2010000}">
      <text>
        <r>
          <rPr>
            <b/>
            <sz val="10"/>
            <color indexed="81"/>
            <rFont val="Tahoma"/>
            <family val="2"/>
          </rPr>
          <t>Author:</t>
        </r>
        <r>
          <rPr>
            <sz val="10"/>
            <color indexed="81"/>
            <rFont val="Tahoma"/>
            <family val="2"/>
          </rPr>
          <t xml:space="preserve">
See 5GTA-E1002 Sh1</t>
        </r>
      </text>
    </comment>
    <comment ref="G35" authorId="0" shapeId="0" xr:uid="{00000000-0006-0000-0000-0000C3010000}">
      <text>
        <r>
          <rPr>
            <b/>
            <sz val="10"/>
            <color indexed="81"/>
            <rFont val="Tahoma"/>
            <family val="2"/>
          </rPr>
          <t>Author:</t>
        </r>
        <r>
          <rPr>
            <sz val="10"/>
            <color indexed="81"/>
            <rFont val="Tahoma"/>
            <family val="2"/>
          </rPr>
          <t xml:space="preserve">
See 5GTA-E1002 Sh1</t>
        </r>
      </text>
    </comment>
    <comment ref="H35" authorId="0" shapeId="0" xr:uid="{00000000-0006-0000-0000-0000C4010000}">
      <text>
        <r>
          <rPr>
            <b/>
            <sz val="10"/>
            <color indexed="81"/>
            <rFont val="Tahoma"/>
            <family val="2"/>
          </rPr>
          <t>Author:</t>
        </r>
        <r>
          <rPr>
            <sz val="10"/>
            <color indexed="81"/>
            <rFont val="Tahoma"/>
            <family val="2"/>
          </rPr>
          <t xml:space="preserve">
Part of generator bkr</t>
        </r>
      </text>
    </comment>
    <comment ref="N35" authorId="0" shapeId="0" xr:uid="{00000000-0006-0000-0000-0000C5010000}">
      <text>
        <r>
          <rPr>
            <b/>
            <sz val="10"/>
            <color indexed="81"/>
            <rFont val="Tahoma"/>
            <family val="2"/>
          </rPr>
          <t>Author:</t>
        </r>
        <r>
          <rPr>
            <sz val="10"/>
            <color indexed="81"/>
            <rFont val="Tahoma"/>
            <family val="2"/>
          </rPr>
          <t xml:space="preserve">
See nameplate picture. CT to WTI.</t>
        </r>
      </text>
    </comment>
    <comment ref="S35" authorId="0" shapeId="0" xr:uid="{00000000-0006-0000-0000-0000C6010000}">
      <text>
        <r>
          <rPr>
            <b/>
            <sz val="9"/>
            <color indexed="81"/>
            <rFont val="Tahoma"/>
            <family val="2"/>
          </rPr>
          <t xml:space="preserve">Brady Nunn:
</t>
        </r>
        <r>
          <rPr>
            <sz val="9"/>
            <color indexed="81"/>
            <rFont val="Tahoma"/>
            <family val="2"/>
          </rPr>
          <t xml:space="preserve">Tap 1 </t>
        </r>
      </text>
    </comment>
    <comment ref="T35" authorId="0" shapeId="0" xr:uid="{00000000-0006-0000-0000-0000C7010000}">
      <text>
        <r>
          <rPr>
            <b/>
            <sz val="9"/>
            <color indexed="81"/>
            <rFont val="Tahoma"/>
            <family val="2"/>
          </rPr>
          <t>Author:</t>
        </r>
        <r>
          <rPr>
            <sz val="9"/>
            <color indexed="81"/>
            <rFont val="Tahoma"/>
            <family val="2"/>
          </rPr>
          <t xml:space="preserve">
See sheet 2</t>
        </r>
      </text>
    </comment>
    <comment ref="V35" authorId="0" shapeId="0" xr:uid="{00000000-0006-0000-0000-0000C8010000}">
      <text>
        <r>
          <rPr>
            <b/>
            <sz val="9"/>
            <color indexed="81"/>
            <rFont val="Tahoma"/>
            <family val="2"/>
          </rPr>
          <t>Author:</t>
        </r>
        <r>
          <rPr>
            <sz val="9"/>
            <color indexed="81"/>
            <rFont val="Tahoma"/>
            <family val="2"/>
          </rPr>
          <t xml:space="preserve">
matches nameplate value</t>
        </r>
      </text>
    </comment>
    <comment ref="W35" authorId="0" shapeId="0" xr:uid="{00000000-0006-0000-0000-0000C9010000}">
      <text>
        <r>
          <rPr>
            <b/>
            <sz val="9"/>
            <color indexed="81"/>
            <rFont val="Tahoma"/>
            <family val="2"/>
          </rPr>
          <t>Author:</t>
        </r>
        <r>
          <rPr>
            <sz val="9"/>
            <color indexed="81"/>
            <rFont val="Tahoma"/>
            <family val="2"/>
          </rPr>
          <t xml:space="preserve">
51P set at 883 A HS
883 * 13.42 = 11850
21 function evaluated to PRC-025</t>
        </r>
      </text>
    </comment>
    <comment ref="Y35" authorId="0" shapeId="0" xr:uid="{F46EDC8B-466B-4ED3-9CF5-BD57CC2B6080}">
      <text>
        <r>
          <rPr>
            <b/>
            <sz val="9"/>
            <color indexed="81"/>
            <rFont val="Tahoma"/>
            <family val="2"/>
          </rPr>
          <t xml:space="preserve">Author:
</t>
        </r>
      </text>
    </comment>
    <comment ref="C36" authorId="0" shapeId="0" xr:uid="{00000000-0006-0000-0000-0000CA010000}">
      <text>
        <r>
          <rPr>
            <b/>
            <sz val="10"/>
            <color indexed="81"/>
            <rFont val="Tahoma"/>
            <family val="2"/>
          </rPr>
          <t>Author:</t>
        </r>
        <r>
          <rPr>
            <sz val="10"/>
            <color indexed="81"/>
            <rFont val="Tahoma"/>
            <family val="2"/>
          </rPr>
          <t xml:space="preserve">
See nameplate picture</t>
        </r>
      </text>
    </comment>
    <comment ref="D36" authorId="0" shapeId="0" xr:uid="{00000000-0006-0000-0000-0000CB010000}">
      <text>
        <r>
          <rPr>
            <b/>
            <sz val="10"/>
            <color indexed="81"/>
            <rFont val="Tahoma"/>
            <family val="2"/>
          </rPr>
          <t>Author:</t>
        </r>
        <r>
          <rPr>
            <sz val="10"/>
            <color indexed="81"/>
            <rFont val="Tahoma"/>
            <family val="2"/>
          </rPr>
          <t xml:space="preserve">
See nameplate picture</t>
        </r>
      </text>
    </comment>
    <comment ref="E36" authorId="0" shapeId="0" xr:uid="{00000000-0006-0000-0000-0000CC010000}">
      <text>
        <r>
          <rPr>
            <b/>
            <sz val="10"/>
            <color indexed="81"/>
            <rFont val="Tahoma"/>
            <family val="2"/>
          </rPr>
          <t>Author:</t>
        </r>
        <r>
          <rPr>
            <sz val="10"/>
            <color indexed="81"/>
            <rFont val="Tahoma"/>
            <family val="2"/>
          </rPr>
          <t xml:space="preserve">
See nameplate picture</t>
        </r>
      </text>
    </comment>
    <comment ref="F36" authorId="0" shapeId="0" xr:uid="{00000000-0006-0000-0000-0000CD010000}">
      <text>
        <r>
          <rPr>
            <b/>
            <sz val="10"/>
            <color indexed="81"/>
            <rFont val="Tahoma"/>
            <family val="2"/>
          </rPr>
          <t>Author:</t>
        </r>
        <r>
          <rPr>
            <sz val="10"/>
            <color indexed="81"/>
            <rFont val="Tahoma"/>
            <family val="2"/>
          </rPr>
          <t xml:space="preserve">
See 5GTA-E1002 Sh1</t>
        </r>
      </text>
    </comment>
    <comment ref="G36" authorId="0" shapeId="0" xr:uid="{00000000-0006-0000-0000-0000CE010000}">
      <text>
        <r>
          <rPr>
            <b/>
            <sz val="10"/>
            <color indexed="81"/>
            <rFont val="Tahoma"/>
            <family val="2"/>
          </rPr>
          <t>Author:</t>
        </r>
        <r>
          <rPr>
            <sz val="10"/>
            <color indexed="81"/>
            <rFont val="Tahoma"/>
            <family val="2"/>
          </rPr>
          <t xml:space="preserve">
See 5GTA-E1002 Sh1</t>
        </r>
      </text>
    </comment>
    <comment ref="H36" authorId="0" shapeId="0" xr:uid="{00000000-0006-0000-0000-0000CF010000}">
      <text>
        <r>
          <rPr>
            <b/>
            <sz val="10"/>
            <color indexed="81"/>
            <rFont val="Tahoma"/>
            <family val="2"/>
          </rPr>
          <t>Author:</t>
        </r>
        <r>
          <rPr>
            <sz val="10"/>
            <color indexed="81"/>
            <rFont val="Tahoma"/>
            <family val="2"/>
          </rPr>
          <t xml:space="preserve">
Part of generator bkr</t>
        </r>
      </text>
    </comment>
    <comment ref="J36" authorId="0" shapeId="0" xr:uid="{00000000-0006-0000-0000-0000D0010000}">
      <text>
        <r>
          <rPr>
            <b/>
            <sz val="10"/>
            <color indexed="81"/>
            <rFont val="Tahoma"/>
            <family val="2"/>
          </rPr>
          <t>Author:</t>
        </r>
        <r>
          <rPr>
            <sz val="10"/>
            <color indexed="81"/>
            <rFont val="Tahoma"/>
            <family val="2"/>
          </rPr>
          <t xml:space="preserve">
See nameplate picture</t>
        </r>
      </text>
    </comment>
    <comment ref="L36" authorId="0" shapeId="0" xr:uid="{00000000-0006-0000-0000-0000D1010000}">
      <text>
        <r>
          <rPr>
            <b/>
            <sz val="10"/>
            <color indexed="81"/>
            <rFont val="Tahoma"/>
            <family val="2"/>
          </rPr>
          <t>Author:</t>
        </r>
        <r>
          <rPr>
            <sz val="10"/>
            <color indexed="81"/>
            <rFont val="Tahoma"/>
            <family val="2"/>
          </rPr>
          <t xml:space="preserve">
See nameplate picture</t>
        </r>
      </text>
    </comment>
    <comment ref="N36" authorId="0" shapeId="0" xr:uid="{00000000-0006-0000-0000-0000D2010000}">
      <text>
        <r>
          <rPr>
            <b/>
            <sz val="10"/>
            <color indexed="81"/>
            <rFont val="Tahoma"/>
            <family val="2"/>
          </rPr>
          <t>Author:</t>
        </r>
        <r>
          <rPr>
            <sz val="10"/>
            <color indexed="81"/>
            <rFont val="Tahoma"/>
            <family val="2"/>
          </rPr>
          <t xml:space="preserve">
See nameplate picture. CT to WTI.</t>
        </r>
      </text>
    </comment>
    <comment ref="O36" authorId="0" shapeId="0" xr:uid="{00000000-0006-0000-0000-0000D3010000}">
      <text>
        <r>
          <rPr>
            <b/>
            <sz val="10"/>
            <color indexed="81"/>
            <rFont val="Tahoma"/>
            <family val="2"/>
          </rPr>
          <t>Author:</t>
        </r>
        <r>
          <rPr>
            <sz val="10"/>
            <color indexed="81"/>
            <rFont val="Tahoma"/>
            <family val="2"/>
          </rPr>
          <t xml:space="preserve">
See nameplate picture and 5GTA-E1002 Sh2</t>
        </r>
      </text>
    </comment>
    <comment ref="Q36" authorId="0" shapeId="0" xr:uid="{00000000-0006-0000-0000-0000D4010000}">
      <text>
        <r>
          <rPr>
            <b/>
            <sz val="10"/>
            <color indexed="81"/>
            <rFont val="Tahoma"/>
            <family val="2"/>
          </rPr>
          <t>Author:</t>
        </r>
        <r>
          <rPr>
            <sz val="10"/>
            <color indexed="81"/>
            <rFont val="Tahoma"/>
            <family val="2"/>
          </rPr>
          <t xml:space="preserve">
See Bkr 552G nameplate picture</t>
        </r>
      </text>
    </comment>
    <comment ref="R36" authorId="0" shapeId="0" xr:uid="{00000000-0006-0000-0000-0000D5010000}">
      <text>
        <r>
          <rPr>
            <b/>
            <sz val="10"/>
            <color indexed="81"/>
            <rFont val="Tahoma"/>
            <family val="2"/>
          </rPr>
          <t>Author:</t>
        </r>
        <r>
          <rPr>
            <sz val="10"/>
            <color indexed="81"/>
            <rFont val="Tahoma"/>
            <family val="2"/>
          </rPr>
          <t xml:space="preserve">
See 5GTA-E1002 Sh1</t>
        </r>
      </text>
    </comment>
    <comment ref="S36" authorId="0" shapeId="0" xr:uid="{00000000-0006-0000-0000-0000D6010000}">
      <text>
        <r>
          <rPr>
            <b/>
            <sz val="9"/>
            <color indexed="81"/>
            <rFont val="Tahoma"/>
            <family val="2"/>
          </rPr>
          <t xml:space="preserve">Brady Nunn:
</t>
        </r>
        <r>
          <rPr>
            <sz val="9"/>
            <color indexed="81"/>
            <rFont val="Tahoma"/>
            <family val="2"/>
          </rPr>
          <t xml:space="preserve">Tap 1 </t>
        </r>
      </text>
    </comment>
    <comment ref="T36" authorId="0" shapeId="0" xr:uid="{00000000-0006-0000-0000-0000D7010000}">
      <text>
        <r>
          <rPr>
            <b/>
            <sz val="9"/>
            <color indexed="81"/>
            <rFont val="Tahoma"/>
            <family val="2"/>
          </rPr>
          <t>Author:</t>
        </r>
        <r>
          <rPr>
            <sz val="9"/>
            <color indexed="81"/>
            <rFont val="Tahoma"/>
            <family val="2"/>
          </rPr>
          <t xml:space="preserve">
See sheet 2</t>
        </r>
      </text>
    </comment>
    <comment ref="V36" authorId="0" shapeId="0" xr:uid="{00000000-0006-0000-0000-0000D8010000}">
      <text>
        <r>
          <rPr>
            <b/>
            <sz val="9"/>
            <color indexed="81"/>
            <rFont val="Tahoma"/>
            <family val="2"/>
          </rPr>
          <t>Author:</t>
        </r>
        <r>
          <rPr>
            <sz val="9"/>
            <color indexed="81"/>
            <rFont val="Tahoma"/>
            <family val="2"/>
          </rPr>
          <t xml:space="preserve">
Matches Nameplate value</t>
        </r>
      </text>
    </comment>
    <comment ref="W36" authorId="0" shapeId="0" xr:uid="{00000000-0006-0000-0000-0000D9010000}">
      <text>
        <r>
          <rPr>
            <b/>
            <sz val="9"/>
            <color indexed="81"/>
            <rFont val="Tahoma"/>
            <family val="2"/>
          </rPr>
          <t xml:space="preserve">Brady Nunn:
</t>
        </r>
        <r>
          <rPr>
            <sz val="9"/>
            <color indexed="81"/>
            <rFont val="Tahoma"/>
            <family val="2"/>
          </rPr>
          <t>51P set at 883 A HS
883 * 13.42 = 11850
21 function evaluated to PRC-025</t>
        </r>
      </text>
    </comment>
    <comment ref="Y36" authorId="0" shapeId="0" xr:uid="{2FE6E163-10CE-4A4A-909D-B65FF9E74BDB}">
      <text>
        <r>
          <rPr>
            <b/>
            <sz val="9"/>
            <color indexed="81"/>
            <rFont val="Tahoma"/>
            <family val="2"/>
          </rPr>
          <t>Author:</t>
        </r>
        <r>
          <rPr>
            <sz val="9"/>
            <color indexed="81"/>
            <rFont val="Tahoma"/>
            <family val="2"/>
          </rPr>
          <t xml:space="preserve">
Nameplate</t>
        </r>
      </text>
    </comment>
    <comment ref="AC36" authorId="0" shapeId="0" xr:uid="{00000000-0006-0000-0000-0000DA010000}">
      <text>
        <r>
          <rPr>
            <b/>
            <sz val="10"/>
            <color indexed="81"/>
            <rFont val="Tahoma"/>
            <family val="2"/>
          </rPr>
          <t>Author:</t>
        </r>
        <r>
          <rPr>
            <sz val="10"/>
            <color indexed="81"/>
            <rFont val="Tahoma"/>
            <family val="2"/>
          </rPr>
          <t xml:space="preserve">
Info from Generator Data sheet, corrected for altitude.</t>
        </r>
      </text>
    </comment>
    <comment ref="AD36" authorId="0" shapeId="0" xr:uid="{00000000-0006-0000-0000-0000DB010000}">
      <text>
        <r>
          <rPr>
            <b/>
            <sz val="10"/>
            <color indexed="81"/>
            <rFont val="Tahoma"/>
            <family val="2"/>
          </rPr>
          <t>Author:</t>
        </r>
        <r>
          <rPr>
            <sz val="10"/>
            <color indexed="81"/>
            <rFont val="Tahoma"/>
            <family val="2"/>
          </rPr>
          <t xml:space="preserve">
See K14-76T-E5091</t>
        </r>
      </text>
    </comment>
    <comment ref="C37" authorId="0" shapeId="0" xr:uid="{00000000-0006-0000-0000-0000DC010000}">
      <text>
        <r>
          <rPr>
            <b/>
            <sz val="10"/>
            <color indexed="81"/>
            <rFont val="Tahoma"/>
            <family val="2"/>
          </rPr>
          <t>Author:</t>
        </r>
        <r>
          <rPr>
            <sz val="10"/>
            <color indexed="81"/>
            <rFont val="Tahoma"/>
            <family val="2"/>
          </rPr>
          <t xml:space="preserve">
See nameplate picture</t>
        </r>
      </text>
    </comment>
    <comment ref="D37" authorId="0" shapeId="0" xr:uid="{00000000-0006-0000-0000-0000DD010000}">
      <text>
        <r>
          <rPr>
            <b/>
            <sz val="10"/>
            <color indexed="81"/>
            <rFont val="Tahoma"/>
            <family val="2"/>
          </rPr>
          <t>Author:</t>
        </r>
        <r>
          <rPr>
            <sz val="10"/>
            <color indexed="81"/>
            <rFont val="Tahoma"/>
            <family val="2"/>
          </rPr>
          <t xml:space="preserve">
See nameplate picture</t>
        </r>
      </text>
    </comment>
    <comment ref="E37" authorId="0" shapeId="0" xr:uid="{00000000-0006-0000-0000-0000DE010000}">
      <text>
        <r>
          <rPr>
            <b/>
            <sz val="10"/>
            <color indexed="81"/>
            <rFont val="Tahoma"/>
            <family val="2"/>
          </rPr>
          <t>Author:</t>
        </r>
        <r>
          <rPr>
            <sz val="10"/>
            <color indexed="81"/>
            <rFont val="Tahoma"/>
            <family val="2"/>
          </rPr>
          <t xml:space="preserve">
See nameplate picture</t>
        </r>
      </text>
    </comment>
    <comment ref="F37" authorId="0" shapeId="0" xr:uid="{00000000-0006-0000-0000-0000DF010000}">
      <text>
        <r>
          <rPr>
            <b/>
            <sz val="10"/>
            <color indexed="81"/>
            <rFont val="Tahoma"/>
            <family val="2"/>
          </rPr>
          <t>Author:</t>
        </r>
        <r>
          <rPr>
            <sz val="10"/>
            <color indexed="81"/>
            <rFont val="Tahoma"/>
            <family val="2"/>
          </rPr>
          <t xml:space="preserve">
See 6GTA-E1002 Sh1</t>
        </r>
      </text>
    </comment>
    <comment ref="G37" authorId="0" shapeId="0" xr:uid="{00000000-0006-0000-0000-0000E0010000}">
      <text>
        <r>
          <rPr>
            <b/>
            <sz val="10"/>
            <color indexed="81"/>
            <rFont val="Tahoma"/>
            <family val="2"/>
          </rPr>
          <t>Author:</t>
        </r>
        <r>
          <rPr>
            <sz val="10"/>
            <color indexed="81"/>
            <rFont val="Tahoma"/>
            <family val="2"/>
          </rPr>
          <t xml:space="preserve">
See 6GTA-E1002 Sh1</t>
        </r>
      </text>
    </comment>
    <comment ref="H37" authorId="0" shapeId="0" xr:uid="{00000000-0006-0000-0000-0000E1010000}">
      <text>
        <r>
          <rPr>
            <b/>
            <sz val="10"/>
            <color indexed="81"/>
            <rFont val="Tahoma"/>
            <family val="2"/>
          </rPr>
          <t>Author:</t>
        </r>
        <r>
          <rPr>
            <sz val="10"/>
            <color indexed="81"/>
            <rFont val="Tahoma"/>
            <family val="2"/>
          </rPr>
          <t xml:space="preserve">
Part of generator bkr</t>
        </r>
      </text>
    </comment>
    <comment ref="J37" authorId="0" shapeId="0" xr:uid="{00000000-0006-0000-0000-0000E2010000}">
      <text>
        <r>
          <rPr>
            <b/>
            <sz val="10"/>
            <color indexed="81"/>
            <rFont val="Tahoma"/>
            <family val="2"/>
          </rPr>
          <t>Author:</t>
        </r>
        <r>
          <rPr>
            <sz val="10"/>
            <color indexed="81"/>
            <rFont val="Tahoma"/>
            <family val="2"/>
          </rPr>
          <t xml:space="preserve">
See nameplate picture</t>
        </r>
      </text>
    </comment>
    <comment ref="L37" authorId="0" shapeId="0" xr:uid="{00000000-0006-0000-0000-0000E3010000}">
      <text>
        <r>
          <rPr>
            <b/>
            <sz val="10"/>
            <color indexed="81"/>
            <rFont val="Tahoma"/>
            <family val="2"/>
          </rPr>
          <t>Author:</t>
        </r>
        <r>
          <rPr>
            <sz val="10"/>
            <color indexed="81"/>
            <rFont val="Tahoma"/>
            <family val="2"/>
          </rPr>
          <t xml:space="preserve">
See nameplate picture</t>
        </r>
      </text>
    </comment>
    <comment ref="N37" authorId="0" shapeId="0" xr:uid="{00000000-0006-0000-0000-0000E4010000}">
      <text>
        <r>
          <rPr>
            <b/>
            <sz val="10"/>
            <color indexed="81"/>
            <rFont val="Tahoma"/>
            <family val="2"/>
          </rPr>
          <t>Author:</t>
        </r>
        <r>
          <rPr>
            <sz val="10"/>
            <color indexed="81"/>
            <rFont val="Tahoma"/>
            <family val="2"/>
          </rPr>
          <t xml:space="preserve">
See nameplate picture. 8000/5 CTs and 2000/5 CTs with a TRF=4.</t>
        </r>
      </text>
    </comment>
    <comment ref="O37" authorId="0" shapeId="0" xr:uid="{00000000-0006-0000-0000-0000E5010000}">
      <text>
        <r>
          <rPr>
            <b/>
            <sz val="10"/>
            <color indexed="81"/>
            <rFont val="Tahoma"/>
            <family val="2"/>
          </rPr>
          <t>Author:</t>
        </r>
        <r>
          <rPr>
            <sz val="10"/>
            <color indexed="81"/>
            <rFont val="Tahoma"/>
            <family val="2"/>
          </rPr>
          <t xml:space="preserve">
See nameplate picture
KBS Updated Value</t>
        </r>
      </text>
    </comment>
    <comment ref="Q37" authorId="0" shapeId="0" xr:uid="{00000000-0006-0000-0000-0000E6010000}">
      <text>
        <r>
          <rPr>
            <b/>
            <sz val="10"/>
            <color indexed="81"/>
            <rFont val="Tahoma"/>
            <family val="2"/>
          </rPr>
          <t>Author:</t>
        </r>
        <r>
          <rPr>
            <sz val="10"/>
            <color indexed="81"/>
            <rFont val="Tahoma"/>
            <family val="2"/>
          </rPr>
          <t xml:space="preserve">
See Bkr 652G nameplate picture</t>
        </r>
      </text>
    </comment>
    <comment ref="R37" authorId="0" shapeId="0" xr:uid="{00000000-0006-0000-0000-0000E7010000}">
      <text>
        <r>
          <rPr>
            <b/>
            <sz val="10"/>
            <color indexed="81"/>
            <rFont val="Tahoma"/>
            <family val="2"/>
          </rPr>
          <t>Author:</t>
        </r>
        <r>
          <rPr>
            <sz val="10"/>
            <color indexed="81"/>
            <rFont val="Tahoma"/>
            <family val="2"/>
          </rPr>
          <t xml:space="preserve">
See 6GTA-E1002 Sh1</t>
        </r>
      </text>
    </comment>
    <comment ref="S37" authorId="0" shapeId="0" xr:uid="{00000000-0006-0000-0000-0000E8010000}">
      <text>
        <r>
          <rPr>
            <b/>
            <sz val="9"/>
            <color indexed="81"/>
            <rFont val="Tahoma"/>
            <family val="2"/>
          </rPr>
          <t>Author:</t>
        </r>
        <r>
          <rPr>
            <sz val="9"/>
            <color indexed="81"/>
            <rFont val="Tahoma"/>
            <family val="2"/>
          </rPr>
          <t xml:space="preserve">
Tap 2</t>
        </r>
      </text>
    </comment>
    <comment ref="T37" authorId="0" shapeId="0" xr:uid="{00000000-0006-0000-0000-0000E9010000}">
      <text>
        <r>
          <rPr>
            <b/>
            <sz val="9"/>
            <color indexed="81"/>
            <rFont val="Tahoma"/>
            <family val="2"/>
          </rPr>
          <t>Author:</t>
        </r>
        <r>
          <rPr>
            <sz val="9"/>
            <color indexed="81"/>
            <rFont val="Tahoma"/>
            <family val="2"/>
          </rPr>
          <t xml:space="preserve">
See sheet 2</t>
        </r>
      </text>
    </comment>
    <comment ref="V37" authorId="0" shapeId="0" xr:uid="{00000000-0006-0000-0000-0000EA010000}">
      <text>
        <r>
          <rPr>
            <b/>
            <sz val="9"/>
            <color indexed="81"/>
            <rFont val="Tahoma"/>
            <family val="2"/>
          </rPr>
          <t>Author:</t>
        </r>
        <r>
          <rPr>
            <sz val="9"/>
            <color indexed="81"/>
            <rFont val="Tahoma"/>
            <family val="2"/>
          </rPr>
          <t xml:space="preserve">
See Nameplate</t>
        </r>
      </text>
    </comment>
    <comment ref="W37" authorId="0" shapeId="0" xr:uid="{00000000-0006-0000-0000-0000EB010000}">
      <text>
        <r>
          <rPr>
            <b/>
            <sz val="9"/>
            <color indexed="81"/>
            <rFont val="Tahoma"/>
            <family val="2"/>
          </rPr>
          <t xml:space="preserve">Brady Nunn:
</t>
        </r>
        <r>
          <rPr>
            <sz val="9"/>
            <color indexed="81"/>
            <rFont val="Tahoma"/>
            <family val="2"/>
          </rPr>
          <t>51P set at 883 A HS
883 * 13.43 = 11850
21 function evaluated to PRC-025</t>
        </r>
      </text>
    </comment>
    <comment ref="Y37" authorId="0" shapeId="0" xr:uid="{700AF555-03C1-4CA8-837E-FDE0A129C121}">
      <text>
        <r>
          <rPr>
            <b/>
            <sz val="9"/>
            <color indexed="81"/>
            <rFont val="Tahoma"/>
            <family val="2"/>
          </rPr>
          <t>Author:</t>
        </r>
        <r>
          <rPr>
            <sz val="9"/>
            <color indexed="81"/>
            <rFont val="Tahoma"/>
            <family val="2"/>
          </rPr>
          <t xml:space="preserve">
Nameplate</t>
        </r>
      </text>
    </comment>
    <comment ref="AC37" authorId="0" shapeId="0" xr:uid="{00000000-0006-0000-0000-0000EC010000}">
      <text>
        <r>
          <rPr>
            <b/>
            <sz val="10"/>
            <color indexed="81"/>
            <rFont val="Tahoma"/>
            <family val="2"/>
          </rPr>
          <t>Author:</t>
        </r>
        <r>
          <rPr>
            <sz val="10"/>
            <color indexed="81"/>
            <rFont val="Tahoma"/>
            <family val="2"/>
          </rPr>
          <t xml:space="preserve">
Info from Generator Data sheet, corrected for altitude.</t>
        </r>
      </text>
    </comment>
    <comment ref="AD37" authorId="0" shapeId="0" xr:uid="{00000000-0006-0000-0000-0000ED010000}">
      <text>
        <r>
          <rPr>
            <b/>
            <sz val="10"/>
            <color indexed="81"/>
            <rFont val="Tahoma"/>
            <family val="2"/>
          </rPr>
          <t>Author:</t>
        </r>
        <r>
          <rPr>
            <sz val="10"/>
            <color indexed="81"/>
            <rFont val="Tahoma"/>
            <family val="2"/>
          </rPr>
          <t xml:space="preserve">
See K14-76T-E5091</t>
        </r>
      </text>
    </comment>
    <comment ref="C38" authorId="0" shapeId="0" xr:uid="{00000000-0006-0000-0000-0000EE010000}">
      <text>
        <r>
          <rPr>
            <b/>
            <sz val="10"/>
            <color indexed="81"/>
            <rFont val="Tahoma"/>
            <family val="2"/>
          </rPr>
          <t>Author:</t>
        </r>
        <r>
          <rPr>
            <sz val="10"/>
            <color indexed="81"/>
            <rFont val="Tahoma"/>
            <family val="2"/>
          </rPr>
          <t xml:space="preserve">
See nameplate picture</t>
        </r>
      </text>
    </comment>
    <comment ref="D38" authorId="0" shapeId="0" xr:uid="{00000000-0006-0000-0000-0000EF010000}">
      <text>
        <r>
          <rPr>
            <b/>
            <sz val="10"/>
            <color indexed="81"/>
            <rFont val="Tahoma"/>
            <family val="2"/>
          </rPr>
          <t>Author:</t>
        </r>
        <r>
          <rPr>
            <sz val="10"/>
            <color indexed="81"/>
            <rFont val="Tahoma"/>
            <family val="2"/>
          </rPr>
          <t xml:space="preserve">
See nameplate picture</t>
        </r>
      </text>
    </comment>
    <comment ref="E38" authorId="0" shapeId="0" xr:uid="{00000000-0006-0000-0000-0000F0010000}">
      <text>
        <r>
          <rPr>
            <b/>
            <sz val="10"/>
            <color indexed="81"/>
            <rFont val="Tahoma"/>
            <family val="2"/>
          </rPr>
          <t>Author:</t>
        </r>
        <r>
          <rPr>
            <sz val="10"/>
            <color indexed="81"/>
            <rFont val="Tahoma"/>
            <family val="2"/>
          </rPr>
          <t xml:space="preserve">
See nameplate picture</t>
        </r>
      </text>
    </comment>
    <comment ref="F38" authorId="0" shapeId="0" xr:uid="{00000000-0006-0000-0000-0000F1010000}">
      <text>
        <r>
          <rPr>
            <b/>
            <sz val="10"/>
            <color indexed="81"/>
            <rFont val="Tahoma"/>
            <family val="2"/>
          </rPr>
          <t>Author:</t>
        </r>
        <r>
          <rPr>
            <sz val="10"/>
            <color indexed="81"/>
            <rFont val="Tahoma"/>
            <family val="2"/>
          </rPr>
          <t xml:space="preserve">
See 6GTA-E1002 Sh1</t>
        </r>
      </text>
    </comment>
    <comment ref="G38" authorId="0" shapeId="0" xr:uid="{00000000-0006-0000-0000-0000F2010000}">
      <text>
        <r>
          <rPr>
            <b/>
            <sz val="10"/>
            <color indexed="81"/>
            <rFont val="Tahoma"/>
            <family val="2"/>
          </rPr>
          <t>Author:</t>
        </r>
        <r>
          <rPr>
            <sz val="10"/>
            <color indexed="81"/>
            <rFont val="Tahoma"/>
            <family val="2"/>
          </rPr>
          <t xml:space="preserve">
See 6GTA-E1002 Sh1</t>
        </r>
      </text>
    </comment>
    <comment ref="H38" authorId="0" shapeId="0" xr:uid="{00000000-0006-0000-0000-0000F3010000}">
      <text>
        <r>
          <rPr>
            <b/>
            <sz val="10"/>
            <color indexed="81"/>
            <rFont val="Tahoma"/>
            <family val="2"/>
          </rPr>
          <t>Author:</t>
        </r>
        <r>
          <rPr>
            <sz val="10"/>
            <color indexed="81"/>
            <rFont val="Tahoma"/>
            <family val="2"/>
          </rPr>
          <t xml:space="preserve">
Part of generator bkr</t>
        </r>
      </text>
    </comment>
    <comment ref="J38" authorId="0" shapeId="0" xr:uid="{00000000-0006-0000-0000-0000F4010000}">
      <text>
        <r>
          <rPr>
            <b/>
            <sz val="10"/>
            <color indexed="81"/>
            <rFont val="Tahoma"/>
            <family val="2"/>
          </rPr>
          <t>Author:</t>
        </r>
        <r>
          <rPr>
            <sz val="10"/>
            <color indexed="81"/>
            <rFont val="Tahoma"/>
            <family val="2"/>
          </rPr>
          <t xml:space="preserve">
See nameplate picture</t>
        </r>
      </text>
    </comment>
    <comment ref="L38" authorId="0" shapeId="0" xr:uid="{00000000-0006-0000-0000-0000F5010000}">
      <text>
        <r>
          <rPr>
            <b/>
            <sz val="10"/>
            <color indexed="81"/>
            <rFont val="Tahoma"/>
            <family val="2"/>
          </rPr>
          <t>Author:</t>
        </r>
        <r>
          <rPr>
            <sz val="10"/>
            <color indexed="81"/>
            <rFont val="Tahoma"/>
            <family val="2"/>
          </rPr>
          <t xml:space="preserve">
See nameplate picture</t>
        </r>
      </text>
    </comment>
    <comment ref="N38" authorId="0" shapeId="0" xr:uid="{00000000-0006-0000-0000-0000F6010000}">
      <text>
        <r>
          <rPr>
            <b/>
            <sz val="10"/>
            <color indexed="81"/>
            <rFont val="Tahoma"/>
            <family val="2"/>
          </rPr>
          <t>Author:</t>
        </r>
        <r>
          <rPr>
            <sz val="10"/>
            <color indexed="81"/>
            <rFont val="Tahoma"/>
            <family val="2"/>
          </rPr>
          <t xml:space="preserve">
See nameplate picture. 8000/5 CTs and 2000/5 CTs with a TRF=4.</t>
        </r>
      </text>
    </comment>
    <comment ref="O38" authorId="0" shapeId="0" xr:uid="{00000000-0006-0000-0000-0000F7010000}">
      <text>
        <r>
          <rPr>
            <b/>
            <sz val="10"/>
            <color indexed="81"/>
            <rFont val="Tahoma"/>
            <family val="2"/>
          </rPr>
          <t>Author:</t>
        </r>
        <r>
          <rPr>
            <sz val="10"/>
            <color indexed="81"/>
            <rFont val="Tahoma"/>
            <family val="2"/>
          </rPr>
          <t xml:space="preserve">
See nameplate picture
KBS Updated Value</t>
        </r>
      </text>
    </comment>
    <comment ref="Q38" authorId="0" shapeId="0" xr:uid="{00000000-0006-0000-0000-0000F8010000}">
      <text>
        <r>
          <rPr>
            <b/>
            <sz val="10"/>
            <color indexed="81"/>
            <rFont val="Tahoma"/>
            <family val="2"/>
          </rPr>
          <t>Author:</t>
        </r>
        <r>
          <rPr>
            <sz val="10"/>
            <color indexed="81"/>
            <rFont val="Tahoma"/>
            <family val="2"/>
          </rPr>
          <t xml:space="preserve">
See Bkr 652G nameplate picture</t>
        </r>
      </text>
    </comment>
    <comment ref="R38" authorId="0" shapeId="0" xr:uid="{00000000-0006-0000-0000-0000F9010000}">
      <text>
        <r>
          <rPr>
            <b/>
            <sz val="10"/>
            <color indexed="81"/>
            <rFont val="Tahoma"/>
            <family val="2"/>
          </rPr>
          <t>Author:</t>
        </r>
        <r>
          <rPr>
            <sz val="10"/>
            <color indexed="81"/>
            <rFont val="Tahoma"/>
            <family val="2"/>
          </rPr>
          <t xml:space="preserve">
See 6GTA-E1002 Sh1</t>
        </r>
      </text>
    </comment>
    <comment ref="S38" authorId="0" shapeId="0" xr:uid="{00000000-0006-0000-0000-0000FA010000}">
      <text>
        <r>
          <rPr>
            <b/>
            <sz val="9"/>
            <color indexed="81"/>
            <rFont val="Tahoma"/>
            <family val="2"/>
          </rPr>
          <t>Author:</t>
        </r>
        <r>
          <rPr>
            <sz val="9"/>
            <color indexed="81"/>
            <rFont val="Tahoma"/>
            <family val="2"/>
          </rPr>
          <t xml:space="preserve">
Tap 2</t>
        </r>
      </text>
    </comment>
    <comment ref="T38" authorId="0" shapeId="0" xr:uid="{00000000-0006-0000-0000-0000FB010000}">
      <text>
        <r>
          <rPr>
            <b/>
            <sz val="9"/>
            <color indexed="81"/>
            <rFont val="Tahoma"/>
            <family val="2"/>
          </rPr>
          <t>Author:</t>
        </r>
        <r>
          <rPr>
            <sz val="9"/>
            <color indexed="81"/>
            <rFont val="Tahoma"/>
            <family val="2"/>
          </rPr>
          <t xml:space="preserve">
See sheet 2</t>
        </r>
      </text>
    </comment>
    <comment ref="V38" authorId="0" shapeId="0" xr:uid="{00000000-0006-0000-0000-0000FC010000}">
      <text>
        <r>
          <rPr>
            <b/>
            <sz val="9"/>
            <color indexed="81"/>
            <rFont val="Tahoma"/>
            <family val="2"/>
          </rPr>
          <t>Author:</t>
        </r>
        <r>
          <rPr>
            <sz val="9"/>
            <color indexed="81"/>
            <rFont val="Tahoma"/>
            <family val="2"/>
          </rPr>
          <t xml:space="preserve">
See Nameplate</t>
        </r>
      </text>
    </comment>
    <comment ref="W38" authorId="0" shapeId="0" xr:uid="{00000000-0006-0000-0000-0000FD010000}">
      <text>
        <r>
          <rPr>
            <b/>
            <sz val="9"/>
            <color indexed="81"/>
            <rFont val="Tahoma"/>
            <family val="2"/>
          </rPr>
          <t xml:space="preserve">Brady Nunn:
</t>
        </r>
        <r>
          <rPr>
            <sz val="9"/>
            <color indexed="81"/>
            <rFont val="Tahoma"/>
            <family val="2"/>
          </rPr>
          <t>51P set at 883 A HS
883 * 13.43 = 11850
21 function evaluated to PRC-025</t>
        </r>
      </text>
    </comment>
    <comment ref="Y38" authorId="0" shapeId="0" xr:uid="{BCE5001A-FE3A-4180-B572-C9CE4CF105E2}">
      <text>
        <r>
          <rPr>
            <b/>
            <sz val="9"/>
            <color indexed="81"/>
            <rFont val="Tahoma"/>
            <family val="2"/>
          </rPr>
          <t>Author:</t>
        </r>
        <r>
          <rPr>
            <sz val="9"/>
            <color indexed="81"/>
            <rFont val="Tahoma"/>
            <family val="2"/>
          </rPr>
          <t xml:space="preserve">
Nameplate</t>
        </r>
      </text>
    </comment>
    <comment ref="AC38" authorId="0" shapeId="0" xr:uid="{00000000-0006-0000-0000-0000FE010000}">
      <text>
        <r>
          <rPr>
            <b/>
            <sz val="10"/>
            <color indexed="81"/>
            <rFont val="Tahoma"/>
            <family val="2"/>
          </rPr>
          <t>Author:</t>
        </r>
        <r>
          <rPr>
            <sz val="10"/>
            <color indexed="81"/>
            <rFont val="Tahoma"/>
            <family val="2"/>
          </rPr>
          <t xml:space="preserve">
Info from Generator Data sheet, corrected for altitude.</t>
        </r>
      </text>
    </comment>
    <comment ref="AD38" authorId="0" shapeId="0" xr:uid="{00000000-0006-0000-0000-0000FF010000}">
      <text>
        <r>
          <rPr>
            <b/>
            <sz val="10"/>
            <color indexed="81"/>
            <rFont val="Tahoma"/>
            <family val="2"/>
          </rPr>
          <t>Author:</t>
        </r>
        <r>
          <rPr>
            <sz val="10"/>
            <color indexed="81"/>
            <rFont val="Tahoma"/>
            <family val="2"/>
          </rPr>
          <t xml:space="preserve">
See K14-76T-E5091</t>
        </r>
      </text>
    </comment>
    <comment ref="C39" authorId="0" shapeId="0" xr:uid="{00000000-0006-0000-0000-000000020000}">
      <text>
        <r>
          <rPr>
            <b/>
            <sz val="10"/>
            <color indexed="81"/>
            <rFont val="Tahoma"/>
            <family val="2"/>
          </rPr>
          <t>Author:</t>
        </r>
        <r>
          <rPr>
            <sz val="10"/>
            <color indexed="81"/>
            <rFont val="Tahoma"/>
            <family val="2"/>
          </rPr>
          <t xml:space="preserve">
From Generator Data sheet generator output as a function of inlet air temperature corrected for altitude. 4993' (.94 multiplier). Base capability curve at 104F used</t>
        </r>
      </text>
    </comment>
    <comment ref="D39" authorId="0" shapeId="0" xr:uid="{00000000-0006-0000-0000-000001020000}">
      <text>
        <r>
          <rPr>
            <b/>
            <sz val="10"/>
            <color indexed="81"/>
            <rFont val="Tahoma"/>
            <family val="2"/>
          </rPr>
          <t>Author:</t>
        </r>
        <r>
          <rPr>
            <sz val="10"/>
            <color indexed="81"/>
            <rFont val="Tahoma"/>
            <family val="2"/>
          </rPr>
          <t xml:space="preserve">
Info from Generator Data sheet, corrected for altitude.</t>
        </r>
      </text>
    </comment>
    <comment ref="E39" authorId="0" shapeId="0" xr:uid="{00000000-0006-0000-0000-000002020000}">
      <text>
        <r>
          <rPr>
            <b/>
            <sz val="10"/>
            <color indexed="81"/>
            <rFont val="Tahoma"/>
            <family val="2"/>
          </rPr>
          <t>Author:</t>
        </r>
        <r>
          <rPr>
            <sz val="10"/>
            <color indexed="81"/>
            <rFont val="Tahoma"/>
            <family val="2"/>
          </rPr>
          <t xml:space="preserve">
From Summer capability corrected for altitude. 4993' (.94 multiplier)</t>
        </r>
      </text>
    </comment>
    <comment ref="F39" authorId="0" shapeId="0" xr:uid="{00000000-0006-0000-0000-000003020000}">
      <text>
        <r>
          <rPr>
            <b/>
            <sz val="10"/>
            <color indexed="81"/>
            <rFont val="Tahoma"/>
            <family val="2"/>
          </rPr>
          <t xml:space="preserve">Brady Nunn:
</t>
        </r>
        <r>
          <rPr>
            <sz val="10"/>
            <color indexed="81"/>
            <rFont val="Tahoma"/>
            <family val="2"/>
          </rPr>
          <t>0130-008.001S01</t>
        </r>
      </text>
    </comment>
    <comment ref="G39" authorId="0" shapeId="0" xr:uid="{00000000-0006-0000-0000-000004020000}">
      <text>
        <r>
          <rPr>
            <b/>
            <sz val="9"/>
            <color indexed="81"/>
            <rFont val="Tahoma"/>
            <family val="2"/>
          </rPr>
          <t>Author:</t>
        </r>
        <r>
          <rPr>
            <sz val="9"/>
            <color indexed="81"/>
            <rFont val="Tahoma"/>
            <family val="2"/>
          </rPr>
          <t xml:space="preserve">
Drawing 130-13.5 sh2
Unit Bus bars are 5" AL with 1033.5 Kcmil ACSR inside if segments exceed 20'. Since some segments are smaller than 20' (between disconnect and right angle to GSU) the tubular conductor will be the most limiting element. Value found on 2014 XEL-EVD-Faciltiy Rating Supplement-Table-Tubular and Square Conductor.</t>
        </r>
      </text>
    </comment>
    <comment ref="H39" authorId="0" shapeId="0" xr:uid="{00000000-0006-0000-0000-000005020000}">
      <text>
        <r>
          <rPr>
            <b/>
            <sz val="9"/>
            <color indexed="81"/>
            <rFont val="Tahoma"/>
            <family val="2"/>
          </rPr>
          <t>Author:</t>
        </r>
        <r>
          <rPr>
            <sz val="9"/>
            <color indexed="81"/>
            <rFont val="Tahoma"/>
            <family val="2"/>
          </rPr>
          <t xml:space="preserve">
Drawing 130-13.5 sh2
Unit Bus bars are 5" AL with 1033.5 Kcmil ACSR inside if segments exceed 20'. Since some segments are smaller than 20' (between disconnect and right angle to GSU) the tubular condcustor will be the most limiting element. Value found on 2014 XEL-EVD-Faciltiy Rating Supplement-Table-Tubular and Square Conductor.</t>
        </r>
      </text>
    </comment>
    <comment ref="J39" authorId="0" shapeId="0" xr:uid="{00000000-0006-0000-0000-000006020000}">
      <text>
        <r>
          <rPr>
            <b/>
            <sz val="10"/>
            <color indexed="81"/>
            <rFont val="Tahoma"/>
            <family val="2"/>
          </rPr>
          <t>Author:</t>
        </r>
        <r>
          <rPr>
            <sz val="10"/>
            <color indexed="81"/>
            <rFont val="Tahoma"/>
            <family val="2"/>
          </rPr>
          <t xml:space="preserve">
See name plate picture</t>
        </r>
      </text>
    </comment>
    <comment ref="L39" authorId="0" shapeId="0" xr:uid="{00000000-0006-0000-0000-000007020000}">
      <text>
        <r>
          <rPr>
            <b/>
            <sz val="10"/>
            <color indexed="81"/>
            <rFont val="Tahoma"/>
            <family val="2"/>
          </rPr>
          <t>Author:</t>
        </r>
        <r>
          <rPr>
            <sz val="10"/>
            <color indexed="81"/>
            <rFont val="Tahoma"/>
            <family val="2"/>
          </rPr>
          <t xml:space="preserve">
See name plate picture</t>
        </r>
      </text>
    </comment>
    <comment ref="O39" authorId="0" shapeId="0" xr:uid="{00000000-0006-0000-0000-000008020000}">
      <text>
        <r>
          <rPr>
            <b/>
            <sz val="9"/>
            <color indexed="81"/>
            <rFont val="Tahoma"/>
            <family val="2"/>
          </rPr>
          <t>Author:</t>
        </r>
        <r>
          <rPr>
            <sz val="9"/>
            <color indexed="81"/>
            <rFont val="Tahoma"/>
            <family val="2"/>
          </rPr>
          <t xml:space="preserve">
Rated by transmission</t>
        </r>
      </text>
    </comment>
    <comment ref="Q39" authorId="0" shapeId="0" xr:uid="{00000000-0006-0000-0000-000009020000}">
      <text>
        <r>
          <rPr>
            <b/>
            <sz val="10"/>
            <color indexed="81"/>
            <rFont val="Tahoma"/>
            <family val="2"/>
          </rPr>
          <t>Author:</t>
        </r>
        <r>
          <rPr>
            <sz val="10"/>
            <color indexed="81"/>
            <rFont val="Tahoma"/>
            <family val="2"/>
          </rPr>
          <t xml:space="preserve">
1-line, 813E131 Sh1.</t>
        </r>
      </text>
    </comment>
    <comment ref="R39" authorId="0" shapeId="0" xr:uid="{00000000-0006-0000-0000-00000A020000}">
      <text>
        <r>
          <rPr>
            <b/>
            <sz val="10"/>
            <color indexed="81"/>
            <rFont val="Tahoma"/>
            <family val="2"/>
          </rPr>
          <t>Author:</t>
        </r>
        <r>
          <rPr>
            <sz val="10"/>
            <color indexed="81"/>
            <rFont val="Tahoma"/>
            <family val="2"/>
          </rPr>
          <t xml:space="preserve">
1-line, 813E131 Sh1.
0130-008.001S01</t>
        </r>
      </text>
    </comment>
    <comment ref="S39" authorId="0" shapeId="0" xr:uid="{00000000-0006-0000-0000-00000B020000}">
      <text>
        <r>
          <rPr>
            <b/>
            <sz val="9"/>
            <color indexed="81"/>
            <rFont val="Tahoma"/>
            <family val="2"/>
          </rPr>
          <t>Author:</t>
        </r>
        <r>
          <rPr>
            <sz val="9"/>
            <color indexed="81"/>
            <rFont val="Tahoma"/>
            <family val="2"/>
          </rPr>
          <t xml:space="preserve">
Tap B</t>
        </r>
      </text>
    </comment>
    <comment ref="T39" authorId="0" shapeId="0" xr:uid="{00000000-0006-0000-0000-00000C020000}">
      <text>
        <r>
          <rPr>
            <b/>
            <sz val="9"/>
            <color indexed="81"/>
            <rFont val="Tahoma"/>
            <family val="2"/>
          </rPr>
          <t>Author:</t>
        </r>
        <r>
          <rPr>
            <sz val="9"/>
            <color indexed="81"/>
            <rFont val="Tahoma"/>
            <family val="2"/>
          </rPr>
          <t xml:space="preserve">
Value from Subs Eng FAC-008-3 Spreadsheet.
Limiting Element: Conductor
</t>
        </r>
      </text>
    </comment>
    <comment ref="V39" authorId="0" shapeId="0" xr:uid="{00000000-0006-0000-0000-00000D020000}">
      <text>
        <r>
          <rPr>
            <b/>
            <sz val="9"/>
            <color indexed="81"/>
            <rFont val="Tahoma"/>
            <family val="2"/>
          </rPr>
          <t>Author:</t>
        </r>
        <r>
          <rPr>
            <sz val="9"/>
            <color indexed="81"/>
            <rFont val="Tahoma"/>
            <family val="2"/>
          </rPr>
          <t xml:space="preserve">
Calculation used as Nameplate is at 110000kva</t>
        </r>
      </text>
    </comment>
    <comment ref="W39" authorId="0" shapeId="0" xr:uid="{00000000-0006-0000-0000-00000E020000}">
      <text>
        <r>
          <rPr>
            <b/>
            <sz val="9"/>
            <color indexed="81"/>
            <rFont val="Tahoma"/>
            <family val="2"/>
          </rPr>
          <t>Brady Nunn:</t>
        </r>
        <r>
          <rPr>
            <sz val="9"/>
            <color indexed="81"/>
            <rFont val="Tahoma"/>
            <family val="2"/>
          </rPr>
          <t xml:space="preserve">
50 function pickup at 39.1A secondary, CTR= 200. HS pickup = 7820A. LS pickup = 70067.2A
51 function is set to 5.84 Amps on 115kV 1000:5 = 1168A Primary = 10465.3A Secondary. 
21 function (on generator) has been evaluated to PRC-025.</t>
        </r>
      </text>
    </comment>
    <comment ref="AC39" authorId="0" shapeId="0" xr:uid="{00000000-0006-0000-0000-00000F020000}">
      <text>
        <r>
          <rPr>
            <b/>
            <sz val="10"/>
            <color indexed="81"/>
            <rFont val="Tahoma"/>
            <family val="2"/>
          </rPr>
          <t>Author:</t>
        </r>
        <r>
          <rPr>
            <sz val="10"/>
            <color indexed="81"/>
            <rFont val="Tahoma"/>
            <family val="2"/>
          </rPr>
          <t xml:space="preserve">
Info from Generator Data sheet, corrected for altitude.</t>
        </r>
      </text>
    </comment>
    <comment ref="AD39" authorId="0" shapeId="0" xr:uid="{00000000-0006-0000-0000-000010020000}">
      <text>
        <r>
          <rPr>
            <b/>
            <sz val="10"/>
            <color indexed="81"/>
            <rFont val="Tahoma"/>
            <family val="2"/>
          </rPr>
          <t>Author:</t>
        </r>
        <r>
          <rPr>
            <sz val="10"/>
            <color indexed="81"/>
            <rFont val="Tahoma"/>
            <family val="2"/>
          </rPr>
          <t xml:space="preserve">
See K14-76T-E5091</t>
        </r>
      </text>
    </comment>
    <comment ref="C40" authorId="0" shapeId="0" xr:uid="{00000000-0006-0000-0000-000011020000}">
      <text>
        <r>
          <rPr>
            <b/>
            <sz val="10"/>
            <color indexed="81"/>
            <rFont val="Tahoma"/>
            <family val="2"/>
          </rPr>
          <t>Author:</t>
        </r>
        <r>
          <rPr>
            <sz val="10"/>
            <color indexed="81"/>
            <rFont val="Tahoma"/>
            <family val="2"/>
          </rPr>
          <t xml:space="preserve">
From Generator Data sheet generator output as a function of inlet air temperature corrected for altitude. 4993' (.94 multiplier). Base capability curve at 0F used</t>
        </r>
      </text>
    </comment>
    <comment ref="D40" authorId="0" shapeId="0" xr:uid="{00000000-0006-0000-0000-000012020000}">
      <text>
        <r>
          <rPr>
            <b/>
            <sz val="10"/>
            <color indexed="81"/>
            <rFont val="Tahoma"/>
            <family val="2"/>
          </rPr>
          <t>Author:</t>
        </r>
        <r>
          <rPr>
            <sz val="10"/>
            <color indexed="81"/>
            <rFont val="Tahoma"/>
            <family val="2"/>
          </rPr>
          <t xml:space="preserve">
Info from Generator Data sheet, corrected for altitude.</t>
        </r>
      </text>
    </comment>
    <comment ref="E40" authorId="0" shapeId="0" xr:uid="{00000000-0006-0000-0000-000013020000}">
      <text>
        <r>
          <rPr>
            <b/>
            <sz val="10"/>
            <color indexed="81"/>
            <rFont val="Tahoma"/>
            <family val="2"/>
          </rPr>
          <t>Author:</t>
        </r>
        <r>
          <rPr>
            <sz val="10"/>
            <color indexed="81"/>
            <rFont val="Tahoma"/>
            <family val="2"/>
          </rPr>
          <t xml:space="preserve">
From Winter capability corrected for altitude. 4993' (.94 multiplier)</t>
        </r>
      </text>
    </comment>
    <comment ref="F40" authorId="0" shapeId="0" xr:uid="{00000000-0006-0000-0000-000014020000}">
      <text>
        <r>
          <rPr>
            <b/>
            <sz val="10"/>
            <color indexed="81"/>
            <rFont val="Tahoma"/>
            <family val="2"/>
          </rPr>
          <t xml:space="preserve">Brady Nunn:
</t>
        </r>
        <r>
          <rPr>
            <sz val="10"/>
            <color indexed="81"/>
            <rFont val="Tahoma"/>
            <family val="2"/>
          </rPr>
          <t>0130-008.001S01</t>
        </r>
      </text>
    </comment>
    <comment ref="G40" authorId="0" shapeId="0" xr:uid="{00000000-0006-0000-0000-000015020000}">
      <text>
        <r>
          <rPr>
            <b/>
            <sz val="9"/>
            <color indexed="81"/>
            <rFont val="Tahoma"/>
            <family val="2"/>
          </rPr>
          <t>Author:</t>
        </r>
        <r>
          <rPr>
            <sz val="9"/>
            <color indexed="81"/>
            <rFont val="Tahoma"/>
            <family val="2"/>
          </rPr>
          <t xml:space="preserve">
Drawing 130-13.5 sh2
Unit Bus bars are 5" AL with 1033.5 Kcmil ACSR inside if segments exceed 20'. Since some segments are smaller than 20' (between disconnect and right angle to GSU) the tubular conductor will be the most limiting element. Value found on 2014 XEL-EVD-Faciltiy Rating Supplement-Table-Tubular and Square Conductor.</t>
        </r>
      </text>
    </comment>
    <comment ref="H40" authorId="0" shapeId="0" xr:uid="{00000000-0006-0000-0000-000016020000}">
      <text>
        <r>
          <rPr>
            <b/>
            <sz val="9"/>
            <color indexed="81"/>
            <rFont val="Tahoma"/>
            <family val="2"/>
          </rPr>
          <t>Author:</t>
        </r>
        <r>
          <rPr>
            <sz val="9"/>
            <color indexed="81"/>
            <rFont val="Tahoma"/>
            <family val="2"/>
          </rPr>
          <t xml:space="preserve">
Drawing 130-13.5 sh2
Unit Bus bars are 5" AL with 1033.5 Kcmil ACSR inside if segments exceed 20'. Since some segments are smaller than 20' (between disconnect and right angle to GSU) the tubular condcustor will be the most limiting element. Value found on 2014 XEL-EVD-Faciltiy Rating Supplement-Table-Tubular and Square Conductor.</t>
        </r>
      </text>
    </comment>
    <comment ref="J40" authorId="0" shapeId="0" xr:uid="{00000000-0006-0000-0000-000017020000}">
      <text>
        <r>
          <rPr>
            <b/>
            <sz val="10"/>
            <color indexed="81"/>
            <rFont val="Tahoma"/>
            <family val="2"/>
          </rPr>
          <t>Author:</t>
        </r>
        <r>
          <rPr>
            <sz val="10"/>
            <color indexed="81"/>
            <rFont val="Tahoma"/>
            <family val="2"/>
          </rPr>
          <t xml:space="preserve">
See name plate picture</t>
        </r>
      </text>
    </comment>
    <comment ref="L40" authorId="0" shapeId="0" xr:uid="{00000000-0006-0000-0000-000018020000}">
      <text>
        <r>
          <rPr>
            <b/>
            <sz val="10"/>
            <color indexed="81"/>
            <rFont val="Tahoma"/>
            <family val="2"/>
          </rPr>
          <t>Author:</t>
        </r>
        <r>
          <rPr>
            <sz val="10"/>
            <color indexed="81"/>
            <rFont val="Tahoma"/>
            <family val="2"/>
          </rPr>
          <t xml:space="preserve">
See name plate picture</t>
        </r>
      </text>
    </comment>
    <comment ref="Q40" authorId="0" shapeId="0" xr:uid="{00000000-0006-0000-0000-000019020000}">
      <text>
        <r>
          <rPr>
            <b/>
            <sz val="10"/>
            <color indexed="81"/>
            <rFont val="Tahoma"/>
            <family val="2"/>
          </rPr>
          <t>Author:</t>
        </r>
        <r>
          <rPr>
            <sz val="10"/>
            <color indexed="81"/>
            <rFont val="Tahoma"/>
            <family val="2"/>
          </rPr>
          <t xml:space="preserve">
1-line, 813E131 Sh1.</t>
        </r>
      </text>
    </comment>
    <comment ref="R40" authorId="0" shapeId="0" xr:uid="{00000000-0006-0000-0000-00001A020000}">
      <text>
        <r>
          <rPr>
            <b/>
            <sz val="10"/>
            <color indexed="81"/>
            <rFont val="Tahoma"/>
            <family val="2"/>
          </rPr>
          <t>Author:</t>
        </r>
        <r>
          <rPr>
            <sz val="10"/>
            <color indexed="81"/>
            <rFont val="Tahoma"/>
            <family val="2"/>
          </rPr>
          <t xml:space="preserve">
1-line, 813E131 Sh1.
0130-008.001S01</t>
        </r>
      </text>
    </comment>
    <comment ref="S40" authorId="0" shapeId="0" xr:uid="{00000000-0006-0000-0000-00001B020000}">
      <text>
        <r>
          <rPr>
            <b/>
            <sz val="9"/>
            <color indexed="81"/>
            <rFont val="Tahoma"/>
            <family val="2"/>
          </rPr>
          <t>Author:</t>
        </r>
        <r>
          <rPr>
            <sz val="9"/>
            <color indexed="81"/>
            <rFont val="Tahoma"/>
            <family val="2"/>
          </rPr>
          <t xml:space="preserve">
Tap B</t>
        </r>
      </text>
    </comment>
    <comment ref="T40" authorId="0" shapeId="0" xr:uid="{00000000-0006-0000-0000-00001C020000}">
      <text>
        <r>
          <rPr>
            <b/>
            <sz val="9"/>
            <color indexed="81"/>
            <rFont val="Tahoma"/>
            <family val="2"/>
          </rPr>
          <t>Author:</t>
        </r>
        <r>
          <rPr>
            <sz val="9"/>
            <color indexed="81"/>
            <rFont val="Tahoma"/>
            <family val="2"/>
          </rPr>
          <t xml:space="preserve">
Value from Subs Eng FAC-008-3 Spreadsheet.
Limiting Element: Secondary Limit</t>
        </r>
      </text>
    </comment>
    <comment ref="V40" authorId="0" shapeId="0" xr:uid="{00000000-0006-0000-0000-00001D020000}">
      <text>
        <r>
          <rPr>
            <b/>
            <sz val="9"/>
            <color indexed="81"/>
            <rFont val="Tahoma"/>
            <family val="2"/>
          </rPr>
          <t>Author:</t>
        </r>
        <r>
          <rPr>
            <sz val="9"/>
            <color indexed="81"/>
            <rFont val="Tahoma"/>
            <family val="2"/>
          </rPr>
          <t xml:space="preserve">
Calculation used as Nameplate is at 110000kva</t>
        </r>
      </text>
    </comment>
    <comment ref="W40" authorId="0" shapeId="0" xr:uid="{00000000-0006-0000-0000-00001E020000}">
      <text>
        <r>
          <rPr>
            <b/>
            <sz val="9"/>
            <color indexed="81"/>
            <rFont val="Tahoma"/>
            <family val="2"/>
          </rPr>
          <t>Brady Nunn:</t>
        </r>
        <r>
          <rPr>
            <sz val="9"/>
            <color indexed="81"/>
            <rFont val="Tahoma"/>
            <family val="2"/>
          </rPr>
          <t xml:space="preserve">
50 function pickup at 39.1A secondary, CTR= 200. HS pickup = 7820A. LS pickup = 70067.2A
51 function is set to 5.84 Amps on 115kV 1000:5 = 1168A Primary = 10465.3A Secondary. 
21 function (on generator) has been evaluated to PRC-025.</t>
        </r>
      </text>
    </comment>
    <comment ref="AC40" authorId="0" shapeId="0" xr:uid="{00000000-0006-0000-0000-00001F020000}">
      <text>
        <r>
          <rPr>
            <b/>
            <sz val="10"/>
            <color indexed="81"/>
            <rFont val="Tahoma"/>
            <family val="2"/>
          </rPr>
          <t>Author:</t>
        </r>
        <r>
          <rPr>
            <sz val="10"/>
            <color indexed="81"/>
            <rFont val="Tahoma"/>
            <family val="2"/>
          </rPr>
          <t xml:space="preserve">
Info from Generator Data sheet, corrected for altitude.</t>
        </r>
      </text>
    </comment>
    <comment ref="AD40" authorId="0" shapeId="0" xr:uid="{00000000-0006-0000-0000-000020020000}">
      <text>
        <r>
          <rPr>
            <b/>
            <sz val="10"/>
            <color indexed="81"/>
            <rFont val="Tahoma"/>
            <family val="2"/>
          </rPr>
          <t>Author:</t>
        </r>
        <r>
          <rPr>
            <sz val="10"/>
            <color indexed="81"/>
            <rFont val="Tahoma"/>
            <family val="2"/>
          </rPr>
          <t xml:space="preserve">
See K14-76T-E5091</t>
        </r>
      </text>
    </comment>
    <comment ref="C41" authorId="0" shapeId="0" xr:uid="{00000000-0006-0000-0000-000021020000}">
      <text>
        <r>
          <rPr>
            <b/>
            <sz val="10"/>
            <color indexed="81"/>
            <rFont val="Tahoma"/>
            <family val="2"/>
          </rPr>
          <t>Author:</t>
        </r>
        <r>
          <rPr>
            <sz val="10"/>
            <color indexed="81"/>
            <rFont val="Tahoma"/>
            <family val="2"/>
          </rPr>
          <t xml:space="preserve">
From Generator Data sheet generator output as a function of inlet air temperature corrected for altitude. 4993' (.94 multiplier). Base capability curve at 104F used</t>
        </r>
      </text>
    </comment>
    <comment ref="D41" authorId="0" shapeId="0" xr:uid="{00000000-0006-0000-0000-000022020000}">
      <text>
        <r>
          <rPr>
            <b/>
            <sz val="10"/>
            <color indexed="81"/>
            <rFont val="Tahoma"/>
            <family val="2"/>
          </rPr>
          <t>Author:</t>
        </r>
        <r>
          <rPr>
            <sz val="10"/>
            <color indexed="81"/>
            <rFont val="Tahoma"/>
            <family val="2"/>
          </rPr>
          <t xml:space="preserve">
Info from Generator Data sheet, corrected for altitude.</t>
        </r>
      </text>
    </comment>
    <comment ref="E41" authorId="0" shapeId="0" xr:uid="{00000000-0006-0000-0000-000023020000}">
      <text>
        <r>
          <rPr>
            <b/>
            <sz val="10"/>
            <color indexed="81"/>
            <rFont val="Tahoma"/>
            <family val="2"/>
          </rPr>
          <t>Author:</t>
        </r>
        <r>
          <rPr>
            <sz val="10"/>
            <color indexed="81"/>
            <rFont val="Tahoma"/>
            <family val="2"/>
          </rPr>
          <t xml:space="preserve">
From Summer capability corrected for altitude. 4993' (.94 multiplier)</t>
        </r>
      </text>
    </comment>
    <comment ref="F41" authorId="0" shapeId="0" xr:uid="{00000000-0006-0000-0000-000024020000}">
      <text>
        <r>
          <rPr>
            <b/>
            <sz val="10"/>
            <color indexed="81"/>
            <rFont val="Tahoma"/>
            <family val="2"/>
          </rPr>
          <t xml:space="preserve">Brady Nunn:
</t>
        </r>
        <r>
          <rPr>
            <sz val="10"/>
            <color indexed="81"/>
            <rFont val="Tahoma"/>
            <family val="2"/>
          </rPr>
          <t>0130-008.001S01</t>
        </r>
      </text>
    </comment>
    <comment ref="G41" authorId="0" shapeId="0" xr:uid="{00000000-0006-0000-0000-000025020000}">
      <text>
        <r>
          <rPr>
            <b/>
            <sz val="9"/>
            <color indexed="81"/>
            <rFont val="Tahoma"/>
            <family val="2"/>
          </rPr>
          <t>Author:</t>
        </r>
        <r>
          <rPr>
            <sz val="9"/>
            <color indexed="81"/>
            <rFont val="Tahoma"/>
            <family val="2"/>
          </rPr>
          <t xml:space="preserve">
Drawing 130-13.5 sh2
Unit Bus bars are 5" AL with 1033.5 Kcmil ACSR inside if segments exceed 20'. Since some segments are smaller than 20' (between disconnect and right angle to GSU) the tubular conductor will be the most limiting element. Value found on 2014 XEL-EVD-Faciltiy Rating Supplement-Table-Tubular and Square Conductor.</t>
        </r>
      </text>
    </comment>
    <comment ref="H41" authorId="0" shapeId="0" xr:uid="{00000000-0006-0000-0000-000026020000}">
      <text>
        <r>
          <rPr>
            <b/>
            <sz val="9"/>
            <color indexed="81"/>
            <rFont val="Tahoma"/>
            <family val="2"/>
          </rPr>
          <t>Author:</t>
        </r>
        <r>
          <rPr>
            <sz val="9"/>
            <color indexed="81"/>
            <rFont val="Tahoma"/>
            <family val="2"/>
          </rPr>
          <t xml:space="preserve">
Drawing 130-13.5 sh2
Unit Bus bars are 5" AL with 1033.5 Kcmil ACSR inside if segments exceed 20'. Since some segments are smaller than 20' (between disconnect and right angle to GSU) the tubular condcustor will be the most limiting element. Value found on 2014 XEL-EVD-Faciltiy Rating Supplement-Table-Tubular and Square Conductor.</t>
        </r>
      </text>
    </comment>
    <comment ref="J41" authorId="0" shapeId="0" xr:uid="{00000000-0006-0000-0000-000027020000}">
      <text>
        <r>
          <rPr>
            <b/>
            <sz val="10"/>
            <color indexed="81"/>
            <rFont val="Tahoma"/>
            <family val="2"/>
          </rPr>
          <t>Author:</t>
        </r>
        <r>
          <rPr>
            <sz val="10"/>
            <color indexed="81"/>
            <rFont val="Tahoma"/>
            <family val="2"/>
          </rPr>
          <t xml:space="preserve">
See name plate picture</t>
        </r>
      </text>
    </comment>
    <comment ref="L41" authorId="0" shapeId="0" xr:uid="{00000000-0006-0000-0000-000028020000}">
      <text>
        <r>
          <rPr>
            <b/>
            <sz val="10"/>
            <color indexed="81"/>
            <rFont val="Tahoma"/>
            <family val="2"/>
          </rPr>
          <t>Author:</t>
        </r>
        <r>
          <rPr>
            <sz val="10"/>
            <color indexed="81"/>
            <rFont val="Tahoma"/>
            <family val="2"/>
          </rPr>
          <t xml:space="preserve">
See name plate picture</t>
        </r>
      </text>
    </comment>
    <comment ref="Q41" authorId="0" shapeId="0" xr:uid="{00000000-0006-0000-0000-000029020000}">
      <text>
        <r>
          <rPr>
            <b/>
            <sz val="10"/>
            <color indexed="81"/>
            <rFont val="Tahoma"/>
            <family val="2"/>
          </rPr>
          <t>Author:</t>
        </r>
        <r>
          <rPr>
            <sz val="10"/>
            <color indexed="81"/>
            <rFont val="Tahoma"/>
            <family val="2"/>
          </rPr>
          <t xml:space="preserve">
1-line, 813E131 Sh1.</t>
        </r>
      </text>
    </comment>
    <comment ref="R41" authorId="0" shapeId="0" xr:uid="{00000000-0006-0000-0000-00002A020000}">
      <text>
        <r>
          <rPr>
            <b/>
            <sz val="10"/>
            <color indexed="81"/>
            <rFont val="Tahoma"/>
            <family val="2"/>
          </rPr>
          <t>Author:</t>
        </r>
        <r>
          <rPr>
            <sz val="10"/>
            <color indexed="81"/>
            <rFont val="Tahoma"/>
            <family val="2"/>
          </rPr>
          <t xml:space="preserve">
1-line, 813E131 Sh1.
0130-008.001S01</t>
        </r>
      </text>
    </comment>
    <comment ref="S41" authorId="0" shapeId="0" xr:uid="{00000000-0006-0000-0000-00002B020000}">
      <text>
        <r>
          <rPr>
            <b/>
            <sz val="9"/>
            <color indexed="81"/>
            <rFont val="Tahoma"/>
            <family val="2"/>
          </rPr>
          <t>Author:</t>
        </r>
        <r>
          <rPr>
            <sz val="9"/>
            <color indexed="81"/>
            <rFont val="Tahoma"/>
            <family val="2"/>
          </rPr>
          <t xml:space="preserve">
Tap B</t>
        </r>
      </text>
    </comment>
    <comment ref="T41" authorId="0" shapeId="0" xr:uid="{00000000-0006-0000-0000-00002C020000}">
      <text>
        <r>
          <rPr>
            <b/>
            <sz val="9"/>
            <color indexed="81"/>
            <rFont val="Tahoma"/>
            <family val="2"/>
          </rPr>
          <t>Author:</t>
        </r>
        <r>
          <rPr>
            <sz val="9"/>
            <color indexed="81"/>
            <rFont val="Tahoma"/>
            <family val="2"/>
          </rPr>
          <t xml:space="preserve">
Value from Subs Eng FAC-008-3 Spreadsheet.
Limiting Element: Conductor</t>
        </r>
      </text>
    </comment>
    <comment ref="V41" authorId="0" shapeId="0" xr:uid="{00000000-0006-0000-0000-00002D020000}">
      <text>
        <r>
          <rPr>
            <b/>
            <sz val="9"/>
            <color indexed="81"/>
            <rFont val="Tahoma"/>
            <family val="2"/>
          </rPr>
          <t>Author:</t>
        </r>
        <r>
          <rPr>
            <sz val="9"/>
            <color indexed="81"/>
            <rFont val="Tahoma"/>
            <family val="2"/>
          </rPr>
          <t xml:space="preserve">
Calculation used as Nameplate is at 110000kva</t>
        </r>
      </text>
    </comment>
    <comment ref="W41" authorId="0" shapeId="0" xr:uid="{00000000-0006-0000-0000-00002E020000}">
      <text>
        <r>
          <rPr>
            <b/>
            <sz val="9"/>
            <color indexed="81"/>
            <rFont val="Tahoma"/>
            <family val="2"/>
          </rPr>
          <t>Brady Nunn:</t>
        </r>
        <r>
          <rPr>
            <sz val="9"/>
            <color indexed="81"/>
            <rFont val="Tahoma"/>
            <family val="2"/>
          </rPr>
          <t xml:space="preserve">
50 function pickup at 39.1A secondary, CTR= 200. HS pickup = 7820A. LS pickup = 70067.2A
51 function is set to 5.84 Amps on 115kV 1000:5 = 1168A Primary = 10465.3A Secondary. 
21 function (on generator) has been evaluated to PRC-025.</t>
        </r>
      </text>
    </comment>
    <comment ref="AC41" authorId="0" shapeId="0" xr:uid="{00000000-0006-0000-0000-00002F020000}">
      <text>
        <r>
          <rPr>
            <b/>
            <sz val="10"/>
            <color indexed="81"/>
            <rFont val="Tahoma"/>
            <family val="2"/>
          </rPr>
          <t>Author:</t>
        </r>
        <r>
          <rPr>
            <sz val="10"/>
            <color indexed="81"/>
            <rFont val="Tahoma"/>
            <family val="2"/>
          </rPr>
          <t xml:space="preserve">
Info from Generator Data sheet, corrected for altitude.</t>
        </r>
      </text>
    </comment>
    <comment ref="AD41" authorId="0" shapeId="0" xr:uid="{00000000-0006-0000-0000-000030020000}">
      <text>
        <r>
          <rPr>
            <b/>
            <sz val="10"/>
            <color indexed="81"/>
            <rFont val="Tahoma"/>
            <family val="2"/>
          </rPr>
          <t>Author:</t>
        </r>
        <r>
          <rPr>
            <sz val="10"/>
            <color indexed="81"/>
            <rFont val="Tahoma"/>
            <family val="2"/>
          </rPr>
          <t xml:space="preserve">
See K14-76T-E5091</t>
        </r>
      </text>
    </comment>
    <comment ref="C42" authorId="0" shapeId="0" xr:uid="{00000000-0006-0000-0000-000031020000}">
      <text>
        <r>
          <rPr>
            <b/>
            <sz val="10"/>
            <color indexed="81"/>
            <rFont val="Tahoma"/>
            <family val="2"/>
          </rPr>
          <t>Author:</t>
        </r>
        <r>
          <rPr>
            <sz val="10"/>
            <color indexed="81"/>
            <rFont val="Tahoma"/>
            <family val="2"/>
          </rPr>
          <t xml:space="preserve">
From Generator Data sheet generator output as a function of inlet air temperature corrected for altitude. 4993' (.94 multiplier). Base capability curve at 0F used</t>
        </r>
      </text>
    </comment>
    <comment ref="D42" authorId="0" shapeId="0" xr:uid="{00000000-0006-0000-0000-000032020000}">
      <text>
        <r>
          <rPr>
            <b/>
            <sz val="10"/>
            <color indexed="81"/>
            <rFont val="Tahoma"/>
            <family val="2"/>
          </rPr>
          <t>Author:</t>
        </r>
        <r>
          <rPr>
            <sz val="10"/>
            <color indexed="81"/>
            <rFont val="Tahoma"/>
            <family val="2"/>
          </rPr>
          <t xml:space="preserve">
Info from Generator Data sheet, corrected for altitude.</t>
        </r>
      </text>
    </comment>
    <comment ref="E42" authorId="0" shapeId="0" xr:uid="{00000000-0006-0000-0000-000033020000}">
      <text>
        <r>
          <rPr>
            <b/>
            <sz val="10"/>
            <color indexed="81"/>
            <rFont val="Tahoma"/>
            <family val="2"/>
          </rPr>
          <t>Author:</t>
        </r>
        <r>
          <rPr>
            <sz val="10"/>
            <color indexed="81"/>
            <rFont val="Tahoma"/>
            <family val="2"/>
          </rPr>
          <t xml:space="preserve">
From Summer capability corrected for altitude. 4993' (.94 multiplier)</t>
        </r>
      </text>
    </comment>
    <comment ref="F42" authorId="0" shapeId="0" xr:uid="{00000000-0006-0000-0000-000034020000}">
      <text>
        <r>
          <rPr>
            <b/>
            <sz val="10"/>
            <color indexed="81"/>
            <rFont val="Tahoma"/>
            <family val="2"/>
          </rPr>
          <t xml:space="preserve">Brady Nunn:
</t>
        </r>
        <r>
          <rPr>
            <sz val="10"/>
            <color indexed="81"/>
            <rFont val="Tahoma"/>
            <family val="2"/>
          </rPr>
          <t>0130-008.001S01</t>
        </r>
      </text>
    </comment>
    <comment ref="G42" authorId="0" shapeId="0" xr:uid="{00000000-0006-0000-0000-000035020000}">
      <text>
        <r>
          <rPr>
            <b/>
            <sz val="9"/>
            <color indexed="81"/>
            <rFont val="Tahoma"/>
            <family val="2"/>
          </rPr>
          <t>Author:</t>
        </r>
        <r>
          <rPr>
            <sz val="9"/>
            <color indexed="81"/>
            <rFont val="Tahoma"/>
            <family val="2"/>
          </rPr>
          <t xml:space="preserve">
Drawing 130-13.5 sh2
Unit Bus bars are 5" AL with 1033.5 Kcmil ACSR inside if segments exceed 20'. Since some segments are smaller than 20' (between disconnect and right angle to GSU) the tubular conductor will be the most limiting element. Value found on 2014 XEL-EVD-Faciltiy Rating Supplement-Table-Tubular and Square Conductor.</t>
        </r>
      </text>
    </comment>
    <comment ref="H42" authorId="0" shapeId="0" xr:uid="{00000000-0006-0000-0000-000036020000}">
      <text>
        <r>
          <rPr>
            <b/>
            <sz val="9"/>
            <color indexed="81"/>
            <rFont val="Tahoma"/>
            <family val="2"/>
          </rPr>
          <t>Author:</t>
        </r>
        <r>
          <rPr>
            <sz val="9"/>
            <color indexed="81"/>
            <rFont val="Tahoma"/>
            <family val="2"/>
          </rPr>
          <t xml:space="preserve">
Drawing 130-13.5 sh2
Unit Bus bars are 5" AL with 1033.5 Kcmil ACSR inside if segments exceed 20'. Since some segments are smaller than 20' (between disconnect and right angle to GSU) the tubular condcustor will be the most limiting element. Value found on 2014 XEL-EVD-Faciltiy Rating Supplement-Table-Tubular and Square Conductor.</t>
        </r>
      </text>
    </comment>
    <comment ref="J42" authorId="0" shapeId="0" xr:uid="{00000000-0006-0000-0000-000037020000}">
      <text>
        <r>
          <rPr>
            <b/>
            <sz val="10"/>
            <color indexed="81"/>
            <rFont val="Tahoma"/>
            <family val="2"/>
          </rPr>
          <t>Author:</t>
        </r>
        <r>
          <rPr>
            <sz val="10"/>
            <color indexed="81"/>
            <rFont val="Tahoma"/>
            <family val="2"/>
          </rPr>
          <t xml:space="preserve">
See name plate picture</t>
        </r>
      </text>
    </comment>
    <comment ref="L42" authorId="0" shapeId="0" xr:uid="{00000000-0006-0000-0000-000038020000}">
      <text>
        <r>
          <rPr>
            <b/>
            <sz val="10"/>
            <color indexed="81"/>
            <rFont val="Tahoma"/>
            <family val="2"/>
          </rPr>
          <t>Author:</t>
        </r>
        <r>
          <rPr>
            <sz val="10"/>
            <color indexed="81"/>
            <rFont val="Tahoma"/>
            <family val="2"/>
          </rPr>
          <t xml:space="preserve">
See name plate picture</t>
        </r>
      </text>
    </comment>
    <comment ref="Q42" authorId="0" shapeId="0" xr:uid="{00000000-0006-0000-0000-000039020000}">
      <text>
        <r>
          <rPr>
            <b/>
            <sz val="10"/>
            <color indexed="81"/>
            <rFont val="Tahoma"/>
            <family val="2"/>
          </rPr>
          <t>Author:</t>
        </r>
        <r>
          <rPr>
            <sz val="10"/>
            <color indexed="81"/>
            <rFont val="Tahoma"/>
            <family val="2"/>
          </rPr>
          <t xml:space="preserve">
1-line, 813E131 Sh1.</t>
        </r>
      </text>
    </comment>
    <comment ref="R42" authorId="0" shapeId="0" xr:uid="{00000000-0006-0000-0000-00003A020000}">
      <text>
        <r>
          <rPr>
            <b/>
            <sz val="10"/>
            <color indexed="81"/>
            <rFont val="Tahoma"/>
            <family val="2"/>
          </rPr>
          <t>Author:</t>
        </r>
        <r>
          <rPr>
            <sz val="10"/>
            <color indexed="81"/>
            <rFont val="Tahoma"/>
            <family val="2"/>
          </rPr>
          <t xml:space="preserve">
1-line, 813E131 Sh1.
0130-008.001S01</t>
        </r>
      </text>
    </comment>
    <comment ref="S42" authorId="0" shapeId="0" xr:uid="{00000000-0006-0000-0000-00003B020000}">
      <text>
        <r>
          <rPr>
            <b/>
            <sz val="9"/>
            <color indexed="81"/>
            <rFont val="Tahoma"/>
            <family val="2"/>
          </rPr>
          <t>Author:</t>
        </r>
        <r>
          <rPr>
            <sz val="9"/>
            <color indexed="81"/>
            <rFont val="Tahoma"/>
            <family val="2"/>
          </rPr>
          <t xml:space="preserve">
Tap B</t>
        </r>
      </text>
    </comment>
    <comment ref="T42" authorId="0" shapeId="0" xr:uid="{00000000-0006-0000-0000-00003C020000}">
      <text>
        <r>
          <rPr>
            <b/>
            <sz val="9"/>
            <color indexed="81"/>
            <rFont val="Tahoma"/>
            <family val="2"/>
          </rPr>
          <t>Author:</t>
        </r>
        <r>
          <rPr>
            <sz val="9"/>
            <color indexed="81"/>
            <rFont val="Tahoma"/>
            <family val="2"/>
          </rPr>
          <t xml:space="preserve">
Value from Subs Eng FAC-008-3 Spreadsheet.
Limiting Element: Secondary Limit
</t>
        </r>
      </text>
    </comment>
    <comment ref="V42" authorId="0" shapeId="0" xr:uid="{00000000-0006-0000-0000-00003D020000}">
      <text>
        <r>
          <rPr>
            <b/>
            <sz val="9"/>
            <color indexed="81"/>
            <rFont val="Tahoma"/>
            <family val="2"/>
          </rPr>
          <t>Author:</t>
        </r>
        <r>
          <rPr>
            <sz val="9"/>
            <color indexed="81"/>
            <rFont val="Tahoma"/>
            <family val="2"/>
          </rPr>
          <t xml:space="preserve">
Calculation used as Nameplate is at 110000kva</t>
        </r>
      </text>
    </comment>
    <comment ref="W42" authorId="0" shapeId="0" xr:uid="{00000000-0006-0000-0000-00003E020000}">
      <text>
        <r>
          <rPr>
            <b/>
            <sz val="9"/>
            <color indexed="81"/>
            <rFont val="Tahoma"/>
            <family val="2"/>
          </rPr>
          <t>Brady Nunn:</t>
        </r>
        <r>
          <rPr>
            <sz val="9"/>
            <color indexed="81"/>
            <rFont val="Tahoma"/>
            <family val="2"/>
          </rPr>
          <t xml:space="preserve">
50 function pickup at 39.1A secondary, CTR= 200. HS pickup = 7820A. LS pickup = 70067.2A
51 function is set to 5.84 Amps on 115kV 1000:5 = 1168A Primary = 10465.3A Secondary. 
21 function (on generator) has been evaluated to PRC-025.</t>
        </r>
      </text>
    </comment>
    <comment ref="AC42" authorId="0" shapeId="0" xr:uid="{00000000-0006-0000-0000-00003F020000}">
      <text>
        <r>
          <rPr>
            <b/>
            <sz val="10"/>
            <color indexed="81"/>
            <rFont val="Tahoma"/>
            <family val="2"/>
          </rPr>
          <t>Author:</t>
        </r>
        <r>
          <rPr>
            <sz val="10"/>
            <color indexed="81"/>
            <rFont val="Tahoma"/>
            <family val="2"/>
          </rPr>
          <t xml:space="preserve">
Info from Generator Data sheet, corrected for altitude.</t>
        </r>
      </text>
    </comment>
    <comment ref="AD42" authorId="0" shapeId="0" xr:uid="{00000000-0006-0000-0000-000040020000}">
      <text>
        <r>
          <rPr>
            <b/>
            <sz val="10"/>
            <color indexed="81"/>
            <rFont val="Tahoma"/>
            <family val="2"/>
          </rPr>
          <t>Author:</t>
        </r>
        <r>
          <rPr>
            <sz val="10"/>
            <color indexed="81"/>
            <rFont val="Tahoma"/>
            <family val="2"/>
          </rPr>
          <t xml:space="preserve">
See K14-76T-E5091</t>
        </r>
      </text>
    </comment>
    <comment ref="B43" authorId="0" shapeId="0" xr:uid="{00000000-0006-0000-0000-000041020000}">
      <text>
        <r>
          <rPr>
            <b/>
            <sz val="9"/>
            <color indexed="81"/>
            <rFont val="Tahoma"/>
            <family val="2"/>
          </rPr>
          <t>Author:</t>
        </r>
        <r>
          <rPr>
            <sz val="9"/>
            <color indexed="81"/>
            <rFont val="Tahoma"/>
            <family val="2"/>
          </rPr>
          <t xml:space="preserve">
Combined rating of both units for shared GSU transformer
</t>
        </r>
      </text>
    </comment>
    <comment ref="C43" authorId="0" shapeId="0" xr:uid="{00000000-0006-0000-0000-000042020000}">
      <text>
        <r>
          <rPr>
            <b/>
            <sz val="10"/>
            <color indexed="81"/>
            <rFont val="Tahoma"/>
            <family val="2"/>
          </rPr>
          <t>Author:</t>
        </r>
        <r>
          <rPr>
            <sz val="10"/>
            <color indexed="81"/>
            <rFont val="Tahoma"/>
            <family val="2"/>
          </rPr>
          <t xml:space="preserve">
Combined summer nameplate values
</t>
        </r>
      </text>
    </comment>
    <comment ref="D43" authorId="0" shapeId="0" xr:uid="{00000000-0006-0000-0000-000043020000}">
      <text>
        <r>
          <rPr>
            <b/>
            <sz val="10"/>
            <color indexed="81"/>
            <rFont val="Tahoma"/>
            <family val="2"/>
          </rPr>
          <t>Author:</t>
        </r>
        <r>
          <rPr>
            <sz val="10"/>
            <color indexed="81"/>
            <rFont val="Tahoma"/>
            <family val="2"/>
          </rPr>
          <t xml:space="preserve">
Info from Generator Data sheet, corrected for altitude.</t>
        </r>
      </text>
    </comment>
    <comment ref="E43" authorId="0" shapeId="0" xr:uid="{00000000-0006-0000-0000-000044020000}">
      <text>
        <r>
          <rPr>
            <b/>
            <sz val="10"/>
            <color indexed="81"/>
            <rFont val="Tahoma"/>
            <family val="2"/>
          </rPr>
          <t>Author:</t>
        </r>
        <r>
          <rPr>
            <sz val="10"/>
            <color indexed="81"/>
            <rFont val="Tahoma"/>
            <family val="2"/>
          </rPr>
          <t xml:space="preserve">
Combined summer nameplate values</t>
        </r>
      </text>
    </comment>
    <comment ref="F43" authorId="0" shapeId="0" xr:uid="{00000000-0006-0000-0000-000045020000}">
      <text>
        <r>
          <rPr>
            <b/>
            <sz val="10"/>
            <color indexed="81"/>
            <rFont val="Tahoma"/>
            <family val="2"/>
          </rPr>
          <t xml:space="preserve">Brady Nunn:
</t>
        </r>
        <r>
          <rPr>
            <sz val="10"/>
            <color indexed="81"/>
            <rFont val="Tahoma"/>
            <family val="2"/>
          </rPr>
          <t xml:space="preserve">0130-008.001S01
No CTs on common bus
</t>
        </r>
      </text>
    </comment>
    <comment ref="G43" authorId="0" shapeId="0" xr:uid="{00000000-0006-0000-0000-000046020000}">
      <text>
        <r>
          <rPr>
            <b/>
            <sz val="9"/>
            <color indexed="81"/>
            <rFont val="Tahoma"/>
            <family val="2"/>
          </rPr>
          <t>Author:</t>
        </r>
        <r>
          <rPr>
            <sz val="9"/>
            <color indexed="81"/>
            <rFont val="Tahoma"/>
            <family val="2"/>
          </rPr>
          <t xml:space="preserve">
Drawing 130-13.5 sh2
Unit Bus bars are 6" and 12 500Kcmil conductors to connect. the tubular conductor will be the most limiting element. Value found on 2014 XEL-EVD-Faciltiy Rating Supplement-Table-Tubular and Square Conductor.</t>
        </r>
      </text>
    </comment>
    <comment ref="J43" authorId="0" shapeId="0" xr:uid="{00000000-0006-0000-0000-000047020000}">
      <text>
        <r>
          <rPr>
            <b/>
            <sz val="10"/>
            <color indexed="81"/>
            <rFont val="Tahoma"/>
            <family val="2"/>
          </rPr>
          <t>Author:</t>
        </r>
        <r>
          <rPr>
            <sz val="10"/>
            <color indexed="81"/>
            <rFont val="Tahoma"/>
            <family val="2"/>
          </rPr>
          <t xml:space="preserve">
See name plate picture</t>
        </r>
      </text>
    </comment>
    <comment ref="L43" authorId="0" shapeId="0" xr:uid="{00000000-0006-0000-0000-000048020000}">
      <text>
        <r>
          <rPr>
            <b/>
            <sz val="10"/>
            <color indexed="81"/>
            <rFont val="Tahoma"/>
            <family val="2"/>
          </rPr>
          <t>Author:</t>
        </r>
        <r>
          <rPr>
            <sz val="10"/>
            <color indexed="81"/>
            <rFont val="Tahoma"/>
            <family val="2"/>
          </rPr>
          <t xml:space="preserve">
See name plate picture</t>
        </r>
      </text>
    </comment>
    <comment ref="Q43" authorId="0" shapeId="0" xr:uid="{00000000-0006-0000-0000-000049020000}">
      <text>
        <r>
          <rPr>
            <b/>
            <sz val="10"/>
            <color indexed="81"/>
            <rFont val="Tahoma"/>
            <family val="2"/>
          </rPr>
          <t>Author:</t>
        </r>
        <r>
          <rPr>
            <sz val="10"/>
            <color indexed="81"/>
            <rFont val="Tahoma"/>
            <family val="2"/>
          </rPr>
          <t xml:space="preserve">
1-line, 813E131 Sh1.</t>
        </r>
      </text>
    </comment>
    <comment ref="R43" authorId="0" shapeId="0" xr:uid="{00000000-0006-0000-0000-00004A020000}">
      <text>
        <r>
          <rPr>
            <b/>
            <sz val="10"/>
            <color indexed="81"/>
            <rFont val="Tahoma"/>
            <family val="2"/>
          </rPr>
          <t>Author:</t>
        </r>
        <r>
          <rPr>
            <sz val="10"/>
            <color indexed="81"/>
            <rFont val="Tahoma"/>
            <family val="2"/>
          </rPr>
          <t xml:space="preserve">
1-line, 813E131 Sh1.
0130-008.001S01</t>
        </r>
      </text>
    </comment>
    <comment ref="S43" authorId="0" shapeId="0" xr:uid="{00000000-0006-0000-0000-00004B020000}">
      <text>
        <r>
          <rPr>
            <b/>
            <sz val="9"/>
            <color indexed="81"/>
            <rFont val="Tahoma"/>
            <family val="2"/>
          </rPr>
          <t>Author:</t>
        </r>
        <r>
          <rPr>
            <sz val="9"/>
            <color indexed="81"/>
            <rFont val="Tahoma"/>
            <family val="2"/>
          </rPr>
          <t xml:space="preserve">
Tap B</t>
        </r>
      </text>
    </comment>
    <comment ref="T43" authorId="0" shapeId="0" xr:uid="{00000000-0006-0000-0000-00004C020000}">
      <text>
        <r>
          <rPr>
            <b/>
            <sz val="9"/>
            <color indexed="81"/>
            <rFont val="Tahoma"/>
            <family val="2"/>
          </rPr>
          <t>Author:</t>
        </r>
        <r>
          <rPr>
            <sz val="9"/>
            <color indexed="81"/>
            <rFont val="Tahoma"/>
            <family val="2"/>
          </rPr>
          <t xml:space="preserve">
Value from Subs Eng FAC-008-3 Spreadsheet.
Limiting Element: Conductor</t>
        </r>
      </text>
    </comment>
    <comment ref="V43" authorId="0" shapeId="0" xr:uid="{00000000-0006-0000-0000-00004D020000}">
      <text>
        <r>
          <rPr>
            <b/>
            <sz val="9"/>
            <color indexed="81"/>
            <rFont val="Tahoma"/>
            <family val="2"/>
          </rPr>
          <t>Author:</t>
        </r>
        <r>
          <rPr>
            <sz val="9"/>
            <color indexed="81"/>
            <rFont val="Tahoma"/>
            <family val="2"/>
          </rPr>
          <t xml:space="preserve">
Calculation used as Nameplate is at 110000kva</t>
        </r>
      </text>
    </comment>
    <comment ref="W43" authorId="0" shapeId="0" xr:uid="{00000000-0006-0000-0000-00004E020000}">
      <text>
        <r>
          <rPr>
            <b/>
            <sz val="9"/>
            <color indexed="81"/>
            <rFont val="Tahoma"/>
            <family val="2"/>
          </rPr>
          <t>Brady Nunn:</t>
        </r>
        <r>
          <rPr>
            <sz val="9"/>
            <color indexed="81"/>
            <rFont val="Tahoma"/>
            <family val="2"/>
          </rPr>
          <t xml:space="preserve">
50 function pickup at 39.1A secondary, CTR= 200. HS pickup = 7820A. LS pickup = 70067.2A
51 function is set to 5.84 Amps on 115kV 1000:5 = 1168A Primary = 10465.3A Secondary. 
21 function (on generator) has been evaluated to PRC-025.</t>
        </r>
      </text>
    </comment>
    <comment ref="Y43" authorId="0" shapeId="0" xr:uid="{00000000-0006-0000-0000-00004F020000}">
      <text>
        <r>
          <rPr>
            <b/>
            <sz val="9"/>
            <color indexed="81"/>
            <rFont val="Tahoma"/>
            <family val="2"/>
          </rPr>
          <t>Author:</t>
        </r>
        <r>
          <rPr>
            <sz val="9"/>
            <color indexed="81"/>
            <rFont val="Tahoma"/>
            <family val="2"/>
          </rPr>
          <t xml:space="preserve">
Calculated from FOA rating</t>
        </r>
      </text>
    </comment>
    <comment ref="AC43" authorId="0" shapeId="0" xr:uid="{00000000-0006-0000-0000-000050020000}">
      <text>
        <r>
          <rPr>
            <b/>
            <sz val="10"/>
            <color indexed="81"/>
            <rFont val="Tahoma"/>
            <family val="2"/>
          </rPr>
          <t>Author:</t>
        </r>
        <r>
          <rPr>
            <sz val="10"/>
            <color indexed="81"/>
            <rFont val="Tahoma"/>
            <family val="2"/>
          </rPr>
          <t xml:space="preserve">
Info from Generator Data sheet, corrected for altitude.</t>
        </r>
      </text>
    </comment>
    <comment ref="AD43" authorId="0" shapeId="0" xr:uid="{00000000-0006-0000-0000-000051020000}">
      <text>
        <r>
          <rPr>
            <b/>
            <sz val="10"/>
            <color indexed="81"/>
            <rFont val="Tahoma"/>
            <family val="2"/>
          </rPr>
          <t>Author:</t>
        </r>
        <r>
          <rPr>
            <sz val="10"/>
            <color indexed="81"/>
            <rFont val="Tahoma"/>
            <family val="2"/>
          </rPr>
          <t xml:space="preserve">
See K14-76T-E5091</t>
        </r>
      </text>
    </comment>
    <comment ref="B44" authorId="0" shapeId="0" xr:uid="{00000000-0006-0000-0000-000052020000}">
      <text>
        <r>
          <rPr>
            <b/>
            <sz val="9"/>
            <color indexed="81"/>
            <rFont val="Tahoma"/>
            <family val="2"/>
          </rPr>
          <t>Author:</t>
        </r>
        <r>
          <rPr>
            <sz val="9"/>
            <color indexed="81"/>
            <rFont val="Tahoma"/>
            <family val="2"/>
          </rPr>
          <t xml:space="preserve">
Combined rating of both units for shared GSU transformer</t>
        </r>
      </text>
    </comment>
    <comment ref="C44" authorId="0" shapeId="0" xr:uid="{00000000-0006-0000-0000-000053020000}">
      <text>
        <r>
          <rPr>
            <b/>
            <sz val="10"/>
            <color indexed="81"/>
            <rFont val="Tahoma"/>
            <family val="2"/>
          </rPr>
          <t>Author:</t>
        </r>
        <r>
          <rPr>
            <sz val="10"/>
            <color indexed="81"/>
            <rFont val="Tahoma"/>
            <family val="2"/>
          </rPr>
          <t xml:space="preserve">
Combined winter nameplate values</t>
        </r>
      </text>
    </comment>
    <comment ref="D44" authorId="0" shapeId="0" xr:uid="{00000000-0006-0000-0000-000054020000}">
      <text>
        <r>
          <rPr>
            <b/>
            <sz val="10"/>
            <color indexed="81"/>
            <rFont val="Tahoma"/>
            <family val="2"/>
          </rPr>
          <t>Author:</t>
        </r>
        <r>
          <rPr>
            <sz val="10"/>
            <color indexed="81"/>
            <rFont val="Tahoma"/>
            <family val="2"/>
          </rPr>
          <t xml:space="preserve">
Info from Generator Data sheet, corrected for altitude.</t>
        </r>
      </text>
    </comment>
    <comment ref="E44" authorId="0" shapeId="0" xr:uid="{00000000-0006-0000-0000-000055020000}">
      <text>
        <r>
          <rPr>
            <b/>
            <sz val="10"/>
            <color indexed="81"/>
            <rFont val="Tahoma"/>
            <family val="2"/>
          </rPr>
          <t>Author:</t>
        </r>
        <r>
          <rPr>
            <sz val="10"/>
            <color indexed="81"/>
            <rFont val="Tahoma"/>
            <family val="2"/>
          </rPr>
          <t xml:space="preserve">
Combined winter nameplate values</t>
        </r>
      </text>
    </comment>
    <comment ref="F44" authorId="0" shapeId="0" xr:uid="{00000000-0006-0000-0000-000056020000}">
      <text>
        <r>
          <rPr>
            <b/>
            <sz val="10"/>
            <color indexed="81"/>
            <rFont val="Tahoma"/>
            <family val="2"/>
          </rPr>
          <t xml:space="preserve">Brady Nunn:
</t>
        </r>
        <r>
          <rPr>
            <sz val="10"/>
            <color indexed="81"/>
            <rFont val="Tahoma"/>
            <family val="2"/>
          </rPr>
          <t>0130-008.001S01
No CTs on common bus</t>
        </r>
      </text>
    </comment>
    <comment ref="G44" authorId="0" shapeId="0" xr:uid="{00000000-0006-0000-0000-000057020000}">
      <text>
        <r>
          <rPr>
            <b/>
            <sz val="9"/>
            <color indexed="81"/>
            <rFont val="Tahoma"/>
            <family val="2"/>
          </rPr>
          <t>Author:</t>
        </r>
        <r>
          <rPr>
            <sz val="9"/>
            <color indexed="81"/>
            <rFont val="Tahoma"/>
            <family val="2"/>
          </rPr>
          <t xml:space="preserve">
Drawing 130-13.5 sh2
Unit Bus bars are 6" and 12 500Kcmil conductors to connect. the tubular conductor will be the most limiting element. Value found on 2014 XEL-EVD-Faciltiy Rating Supplement-Table-Tubular and Square Conductor.</t>
        </r>
      </text>
    </comment>
    <comment ref="J44" authorId="0" shapeId="0" xr:uid="{00000000-0006-0000-0000-000058020000}">
      <text>
        <r>
          <rPr>
            <b/>
            <sz val="10"/>
            <color indexed="81"/>
            <rFont val="Tahoma"/>
            <family val="2"/>
          </rPr>
          <t>Author:</t>
        </r>
        <r>
          <rPr>
            <sz val="10"/>
            <color indexed="81"/>
            <rFont val="Tahoma"/>
            <family val="2"/>
          </rPr>
          <t xml:space="preserve">
See name plate picture</t>
        </r>
      </text>
    </comment>
    <comment ref="L44" authorId="0" shapeId="0" xr:uid="{00000000-0006-0000-0000-000059020000}">
      <text>
        <r>
          <rPr>
            <b/>
            <sz val="10"/>
            <color indexed="81"/>
            <rFont val="Tahoma"/>
            <family val="2"/>
          </rPr>
          <t>Author:</t>
        </r>
        <r>
          <rPr>
            <sz val="10"/>
            <color indexed="81"/>
            <rFont val="Tahoma"/>
            <family val="2"/>
          </rPr>
          <t xml:space="preserve">
See name plate picture</t>
        </r>
      </text>
    </comment>
    <comment ref="Q44" authorId="0" shapeId="0" xr:uid="{00000000-0006-0000-0000-00005A020000}">
      <text>
        <r>
          <rPr>
            <b/>
            <sz val="10"/>
            <color indexed="81"/>
            <rFont val="Tahoma"/>
            <family val="2"/>
          </rPr>
          <t>Author:</t>
        </r>
        <r>
          <rPr>
            <sz val="10"/>
            <color indexed="81"/>
            <rFont val="Tahoma"/>
            <family val="2"/>
          </rPr>
          <t xml:space="preserve">
1-line, 813E131 Sh1.</t>
        </r>
      </text>
    </comment>
    <comment ref="R44" authorId="0" shapeId="0" xr:uid="{00000000-0006-0000-0000-00005B020000}">
      <text>
        <r>
          <rPr>
            <b/>
            <sz val="10"/>
            <color indexed="81"/>
            <rFont val="Tahoma"/>
            <family val="2"/>
          </rPr>
          <t>Author:</t>
        </r>
        <r>
          <rPr>
            <sz val="10"/>
            <color indexed="81"/>
            <rFont val="Tahoma"/>
            <family val="2"/>
          </rPr>
          <t xml:space="preserve">
1-line, 813E131 Sh1.
0130-008.001S01</t>
        </r>
      </text>
    </comment>
    <comment ref="S44" authorId="0" shapeId="0" xr:uid="{00000000-0006-0000-0000-00005C020000}">
      <text>
        <r>
          <rPr>
            <b/>
            <sz val="9"/>
            <color indexed="81"/>
            <rFont val="Tahoma"/>
            <family val="2"/>
          </rPr>
          <t>Author:</t>
        </r>
        <r>
          <rPr>
            <sz val="9"/>
            <color indexed="81"/>
            <rFont val="Tahoma"/>
            <family val="2"/>
          </rPr>
          <t xml:space="preserve">
Tap B</t>
        </r>
      </text>
    </comment>
    <comment ref="T44" authorId="0" shapeId="0" xr:uid="{00000000-0006-0000-0000-00005D020000}">
      <text>
        <r>
          <rPr>
            <b/>
            <sz val="9"/>
            <color indexed="81"/>
            <rFont val="Tahoma"/>
            <family val="2"/>
          </rPr>
          <t>Author:</t>
        </r>
        <r>
          <rPr>
            <sz val="9"/>
            <color indexed="81"/>
            <rFont val="Tahoma"/>
            <family val="2"/>
          </rPr>
          <t xml:space="preserve">
Value from Subs Eng FAC-008-3 Spreadsheet.
Limiting Element: Secondary Limit
</t>
        </r>
      </text>
    </comment>
    <comment ref="V44" authorId="0" shapeId="0" xr:uid="{00000000-0006-0000-0000-00005E020000}">
      <text>
        <r>
          <rPr>
            <b/>
            <sz val="9"/>
            <color indexed="81"/>
            <rFont val="Tahoma"/>
            <family val="2"/>
          </rPr>
          <t>Author:</t>
        </r>
        <r>
          <rPr>
            <sz val="9"/>
            <color indexed="81"/>
            <rFont val="Tahoma"/>
            <family val="2"/>
          </rPr>
          <t xml:space="preserve">
Calculation used as Nameplate is at 110000kva</t>
        </r>
      </text>
    </comment>
    <comment ref="W44" authorId="0" shapeId="0" xr:uid="{00000000-0006-0000-0000-00005F020000}">
      <text>
        <r>
          <rPr>
            <b/>
            <sz val="9"/>
            <color indexed="81"/>
            <rFont val="Tahoma"/>
            <family val="2"/>
          </rPr>
          <t>Brady Nunn:</t>
        </r>
        <r>
          <rPr>
            <sz val="9"/>
            <color indexed="81"/>
            <rFont val="Tahoma"/>
            <family val="2"/>
          </rPr>
          <t xml:space="preserve">
50 function pickup at 39.1A secondary, CTR= 200. HS pickup = 7820A. LS pickup = 70067.2A
51 function is set to 5.84 Amps on 115kV 1000:5 = 1168A Primary = 10465.3A Secondary. 
21 function (on generator) has been evaluated to PRC-025.</t>
        </r>
      </text>
    </comment>
    <comment ref="Y44" authorId="0" shapeId="0" xr:uid="{00000000-0006-0000-0000-000060020000}">
      <text>
        <r>
          <rPr>
            <b/>
            <sz val="9"/>
            <color indexed="81"/>
            <rFont val="Tahoma"/>
            <family val="2"/>
          </rPr>
          <t>Author:</t>
        </r>
        <r>
          <rPr>
            <sz val="9"/>
            <color indexed="81"/>
            <rFont val="Tahoma"/>
            <family val="2"/>
          </rPr>
          <t xml:space="preserve">
Calculated from FOA rating</t>
        </r>
      </text>
    </comment>
    <comment ref="AC44" authorId="0" shapeId="0" xr:uid="{00000000-0006-0000-0000-000061020000}">
      <text>
        <r>
          <rPr>
            <b/>
            <sz val="10"/>
            <color indexed="81"/>
            <rFont val="Tahoma"/>
            <family val="2"/>
          </rPr>
          <t>Author:</t>
        </r>
        <r>
          <rPr>
            <sz val="10"/>
            <color indexed="81"/>
            <rFont val="Tahoma"/>
            <family val="2"/>
          </rPr>
          <t xml:space="preserve">
Info from Generator Data sheet, corrected for altitude.</t>
        </r>
      </text>
    </comment>
    <comment ref="AD44" authorId="0" shapeId="0" xr:uid="{00000000-0006-0000-0000-000062020000}">
      <text>
        <r>
          <rPr>
            <b/>
            <sz val="10"/>
            <color indexed="81"/>
            <rFont val="Tahoma"/>
            <family val="2"/>
          </rPr>
          <t>Author:</t>
        </r>
        <r>
          <rPr>
            <sz val="10"/>
            <color indexed="81"/>
            <rFont val="Tahoma"/>
            <family val="2"/>
          </rPr>
          <t xml:space="preserve">
See K14-76T-E5091</t>
        </r>
      </text>
    </comment>
    <comment ref="C45" authorId="0" shapeId="0" xr:uid="{00000000-0006-0000-0000-000063020000}">
      <text>
        <r>
          <rPr>
            <b/>
            <sz val="10"/>
            <color indexed="81"/>
            <rFont val="Tahoma"/>
            <family val="2"/>
          </rPr>
          <t>Author:</t>
        </r>
        <r>
          <rPr>
            <sz val="10"/>
            <color indexed="81"/>
            <rFont val="Tahoma"/>
            <family val="2"/>
          </rPr>
          <t xml:space="preserve">
See nameplate picture, capability curve, and uprating explanation</t>
        </r>
      </text>
    </comment>
    <comment ref="D45" authorId="0" shapeId="0" xr:uid="{00000000-0006-0000-0000-000064020000}">
      <text>
        <r>
          <rPr>
            <b/>
            <sz val="10"/>
            <color indexed="81"/>
            <rFont val="Tahoma"/>
            <family val="2"/>
          </rPr>
          <t>Author:</t>
        </r>
        <r>
          <rPr>
            <sz val="10"/>
            <color indexed="81"/>
            <rFont val="Tahoma"/>
            <family val="2"/>
          </rPr>
          <t xml:space="preserve">
See nameplate picture and 0010-065-07-0007 Sh1</t>
        </r>
      </text>
    </comment>
    <comment ref="E45" authorId="0" shapeId="0" xr:uid="{00000000-0006-0000-0000-000065020000}">
      <text>
        <r>
          <rPr>
            <b/>
            <sz val="10"/>
            <color indexed="81"/>
            <rFont val="Tahoma"/>
            <family val="2"/>
          </rPr>
          <t>Author:</t>
        </r>
        <r>
          <rPr>
            <sz val="10"/>
            <color indexed="81"/>
            <rFont val="Tahoma"/>
            <family val="2"/>
          </rPr>
          <t xml:space="preserve">
See nameplate picture and 0010-065-07-0007 Sh1</t>
        </r>
      </text>
    </comment>
    <comment ref="F45" authorId="0" shapeId="0" xr:uid="{00000000-0006-0000-0000-000066020000}">
      <text>
        <r>
          <rPr>
            <b/>
            <sz val="10"/>
            <color indexed="81"/>
            <rFont val="Tahoma"/>
            <family val="2"/>
          </rPr>
          <t>Author:</t>
        </r>
        <r>
          <rPr>
            <sz val="10"/>
            <color indexed="81"/>
            <rFont val="Tahoma"/>
            <family val="2"/>
          </rPr>
          <t xml:space="preserve">
See 0010-065-07-0007 Sh1</t>
        </r>
      </text>
    </comment>
    <comment ref="G45" authorId="0" shapeId="0" xr:uid="{00000000-0006-0000-0000-000067020000}">
      <text>
        <r>
          <rPr>
            <b/>
            <sz val="10"/>
            <color indexed="81"/>
            <rFont val="Tahoma"/>
            <family val="2"/>
          </rPr>
          <t>Author:</t>
        </r>
        <r>
          <rPr>
            <sz val="10"/>
            <color indexed="81"/>
            <rFont val="Tahoma"/>
            <family val="2"/>
          </rPr>
          <t xml:space="preserve">
See u1 isorate </t>
        </r>
      </text>
    </comment>
    <comment ref="J45" authorId="0" shapeId="0" xr:uid="{00000000-0006-0000-0000-000068020000}">
      <text>
        <r>
          <rPr>
            <b/>
            <sz val="10"/>
            <color indexed="81"/>
            <rFont val="Tahoma"/>
            <family val="2"/>
          </rPr>
          <t>Author:</t>
        </r>
        <r>
          <rPr>
            <sz val="10"/>
            <color indexed="81"/>
            <rFont val="Tahoma"/>
            <family val="2"/>
          </rPr>
          <t xml:space="preserve">
See nameplate picture</t>
        </r>
      </text>
    </comment>
    <comment ref="L45" authorId="0" shapeId="0" xr:uid="{00000000-0006-0000-0000-000069020000}">
      <text>
        <r>
          <rPr>
            <b/>
            <sz val="10"/>
            <color indexed="81"/>
            <rFont val="Tahoma"/>
            <family val="2"/>
          </rPr>
          <t>Author:</t>
        </r>
        <r>
          <rPr>
            <sz val="10"/>
            <color indexed="81"/>
            <rFont val="Tahoma"/>
            <family val="2"/>
          </rPr>
          <t xml:space="preserve">
See nameplate picture</t>
        </r>
      </text>
    </comment>
    <comment ref="O45" authorId="0" shapeId="0" xr:uid="{00000000-0006-0000-0000-00006A020000}">
      <text>
        <r>
          <rPr>
            <b/>
            <sz val="10"/>
            <color indexed="81"/>
            <rFont val="Tahoma"/>
            <family val="2"/>
          </rPr>
          <t>Author:</t>
        </r>
        <r>
          <rPr>
            <sz val="10"/>
            <color indexed="81"/>
            <rFont val="Tahoma"/>
            <family val="2"/>
          </rPr>
          <t xml:space="preserve">
See nameplate picture and 0010-065-07-0007 Sh1</t>
        </r>
      </text>
    </comment>
    <comment ref="S45" authorId="0" shapeId="0" xr:uid="{00000000-0006-0000-0000-00006B020000}">
      <text>
        <r>
          <rPr>
            <b/>
            <sz val="9"/>
            <color indexed="81"/>
            <rFont val="Tahoma"/>
            <family val="2"/>
          </rPr>
          <t>Author:</t>
        </r>
        <r>
          <rPr>
            <sz val="9"/>
            <color indexed="81"/>
            <rFont val="Tahoma"/>
            <family val="2"/>
          </rPr>
          <t xml:space="preserve">
Tap D</t>
        </r>
      </text>
    </comment>
    <comment ref="T45" authorId="0" shapeId="0" xr:uid="{00000000-0006-0000-0000-00006C020000}">
      <text>
        <r>
          <rPr>
            <b/>
            <sz val="10"/>
            <color indexed="81"/>
            <rFont val="Tahoma"/>
            <family val="2"/>
          </rPr>
          <t>Author:</t>
        </r>
        <r>
          <rPr>
            <sz val="10"/>
            <color indexed="81"/>
            <rFont val="Tahoma"/>
            <family val="2"/>
          </rPr>
          <t xml:space="preserve">
See sheet 2</t>
        </r>
      </text>
    </comment>
    <comment ref="V45" authorId="0" shapeId="0" xr:uid="{00000000-0006-0000-0000-00006D020000}">
      <text>
        <r>
          <rPr>
            <b/>
            <sz val="9"/>
            <color indexed="81"/>
            <rFont val="Tahoma"/>
            <family val="2"/>
          </rPr>
          <t>Author:</t>
        </r>
        <r>
          <rPr>
            <sz val="9"/>
            <color indexed="81"/>
            <rFont val="Tahoma"/>
            <family val="2"/>
          </rPr>
          <t xml:space="preserve">
matches Nameplate</t>
        </r>
      </text>
    </comment>
    <comment ref="W45" authorId="0" shapeId="0" xr:uid="{00000000-0006-0000-0000-00006E020000}">
      <text>
        <r>
          <rPr>
            <b/>
            <sz val="9"/>
            <color indexed="81"/>
            <rFont val="Tahoma"/>
            <family val="2"/>
          </rPr>
          <t xml:space="preserve">Brady Nunn:
</t>
        </r>
        <r>
          <rPr>
            <sz val="9"/>
            <color indexed="81"/>
            <rFont val="Tahoma"/>
            <family val="2"/>
          </rPr>
          <t>51 set at 4.36 A secondary. CTR=240. 
240*4.36 = 1046.4 A HS
1046.4*13.11 = 13718 A LS
21 Function evaluated to PRC-025</t>
        </r>
      </text>
    </comment>
    <comment ref="AC45" authorId="0" shapeId="0" xr:uid="{00000000-0006-0000-0000-00006F020000}">
      <text>
        <r>
          <rPr>
            <b/>
            <sz val="10"/>
            <color indexed="81"/>
            <rFont val="Tahoma"/>
            <family val="2"/>
          </rPr>
          <t>Author:</t>
        </r>
        <r>
          <rPr>
            <sz val="10"/>
            <color indexed="81"/>
            <rFont val="Tahoma"/>
            <family val="2"/>
          </rPr>
          <t xml:space="preserve">
Info from Generator Data sheet, corrected for altitude.</t>
        </r>
      </text>
    </comment>
    <comment ref="AD45" authorId="0" shapeId="0" xr:uid="{00000000-0006-0000-0000-000070020000}">
      <text>
        <r>
          <rPr>
            <b/>
            <sz val="10"/>
            <color indexed="81"/>
            <rFont val="Tahoma"/>
            <family val="2"/>
          </rPr>
          <t>Author:</t>
        </r>
        <r>
          <rPr>
            <sz val="10"/>
            <color indexed="81"/>
            <rFont val="Tahoma"/>
            <family val="2"/>
          </rPr>
          <t xml:space="preserve">
See K14-76T-E5091</t>
        </r>
      </text>
    </comment>
    <comment ref="C46" authorId="0" shapeId="0" xr:uid="{00000000-0006-0000-0000-000071020000}">
      <text>
        <r>
          <rPr>
            <b/>
            <sz val="10"/>
            <color indexed="81"/>
            <rFont val="Tahoma"/>
            <family val="2"/>
          </rPr>
          <t>Author:</t>
        </r>
        <r>
          <rPr>
            <sz val="10"/>
            <color indexed="81"/>
            <rFont val="Tahoma"/>
            <family val="2"/>
          </rPr>
          <t xml:space="preserve">
See nameplate picture and A-723 Sh E-102</t>
        </r>
      </text>
    </comment>
    <comment ref="D46" authorId="0" shapeId="0" xr:uid="{00000000-0006-0000-0000-000072020000}">
      <text>
        <r>
          <rPr>
            <b/>
            <sz val="10"/>
            <color indexed="81"/>
            <rFont val="Tahoma"/>
            <family val="2"/>
          </rPr>
          <t>Author:</t>
        </r>
        <r>
          <rPr>
            <sz val="10"/>
            <color indexed="81"/>
            <rFont val="Tahoma"/>
            <family val="2"/>
          </rPr>
          <t xml:space="preserve">
See nameplate picture and A-723 Sh E-102</t>
        </r>
      </text>
    </comment>
    <comment ref="E46" authorId="0" shapeId="0" xr:uid="{00000000-0006-0000-0000-000073020000}">
      <text>
        <r>
          <rPr>
            <b/>
            <sz val="10"/>
            <color indexed="81"/>
            <rFont val="Tahoma"/>
            <family val="2"/>
          </rPr>
          <t>Author:</t>
        </r>
        <r>
          <rPr>
            <sz val="10"/>
            <color indexed="81"/>
            <rFont val="Tahoma"/>
            <family val="2"/>
          </rPr>
          <t xml:space="preserve">
See nameplate picture and A-723 Sh E-102</t>
        </r>
      </text>
    </comment>
    <comment ref="F46" authorId="0" shapeId="0" xr:uid="{00000000-0006-0000-0000-000074020000}">
      <text>
        <r>
          <rPr>
            <b/>
            <sz val="10"/>
            <color indexed="81"/>
            <rFont val="Tahoma"/>
            <family val="2"/>
          </rPr>
          <t>Author:</t>
        </r>
        <r>
          <rPr>
            <sz val="10"/>
            <color indexed="81"/>
            <rFont val="Tahoma"/>
            <family val="2"/>
          </rPr>
          <t xml:space="preserve">
See A-723 Sh E-102</t>
        </r>
      </text>
    </comment>
    <comment ref="G46" authorId="0" shapeId="0" xr:uid="{00000000-0006-0000-0000-000075020000}">
      <text>
        <r>
          <rPr>
            <b/>
            <sz val="10"/>
            <color indexed="81"/>
            <rFont val="Tahoma"/>
            <family val="2"/>
          </rPr>
          <t>Author:</t>
        </r>
        <r>
          <rPr>
            <sz val="10"/>
            <color indexed="81"/>
            <rFont val="Tahoma"/>
            <family val="2"/>
          </rPr>
          <t xml:space="preserve">
See u2isorate</t>
        </r>
      </text>
    </comment>
    <comment ref="J46" authorId="0" shapeId="0" xr:uid="{00000000-0006-0000-0000-000076020000}">
      <text>
        <r>
          <rPr>
            <b/>
            <sz val="10"/>
            <color indexed="81"/>
            <rFont val="Tahoma"/>
            <family val="2"/>
          </rPr>
          <t>Author:</t>
        </r>
        <r>
          <rPr>
            <sz val="10"/>
            <color indexed="81"/>
            <rFont val="Tahoma"/>
            <family val="2"/>
          </rPr>
          <t xml:space="preserve">
See nameplate picture and A-723 Sh E-102</t>
        </r>
      </text>
    </comment>
    <comment ref="L46" authorId="0" shapeId="0" xr:uid="{00000000-0006-0000-0000-000077020000}">
      <text>
        <r>
          <rPr>
            <b/>
            <sz val="10"/>
            <color indexed="81"/>
            <rFont val="Tahoma"/>
            <family val="2"/>
          </rPr>
          <t>Author:</t>
        </r>
        <r>
          <rPr>
            <sz val="10"/>
            <color indexed="81"/>
            <rFont val="Tahoma"/>
            <family val="2"/>
          </rPr>
          <t xml:space="preserve">
See nameplate picture and A-723 Sh E-102</t>
        </r>
      </text>
    </comment>
    <comment ref="O46" authorId="0" shapeId="0" xr:uid="{00000000-0006-0000-0000-000078020000}">
      <text>
        <r>
          <rPr>
            <b/>
            <sz val="10"/>
            <color indexed="81"/>
            <rFont val="Tahoma"/>
            <family val="2"/>
          </rPr>
          <t>Author:</t>
        </r>
        <r>
          <rPr>
            <sz val="10"/>
            <color indexed="81"/>
            <rFont val="Tahoma"/>
            <family val="2"/>
          </rPr>
          <t xml:space="preserve">
See A-723 Sh E-102 and GSU nameplate. Hotspot CT rated at 1000A</t>
        </r>
      </text>
    </comment>
    <comment ref="S46" authorId="0" shapeId="0" xr:uid="{00000000-0006-0000-0000-000079020000}">
      <text>
        <r>
          <rPr>
            <b/>
            <sz val="9"/>
            <color indexed="81"/>
            <rFont val="Tahoma"/>
            <family val="2"/>
          </rPr>
          <t>Author:</t>
        </r>
        <r>
          <rPr>
            <sz val="9"/>
            <color indexed="81"/>
            <rFont val="Tahoma"/>
            <family val="2"/>
          </rPr>
          <t xml:space="preserve">
Tap 2</t>
        </r>
      </text>
    </comment>
    <comment ref="T46" authorId="0" shapeId="0" xr:uid="{00000000-0006-0000-0000-00007A020000}">
      <text>
        <r>
          <rPr>
            <b/>
            <sz val="10"/>
            <color indexed="81"/>
            <rFont val="Tahoma"/>
            <family val="2"/>
          </rPr>
          <t>Author:</t>
        </r>
        <r>
          <rPr>
            <sz val="10"/>
            <color indexed="81"/>
            <rFont val="Tahoma"/>
            <family val="2"/>
          </rPr>
          <t xml:space="preserve">
See sheet 2
</t>
        </r>
      </text>
    </comment>
    <comment ref="V46" authorId="0" shapeId="0" xr:uid="{00000000-0006-0000-0000-00007B020000}">
      <text>
        <r>
          <rPr>
            <b/>
            <sz val="9"/>
            <color indexed="81"/>
            <rFont val="Tahoma"/>
            <family val="2"/>
          </rPr>
          <t>Author:</t>
        </r>
        <r>
          <rPr>
            <sz val="9"/>
            <color indexed="81"/>
            <rFont val="Tahoma"/>
            <family val="2"/>
          </rPr>
          <t xml:space="preserve">
see nameplate</t>
        </r>
      </text>
    </comment>
    <comment ref="W46" authorId="0" shapeId="0" xr:uid="{00000000-0006-0000-0000-00007C020000}">
      <text>
        <r>
          <rPr>
            <b/>
            <sz val="9"/>
            <color indexed="81"/>
            <rFont val="Tahoma"/>
            <family val="2"/>
          </rPr>
          <t>Brady Nunn:</t>
        </r>
        <r>
          <rPr>
            <sz val="9"/>
            <color indexed="81"/>
            <rFont val="Tahoma"/>
            <family val="2"/>
          </rPr>
          <t xml:space="preserve">
51 function is set to 6.43 Amps on 230kV 1200:5 = 1543.2A Primary = 16543 Secondary. 
21 function has  been evaluated to PRC-025.</t>
        </r>
      </text>
    </comment>
    <comment ref="AC46" authorId="0" shapeId="0" xr:uid="{00000000-0006-0000-0000-00007D020000}">
      <text>
        <r>
          <rPr>
            <b/>
            <sz val="10"/>
            <color indexed="81"/>
            <rFont val="Tahoma"/>
            <family val="2"/>
          </rPr>
          <t>Author:</t>
        </r>
        <r>
          <rPr>
            <sz val="10"/>
            <color indexed="81"/>
            <rFont val="Tahoma"/>
            <family val="2"/>
          </rPr>
          <t xml:space="preserve">
Info from Generator Data sheet, corrected for altitude.</t>
        </r>
      </text>
    </comment>
    <comment ref="AD46" authorId="0" shapeId="0" xr:uid="{00000000-0006-0000-0000-00007E020000}">
      <text>
        <r>
          <rPr>
            <b/>
            <sz val="10"/>
            <color indexed="81"/>
            <rFont val="Tahoma"/>
            <family val="2"/>
          </rPr>
          <t>Author:</t>
        </r>
        <r>
          <rPr>
            <sz val="10"/>
            <color indexed="81"/>
            <rFont val="Tahoma"/>
            <family val="2"/>
          </rPr>
          <t xml:space="preserve">
See K14-76T-E5091</t>
        </r>
      </text>
    </comment>
    <comment ref="C47" authorId="0" shapeId="0" xr:uid="{00000000-0006-0000-0000-00007F020000}">
      <text>
        <r>
          <rPr>
            <b/>
            <sz val="9"/>
            <color indexed="81"/>
            <rFont val="Tahoma"/>
            <family val="2"/>
          </rPr>
          <t>Author:</t>
        </r>
        <r>
          <rPr>
            <sz val="9"/>
            <color indexed="81"/>
            <rFont val="Tahoma"/>
            <family val="2"/>
          </rPr>
          <t xml:space="preserve">
See generator curves
</t>
        </r>
      </text>
    </comment>
    <comment ref="D47" authorId="0" shapeId="0" xr:uid="{00000000-0006-0000-0000-000080020000}">
      <text>
        <r>
          <rPr>
            <b/>
            <sz val="9"/>
            <color indexed="81"/>
            <rFont val="Tahoma"/>
            <family val="2"/>
          </rPr>
          <t>Author:</t>
        </r>
        <r>
          <rPr>
            <sz val="9"/>
            <color indexed="81"/>
            <rFont val="Tahoma"/>
            <family val="2"/>
          </rPr>
          <t xml:space="preserve">
See Generator curves</t>
        </r>
      </text>
    </comment>
    <comment ref="E47" authorId="0" shapeId="0" xr:uid="{00000000-0006-0000-0000-000081020000}">
      <text>
        <r>
          <rPr>
            <b/>
            <sz val="9"/>
            <color indexed="81"/>
            <rFont val="Tahoma"/>
            <family val="2"/>
          </rPr>
          <t>Author:</t>
        </r>
        <r>
          <rPr>
            <sz val="9"/>
            <color indexed="81"/>
            <rFont val="Tahoma"/>
            <family val="2"/>
          </rPr>
          <t xml:space="preserve">
See Generator curves</t>
        </r>
      </text>
    </comment>
    <comment ref="F47" authorId="0" shapeId="0" xr:uid="{00000000-0006-0000-0000-000082020000}">
      <text>
        <r>
          <rPr>
            <b/>
            <sz val="9"/>
            <color indexed="81"/>
            <rFont val="Tahoma"/>
            <family val="2"/>
          </rPr>
          <t>Author:</t>
        </r>
        <r>
          <rPr>
            <sz val="9"/>
            <color indexed="81"/>
            <rFont val="Tahoma"/>
            <family val="2"/>
          </rPr>
          <t xml:space="preserve">
Reference one-line
D991030-500E101 SH.1.pdf
and 
H3181-393-X-1101 SH1</t>
        </r>
      </text>
    </comment>
    <comment ref="G47" authorId="0" shapeId="0" xr:uid="{00000000-0006-0000-0000-000083020000}">
      <text>
        <r>
          <rPr>
            <b/>
            <sz val="9"/>
            <color indexed="81"/>
            <rFont val="Tahoma"/>
            <family val="2"/>
          </rPr>
          <t>Author:</t>
        </r>
        <r>
          <rPr>
            <sz val="9"/>
            <color indexed="81"/>
            <rFont val="Tahoma"/>
            <family val="2"/>
          </rPr>
          <t xml:space="preserve">
Reference DWG
192D2633 SH1
and one-line
</t>
        </r>
      </text>
    </comment>
    <comment ref="J47" authorId="0" shapeId="0" xr:uid="{00000000-0006-0000-0000-000084020000}">
      <text>
        <r>
          <rPr>
            <b/>
            <sz val="9"/>
            <color indexed="81"/>
            <rFont val="Tahoma"/>
            <family val="2"/>
          </rPr>
          <t>Author:</t>
        </r>
        <r>
          <rPr>
            <sz val="9"/>
            <color indexed="81"/>
            <rFont val="Tahoma"/>
            <family val="2"/>
          </rPr>
          <t xml:space="preserve">
See Transformer nameplate</t>
        </r>
      </text>
    </comment>
    <comment ref="K47" authorId="0" shapeId="0" xr:uid="{00000000-0006-0000-0000-000085020000}">
      <text>
        <r>
          <rPr>
            <b/>
            <sz val="9"/>
            <color indexed="81"/>
            <rFont val="Tahoma"/>
            <family val="2"/>
          </rPr>
          <t>Author:</t>
        </r>
        <r>
          <rPr>
            <sz val="9"/>
            <color indexed="81"/>
            <rFont val="Tahoma"/>
            <family val="2"/>
          </rPr>
          <t xml:space="preserve">
Reference transformer nameplate and tap position photo
</t>
        </r>
      </text>
    </comment>
    <comment ref="L47" authorId="0" shapeId="0" xr:uid="{00000000-0006-0000-0000-000086020000}">
      <text>
        <r>
          <rPr>
            <b/>
            <sz val="9"/>
            <color indexed="81"/>
            <rFont val="Tahoma"/>
            <family val="2"/>
          </rPr>
          <t>Author:</t>
        </r>
        <r>
          <rPr>
            <sz val="9"/>
            <color indexed="81"/>
            <rFont val="Tahoma"/>
            <family val="2"/>
          </rPr>
          <t xml:space="preserve">
Nameplate data, Actual voltage at generator kV</t>
        </r>
      </text>
    </comment>
    <comment ref="N47" authorId="0" shapeId="0" xr:uid="{00000000-0006-0000-0000-000087020000}">
      <text>
        <r>
          <rPr>
            <b/>
            <sz val="9"/>
            <color indexed="81"/>
            <rFont val="Tahoma"/>
            <family val="2"/>
          </rPr>
          <t>Author:</t>
        </r>
        <r>
          <rPr>
            <sz val="9"/>
            <color indexed="81"/>
            <rFont val="Tahoma"/>
            <family val="2"/>
          </rPr>
          <t xml:space="preserve">
Reference DWG
D991030-500E102 SH1</t>
        </r>
      </text>
    </comment>
    <comment ref="O47" authorId="0" shapeId="0" xr:uid="{00000000-0006-0000-0000-000088020000}">
      <text>
        <r>
          <rPr>
            <b/>
            <sz val="9"/>
            <color indexed="81"/>
            <rFont val="Tahoma"/>
            <family val="2"/>
          </rPr>
          <t>Author:</t>
        </r>
        <r>
          <rPr>
            <sz val="9"/>
            <color indexed="81"/>
            <rFont val="Tahoma"/>
            <family val="2"/>
          </rPr>
          <t xml:space="preserve">
Reference DWG
D991030-500E102 SH1</t>
        </r>
      </text>
    </comment>
    <comment ref="T47" authorId="0" shapeId="0" xr:uid="{00000000-0006-0000-0000-000089020000}">
      <text>
        <r>
          <rPr>
            <b/>
            <sz val="9"/>
            <color indexed="81"/>
            <rFont val="Tahoma"/>
            <family val="2"/>
          </rPr>
          <t>Author:</t>
        </r>
        <r>
          <rPr>
            <sz val="9"/>
            <color indexed="81"/>
            <rFont val="Tahoma"/>
            <family val="2"/>
          </rPr>
          <t xml:space="preserve">
See Sheet 2</t>
        </r>
      </text>
    </comment>
    <comment ref="W47" authorId="0" shapeId="0" xr:uid="{00000000-0006-0000-0000-00008A020000}">
      <text>
        <r>
          <rPr>
            <b/>
            <sz val="9"/>
            <color indexed="81"/>
            <rFont val="Tahoma"/>
            <family val="2"/>
          </rPr>
          <t>Zenon Kampman:</t>
        </r>
        <r>
          <rPr>
            <sz val="9"/>
            <color indexed="81"/>
            <rFont val="Tahoma"/>
            <family val="2"/>
          </rPr>
          <t xml:space="preserve">
 SEL 587 50P14P
Pickup 4 A secondary, 6400A primary
</t>
        </r>
      </text>
    </comment>
    <comment ref="Y47" authorId="0" shapeId="0" xr:uid="{00000000-0006-0000-0000-00008B020000}">
      <text>
        <r>
          <rPr>
            <b/>
            <sz val="9"/>
            <color indexed="81"/>
            <rFont val="Tahoma"/>
            <family val="2"/>
          </rPr>
          <t>Author:</t>
        </r>
        <r>
          <rPr>
            <sz val="9"/>
            <color indexed="81"/>
            <rFont val="Tahoma"/>
            <family val="2"/>
          </rPr>
          <t xml:space="preserve">
Nameplate</t>
        </r>
      </text>
    </comment>
    <comment ref="C48" authorId="0" shapeId="0" xr:uid="{00000000-0006-0000-0000-00008C020000}">
      <text>
        <r>
          <rPr>
            <b/>
            <sz val="9"/>
            <color indexed="81"/>
            <rFont val="Tahoma"/>
            <family val="2"/>
          </rPr>
          <t>Author:</t>
        </r>
        <r>
          <rPr>
            <sz val="9"/>
            <color indexed="81"/>
            <rFont val="Tahoma"/>
            <family val="2"/>
          </rPr>
          <t xml:space="preserve">
See generator curves
</t>
        </r>
      </text>
    </comment>
    <comment ref="D48" authorId="0" shapeId="0" xr:uid="{00000000-0006-0000-0000-00008D020000}">
      <text>
        <r>
          <rPr>
            <b/>
            <sz val="9"/>
            <color indexed="81"/>
            <rFont val="Tahoma"/>
            <family val="2"/>
          </rPr>
          <t>Author:</t>
        </r>
        <r>
          <rPr>
            <sz val="9"/>
            <color indexed="81"/>
            <rFont val="Tahoma"/>
            <family val="2"/>
          </rPr>
          <t xml:space="preserve">
See Generator curves</t>
        </r>
      </text>
    </comment>
    <comment ref="E48" authorId="0" shapeId="0" xr:uid="{00000000-0006-0000-0000-00008E020000}">
      <text>
        <r>
          <rPr>
            <b/>
            <sz val="9"/>
            <color indexed="81"/>
            <rFont val="Tahoma"/>
            <family val="2"/>
          </rPr>
          <t>Author:</t>
        </r>
        <r>
          <rPr>
            <sz val="9"/>
            <color indexed="81"/>
            <rFont val="Tahoma"/>
            <family val="2"/>
          </rPr>
          <t xml:space="preserve">
See Generator curves</t>
        </r>
      </text>
    </comment>
    <comment ref="F48" authorId="0" shapeId="0" xr:uid="{00000000-0006-0000-0000-00008F020000}">
      <text>
        <r>
          <rPr>
            <b/>
            <sz val="9"/>
            <color indexed="81"/>
            <rFont val="Tahoma"/>
            <family val="2"/>
          </rPr>
          <t>Author:</t>
        </r>
        <r>
          <rPr>
            <sz val="9"/>
            <color indexed="81"/>
            <rFont val="Tahoma"/>
            <family val="2"/>
          </rPr>
          <t xml:space="preserve">
Reference one-line
D991030-500E101 SH.1.pdf
and 
H3181-393-X-1101 SH1</t>
        </r>
      </text>
    </comment>
    <comment ref="G48" authorId="0" shapeId="0" xr:uid="{00000000-0006-0000-0000-000090020000}">
      <text>
        <r>
          <rPr>
            <b/>
            <sz val="9"/>
            <color indexed="81"/>
            <rFont val="Tahoma"/>
            <family val="2"/>
          </rPr>
          <t>Author:</t>
        </r>
        <r>
          <rPr>
            <sz val="9"/>
            <color indexed="81"/>
            <rFont val="Tahoma"/>
            <family val="2"/>
          </rPr>
          <t xml:space="preserve">
Reference DWG
192D2633 SH1
and one-line
</t>
        </r>
      </text>
    </comment>
    <comment ref="J48" authorId="0" shapeId="0" xr:uid="{00000000-0006-0000-0000-000091020000}">
      <text>
        <r>
          <rPr>
            <b/>
            <sz val="9"/>
            <color indexed="81"/>
            <rFont val="Tahoma"/>
            <family val="2"/>
          </rPr>
          <t>Author:</t>
        </r>
        <r>
          <rPr>
            <sz val="9"/>
            <color indexed="81"/>
            <rFont val="Tahoma"/>
            <family val="2"/>
          </rPr>
          <t xml:space="preserve">
See Transformer nameplate</t>
        </r>
      </text>
    </comment>
    <comment ref="K48" authorId="0" shapeId="0" xr:uid="{00000000-0006-0000-0000-000092020000}">
      <text>
        <r>
          <rPr>
            <b/>
            <sz val="9"/>
            <color indexed="81"/>
            <rFont val="Tahoma"/>
            <family val="2"/>
          </rPr>
          <t>Author:</t>
        </r>
        <r>
          <rPr>
            <sz val="9"/>
            <color indexed="81"/>
            <rFont val="Tahoma"/>
            <family val="2"/>
          </rPr>
          <t xml:space="preserve">
Reference transformer nameplate and tap position photo</t>
        </r>
      </text>
    </comment>
    <comment ref="L48" authorId="0" shapeId="0" xr:uid="{00000000-0006-0000-0000-000093020000}">
      <text>
        <r>
          <rPr>
            <b/>
            <sz val="9"/>
            <color indexed="81"/>
            <rFont val="Tahoma"/>
            <family val="2"/>
          </rPr>
          <t>Author:</t>
        </r>
        <r>
          <rPr>
            <sz val="9"/>
            <color indexed="81"/>
            <rFont val="Tahoma"/>
            <family val="2"/>
          </rPr>
          <t xml:space="preserve">
Nameplate data, Actual voltage at generator kV</t>
        </r>
      </text>
    </comment>
    <comment ref="N48" authorId="0" shapeId="0" xr:uid="{00000000-0006-0000-0000-000094020000}">
      <text>
        <r>
          <rPr>
            <b/>
            <sz val="9"/>
            <color indexed="81"/>
            <rFont val="Tahoma"/>
            <family val="2"/>
          </rPr>
          <t>Author:</t>
        </r>
        <r>
          <rPr>
            <sz val="9"/>
            <color indexed="81"/>
            <rFont val="Tahoma"/>
            <family val="2"/>
          </rPr>
          <t xml:space="preserve">
Reference DWG
D991030-500E102 SH1</t>
        </r>
      </text>
    </comment>
    <comment ref="O48" authorId="0" shapeId="0" xr:uid="{00000000-0006-0000-0000-000095020000}">
      <text>
        <r>
          <rPr>
            <b/>
            <sz val="9"/>
            <color indexed="81"/>
            <rFont val="Tahoma"/>
            <family val="2"/>
          </rPr>
          <t>Author:</t>
        </r>
        <r>
          <rPr>
            <sz val="9"/>
            <color indexed="81"/>
            <rFont val="Tahoma"/>
            <family val="2"/>
          </rPr>
          <t xml:space="preserve">
Reference DWG
D991030-500E102 SH1</t>
        </r>
      </text>
    </comment>
    <comment ref="T48" authorId="0" shapeId="0" xr:uid="{00000000-0006-0000-0000-000096020000}">
      <text>
        <r>
          <rPr>
            <b/>
            <sz val="9"/>
            <color indexed="81"/>
            <rFont val="Tahoma"/>
            <family val="2"/>
          </rPr>
          <t>Author:</t>
        </r>
        <r>
          <rPr>
            <sz val="9"/>
            <color indexed="81"/>
            <rFont val="Tahoma"/>
            <family val="2"/>
          </rPr>
          <t xml:space="preserve">
See Sheet 2</t>
        </r>
      </text>
    </comment>
    <comment ref="W48" authorId="0" shapeId="0" xr:uid="{00000000-0006-0000-0000-000097020000}">
      <text>
        <r>
          <rPr>
            <b/>
            <sz val="9"/>
            <color indexed="81"/>
            <rFont val="Tahoma"/>
            <family val="2"/>
          </rPr>
          <t>Author:</t>
        </r>
        <r>
          <rPr>
            <sz val="9"/>
            <color indexed="81"/>
            <rFont val="Tahoma"/>
            <family val="2"/>
          </rPr>
          <t xml:space="preserve">
 SEL 587 50P14P
Pickup 4 A secondary, 6400A primary</t>
        </r>
      </text>
    </comment>
    <comment ref="Y48" authorId="0" shapeId="0" xr:uid="{00000000-0006-0000-0000-000098020000}">
      <text>
        <r>
          <rPr>
            <b/>
            <sz val="9"/>
            <color indexed="81"/>
            <rFont val="Tahoma"/>
            <family val="2"/>
          </rPr>
          <t>Author:</t>
        </r>
        <r>
          <rPr>
            <sz val="9"/>
            <color indexed="81"/>
            <rFont val="Tahoma"/>
            <family val="2"/>
          </rPr>
          <t xml:space="preserve">
Nameplate</t>
        </r>
      </text>
    </comment>
    <comment ref="C49" authorId="0" shapeId="0" xr:uid="{00000000-0006-0000-0000-000099020000}">
      <text>
        <r>
          <rPr>
            <b/>
            <sz val="9"/>
            <color indexed="81"/>
            <rFont val="Tahoma"/>
            <family val="2"/>
          </rPr>
          <t>Author:</t>
        </r>
        <r>
          <rPr>
            <sz val="9"/>
            <color indexed="81"/>
            <rFont val="Tahoma"/>
            <family val="2"/>
          </rPr>
          <t xml:space="preserve">
See generator curves</t>
        </r>
      </text>
    </comment>
    <comment ref="D49" authorId="0" shapeId="0" xr:uid="{00000000-0006-0000-0000-00009A020000}">
      <text>
        <r>
          <rPr>
            <b/>
            <sz val="9"/>
            <color indexed="81"/>
            <rFont val="Tahoma"/>
            <family val="2"/>
          </rPr>
          <t>Author:</t>
        </r>
        <r>
          <rPr>
            <sz val="9"/>
            <color indexed="81"/>
            <rFont val="Tahoma"/>
            <family val="2"/>
          </rPr>
          <t xml:space="preserve">
See Generator curves</t>
        </r>
      </text>
    </comment>
    <comment ref="E49" authorId="0" shapeId="0" xr:uid="{00000000-0006-0000-0000-00009B020000}">
      <text>
        <r>
          <rPr>
            <b/>
            <sz val="9"/>
            <color indexed="81"/>
            <rFont val="Tahoma"/>
            <family val="2"/>
          </rPr>
          <t>Author:</t>
        </r>
        <r>
          <rPr>
            <sz val="9"/>
            <color indexed="81"/>
            <rFont val="Tahoma"/>
            <family val="2"/>
          </rPr>
          <t xml:space="preserve">
See Generator curves</t>
        </r>
      </text>
    </comment>
    <comment ref="F49" authorId="0" shapeId="0" xr:uid="{00000000-0006-0000-0000-00009C020000}">
      <text>
        <r>
          <rPr>
            <b/>
            <sz val="9"/>
            <color indexed="81"/>
            <rFont val="Tahoma"/>
            <family val="2"/>
          </rPr>
          <t>Author:</t>
        </r>
        <r>
          <rPr>
            <sz val="9"/>
            <color indexed="81"/>
            <rFont val="Tahoma"/>
            <family val="2"/>
          </rPr>
          <t xml:space="preserve">
Reference one-line
D991030-500E101 SH.1.pdf
H3181-393-X-1201 SH1</t>
        </r>
      </text>
    </comment>
    <comment ref="G49" authorId="0" shapeId="0" xr:uid="{00000000-0006-0000-0000-00009D020000}">
      <text>
        <r>
          <rPr>
            <b/>
            <sz val="9"/>
            <color indexed="81"/>
            <rFont val="Tahoma"/>
            <family val="2"/>
          </rPr>
          <t>Author:</t>
        </r>
        <r>
          <rPr>
            <sz val="9"/>
            <color indexed="81"/>
            <rFont val="Tahoma"/>
            <family val="2"/>
          </rPr>
          <t xml:space="preserve">
Reference DWG
192D2633 SH1
and one-line
</t>
        </r>
      </text>
    </comment>
    <comment ref="J49" authorId="0" shapeId="0" xr:uid="{00000000-0006-0000-0000-00009E020000}">
      <text>
        <r>
          <rPr>
            <b/>
            <sz val="9"/>
            <color indexed="81"/>
            <rFont val="Tahoma"/>
            <family val="2"/>
          </rPr>
          <t>Author:</t>
        </r>
        <r>
          <rPr>
            <sz val="9"/>
            <color indexed="81"/>
            <rFont val="Tahoma"/>
            <family val="2"/>
          </rPr>
          <t xml:space="preserve">
See Transformer nameplate</t>
        </r>
      </text>
    </comment>
    <comment ref="K49" authorId="0" shapeId="0" xr:uid="{00000000-0006-0000-0000-00009F020000}">
      <text>
        <r>
          <rPr>
            <b/>
            <sz val="9"/>
            <color indexed="81"/>
            <rFont val="Tahoma"/>
            <family val="2"/>
          </rPr>
          <t>Author:</t>
        </r>
        <r>
          <rPr>
            <sz val="9"/>
            <color indexed="81"/>
            <rFont val="Tahoma"/>
            <family val="2"/>
          </rPr>
          <t xml:space="preserve">
Reference transformer nameplate and tap position photo</t>
        </r>
      </text>
    </comment>
    <comment ref="L49" authorId="0" shapeId="0" xr:uid="{00000000-0006-0000-0000-0000A0020000}">
      <text>
        <r>
          <rPr>
            <b/>
            <sz val="9"/>
            <color indexed="81"/>
            <rFont val="Tahoma"/>
            <family val="2"/>
          </rPr>
          <t>Author:</t>
        </r>
        <r>
          <rPr>
            <sz val="9"/>
            <color indexed="81"/>
            <rFont val="Tahoma"/>
            <family val="2"/>
          </rPr>
          <t xml:space="preserve">
Nameplate data, Actual voltage at generator kV</t>
        </r>
      </text>
    </comment>
    <comment ref="N49" authorId="0" shapeId="0" xr:uid="{00000000-0006-0000-0000-0000A1020000}">
      <text>
        <r>
          <rPr>
            <b/>
            <sz val="9"/>
            <color indexed="81"/>
            <rFont val="Tahoma"/>
            <family val="2"/>
          </rPr>
          <t>Author:</t>
        </r>
        <r>
          <rPr>
            <sz val="9"/>
            <color indexed="81"/>
            <rFont val="Tahoma"/>
            <family val="2"/>
          </rPr>
          <t xml:space="preserve">
Reference DWG
D991030-500E102 SH1</t>
        </r>
      </text>
    </comment>
    <comment ref="O49" authorId="0" shapeId="0" xr:uid="{00000000-0006-0000-0000-0000A2020000}">
      <text>
        <r>
          <rPr>
            <b/>
            <sz val="9"/>
            <color indexed="81"/>
            <rFont val="Tahoma"/>
            <family val="2"/>
          </rPr>
          <t>Author:</t>
        </r>
        <r>
          <rPr>
            <sz val="9"/>
            <color indexed="81"/>
            <rFont val="Tahoma"/>
            <family val="2"/>
          </rPr>
          <t xml:space="preserve">
Reference DWG
D991030-500E102 SH1</t>
        </r>
      </text>
    </comment>
    <comment ref="T49" authorId="0" shapeId="0" xr:uid="{00000000-0006-0000-0000-0000A3020000}">
      <text>
        <r>
          <rPr>
            <b/>
            <sz val="9"/>
            <color indexed="81"/>
            <rFont val="Tahoma"/>
            <family val="2"/>
          </rPr>
          <t>Author:</t>
        </r>
        <r>
          <rPr>
            <sz val="9"/>
            <color indexed="81"/>
            <rFont val="Tahoma"/>
            <family val="2"/>
          </rPr>
          <t xml:space="preserve">
See Sheet 2</t>
        </r>
      </text>
    </comment>
    <comment ref="W49" authorId="0" shapeId="0" xr:uid="{00000000-0006-0000-0000-0000A4020000}">
      <text>
        <r>
          <rPr>
            <b/>
            <sz val="9"/>
            <color indexed="81"/>
            <rFont val="Tahoma"/>
            <family val="2"/>
          </rPr>
          <t>Author:</t>
        </r>
        <r>
          <rPr>
            <sz val="9"/>
            <color indexed="81"/>
            <rFont val="Tahoma"/>
            <family val="2"/>
          </rPr>
          <t xml:space="preserve">
 SEL 587 50P14P
Pickup 4 A secondary, 6400A primary</t>
        </r>
      </text>
    </comment>
    <comment ref="Y49" authorId="0" shapeId="0" xr:uid="{00000000-0006-0000-0000-0000A5020000}">
      <text>
        <r>
          <rPr>
            <b/>
            <sz val="9"/>
            <color indexed="81"/>
            <rFont val="Tahoma"/>
            <family val="2"/>
          </rPr>
          <t>Author:</t>
        </r>
        <r>
          <rPr>
            <sz val="9"/>
            <color indexed="81"/>
            <rFont val="Tahoma"/>
            <family val="2"/>
          </rPr>
          <t xml:space="preserve">
Nameplate</t>
        </r>
      </text>
    </comment>
    <comment ref="C50" authorId="0" shapeId="0" xr:uid="{00000000-0006-0000-0000-0000A6020000}">
      <text>
        <r>
          <rPr>
            <b/>
            <sz val="9"/>
            <color indexed="81"/>
            <rFont val="Tahoma"/>
            <family val="2"/>
          </rPr>
          <t>Author:</t>
        </r>
        <r>
          <rPr>
            <sz val="9"/>
            <color indexed="81"/>
            <rFont val="Tahoma"/>
            <family val="2"/>
          </rPr>
          <t xml:space="preserve">
See generator curves</t>
        </r>
      </text>
    </comment>
    <comment ref="D50" authorId="0" shapeId="0" xr:uid="{00000000-0006-0000-0000-0000A7020000}">
      <text>
        <r>
          <rPr>
            <b/>
            <sz val="9"/>
            <color indexed="81"/>
            <rFont val="Tahoma"/>
            <family val="2"/>
          </rPr>
          <t>Author:</t>
        </r>
        <r>
          <rPr>
            <sz val="9"/>
            <color indexed="81"/>
            <rFont val="Tahoma"/>
            <family val="2"/>
          </rPr>
          <t xml:space="preserve">
See Generator curves</t>
        </r>
      </text>
    </comment>
    <comment ref="E50" authorId="0" shapeId="0" xr:uid="{00000000-0006-0000-0000-0000A8020000}">
      <text>
        <r>
          <rPr>
            <b/>
            <sz val="9"/>
            <color indexed="81"/>
            <rFont val="Tahoma"/>
            <family val="2"/>
          </rPr>
          <t>Author:</t>
        </r>
        <r>
          <rPr>
            <sz val="9"/>
            <color indexed="81"/>
            <rFont val="Tahoma"/>
            <family val="2"/>
          </rPr>
          <t xml:space="preserve">
See Generator curves</t>
        </r>
      </text>
    </comment>
    <comment ref="F50" authorId="0" shapeId="0" xr:uid="{00000000-0006-0000-0000-0000A9020000}">
      <text>
        <r>
          <rPr>
            <b/>
            <sz val="9"/>
            <color indexed="81"/>
            <rFont val="Tahoma"/>
            <family val="2"/>
          </rPr>
          <t>Author:</t>
        </r>
        <r>
          <rPr>
            <sz val="9"/>
            <color indexed="81"/>
            <rFont val="Tahoma"/>
            <family val="2"/>
          </rPr>
          <t xml:space="preserve">
Reference one-line
D991030-500E101 SH.1.pdf
H3181-393-X-1201 SH1</t>
        </r>
      </text>
    </comment>
    <comment ref="G50" authorId="0" shapeId="0" xr:uid="{00000000-0006-0000-0000-0000AA020000}">
      <text>
        <r>
          <rPr>
            <b/>
            <sz val="9"/>
            <color indexed="81"/>
            <rFont val="Tahoma"/>
            <family val="2"/>
          </rPr>
          <t>Author:</t>
        </r>
        <r>
          <rPr>
            <sz val="9"/>
            <color indexed="81"/>
            <rFont val="Tahoma"/>
            <family val="2"/>
          </rPr>
          <t xml:space="preserve">
Reference DWG
192D2633 SH1
and one-line
</t>
        </r>
      </text>
    </comment>
    <comment ref="J50" authorId="0" shapeId="0" xr:uid="{00000000-0006-0000-0000-0000AB020000}">
      <text>
        <r>
          <rPr>
            <b/>
            <sz val="9"/>
            <color indexed="81"/>
            <rFont val="Tahoma"/>
            <family val="2"/>
          </rPr>
          <t>Author:</t>
        </r>
        <r>
          <rPr>
            <sz val="9"/>
            <color indexed="81"/>
            <rFont val="Tahoma"/>
            <family val="2"/>
          </rPr>
          <t xml:space="preserve">
See Transformer nameplate</t>
        </r>
      </text>
    </comment>
    <comment ref="K50" authorId="0" shapeId="0" xr:uid="{00000000-0006-0000-0000-0000AC020000}">
      <text>
        <r>
          <rPr>
            <b/>
            <sz val="9"/>
            <color indexed="81"/>
            <rFont val="Tahoma"/>
            <family val="2"/>
          </rPr>
          <t>Author:</t>
        </r>
        <r>
          <rPr>
            <sz val="9"/>
            <color indexed="81"/>
            <rFont val="Tahoma"/>
            <family val="2"/>
          </rPr>
          <t xml:space="preserve">
Reference transformer nameplate and tap position photo</t>
        </r>
      </text>
    </comment>
    <comment ref="L50" authorId="0" shapeId="0" xr:uid="{00000000-0006-0000-0000-0000AD020000}">
      <text>
        <r>
          <rPr>
            <b/>
            <sz val="9"/>
            <color indexed="81"/>
            <rFont val="Tahoma"/>
            <family val="2"/>
          </rPr>
          <t>Author:</t>
        </r>
        <r>
          <rPr>
            <sz val="9"/>
            <color indexed="81"/>
            <rFont val="Tahoma"/>
            <family val="2"/>
          </rPr>
          <t xml:space="preserve">
Nameplate data, Actual voltage at generator kV</t>
        </r>
      </text>
    </comment>
    <comment ref="N50" authorId="0" shapeId="0" xr:uid="{00000000-0006-0000-0000-0000AE020000}">
      <text>
        <r>
          <rPr>
            <b/>
            <sz val="9"/>
            <color indexed="81"/>
            <rFont val="Tahoma"/>
            <family val="2"/>
          </rPr>
          <t>Author:</t>
        </r>
        <r>
          <rPr>
            <sz val="9"/>
            <color indexed="81"/>
            <rFont val="Tahoma"/>
            <family val="2"/>
          </rPr>
          <t xml:space="preserve">
Reference DWG
D991030-500E102 SH1</t>
        </r>
      </text>
    </comment>
    <comment ref="O50" authorId="0" shapeId="0" xr:uid="{00000000-0006-0000-0000-0000AF020000}">
      <text>
        <r>
          <rPr>
            <b/>
            <sz val="9"/>
            <color indexed="81"/>
            <rFont val="Tahoma"/>
            <family val="2"/>
          </rPr>
          <t>Author:</t>
        </r>
        <r>
          <rPr>
            <sz val="9"/>
            <color indexed="81"/>
            <rFont val="Tahoma"/>
            <family val="2"/>
          </rPr>
          <t xml:space="preserve">
Reference DWG
D991030-500E102 SH1</t>
        </r>
      </text>
    </comment>
    <comment ref="T50" authorId="0" shapeId="0" xr:uid="{00000000-0006-0000-0000-0000B0020000}">
      <text>
        <r>
          <rPr>
            <b/>
            <sz val="9"/>
            <color indexed="81"/>
            <rFont val="Tahoma"/>
            <family val="2"/>
          </rPr>
          <t>Author:</t>
        </r>
        <r>
          <rPr>
            <sz val="9"/>
            <color indexed="81"/>
            <rFont val="Tahoma"/>
            <family val="2"/>
          </rPr>
          <t xml:space="preserve">
See Sheet 2</t>
        </r>
      </text>
    </comment>
    <comment ref="W50" authorId="0" shapeId="0" xr:uid="{00000000-0006-0000-0000-0000B1020000}">
      <text>
        <r>
          <rPr>
            <b/>
            <sz val="9"/>
            <color indexed="81"/>
            <rFont val="Tahoma"/>
            <family val="2"/>
          </rPr>
          <t>Zenon Kampman:</t>
        </r>
        <r>
          <rPr>
            <sz val="9"/>
            <color indexed="81"/>
            <rFont val="Tahoma"/>
            <family val="2"/>
          </rPr>
          <t xml:space="preserve">
 SEL 587 50P14P
Pickup 4 A secondary, 6400A primary</t>
        </r>
      </text>
    </comment>
    <comment ref="Y50" authorId="0" shapeId="0" xr:uid="{00000000-0006-0000-0000-0000B2020000}">
      <text>
        <r>
          <rPr>
            <b/>
            <sz val="9"/>
            <color indexed="81"/>
            <rFont val="Tahoma"/>
            <family val="2"/>
          </rPr>
          <t>Author:</t>
        </r>
        <r>
          <rPr>
            <sz val="9"/>
            <color indexed="81"/>
            <rFont val="Tahoma"/>
            <family val="2"/>
          </rPr>
          <t xml:space="preserve">
Nameplate</t>
        </r>
      </text>
    </comment>
    <comment ref="C51" authorId="0" shapeId="0" xr:uid="{00000000-0006-0000-0000-0000B3020000}">
      <text>
        <r>
          <rPr>
            <b/>
            <sz val="9"/>
            <color indexed="81"/>
            <rFont val="Tahoma"/>
            <family val="2"/>
          </rPr>
          <t>Author:</t>
        </r>
        <r>
          <rPr>
            <sz val="9"/>
            <color indexed="81"/>
            <rFont val="Tahoma"/>
            <family val="2"/>
          </rPr>
          <t xml:space="preserve">
See generator curves - Combined MVA of both units
</t>
        </r>
      </text>
    </comment>
    <comment ref="D51" authorId="0" shapeId="0" xr:uid="{00000000-0006-0000-0000-0000B4020000}">
      <text>
        <r>
          <rPr>
            <b/>
            <sz val="9"/>
            <color indexed="81"/>
            <rFont val="Tahoma"/>
            <family val="2"/>
          </rPr>
          <t>Author:</t>
        </r>
        <r>
          <rPr>
            <sz val="9"/>
            <color indexed="81"/>
            <rFont val="Tahoma"/>
            <family val="2"/>
          </rPr>
          <t xml:space="preserve">
See Generator curves</t>
        </r>
      </text>
    </comment>
    <comment ref="E51" authorId="0" shapeId="0" xr:uid="{00000000-0006-0000-0000-0000B5020000}">
      <text>
        <r>
          <rPr>
            <b/>
            <sz val="9"/>
            <color indexed="81"/>
            <rFont val="Tahoma"/>
            <family val="2"/>
          </rPr>
          <t>Author:</t>
        </r>
        <r>
          <rPr>
            <sz val="9"/>
            <color indexed="81"/>
            <rFont val="Tahoma"/>
            <family val="2"/>
          </rPr>
          <t xml:space="preserve">
See Generator curves</t>
        </r>
      </text>
    </comment>
    <comment ref="J51" authorId="0" shapeId="0" xr:uid="{00000000-0006-0000-0000-0000B6020000}">
      <text>
        <r>
          <rPr>
            <b/>
            <sz val="9"/>
            <color indexed="81"/>
            <rFont val="Tahoma"/>
            <family val="2"/>
          </rPr>
          <t>Author:</t>
        </r>
        <r>
          <rPr>
            <sz val="9"/>
            <color indexed="81"/>
            <rFont val="Tahoma"/>
            <family val="2"/>
          </rPr>
          <t xml:space="preserve">
See Transformer nameplate</t>
        </r>
      </text>
    </comment>
    <comment ref="K51" authorId="0" shapeId="0" xr:uid="{00000000-0006-0000-0000-0000B7020000}">
      <text>
        <r>
          <rPr>
            <b/>
            <sz val="9"/>
            <color indexed="81"/>
            <rFont val="Tahoma"/>
            <family val="2"/>
          </rPr>
          <t>Author:</t>
        </r>
        <r>
          <rPr>
            <sz val="9"/>
            <color indexed="81"/>
            <rFont val="Tahoma"/>
            <family val="2"/>
          </rPr>
          <t xml:space="preserve">
Reference transformer nameplate and tap position photo</t>
        </r>
      </text>
    </comment>
    <comment ref="L51" authorId="0" shapeId="0" xr:uid="{00000000-0006-0000-0000-0000B8020000}">
      <text>
        <r>
          <rPr>
            <b/>
            <sz val="9"/>
            <color indexed="81"/>
            <rFont val="Tahoma"/>
            <family val="2"/>
          </rPr>
          <t>Author:</t>
        </r>
        <r>
          <rPr>
            <sz val="9"/>
            <color indexed="81"/>
            <rFont val="Tahoma"/>
            <family val="2"/>
          </rPr>
          <t xml:space="preserve">
Nameplate data, Actual voltage at generator kV</t>
        </r>
      </text>
    </comment>
    <comment ref="N51" authorId="0" shapeId="0" xr:uid="{00000000-0006-0000-0000-0000B9020000}">
      <text>
        <r>
          <rPr>
            <b/>
            <sz val="9"/>
            <color indexed="81"/>
            <rFont val="Tahoma"/>
            <family val="2"/>
          </rPr>
          <t>Author:</t>
        </r>
        <r>
          <rPr>
            <sz val="9"/>
            <color indexed="81"/>
            <rFont val="Tahoma"/>
            <family val="2"/>
          </rPr>
          <t xml:space="preserve">
Reference DWG
D991030-500E102 SH1</t>
        </r>
      </text>
    </comment>
    <comment ref="O51" authorId="0" shapeId="0" xr:uid="{00000000-0006-0000-0000-0000BA020000}">
      <text>
        <r>
          <rPr>
            <b/>
            <sz val="9"/>
            <color indexed="81"/>
            <rFont val="Tahoma"/>
            <family val="2"/>
          </rPr>
          <t>Author:</t>
        </r>
        <r>
          <rPr>
            <sz val="9"/>
            <color indexed="81"/>
            <rFont val="Tahoma"/>
            <family val="2"/>
          </rPr>
          <t xml:space="preserve">
Reference DWG
D991030-500E102 SH1</t>
        </r>
      </text>
    </comment>
    <comment ref="T51" authorId="0" shapeId="0" xr:uid="{00000000-0006-0000-0000-0000BB020000}">
      <text>
        <r>
          <rPr>
            <b/>
            <sz val="9"/>
            <color indexed="81"/>
            <rFont val="Tahoma"/>
            <family val="2"/>
          </rPr>
          <t>Author:</t>
        </r>
        <r>
          <rPr>
            <sz val="9"/>
            <color indexed="81"/>
            <rFont val="Tahoma"/>
            <family val="2"/>
          </rPr>
          <t xml:space="preserve">
See Sheet 2</t>
        </r>
      </text>
    </comment>
    <comment ref="C52" authorId="0" shapeId="0" xr:uid="{00000000-0006-0000-0000-0000BC020000}">
      <text>
        <r>
          <rPr>
            <b/>
            <sz val="9"/>
            <color indexed="81"/>
            <rFont val="Tahoma"/>
            <family val="2"/>
          </rPr>
          <t>Author:</t>
        </r>
        <r>
          <rPr>
            <sz val="9"/>
            <color indexed="81"/>
            <rFont val="Tahoma"/>
            <family val="2"/>
          </rPr>
          <t xml:space="preserve">
See generator curves-  Combined MVA of both generators</t>
        </r>
      </text>
    </comment>
    <comment ref="D52" authorId="0" shapeId="0" xr:uid="{00000000-0006-0000-0000-0000BD020000}">
      <text>
        <r>
          <rPr>
            <b/>
            <sz val="9"/>
            <color indexed="81"/>
            <rFont val="Tahoma"/>
            <family val="2"/>
          </rPr>
          <t>Author:</t>
        </r>
        <r>
          <rPr>
            <sz val="9"/>
            <color indexed="81"/>
            <rFont val="Tahoma"/>
            <family val="2"/>
          </rPr>
          <t xml:space="preserve">
See Generator curves</t>
        </r>
      </text>
    </comment>
    <comment ref="E52" authorId="0" shapeId="0" xr:uid="{00000000-0006-0000-0000-0000BE020000}">
      <text>
        <r>
          <rPr>
            <b/>
            <sz val="9"/>
            <color indexed="81"/>
            <rFont val="Tahoma"/>
            <family val="2"/>
          </rPr>
          <t>Author:</t>
        </r>
        <r>
          <rPr>
            <sz val="9"/>
            <color indexed="81"/>
            <rFont val="Tahoma"/>
            <family val="2"/>
          </rPr>
          <t xml:space="preserve">
See Generator curves</t>
        </r>
      </text>
    </comment>
    <comment ref="J52" authorId="0" shapeId="0" xr:uid="{00000000-0006-0000-0000-0000BF020000}">
      <text>
        <r>
          <rPr>
            <b/>
            <sz val="9"/>
            <color indexed="81"/>
            <rFont val="Tahoma"/>
            <family val="2"/>
          </rPr>
          <t>Author:</t>
        </r>
        <r>
          <rPr>
            <sz val="9"/>
            <color indexed="81"/>
            <rFont val="Tahoma"/>
            <family val="2"/>
          </rPr>
          <t xml:space="preserve">
See Transformer nameplate</t>
        </r>
      </text>
    </comment>
    <comment ref="K52" authorId="0" shapeId="0" xr:uid="{00000000-0006-0000-0000-0000C0020000}">
      <text>
        <r>
          <rPr>
            <b/>
            <sz val="9"/>
            <color indexed="81"/>
            <rFont val="Tahoma"/>
            <family val="2"/>
          </rPr>
          <t>Author:</t>
        </r>
        <r>
          <rPr>
            <sz val="9"/>
            <color indexed="81"/>
            <rFont val="Tahoma"/>
            <family val="2"/>
          </rPr>
          <t xml:space="preserve">
Reference transformer nameplate and tap position photo</t>
        </r>
      </text>
    </comment>
    <comment ref="L52" authorId="0" shapeId="0" xr:uid="{00000000-0006-0000-0000-0000C1020000}">
      <text>
        <r>
          <rPr>
            <b/>
            <sz val="9"/>
            <color indexed="81"/>
            <rFont val="Tahoma"/>
            <family val="2"/>
          </rPr>
          <t>Author:</t>
        </r>
        <r>
          <rPr>
            <sz val="9"/>
            <color indexed="81"/>
            <rFont val="Tahoma"/>
            <family val="2"/>
          </rPr>
          <t xml:space="preserve">
Nameplate data, Actual voltage at generator kV</t>
        </r>
      </text>
    </comment>
    <comment ref="N52" authorId="0" shapeId="0" xr:uid="{00000000-0006-0000-0000-0000C2020000}">
      <text>
        <r>
          <rPr>
            <b/>
            <sz val="9"/>
            <color indexed="81"/>
            <rFont val="Tahoma"/>
            <family val="2"/>
          </rPr>
          <t>Author:</t>
        </r>
        <r>
          <rPr>
            <sz val="9"/>
            <color indexed="81"/>
            <rFont val="Tahoma"/>
            <family val="2"/>
          </rPr>
          <t xml:space="preserve">
Reference DWG
D991030-500E102 SH1</t>
        </r>
      </text>
    </comment>
    <comment ref="O52" authorId="0" shapeId="0" xr:uid="{00000000-0006-0000-0000-0000C3020000}">
      <text>
        <r>
          <rPr>
            <b/>
            <sz val="9"/>
            <color indexed="81"/>
            <rFont val="Tahoma"/>
            <family val="2"/>
          </rPr>
          <t>Author:</t>
        </r>
        <r>
          <rPr>
            <sz val="9"/>
            <color indexed="81"/>
            <rFont val="Tahoma"/>
            <family val="2"/>
          </rPr>
          <t xml:space="preserve">
Reference DWG
D991030-500E102 SH1</t>
        </r>
      </text>
    </comment>
    <comment ref="C53" authorId="0" shapeId="0" xr:uid="{00000000-0006-0000-0000-0000C4020000}">
      <text>
        <r>
          <rPr>
            <b/>
            <sz val="10"/>
            <color indexed="81"/>
            <rFont val="Tahoma"/>
            <family val="2"/>
          </rPr>
          <t>Author:</t>
        </r>
        <r>
          <rPr>
            <sz val="10"/>
            <color indexed="81"/>
            <rFont val="Tahoma"/>
            <family val="2"/>
          </rPr>
          <t xml:space="preserve">
 See Name plate piture or L-22666 E2-1</t>
        </r>
      </text>
    </comment>
    <comment ref="D53" authorId="0" shapeId="0" xr:uid="{00000000-0006-0000-0000-0000C5020000}">
      <text>
        <r>
          <rPr>
            <b/>
            <sz val="10"/>
            <color indexed="81"/>
            <rFont val="Tahoma"/>
            <family val="2"/>
          </rPr>
          <t>Author:</t>
        </r>
        <r>
          <rPr>
            <sz val="10"/>
            <color indexed="81"/>
            <rFont val="Tahoma"/>
            <family val="2"/>
          </rPr>
          <t xml:space="preserve">
See Name plate piture or L-22666 E2-1</t>
        </r>
      </text>
    </comment>
    <comment ref="E53" authorId="0" shapeId="0" xr:uid="{00000000-0006-0000-0000-0000C6020000}">
      <text>
        <r>
          <rPr>
            <b/>
            <sz val="10"/>
            <color indexed="81"/>
            <rFont val="Tahoma"/>
            <family val="2"/>
          </rPr>
          <t>Author:</t>
        </r>
        <r>
          <rPr>
            <sz val="10"/>
            <color indexed="81"/>
            <rFont val="Tahoma"/>
            <family val="2"/>
          </rPr>
          <t xml:space="preserve">
See Name plate piture or L-22666 E2-1</t>
        </r>
      </text>
    </comment>
    <comment ref="F53" authorId="0" shapeId="0" xr:uid="{00000000-0006-0000-0000-0000C7020000}">
      <text>
        <r>
          <rPr>
            <b/>
            <sz val="10"/>
            <color indexed="81"/>
            <rFont val="Tahoma"/>
            <family val="2"/>
          </rPr>
          <t>Author:</t>
        </r>
        <r>
          <rPr>
            <sz val="10"/>
            <color indexed="81"/>
            <rFont val="Tahoma"/>
            <family val="2"/>
          </rPr>
          <t xml:space="preserve">
See L-22666 E2-1</t>
        </r>
      </text>
    </comment>
    <comment ref="G53" authorId="0" shapeId="0" xr:uid="{00000000-0006-0000-0000-0000C8020000}">
      <text>
        <r>
          <rPr>
            <b/>
            <sz val="10"/>
            <color indexed="81"/>
            <rFont val="Tahoma"/>
            <family val="2"/>
          </rPr>
          <t>Author:</t>
        </r>
        <r>
          <rPr>
            <sz val="10"/>
            <color indexed="81"/>
            <rFont val="Tahoma"/>
            <family val="2"/>
          </rPr>
          <t xml:space="preserve">
See L-22666 E2-1 Rev21 and 79DCN013. Generator Isophase rated at 18000 A. GSU sections each rated at 11000A. 2 sections in parallel, combined rating of 22000A. </t>
        </r>
      </text>
    </comment>
    <comment ref="J53" authorId="0" shapeId="0" xr:uid="{00000000-0006-0000-0000-0000C9020000}">
      <text>
        <r>
          <rPr>
            <b/>
            <sz val="10"/>
            <color indexed="81"/>
            <rFont val="Tahoma"/>
            <family val="2"/>
          </rPr>
          <t>Author:</t>
        </r>
        <r>
          <rPr>
            <sz val="10"/>
            <color indexed="81"/>
            <rFont val="Tahoma"/>
            <family val="2"/>
          </rPr>
          <t xml:space="preserve">
See L-22666 E2-1. Two GSU transformers in parallel. Combined rating of 728 MVA</t>
        </r>
      </text>
    </comment>
    <comment ref="L53" authorId="0" shapeId="0" xr:uid="{00000000-0006-0000-0000-0000CA020000}">
      <text>
        <r>
          <rPr>
            <b/>
            <sz val="10"/>
            <color indexed="81"/>
            <rFont val="Tahoma"/>
            <family val="2"/>
          </rPr>
          <t>Author:</t>
        </r>
        <r>
          <rPr>
            <sz val="10"/>
            <color indexed="81"/>
            <rFont val="Tahoma"/>
            <family val="2"/>
          </rPr>
          <t xml:space="preserve">
See L-22666 E2-1</t>
        </r>
      </text>
    </comment>
    <comment ref="O53" authorId="0" shapeId="0" xr:uid="{00000000-0006-0000-0000-0000CB020000}">
      <text>
        <r>
          <rPr>
            <sz val="9"/>
            <color indexed="81"/>
            <rFont val="Tahoma"/>
            <family val="2"/>
          </rPr>
          <t xml:space="preserve">Rated by Transmission
</t>
        </r>
      </text>
    </comment>
    <comment ref="Q53" authorId="0" shapeId="0" xr:uid="{00000000-0006-0000-0000-0000CC020000}">
      <text>
        <r>
          <rPr>
            <b/>
            <sz val="9"/>
            <color indexed="81"/>
            <rFont val="Tahoma"/>
            <family val="2"/>
          </rPr>
          <t>Author:</t>
        </r>
        <r>
          <rPr>
            <sz val="9"/>
            <color indexed="81"/>
            <rFont val="Tahoma"/>
            <family val="2"/>
          </rPr>
          <t xml:space="preserve">
Generator Breakers are part of transmission FAC-008</t>
        </r>
      </text>
    </comment>
    <comment ref="R53" authorId="0" shapeId="0" xr:uid="{00000000-0006-0000-0000-0000CD020000}">
      <text>
        <r>
          <rPr>
            <b/>
            <sz val="9"/>
            <color indexed="81"/>
            <rFont val="Tahoma"/>
            <family val="2"/>
          </rPr>
          <t>Author:</t>
        </r>
        <r>
          <rPr>
            <sz val="9"/>
            <color indexed="81"/>
            <rFont val="Tahoma"/>
            <family val="2"/>
          </rPr>
          <t xml:space="preserve">
Generator Breakers are part of transmission FAC-008</t>
        </r>
      </text>
    </comment>
    <comment ref="S53" authorId="0" shapeId="0" xr:uid="{00000000-0006-0000-0000-0000CE020000}">
      <text>
        <r>
          <rPr>
            <b/>
            <sz val="9"/>
            <color indexed="81"/>
            <rFont val="Tahoma"/>
            <family val="2"/>
          </rPr>
          <t>Author:</t>
        </r>
        <r>
          <rPr>
            <sz val="9"/>
            <color indexed="81"/>
            <rFont val="Tahoma"/>
            <family val="2"/>
          </rPr>
          <t xml:space="preserve">
Tap E</t>
        </r>
      </text>
    </comment>
    <comment ref="T53" authorId="0" shapeId="0" xr:uid="{00000000-0006-0000-0000-0000CF020000}">
      <text>
        <r>
          <rPr>
            <b/>
            <sz val="9"/>
            <color indexed="81"/>
            <rFont val="Tahoma"/>
            <family val="2"/>
          </rPr>
          <t>Author:</t>
        </r>
        <r>
          <rPr>
            <sz val="9"/>
            <color indexed="81"/>
            <rFont val="Tahoma"/>
            <family val="2"/>
          </rPr>
          <t xml:space="preserve">
Value from Subs Eng FAC-008-3 Spreadsheet.
Limiting Element: Conductor</t>
        </r>
      </text>
    </comment>
    <comment ref="W53" authorId="0" shapeId="0" xr:uid="{00000000-0006-0000-0000-0000D0020000}">
      <text>
        <r>
          <rPr>
            <b/>
            <sz val="9"/>
            <color indexed="81"/>
            <rFont val="Tahoma"/>
            <family val="2"/>
          </rPr>
          <t>Brady Nunn:</t>
        </r>
        <r>
          <rPr>
            <sz val="9"/>
            <color indexed="81"/>
            <rFont val="Tahoma"/>
            <family val="2"/>
          </rPr>
          <t xml:space="preserve">
50 function not set
51 function picjup at 7.74A secondary, CTR=400. GSU HS pickup = 3096A. GSU LS pickup = 33901A
21 function has been evaluated to PRC-025.</t>
        </r>
      </text>
    </comment>
    <comment ref="Y53" authorId="0" shapeId="0" xr:uid="{00000000-0006-0000-0000-0000D1020000}">
      <text>
        <r>
          <rPr>
            <b/>
            <sz val="9"/>
            <color indexed="81"/>
            <rFont val="Tahoma"/>
            <family val="2"/>
          </rPr>
          <t>Author:</t>
        </r>
        <r>
          <rPr>
            <sz val="9"/>
            <color indexed="81"/>
            <rFont val="Tahoma"/>
            <family val="2"/>
          </rPr>
          <t xml:space="preserve">
Calculated from 65C rise. Both transformer banks are combined at the yard.</t>
        </r>
      </text>
    </comment>
    <comment ref="AC53" authorId="0" shapeId="0" xr:uid="{00000000-0006-0000-0000-0000D2020000}">
      <text>
        <r>
          <rPr>
            <b/>
            <sz val="10"/>
            <color indexed="81"/>
            <rFont val="Tahoma"/>
            <family val="2"/>
          </rPr>
          <t>Author:</t>
        </r>
        <r>
          <rPr>
            <sz val="10"/>
            <color indexed="81"/>
            <rFont val="Tahoma"/>
            <family val="2"/>
          </rPr>
          <t xml:space="preserve">
Info from Generator Data sheet, corrected for altitude.</t>
        </r>
      </text>
    </comment>
    <comment ref="AD53" authorId="0" shapeId="0" xr:uid="{00000000-0006-0000-0000-0000D3020000}">
      <text>
        <r>
          <rPr>
            <b/>
            <sz val="10"/>
            <color indexed="81"/>
            <rFont val="Tahoma"/>
            <family val="2"/>
          </rPr>
          <t>Author:</t>
        </r>
        <r>
          <rPr>
            <sz val="10"/>
            <color indexed="81"/>
            <rFont val="Tahoma"/>
            <family val="2"/>
          </rPr>
          <t xml:space="preserve">
See K14-76T-E5091</t>
        </r>
      </text>
    </comment>
    <comment ref="C54" authorId="0" shapeId="0" xr:uid="{00000000-0006-0000-0000-0000D4020000}">
      <text>
        <r>
          <rPr>
            <b/>
            <sz val="10"/>
            <color indexed="81"/>
            <rFont val="Tahoma"/>
            <family val="2"/>
          </rPr>
          <t>Author:</t>
        </r>
        <r>
          <rPr>
            <sz val="10"/>
            <color indexed="81"/>
            <rFont val="Tahoma"/>
            <family val="2"/>
          </rPr>
          <t xml:space="preserve">
See Instruction Book Photo
</t>
        </r>
      </text>
    </comment>
    <comment ref="D54" authorId="0" shapeId="0" xr:uid="{00000000-0006-0000-0000-0000D5020000}">
      <text>
        <r>
          <rPr>
            <b/>
            <sz val="10"/>
            <color indexed="81"/>
            <rFont val="Tahoma"/>
            <family val="2"/>
          </rPr>
          <t>Author:</t>
        </r>
        <r>
          <rPr>
            <sz val="10"/>
            <color indexed="81"/>
            <rFont val="Tahoma"/>
            <family val="2"/>
          </rPr>
          <t xml:space="preserve">
See Instruction Book Photo</t>
        </r>
      </text>
    </comment>
    <comment ref="E54" authorId="0" shapeId="0" xr:uid="{00000000-0006-0000-0000-0000D6020000}">
      <text>
        <r>
          <rPr>
            <b/>
            <sz val="10"/>
            <color indexed="81"/>
            <rFont val="Tahoma"/>
            <family val="2"/>
          </rPr>
          <t>Author:</t>
        </r>
        <r>
          <rPr>
            <sz val="10"/>
            <color indexed="81"/>
            <rFont val="Tahoma"/>
            <family val="2"/>
          </rPr>
          <t xml:space="preserve">
See Instruction Book Photo, AMP rating given</t>
        </r>
      </text>
    </comment>
    <comment ref="F54" authorId="0" shapeId="0" xr:uid="{00000000-0006-0000-0000-0000D7020000}">
      <text>
        <r>
          <rPr>
            <b/>
            <sz val="10"/>
            <color indexed="81"/>
            <rFont val="Tahoma"/>
            <family val="2"/>
          </rPr>
          <t>Author:</t>
        </r>
        <r>
          <rPr>
            <sz val="10"/>
            <color indexed="81"/>
            <rFont val="Tahoma"/>
            <family val="2"/>
          </rPr>
          <t xml:space="preserve">
See 9727D20 sh1
</t>
        </r>
      </text>
    </comment>
    <comment ref="G54" authorId="0" shapeId="0" xr:uid="{00000000-0006-0000-0000-0000D8020000}">
      <text>
        <r>
          <rPr>
            <b/>
            <sz val="10"/>
            <color indexed="81"/>
            <rFont val="Tahoma"/>
            <family val="2"/>
          </rPr>
          <t>Author:</t>
        </r>
        <r>
          <rPr>
            <sz val="10"/>
            <color indexed="81"/>
            <rFont val="Tahoma"/>
            <family val="2"/>
          </rPr>
          <t xml:space="preserve">
See U-126674-M</t>
        </r>
      </text>
    </comment>
    <comment ref="H54" authorId="0" shapeId="0" xr:uid="{00000000-0006-0000-0000-0000D9020000}">
      <text>
        <r>
          <rPr>
            <b/>
            <sz val="10"/>
            <color indexed="81"/>
            <rFont val="Tahoma"/>
            <family val="2"/>
          </rPr>
          <t>Author:</t>
        </r>
        <r>
          <rPr>
            <sz val="10"/>
            <color indexed="81"/>
            <rFont val="Tahoma"/>
            <family val="2"/>
          </rPr>
          <t xml:space="preserve">
Part of Gen Bkr. Reference D010208-EMAE100 and Gen Bkr Photo, rating of assembly is used since component ratings are not differentiated by manufacturer</t>
        </r>
      </text>
    </comment>
    <comment ref="J54" authorId="0" shapeId="0" xr:uid="{00000000-0006-0000-0000-0000DA020000}">
      <text>
        <r>
          <rPr>
            <b/>
            <sz val="10"/>
            <color indexed="81"/>
            <rFont val="Tahoma"/>
            <family val="2"/>
          </rPr>
          <t>Author:</t>
        </r>
        <r>
          <rPr>
            <sz val="10"/>
            <color indexed="81"/>
            <rFont val="Tahoma"/>
            <family val="2"/>
          </rPr>
          <t xml:space="preserve">
See nameplate picture</t>
        </r>
      </text>
    </comment>
    <comment ref="L54" authorId="0" shapeId="0" xr:uid="{00000000-0006-0000-0000-0000DB020000}">
      <text>
        <r>
          <rPr>
            <b/>
            <sz val="10"/>
            <color indexed="81"/>
            <rFont val="Tahoma"/>
            <family val="2"/>
          </rPr>
          <t>Author:</t>
        </r>
        <r>
          <rPr>
            <sz val="10"/>
            <color indexed="81"/>
            <rFont val="Tahoma"/>
            <family val="2"/>
          </rPr>
          <t xml:space="preserve">
See nameplate picture</t>
        </r>
      </text>
    </comment>
    <comment ref="N54" authorId="0" shapeId="0" xr:uid="{00000000-0006-0000-0000-0000DC020000}">
      <text>
        <r>
          <rPr>
            <b/>
            <sz val="10"/>
            <color indexed="81"/>
            <rFont val="Tahoma"/>
            <family val="2"/>
          </rPr>
          <t>Author:</t>
        </r>
        <r>
          <rPr>
            <sz val="10"/>
            <color indexed="81"/>
            <rFont val="Tahoma"/>
            <family val="2"/>
          </rPr>
          <t xml:space="preserve">
See nameplate picture</t>
        </r>
      </text>
    </comment>
    <comment ref="O54" authorId="0" shapeId="0" xr:uid="{00000000-0006-0000-0000-0000DD020000}">
      <text>
        <r>
          <rPr>
            <b/>
            <sz val="10"/>
            <color indexed="81"/>
            <rFont val="Tahoma"/>
            <family val="2"/>
          </rPr>
          <t>Author:</t>
        </r>
        <r>
          <rPr>
            <sz val="10"/>
            <color indexed="81"/>
            <rFont val="Tahoma"/>
            <family val="2"/>
          </rPr>
          <t xml:space="preserve">
See nameplate picture</t>
        </r>
      </text>
    </comment>
    <comment ref="Q54" authorId="0" shapeId="0" xr:uid="{00000000-0006-0000-0000-0000DE020000}">
      <text>
        <r>
          <rPr>
            <b/>
            <sz val="10"/>
            <color indexed="81"/>
            <rFont val="Tahoma"/>
            <family val="2"/>
          </rPr>
          <t>Author:</t>
        </r>
        <r>
          <rPr>
            <sz val="10"/>
            <color indexed="81"/>
            <rFont val="Tahoma"/>
            <family val="2"/>
          </rPr>
          <t xml:space="preserve">
See 1HC0015420</t>
        </r>
      </text>
    </comment>
    <comment ref="R54" authorId="0" shapeId="0" xr:uid="{00000000-0006-0000-0000-0000DF020000}">
      <text>
        <r>
          <rPr>
            <b/>
            <sz val="10"/>
            <color indexed="81"/>
            <rFont val="Tahoma"/>
            <family val="2"/>
          </rPr>
          <t>Author:</t>
        </r>
        <r>
          <rPr>
            <sz val="10"/>
            <color indexed="81"/>
            <rFont val="Tahoma"/>
            <family val="2"/>
          </rPr>
          <t xml:space="preserve">
See 9727D20 sh2
</t>
        </r>
      </text>
    </comment>
    <comment ref="S54" authorId="0" shapeId="0" xr:uid="{00000000-0006-0000-0000-0000E0020000}">
      <text>
        <r>
          <rPr>
            <b/>
            <sz val="9"/>
            <color indexed="81"/>
            <rFont val="Tahoma"/>
            <family val="2"/>
          </rPr>
          <t>Author:</t>
        </r>
        <r>
          <rPr>
            <sz val="9"/>
            <color indexed="81"/>
            <rFont val="Tahoma"/>
            <family val="2"/>
          </rPr>
          <t xml:space="preserve">
Tap 2</t>
        </r>
      </text>
    </comment>
    <comment ref="T54" authorId="0" shapeId="0" xr:uid="{00000000-0006-0000-0000-0000E1020000}">
      <text>
        <r>
          <rPr>
            <b/>
            <sz val="9"/>
            <color indexed="81"/>
            <rFont val="Tahoma"/>
            <family val="2"/>
          </rPr>
          <t>Author:</t>
        </r>
        <r>
          <rPr>
            <sz val="9"/>
            <color indexed="81"/>
            <rFont val="Tahoma"/>
            <family val="2"/>
          </rPr>
          <t xml:space="preserve">
Value from Subs Eng FAC-008-3 Spreadsheet.
Limiting Element: 1272 ACSR Conductor</t>
        </r>
      </text>
    </comment>
    <comment ref="V54" authorId="0" shapeId="0" xr:uid="{00000000-0006-0000-0000-0000E2020000}">
      <text>
        <r>
          <rPr>
            <b/>
            <sz val="9"/>
            <color indexed="81"/>
            <rFont val="Tahoma"/>
            <family val="2"/>
          </rPr>
          <t>Author:</t>
        </r>
        <r>
          <rPr>
            <sz val="9"/>
            <color indexed="81"/>
            <rFont val="Tahoma"/>
            <family val="2"/>
          </rPr>
          <t xml:space="preserve">
Delta Current rating per nameplate</t>
        </r>
      </text>
    </comment>
    <comment ref="W54" authorId="0" shapeId="0" xr:uid="{00000000-0006-0000-0000-0000E3020000}">
      <text>
        <r>
          <rPr>
            <b/>
            <sz val="9"/>
            <color indexed="81"/>
            <rFont val="Tahoma"/>
            <family val="2"/>
          </rPr>
          <t xml:space="preserve">Brady Nunn:
</t>
        </r>
        <r>
          <rPr>
            <sz val="9"/>
            <color indexed="81"/>
            <rFont val="Tahoma"/>
            <family val="2"/>
          </rPr>
          <t>50 function pickup at 21.24A secondary, CTR= 240. HS pickup = 5097.6A. LS pickup = 80796.96A
51 function is set to 4.2 A secondary, CTR=240. HS pickup  = 1008A. LS pickup  = 15977A
21 function (on generator) has been evaluated to PRC-025.</t>
        </r>
      </text>
    </comment>
    <comment ref="Y54" authorId="0" shapeId="0" xr:uid="{00000000-0006-0000-0000-0000E4020000}">
      <text>
        <r>
          <rPr>
            <b/>
            <sz val="9"/>
            <color indexed="81"/>
            <rFont val="Tahoma"/>
            <family val="2"/>
          </rPr>
          <t>Author:</t>
        </r>
        <r>
          <rPr>
            <sz val="9"/>
            <color indexed="81"/>
            <rFont val="Tahoma"/>
            <family val="2"/>
          </rPr>
          <t xml:space="preserve">
Nameplate</t>
        </r>
      </text>
    </comment>
    <comment ref="AC54" authorId="0" shapeId="0" xr:uid="{00000000-0006-0000-0000-0000E5020000}">
      <text>
        <r>
          <rPr>
            <b/>
            <sz val="10"/>
            <color indexed="81"/>
            <rFont val="Tahoma"/>
            <family val="2"/>
          </rPr>
          <t>Author:</t>
        </r>
        <r>
          <rPr>
            <sz val="10"/>
            <color indexed="81"/>
            <rFont val="Tahoma"/>
            <family val="2"/>
          </rPr>
          <t xml:space="preserve">
Info from Generator Data sheet, corrected for altitude.</t>
        </r>
      </text>
    </comment>
    <comment ref="AD54" authorId="0" shapeId="0" xr:uid="{00000000-0006-0000-0000-0000E6020000}">
      <text>
        <r>
          <rPr>
            <b/>
            <sz val="10"/>
            <color indexed="81"/>
            <rFont val="Tahoma"/>
            <family val="2"/>
          </rPr>
          <t>Author:</t>
        </r>
        <r>
          <rPr>
            <sz val="10"/>
            <color indexed="81"/>
            <rFont val="Tahoma"/>
            <family val="2"/>
          </rPr>
          <t xml:space="preserve">
See K14-76T-E5091</t>
        </r>
      </text>
    </comment>
    <comment ref="C55" authorId="0" shapeId="0" xr:uid="{00000000-0006-0000-0000-0000E7020000}">
      <text>
        <r>
          <rPr>
            <b/>
            <sz val="10"/>
            <color indexed="81"/>
            <rFont val="Tahoma"/>
            <family val="2"/>
          </rPr>
          <t>Author:</t>
        </r>
        <r>
          <rPr>
            <sz val="10"/>
            <color indexed="81"/>
            <rFont val="Tahoma"/>
            <family val="2"/>
          </rPr>
          <t xml:space="preserve">
See Instruction Book Photo
</t>
        </r>
      </text>
    </comment>
    <comment ref="D55" authorId="0" shapeId="0" xr:uid="{00000000-0006-0000-0000-0000E8020000}">
      <text>
        <r>
          <rPr>
            <b/>
            <sz val="10"/>
            <color indexed="81"/>
            <rFont val="Tahoma"/>
            <family val="2"/>
          </rPr>
          <t>Author:</t>
        </r>
        <r>
          <rPr>
            <sz val="10"/>
            <color indexed="81"/>
            <rFont val="Tahoma"/>
            <family val="2"/>
          </rPr>
          <t xml:space="preserve">
See Instruction Book Photo</t>
        </r>
      </text>
    </comment>
    <comment ref="E55" authorId="0" shapeId="0" xr:uid="{00000000-0006-0000-0000-0000E9020000}">
      <text>
        <r>
          <rPr>
            <b/>
            <sz val="10"/>
            <color indexed="81"/>
            <rFont val="Tahoma"/>
            <family val="2"/>
          </rPr>
          <t>Author:</t>
        </r>
        <r>
          <rPr>
            <sz val="10"/>
            <color indexed="81"/>
            <rFont val="Tahoma"/>
            <family val="2"/>
          </rPr>
          <t xml:space="preserve">
See Instruction Book Photo, AMP rating given</t>
        </r>
      </text>
    </comment>
    <comment ref="F55" authorId="0" shapeId="0" xr:uid="{00000000-0006-0000-0000-0000EA020000}">
      <text>
        <r>
          <rPr>
            <b/>
            <sz val="10"/>
            <color indexed="81"/>
            <rFont val="Tahoma"/>
            <family val="2"/>
          </rPr>
          <t>Author:</t>
        </r>
        <r>
          <rPr>
            <sz val="10"/>
            <color indexed="81"/>
            <rFont val="Tahoma"/>
            <family val="2"/>
          </rPr>
          <t xml:space="preserve">
See 9727D20 sh1
</t>
        </r>
      </text>
    </comment>
    <comment ref="G55" authorId="0" shapeId="0" xr:uid="{00000000-0006-0000-0000-0000EB020000}">
      <text>
        <r>
          <rPr>
            <b/>
            <sz val="10"/>
            <color indexed="81"/>
            <rFont val="Tahoma"/>
            <family val="2"/>
          </rPr>
          <t>Author:</t>
        </r>
        <r>
          <rPr>
            <sz val="10"/>
            <color indexed="81"/>
            <rFont val="Tahoma"/>
            <family val="2"/>
          </rPr>
          <t xml:space="preserve">
See U-126674-M</t>
        </r>
      </text>
    </comment>
    <comment ref="H55" authorId="0" shapeId="0" xr:uid="{00000000-0006-0000-0000-0000EC020000}">
      <text>
        <r>
          <rPr>
            <b/>
            <sz val="10"/>
            <color indexed="81"/>
            <rFont val="Tahoma"/>
            <family val="2"/>
          </rPr>
          <t>Author:</t>
        </r>
        <r>
          <rPr>
            <sz val="10"/>
            <color indexed="81"/>
            <rFont val="Tahoma"/>
            <family val="2"/>
          </rPr>
          <t xml:space="preserve">
Part of Gen Bkr. Reference D010208-EMAE100 and Gen Bkr Photo, rating of assembly is used since component ratings are not differentiated by manufacturer</t>
        </r>
      </text>
    </comment>
    <comment ref="J55" authorId="0" shapeId="0" xr:uid="{00000000-0006-0000-0000-0000ED020000}">
      <text>
        <r>
          <rPr>
            <b/>
            <sz val="10"/>
            <color indexed="81"/>
            <rFont val="Tahoma"/>
            <family val="2"/>
          </rPr>
          <t>Author:</t>
        </r>
        <r>
          <rPr>
            <sz val="10"/>
            <color indexed="81"/>
            <rFont val="Tahoma"/>
            <family val="2"/>
          </rPr>
          <t xml:space="preserve">
See nameplate picture</t>
        </r>
      </text>
    </comment>
    <comment ref="L55" authorId="0" shapeId="0" xr:uid="{00000000-0006-0000-0000-0000EE020000}">
      <text>
        <r>
          <rPr>
            <b/>
            <sz val="10"/>
            <color indexed="81"/>
            <rFont val="Tahoma"/>
            <family val="2"/>
          </rPr>
          <t>Author:</t>
        </r>
        <r>
          <rPr>
            <sz val="10"/>
            <color indexed="81"/>
            <rFont val="Tahoma"/>
            <family val="2"/>
          </rPr>
          <t xml:space="preserve">
See nameplate picture</t>
        </r>
      </text>
    </comment>
    <comment ref="N55" authorId="0" shapeId="0" xr:uid="{00000000-0006-0000-0000-0000EF020000}">
      <text>
        <r>
          <rPr>
            <b/>
            <sz val="10"/>
            <color indexed="81"/>
            <rFont val="Tahoma"/>
            <family val="2"/>
          </rPr>
          <t>Author:</t>
        </r>
        <r>
          <rPr>
            <sz val="10"/>
            <color indexed="81"/>
            <rFont val="Tahoma"/>
            <family val="2"/>
          </rPr>
          <t xml:space="preserve">
See nameplate picture</t>
        </r>
      </text>
    </comment>
    <comment ref="O55" authorId="0" shapeId="0" xr:uid="{00000000-0006-0000-0000-0000F0020000}">
      <text>
        <r>
          <rPr>
            <b/>
            <sz val="10"/>
            <color indexed="81"/>
            <rFont val="Tahoma"/>
            <family val="2"/>
          </rPr>
          <t>Author:</t>
        </r>
        <r>
          <rPr>
            <sz val="10"/>
            <color indexed="81"/>
            <rFont val="Tahoma"/>
            <family val="2"/>
          </rPr>
          <t xml:space="preserve">
See nameplate picture</t>
        </r>
      </text>
    </comment>
    <comment ref="Q55" authorId="0" shapeId="0" xr:uid="{00000000-0006-0000-0000-0000F1020000}">
      <text>
        <r>
          <rPr>
            <b/>
            <sz val="10"/>
            <color indexed="81"/>
            <rFont val="Tahoma"/>
            <family val="2"/>
          </rPr>
          <t>Author:</t>
        </r>
        <r>
          <rPr>
            <sz val="10"/>
            <color indexed="81"/>
            <rFont val="Tahoma"/>
            <family val="2"/>
          </rPr>
          <t xml:space="preserve">
See 1HC0015420</t>
        </r>
      </text>
    </comment>
    <comment ref="R55" authorId="0" shapeId="0" xr:uid="{00000000-0006-0000-0000-0000F2020000}">
      <text>
        <r>
          <rPr>
            <b/>
            <sz val="10"/>
            <color indexed="81"/>
            <rFont val="Tahoma"/>
            <family val="2"/>
          </rPr>
          <t>Author:</t>
        </r>
        <r>
          <rPr>
            <sz val="10"/>
            <color indexed="81"/>
            <rFont val="Tahoma"/>
            <family val="2"/>
          </rPr>
          <t xml:space="preserve">
See 9727D20 sh2
</t>
        </r>
      </text>
    </comment>
    <comment ref="S55" authorId="0" shapeId="0" xr:uid="{00000000-0006-0000-0000-0000F3020000}">
      <text>
        <r>
          <rPr>
            <b/>
            <sz val="9"/>
            <color indexed="81"/>
            <rFont val="Tahoma"/>
            <family val="2"/>
          </rPr>
          <t>Author:</t>
        </r>
        <r>
          <rPr>
            <sz val="9"/>
            <color indexed="81"/>
            <rFont val="Tahoma"/>
            <family val="2"/>
          </rPr>
          <t xml:space="preserve">
Tap 2</t>
        </r>
      </text>
    </comment>
    <comment ref="T55" authorId="0" shapeId="0" xr:uid="{00000000-0006-0000-0000-0000F4020000}">
      <text>
        <r>
          <rPr>
            <b/>
            <sz val="9"/>
            <color indexed="81"/>
            <rFont val="Tahoma"/>
            <family val="2"/>
          </rPr>
          <t>Author:</t>
        </r>
        <r>
          <rPr>
            <sz val="9"/>
            <color indexed="81"/>
            <rFont val="Tahoma"/>
            <family val="2"/>
          </rPr>
          <t xml:space="preserve">
Value from Subs Eng FAC-008-3 Spreadsheet.
Limiting Element: 1272 ACSR Conductor</t>
        </r>
      </text>
    </comment>
    <comment ref="V55" authorId="0" shapeId="0" xr:uid="{00000000-0006-0000-0000-0000F5020000}">
      <text>
        <r>
          <rPr>
            <b/>
            <sz val="9"/>
            <color indexed="81"/>
            <rFont val="Tahoma"/>
            <family val="2"/>
          </rPr>
          <t>Author:</t>
        </r>
        <r>
          <rPr>
            <sz val="9"/>
            <color indexed="81"/>
            <rFont val="Tahoma"/>
            <family val="2"/>
          </rPr>
          <t xml:space="preserve">
Delta Current rating per nameplate</t>
        </r>
      </text>
    </comment>
    <comment ref="W55" authorId="0" shapeId="0" xr:uid="{00000000-0006-0000-0000-0000F6020000}">
      <text>
        <r>
          <rPr>
            <b/>
            <sz val="9"/>
            <color indexed="81"/>
            <rFont val="Tahoma"/>
            <family val="2"/>
          </rPr>
          <t xml:space="preserve">Brady Nunn:
</t>
        </r>
        <r>
          <rPr>
            <sz val="9"/>
            <color indexed="81"/>
            <rFont val="Tahoma"/>
            <family val="2"/>
          </rPr>
          <t>50 function pickup at 21.24A secondary, CTR= 240. HS pickup = 5097.6A. LS pickup = 80796.96A
51 function is set to 4.2 A secondary, CTR=240. HS pickup  = 1008A. LS pickup  = 15977A
21 function (on generator) has been evaluated to PRC-025.</t>
        </r>
      </text>
    </comment>
    <comment ref="Y55" authorId="0" shapeId="0" xr:uid="{00000000-0006-0000-0000-0000F7020000}">
      <text>
        <r>
          <rPr>
            <b/>
            <sz val="9"/>
            <color indexed="81"/>
            <rFont val="Tahoma"/>
            <family val="2"/>
          </rPr>
          <t>Author:</t>
        </r>
        <r>
          <rPr>
            <sz val="9"/>
            <color indexed="81"/>
            <rFont val="Tahoma"/>
            <family val="2"/>
          </rPr>
          <t xml:space="preserve">
Nameplate</t>
        </r>
      </text>
    </comment>
    <comment ref="AC55" authorId="0" shapeId="0" xr:uid="{00000000-0006-0000-0000-0000F8020000}">
      <text>
        <r>
          <rPr>
            <b/>
            <sz val="10"/>
            <color indexed="81"/>
            <rFont val="Tahoma"/>
            <family val="2"/>
          </rPr>
          <t>Author:</t>
        </r>
        <r>
          <rPr>
            <sz val="10"/>
            <color indexed="81"/>
            <rFont val="Tahoma"/>
            <family val="2"/>
          </rPr>
          <t xml:space="preserve">
Info from Generator Data sheet, corrected for altitude.</t>
        </r>
      </text>
    </comment>
    <comment ref="AD55" authorId="0" shapeId="0" xr:uid="{00000000-0006-0000-0000-0000F9020000}">
      <text>
        <r>
          <rPr>
            <b/>
            <sz val="10"/>
            <color indexed="81"/>
            <rFont val="Tahoma"/>
            <family val="2"/>
          </rPr>
          <t>Author:</t>
        </r>
        <r>
          <rPr>
            <sz val="10"/>
            <color indexed="81"/>
            <rFont val="Tahoma"/>
            <family val="2"/>
          </rPr>
          <t xml:space="preserve">
See K14-76T-E5091</t>
        </r>
      </text>
    </comment>
    <comment ref="C56" authorId="0" shapeId="0" xr:uid="{00000000-0006-0000-0000-0000FA020000}">
      <text>
        <r>
          <rPr>
            <b/>
            <sz val="10"/>
            <color indexed="81"/>
            <rFont val="Tahoma"/>
            <family val="2"/>
          </rPr>
          <t>Author:</t>
        </r>
        <r>
          <rPr>
            <sz val="10"/>
            <color indexed="81"/>
            <rFont val="Tahoma"/>
            <family val="2"/>
          </rPr>
          <t xml:space="preserve">
See Instruction Book Photo</t>
        </r>
      </text>
    </comment>
    <comment ref="D56" authorId="0" shapeId="0" xr:uid="{00000000-0006-0000-0000-0000FB020000}">
      <text>
        <r>
          <rPr>
            <b/>
            <sz val="10"/>
            <color indexed="81"/>
            <rFont val="Tahoma"/>
            <family val="2"/>
          </rPr>
          <t>Author:</t>
        </r>
        <r>
          <rPr>
            <sz val="10"/>
            <color indexed="81"/>
            <rFont val="Tahoma"/>
            <family val="2"/>
          </rPr>
          <t xml:space="preserve">
See Instruction Book Photo</t>
        </r>
      </text>
    </comment>
    <comment ref="E56" authorId="0" shapeId="0" xr:uid="{00000000-0006-0000-0000-0000FC020000}">
      <text>
        <r>
          <rPr>
            <b/>
            <sz val="10"/>
            <color indexed="81"/>
            <rFont val="Tahoma"/>
            <family val="2"/>
          </rPr>
          <t>Author:</t>
        </r>
        <r>
          <rPr>
            <sz val="10"/>
            <color indexed="81"/>
            <rFont val="Tahoma"/>
            <family val="2"/>
          </rPr>
          <t xml:space="preserve">
See Instruction Book Photo, AMP rating given</t>
        </r>
      </text>
    </comment>
    <comment ref="F56" authorId="0" shapeId="0" xr:uid="{00000000-0006-0000-0000-0000FD020000}">
      <text>
        <r>
          <rPr>
            <b/>
            <sz val="10"/>
            <color indexed="81"/>
            <rFont val="Tahoma"/>
            <family val="2"/>
          </rPr>
          <t>Author:</t>
        </r>
        <r>
          <rPr>
            <sz val="10"/>
            <color indexed="81"/>
            <rFont val="Tahoma"/>
            <family val="2"/>
          </rPr>
          <t xml:space="preserve">
See 9727D20 sh1
</t>
        </r>
      </text>
    </comment>
    <comment ref="G56" authorId="0" shapeId="0" xr:uid="{00000000-0006-0000-0000-0000FE020000}">
      <text>
        <r>
          <rPr>
            <b/>
            <sz val="10"/>
            <color indexed="81"/>
            <rFont val="Tahoma"/>
            <family val="2"/>
          </rPr>
          <t>Author:</t>
        </r>
        <r>
          <rPr>
            <sz val="10"/>
            <color indexed="81"/>
            <rFont val="Tahoma"/>
            <family val="2"/>
          </rPr>
          <t xml:space="preserve">
See U-126674-M</t>
        </r>
      </text>
    </comment>
    <comment ref="H56" authorId="0" shapeId="0" xr:uid="{00000000-0006-0000-0000-0000FF020000}">
      <text>
        <r>
          <rPr>
            <b/>
            <sz val="10"/>
            <color indexed="81"/>
            <rFont val="Tahoma"/>
            <family val="2"/>
          </rPr>
          <t>Author:</t>
        </r>
        <r>
          <rPr>
            <sz val="10"/>
            <color indexed="81"/>
            <rFont val="Tahoma"/>
            <family val="2"/>
          </rPr>
          <t xml:space="preserve">
Part of Gen Bkr. Reference D010208-EMAE100 and Gen Bkr Photo, rating of assembly is used since component ratings are not differentiated by manufacturer</t>
        </r>
      </text>
    </comment>
    <comment ref="J56" authorId="0" shapeId="0" xr:uid="{00000000-0006-0000-0000-000000030000}">
      <text>
        <r>
          <rPr>
            <b/>
            <sz val="10"/>
            <color indexed="81"/>
            <rFont val="Tahoma"/>
            <family val="2"/>
          </rPr>
          <t>Author:</t>
        </r>
        <r>
          <rPr>
            <sz val="10"/>
            <color indexed="81"/>
            <rFont val="Tahoma"/>
            <family val="2"/>
          </rPr>
          <t xml:space="preserve">
See nameplate picture</t>
        </r>
      </text>
    </comment>
    <comment ref="L56" authorId="0" shapeId="0" xr:uid="{00000000-0006-0000-0000-000001030000}">
      <text>
        <r>
          <rPr>
            <b/>
            <sz val="10"/>
            <color indexed="81"/>
            <rFont val="Tahoma"/>
            <family val="2"/>
          </rPr>
          <t>Author:</t>
        </r>
        <r>
          <rPr>
            <sz val="10"/>
            <color indexed="81"/>
            <rFont val="Tahoma"/>
            <family val="2"/>
          </rPr>
          <t xml:space="preserve">
See nameplate picture</t>
        </r>
      </text>
    </comment>
    <comment ref="N56" authorId="0" shapeId="0" xr:uid="{00000000-0006-0000-0000-000002030000}">
      <text>
        <r>
          <rPr>
            <b/>
            <sz val="10"/>
            <color indexed="81"/>
            <rFont val="Tahoma"/>
            <family val="2"/>
          </rPr>
          <t>Author:</t>
        </r>
        <r>
          <rPr>
            <sz val="10"/>
            <color indexed="81"/>
            <rFont val="Tahoma"/>
            <family val="2"/>
          </rPr>
          <t xml:space="preserve">
See nameplate picture</t>
        </r>
      </text>
    </comment>
    <comment ref="O56" authorId="0" shapeId="0" xr:uid="{00000000-0006-0000-0000-000003030000}">
      <text>
        <r>
          <rPr>
            <b/>
            <sz val="10"/>
            <color indexed="81"/>
            <rFont val="Tahoma"/>
            <family val="2"/>
          </rPr>
          <t>Author:</t>
        </r>
        <r>
          <rPr>
            <sz val="10"/>
            <color indexed="81"/>
            <rFont val="Tahoma"/>
            <family val="2"/>
          </rPr>
          <t xml:space="preserve">
See nameplate picture</t>
        </r>
      </text>
    </comment>
    <comment ref="Q56" authorId="0" shapeId="0" xr:uid="{00000000-0006-0000-0000-000004030000}">
      <text>
        <r>
          <rPr>
            <b/>
            <sz val="10"/>
            <color indexed="81"/>
            <rFont val="Tahoma"/>
            <family val="2"/>
          </rPr>
          <t>Author:</t>
        </r>
        <r>
          <rPr>
            <sz val="10"/>
            <color indexed="81"/>
            <rFont val="Tahoma"/>
            <family val="2"/>
          </rPr>
          <t xml:space="preserve">
See 1HC0015420</t>
        </r>
      </text>
    </comment>
    <comment ref="R56" authorId="0" shapeId="0" xr:uid="{00000000-0006-0000-0000-000005030000}">
      <text>
        <r>
          <rPr>
            <b/>
            <sz val="10"/>
            <color indexed="81"/>
            <rFont val="Tahoma"/>
            <family val="2"/>
          </rPr>
          <t>Author:</t>
        </r>
        <r>
          <rPr>
            <sz val="10"/>
            <color indexed="81"/>
            <rFont val="Tahoma"/>
            <family val="2"/>
          </rPr>
          <t xml:space="preserve">
See 9727D20 sh2
</t>
        </r>
      </text>
    </comment>
    <comment ref="S56" authorId="0" shapeId="0" xr:uid="{00000000-0006-0000-0000-000006030000}">
      <text>
        <r>
          <rPr>
            <b/>
            <sz val="9"/>
            <color indexed="81"/>
            <rFont val="Tahoma"/>
            <family val="2"/>
          </rPr>
          <t>Author:</t>
        </r>
        <r>
          <rPr>
            <sz val="9"/>
            <color indexed="81"/>
            <rFont val="Tahoma"/>
            <family val="2"/>
          </rPr>
          <t xml:space="preserve">
Tap 2</t>
        </r>
      </text>
    </comment>
    <comment ref="T56" authorId="0" shapeId="0" xr:uid="{00000000-0006-0000-0000-000007030000}">
      <text>
        <r>
          <rPr>
            <b/>
            <sz val="9"/>
            <color indexed="81"/>
            <rFont val="Tahoma"/>
            <family val="2"/>
          </rPr>
          <t>Author:</t>
        </r>
        <r>
          <rPr>
            <sz val="9"/>
            <color indexed="81"/>
            <rFont val="Tahoma"/>
            <family val="2"/>
          </rPr>
          <t xml:space="preserve">
Value from Subs Eng FAC-008-3 Spreadsheet.
Limiting Element: 1272 ACSR Conductor</t>
        </r>
      </text>
    </comment>
    <comment ref="V56" authorId="0" shapeId="0" xr:uid="{00000000-0006-0000-0000-000008030000}">
      <text>
        <r>
          <rPr>
            <b/>
            <sz val="9"/>
            <color indexed="81"/>
            <rFont val="Tahoma"/>
            <family val="2"/>
          </rPr>
          <t>Author:</t>
        </r>
        <r>
          <rPr>
            <sz val="9"/>
            <color indexed="81"/>
            <rFont val="Tahoma"/>
            <family val="2"/>
          </rPr>
          <t xml:space="preserve">
Delta Current rating per nameplate</t>
        </r>
      </text>
    </comment>
    <comment ref="W56" authorId="0" shapeId="0" xr:uid="{00000000-0006-0000-0000-000009030000}">
      <text>
        <r>
          <rPr>
            <b/>
            <sz val="9"/>
            <color indexed="81"/>
            <rFont val="Tahoma"/>
            <family val="2"/>
          </rPr>
          <t xml:space="preserve">Brady Nunn:
</t>
        </r>
        <r>
          <rPr>
            <sz val="9"/>
            <color indexed="81"/>
            <rFont val="Tahoma"/>
            <family val="2"/>
          </rPr>
          <t>50 function pickup at 21.24A secondary, CTR= 240. HS pickup = 5097.6A. LS pickup = 80796.96A
51 function is set to 4.2 A secondary, CTR=240. HS pickup  = 1008A. LS pickup  = 15977A
21 function (on generator) has been evaluated to PRC-025.</t>
        </r>
      </text>
    </comment>
    <comment ref="Y56" authorId="0" shapeId="0" xr:uid="{00000000-0006-0000-0000-00000A030000}">
      <text>
        <r>
          <rPr>
            <b/>
            <sz val="9"/>
            <color indexed="81"/>
            <rFont val="Tahoma"/>
            <family val="2"/>
          </rPr>
          <t>Author:</t>
        </r>
        <r>
          <rPr>
            <sz val="9"/>
            <color indexed="81"/>
            <rFont val="Tahoma"/>
            <family val="2"/>
          </rPr>
          <t xml:space="preserve">
Nameplate</t>
        </r>
      </text>
    </comment>
    <comment ref="AC56" authorId="0" shapeId="0" xr:uid="{00000000-0006-0000-0000-00000B030000}">
      <text>
        <r>
          <rPr>
            <b/>
            <sz val="10"/>
            <color indexed="81"/>
            <rFont val="Tahoma"/>
            <family val="2"/>
          </rPr>
          <t>Author:</t>
        </r>
        <r>
          <rPr>
            <sz val="10"/>
            <color indexed="81"/>
            <rFont val="Tahoma"/>
            <family val="2"/>
          </rPr>
          <t xml:space="preserve">
Info from Generator Data sheet, corrected for altitude.</t>
        </r>
      </text>
    </comment>
    <comment ref="AD56" authorId="0" shapeId="0" xr:uid="{00000000-0006-0000-0000-00000C030000}">
      <text>
        <r>
          <rPr>
            <b/>
            <sz val="10"/>
            <color indexed="81"/>
            <rFont val="Tahoma"/>
            <family val="2"/>
          </rPr>
          <t>Author:</t>
        </r>
        <r>
          <rPr>
            <sz val="10"/>
            <color indexed="81"/>
            <rFont val="Tahoma"/>
            <family val="2"/>
          </rPr>
          <t xml:space="preserve">
See K14-76T-E5091</t>
        </r>
      </text>
    </comment>
    <comment ref="C57" authorId="0" shapeId="0" xr:uid="{00000000-0006-0000-0000-00000D030000}">
      <text>
        <r>
          <rPr>
            <b/>
            <sz val="10"/>
            <color indexed="81"/>
            <rFont val="Tahoma"/>
            <family val="2"/>
          </rPr>
          <t>Author:</t>
        </r>
        <r>
          <rPr>
            <sz val="10"/>
            <color indexed="81"/>
            <rFont val="Tahoma"/>
            <family val="2"/>
          </rPr>
          <t xml:space="preserve">
See Instruction Book Photo
</t>
        </r>
      </text>
    </comment>
    <comment ref="D57" authorId="0" shapeId="0" xr:uid="{00000000-0006-0000-0000-00000E030000}">
      <text>
        <r>
          <rPr>
            <b/>
            <sz val="10"/>
            <color indexed="81"/>
            <rFont val="Tahoma"/>
            <family val="2"/>
          </rPr>
          <t>Author:</t>
        </r>
        <r>
          <rPr>
            <sz val="10"/>
            <color indexed="81"/>
            <rFont val="Tahoma"/>
            <family val="2"/>
          </rPr>
          <t xml:space="preserve">
See Instruction Book Photo</t>
        </r>
      </text>
    </comment>
    <comment ref="E57" authorId="0" shapeId="0" xr:uid="{00000000-0006-0000-0000-00000F030000}">
      <text>
        <r>
          <rPr>
            <b/>
            <sz val="10"/>
            <color indexed="81"/>
            <rFont val="Tahoma"/>
            <family val="2"/>
          </rPr>
          <t>Author:</t>
        </r>
        <r>
          <rPr>
            <sz val="10"/>
            <color indexed="81"/>
            <rFont val="Tahoma"/>
            <family val="2"/>
          </rPr>
          <t xml:space="preserve">
See Instruction Book Photo, AMP rating given</t>
        </r>
      </text>
    </comment>
    <comment ref="F57" authorId="0" shapeId="0" xr:uid="{00000000-0006-0000-0000-000010030000}">
      <text>
        <r>
          <rPr>
            <b/>
            <sz val="10"/>
            <color indexed="81"/>
            <rFont val="Tahoma"/>
            <family val="2"/>
          </rPr>
          <t>Author:</t>
        </r>
        <r>
          <rPr>
            <sz val="10"/>
            <color indexed="81"/>
            <rFont val="Tahoma"/>
            <family val="2"/>
          </rPr>
          <t xml:space="preserve">
See 9727D20 sh1
</t>
        </r>
      </text>
    </comment>
    <comment ref="G57" authorId="0" shapeId="0" xr:uid="{00000000-0006-0000-0000-000011030000}">
      <text>
        <r>
          <rPr>
            <b/>
            <sz val="10"/>
            <color indexed="81"/>
            <rFont val="Tahoma"/>
            <family val="2"/>
          </rPr>
          <t>Author:</t>
        </r>
        <r>
          <rPr>
            <sz val="10"/>
            <color indexed="81"/>
            <rFont val="Tahoma"/>
            <family val="2"/>
          </rPr>
          <t xml:space="preserve">
See U-126674-M</t>
        </r>
      </text>
    </comment>
    <comment ref="H57" authorId="0" shapeId="0" xr:uid="{00000000-0006-0000-0000-000012030000}">
      <text>
        <r>
          <rPr>
            <b/>
            <sz val="10"/>
            <color indexed="81"/>
            <rFont val="Tahoma"/>
            <family val="2"/>
          </rPr>
          <t>Author:</t>
        </r>
        <r>
          <rPr>
            <sz val="10"/>
            <color indexed="81"/>
            <rFont val="Tahoma"/>
            <family val="2"/>
          </rPr>
          <t xml:space="preserve">
Part of Gen Bkr. Reference D010208-EMAE100 and Gen Bkr Photo, rating of assembly is used since component ratings are not differentiated by manufacturer</t>
        </r>
      </text>
    </comment>
    <comment ref="J57" authorId="0" shapeId="0" xr:uid="{00000000-0006-0000-0000-000013030000}">
      <text>
        <r>
          <rPr>
            <b/>
            <sz val="10"/>
            <color indexed="81"/>
            <rFont val="Tahoma"/>
            <family val="2"/>
          </rPr>
          <t>Author:</t>
        </r>
        <r>
          <rPr>
            <sz val="10"/>
            <color indexed="81"/>
            <rFont val="Tahoma"/>
            <family val="2"/>
          </rPr>
          <t xml:space="preserve">
See nameplate picture</t>
        </r>
      </text>
    </comment>
    <comment ref="L57" authorId="0" shapeId="0" xr:uid="{00000000-0006-0000-0000-000014030000}">
      <text>
        <r>
          <rPr>
            <b/>
            <sz val="10"/>
            <color indexed="81"/>
            <rFont val="Tahoma"/>
            <family val="2"/>
          </rPr>
          <t>Author:</t>
        </r>
        <r>
          <rPr>
            <sz val="10"/>
            <color indexed="81"/>
            <rFont val="Tahoma"/>
            <family val="2"/>
          </rPr>
          <t xml:space="preserve">
See nameplate picture</t>
        </r>
      </text>
    </comment>
    <comment ref="N57" authorId="0" shapeId="0" xr:uid="{00000000-0006-0000-0000-000015030000}">
      <text>
        <r>
          <rPr>
            <b/>
            <sz val="10"/>
            <color indexed="81"/>
            <rFont val="Tahoma"/>
            <family val="2"/>
          </rPr>
          <t>Author:</t>
        </r>
        <r>
          <rPr>
            <sz val="10"/>
            <color indexed="81"/>
            <rFont val="Tahoma"/>
            <family val="2"/>
          </rPr>
          <t xml:space="preserve">
See nameplate picture</t>
        </r>
      </text>
    </comment>
    <comment ref="O57" authorId="0" shapeId="0" xr:uid="{00000000-0006-0000-0000-000016030000}">
      <text>
        <r>
          <rPr>
            <b/>
            <sz val="10"/>
            <color indexed="81"/>
            <rFont val="Tahoma"/>
            <family val="2"/>
          </rPr>
          <t>Author:</t>
        </r>
        <r>
          <rPr>
            <sz val="10"/>
            <color indexed="81"/>
            <rFont val="Tahoma"/>
            <family val="2"/>
          </rPr>
          <t xml:space="preserve">
See nameplate picture</t>
        </r>
      </text>
    </comment>
    <comment ref="Q57" authorId="0" shapeId="0" xr:uid="{00000000-0006-0000-0000-000017030000}">
      <text>
        <r>
          <rPr>
            <b/>
            <sz val="10"/>
            <color indexed="81"/>
            <rFont val="Tahoma"/>
            <family val="2"/>
          </rPr>
          <t>Author:</t>
        </r>
        <r>
          <rPr>
            <sz val="10"/>
            <color indexed="81"/>
            <rFont val="Tahoma"/>
            <family val="2"/>
          </rPr>
          <t xml:space="preserve">
See 1HC0015420</t>
        </r>
      </text>
    </comment>
    <comment ref="R57" authorId="0" shapeId="0" xr:uid="{00000000-0006-0000-0000-000018030000}">
      <text>
        <r>
          <rPr>
            <b/>
            <sz val="10"/>
            <color indexed="81"/>
            <rFont val="Tahoma"/>
            <family val="2"/>
          </rPr>
          <t>Author:</t>
        </r>
        <r>
          <rPr>
            <sz val="10"/>
            <color indexed="81"/>
            <rFont val="Tahoma"/>
            <family val="2"/>
          </rPr>
          <t xml:space="preserve">
See 9727D20 sh2
</t>
        </r>
      </text>
    </comment>
    <comment ref="S57" authorId="0" shapeId="0" xr:uid="{00000000-0006-0000-0000-000019030000}">
      <text>
        <r>
          <rPr>
            <b/>
            <sz val="9"/>
            <color indexed="81"/>
            <rFont val="Tahoma"/>
            <family val="2"/>
          </rPr>
          <t>Author:</t>
        </r>
        <r>
          <rPr>
            <sz val="9"/>
            <color indexed="81"/>
            <rFont val="Tahoma"/>
            <family val="2"/>
          </rPr>
          <t xml:space="preserve">
Tap 2</t>
        </r>
      </text>
    </comment>
    <comment ref="T57" authorId="0" shapeId="0" xr:uid="{00000000-0006-0000-0000-00001A030000}">
      <text>
        <r>
          <rPr>
            <b/>
            <sz val="9"/>
            <color indexed="81"/>
            <rFont val="Tahoma"/>
            <family val="2"/>
          </rPr>
          <t>Author:</t>
        </r>
        <r>
          <rPr>
            <sz val="9"/>
            <color indexed="81"/>
            <rFont val="Tahoma"/>
            <family val="2"/>
          </rPr>
          <t xml:space="preserve">
Value from Subs Eng FAC-008-3 Spreadsheet.
Limiting Element: 1272 ACSR Conductor</t>
        </r>
      </text>
    </comment>
    <comment ref="V57" authorId="0" shapeId="0" xr:uid="{00000000-0006-0000-0000-00001B030000}">
      <text>
        <r>
          <rPr>
            <b/>
            <sz val="9"/>
            <color indexed="81"/>
            <rFont val="Tahoma"/>
            <family val="2"/>
          </rPr>
          <t>Author:</t>
        </r>
        <r>
          <rPr>
            <sz val="9"/>
            <color indexed="81"/>
            <rFont val="Tahoma"/>
            <family val="2"/>
          </rPr>
          <t xml:space="preserve">
Delta Current rating per nameplate</t>
        </r>
      </text>
    </comment>
    <comment ref="W57" authorId="0" shapeId="0" xr:uid="{00000000-0006-0000-0000-00001C030000}">
      <text>
        <r>
          <rPr>
            <b/>
            <sz val="9"/>
            <color indexed="81"/>
            <rFont val="Tahoma"/>
            <family val="2"/>
          </rPr>
          <t xml:space="preserve">Brady Nunn:
</t>
        </r>
        <r>
          <rPr>
            <sz val="9"/>
            <color indexed="81"/>
            <rFont val="Tahoma"/>
            <family val="2"/>
          </rPr>
          <t>50 function pickup at 21.24A secondary, CTR= 240. HS pickup = 5097.6A. LS pickup = 80796.96A
51 function is set to 4.2 A secondary, CTR=240. HS pickup  = 1008A. LS pickup  = 15977A
21 function (on generator) has been evaluated to PRC-025.</t>
        </r>
      </text>
    </comment>
    <comment ref="Y57" authorId="0" shapeId="0" xr:uid="{00000000-0006-0000-0000-00001D030000}">
      <text>
        <r>
          <rPr>
            <b/>
            <sz val="9"/>
            <color indexed="81"/>
            <rFont val="Tahoma"/>
            <family val="2"/>
          </rPr>
          <t>Author:</t>
        </r>
        <r>
          <rPr>
            <sz val="9"/>
            <color indexed="81"/>
            <rFont val="Tahoma"/>
            <family val="2"/>
          </rPr>
          <t xml:space="preserve">
Nameplate</t>
        </r>
      </text>
    </comment>
    <comment ref="AC57" authorId="0" shapeId="0" xr:uid="{00000000-0006-0000-0000-00001E030000}">
      <text>
        <r>
          <rPr>
            <b/>
            <sz val="10"/>
            <color indexed="81"/>
            <rFont val="Tahoma"/>
            <family val="2"/>
          </rPr>
          <t>Author:</t>
        </r>
        <r>
          <rPr>
            <sz val="10"/>
            <color indexed="81"/>
            <rFont val="Tahoma"/>
            <family val="2"/>
          </rPr>
          <t xml:space="preserve">
Info from Generator Data sheet, corrected for altitude.</t>
        </r>
      </text>
    </comment>
    <comment ref="AD57" authorId="0" shapeId="0" xr:uid="{00000000-0006-0000-0000-00001F030000}">
      <text>
        <r>
          <rPr>
            <b/>
            <sz val="10"/>
            <color indexed="81"/>
            <rFont val="Tahoma"/>
            <family val="2"/>
          </rPr>
          <t>Author:</t>
        </r>
        <r>
          <rPr>
            <sz val="10"/>
            <color indexed="81"/>
            <rFont val="Tahoma"/>
            <family val="2"/>
          </rPr>
          <t xml:space="preserve">
See K14-76T-E5091</t>
        </r>
      </text>
    </comment>
    <comment ref="C58" authorId="0" shapeId="0" xr:uid="{00000000-0006-0000-0000-000020030000}">
      <text>
        <r>
          <rPr>
            <b/>
            <sz val="10"/>
            <color indexed="81"/>
            <rFont val="Tahoma"/>
            <family val="2"/>
          </rPr>
          <t>Author:</t>
        </r>
        <r>
          <rPr>
            <sz val="10"/>
            <color indexed="81"/>
            <rFont val="Tahoma"/>
            <family val="2"/>
          </rPr>
          <t xml:space="preserve">
See nameplate picture</t>
        </r>
      </text>
    </comment>
    <comment ref="D58" authorId="0" shapeId="0" xr:uid="{00000000-0006-0000-0000-000021030000}">
      <text>
        <r>
          <rPr>
            <b/>
            <sz val="10"/>
            <color indexed="81"/>
            <rFont val="Tahoma"/>
            <family val="2"/>
          </rPr>
          <t>Author:</t>
        </r>
        <r>
          <rPr>
            <sz val="10"/>
            <color indexed="81"/>
            <rFont val="Tahoma"/>
            <family val="2"/>
          </rPr>
          <t xml:space="preserve">
See nameplate picture</t>
        </r>
      </text>
    </comment>
    <comment ref="E58" authorId="0" shapeId="0" xr:uid="{00000000-0006-0000-0000-000022030000}">
      <text>
        <r>
          <rPr>
            <b/>
            <sz val="10"/>
            <color indexed="81"/>
            <rFont val="Tahoma"/>
            <family val="2"/>
          </rPr>
          <t>Author:</t>
        </r>
        <r>
          <rPr>
            <sz val="10"/>
            <color indexed="81"/>
            <rFont val="Tahoma"/>
            <family val="2"/>
          </rPr>
          <t xml:space="preserve">
See nameplate picture</t>
        </r>
      </text>
    </comment>
    <comment ref="F58" authorId="0" shapeId="0" xr:uid="{00000000-0006-0000-0000-000023030000}">
      <text>
        <r>
          <rPr>
            <b/>
            <sz val="10"/>
            <color indexed="81"/>
            <rFont val="Tahoma"/>
            <family val="2"/>
          </rPr>
          <t>Author:</t>
        </r>
        <r>
          <rPr>
            <sz val="10"/>
            <color indexed="81"/>
            <rFont val="Tahoma"/>
            <family val="2"/>
          </rPr>
          <t xml:space="preserve">
See 1778D02</t>
        </r>
      </text>
    </comment>
    <comment ref="G58" authorId="0" shapeId="0" xr:uid="{00000000-0006-0000-0000-000024030000}">
      <text>
        <r>
          <rPr>
            <b/>
            <sz val="10"/>
            <color indexed="81"/>
            <rFont val="Tahoma"/>
            <family val="2"/>
          </rPr>
          <t>Author:</t>
        </r>
        <r>
          <rPr>
            <sz val="10"/>
            <color indexed="81"/>
            <rFont val="Tahoma"/>
            <family val="2"/>
          </rPr>
          <t xml:space="preserve">
See U-126675-M</t>
        </r>
      </text>
    </comment>
    <comment ref="H58" authorId="0" shapeId="0" xr:uid="{00000000-0006-0000-0000-000025030000}">
      <text>
        <r>
          <rPr>
            <b/>
            <sz val="9"/>
            <color indexed="81"/>
            <rFont val="Tahoma"/>
            <family val="2"/>
          </rPr>
          <t>Author:</t>
        </r>
        <r>
          <rPr>
            <sz val="9"/>
            <color indexed="81"/>
            <rFont val="Tahoma"/>
            <family val="2"/>
          </rPr>
          <t xml:space="preserve">
Generator disconnect is part of transmission FAC-008</t>
        </r>
      </text>
    </comment>
    <comment ref="J58" authorId="0" shapeId="0" xr:uid="{00000000-0006-0000-0000-000026030000}">
      <text>
        <r>
          <rPr>
            <b/>
            <sz val="10"/>
            <color indexed="81"/>
            <rFont val="Tahoma"/>
            <family val="2"/>
          </rPr>
          <t>Author:</t>
        </r>
        <r>
          <rPr>
            <sz val="10"/>
            <color indexed="81"/>
            <rFont val="Tahoma"/>
            <family val="2"/>
          </rPr>
          <t xml:space="preserve">
See nameplate picture</t>
        </r>
      </text>
    </comment>
    <comment ref="L58" authorId="0" shapeId="0" xr:uid="{00000000-0006-0000-0000-000027030000}">
      <text>
        <r>
          <rPr>
            <b/>
            <sz val="10"/>
            <color indexed="81"/>
            <rFont val="Tahoma"/>
            <family val="2"/>
          </rPr>
          <t>Author:</t>
        </r>
        <r>
          <rPr>
            <sz val="10"/>
            <color indexed="81"/>
            <rFont val="Tahoma"/>
            <family val="2"/>
          </rPr>
          <t xml:space="preserve">
See nameplate picture</t>
        </r>
      </text>
    </comment>
    <comment ref="N58" authorId="0" shapeId="0" xr:uid="{00000000-0006-0000-0000-000028030000}">
      <text>
        <r>
          <rPr>
            <b/>
            <sz val="10"/>
            <color indexed="81"/>
            <rFont val="Tahoma"/>
            <family val="2"/>
          </rPr>
          <t>Author:</t>
        </r>
        <r>
          <rPr>
            <sz val="10"/>
            <color indexed="81"/>
            <rFont val="Tahoma"/>
            <family val="2"/>
          </rPr>
          <t xml:space="preserve">
See nameplate picture</t>
        </r>
      </text>
    </comment>
    <comment ref="O58" authorId="0" shapeId="0" xr:uid="{00000000-0006-0000-0000-000029030000}">
      <text>
        <r>
          <rPr>
            <b/>
            <sz val="10"/>
            <color indexed="81"/>
            <rFont val="Tahoma"/>
            <family val="2"/>
          </rPr>
          <t>Author:</t>
        </r>
        <r>
          <rPr>
            <sz val="10"/>
            <color indexed="81"/>
            <rFont val="Tahoma"/>
            <family val="2"/>
          </rPr>
          <t xml:space="preserve">
See nameplate picture. Single CT on H2 rated at 1125A</t>
        </r>
      </text>
    </comment>
    <comment ref="Q58" authorId="0" shapeId="0" xr:uid="{00000000-0006-0000-0000-00002A030000}">
      <text>
        <r>
          <rPr>
            <b/>
            <sz val="9"/>
            <color indexed="81"/>
            <rFont val="Tahoma"/>
            <family val="2"/>
          </rPr>
          <t>Author:</t>
        </r>
        <r>
          <rPr>
            <sz val="9"/>
            <color indexed="81"/>
            <rFont val="Tahoma"/>
            <family val="2"/>
          </rPr>
          <t xml:space="preserve">
Generator Breakers are part of transmission FAC-008</t>
        </r>
      </text>
    </comment>
    <comment ref="R58" authorId="0" shapeId="0" xr:uid="{00000000-0006-0000-0000-00002B030000}">
      <text>
        <r>
          <rPr>
            <b/>
            <sz val="9"/>
            <color indexed="81"/>
            <rFont val="Tahoma"/>
            <family val="2"/>
          </rPr>
          <t>Author:</t>
        </r>
        <r>
          <rPr>
            <sz val="9"/>
            <color indexed="81"/>
            <rFont val="Tahoma"/>
            <family val="2"/>
          </rPr>
          <t xml:space="preserve">
Generator Breakers are part of transmission FAC-008</t>
        </r>
      </text>
    </comment>
    <comment ref="S58" authorId="0" shapeId="0" xr:uid="{00000000-0006-0000-0000-00002C030000}">
      <text>
        <r>
          <rPr>
            <b/>
            <sz val="9"/>
            <color indexed="81"/>
            <rFont val="Tahoma"/>
            <family val="2"/>
          </rPr>
          <t>Author:</t>
        </r>
        <r>
          <rPr>
            <sz val="9"/>
            <color indexed="81"/>
            <rFont val="Tahoma"/>
            <family val="2"/>
          </rPr>
          <t xml:space="preserve">
Tap 1</t>
        </r>
      </text>
    </comment>
    <comment ref="T58" authorId="0" shapeId="0" xr:uid="{00000000-0006-0000-0000-00002D030000}">
      <text>
        <r>
          <rPr>
            <b/>
            <sz val="9"/>
            <color indexed="81"/>
            <rFont val="Tahoma"/>
            <family val="2"/>
          </rPr>
          <t>Author:</t>
        </r>
        <r>
          <rPr>
            <sz val="9"/>
            <color indexed="81"/>
            <rFont val="Tahoma"/>
            <family val="2"/>
          </rPr>
          <t xml:space="preserve">
Value from Subs Eng FAC-008-3 Spreadsheet.
Limiting Element: 1272 ACSR Conductor</t>
        </r>
      </text>
    </comment>
    <comment ref="V58" authorId="0" shapeId="0" xr:uid="{00000000-0006-0000-0000-00002E030000}">
      <text>
        <r>
          <rPr>
            <b/>
            <sz val="9"/>
            <color indexed="81"/>
            <rFont val="Tahoma"/>
            <family val="2"/>
          </rPr>
          <t>Author:</t>
        </r>
        <r>
          <rPr>
            <sz val="9"/>
            <color indexed="81"/>
            <rFont val="Tahoma"/>
            <family val="2"/>
          </rPr>
          <t xml:space="preserve">
Delta Current rating per nameplate</t>
        </r>
      </text>
    </comment>
    <comment ref="W58" authorId="0" shapeId="0" xr:uid="{00000000-0006-0000-0000-00002F030000}">
      <text>
        <r>
          <rPr>
            <b/>
            <sz val="9"/>
            <color indexed="81"/>
            <rFont val="Tahoma"/>
            <family val="2"/>
          </rPr>
          <t xml:space="preserve">Brady Nunn:
</t>
        </r>
        <r>
          <rPr>
            <sz val="9"/>
            <color indexed="81"/>
            <rFont val="Tahoma"/>
            <family val="2"/>
          </rPr>
          <t>50 function pickup at 33.12A secondary, CTR= 240. HS pickup = 7948.8A. LS pickup = 84177.792A
51 function is set to 8.03 A secondary, CTR=240. HS pickup  = 1927.2A. LS pickup  = 20409A
21 function (on generator) has been evaluated to PRC-025.</t>
        </r>
      </text>
    </comment>
    <comment ref="Y58" authorId="0" shapeId="0" xr:uid="{00000000-0006-0000-0000-000030030000}">
      <text>
        <r>
          <rPr>
            <b/>
            <sz val="9"/>
            <color indexed="81"/>
            <rFont val="Tahoma"/>
            <family val="2"/>
          </rPr>
          <t>Author:</t>
        </r>
        <r>
          <rPr>
            <sz val="9"/>
            <color indexed="81"/>
            <rFont val="Tahoma"/>
            <family val="2"/>
          </rPr>
          <t xml:space="preserve">
Nameplate</t>
        </r>
      </text>
    </comment>
    <comment ref="AC58" authorId="0" shapeId="0" xr:uid="{00000000-0006-0000-0000-000031030000}">
      <text>
        <r>
          <rPr>
            <b/>
            <sz val="10"/>
            <color indexed="81"/>
            <rFont val="Tahoma"/>
            <family val="2"/>
          </rPr>
          <t>Author:</t>
        </r>
        <r>
          <rPr>
            <sz val="10"/>
            <color indexed="81"/>
            <rFont val="Tahoma"/>
            <family val="2"/>
          </rPr>
          <t xml:space="preserve">
Info from Generator Data sheet, corrected for altitude.</t>
        </r>
      </text>
    </comment>
    <comment ref="AD58" authorId="0" shapeId="0" xr:uid="{00000000-0006-0000-0000-000032030000}">
      <text>
        <r>
          <rPr>
            <b/>
            <sz val="10"/>
            <color indexed="81"/>
            <rFont val="Tahoma"/>
            <family val="2"/>
          </rPr>
          <t>Author:</t>
        </r>
        <r>
          <rPr>
            <sz val="10"/>
            <color indexed="81"/>
            <rFont val="Tahoma"/>
            <family val="2"/>
          </rPr>
          <t xml:space="preserve">
See K14-76T-E5091</t>
        </r>
      </text>
    </comment>
    <comment ref="C59" authorId="0" shapeId="0" xr:uid="{00000000-0006-0000-0000-000033030000}">
      <text>
        <r>
          <rPr>
            <b/>
            <sz val="10"/>
            <color indexed="81"/>
            <rFont val="Tahoma"/>
            <family val="2"/>
          </rPr>
          <t>Author:</t>
        </r>
        <r>
          <rPr>
            <sz val="10"/>
            <color indexed="81"/>
            <rFont val="Tahoma"/>
            <family val="2"/>
          </rPr>
          <t xml:space="preserve">
See nameplate picture</t>
        </r>
      </text>
    </comment>
    <comment ref="D59" authorId="0" shapeId="0" xr:uid="{00000000-0006-0000-0000-000034030000}">
      <text>
        <r>
          <rPr>
            <b/>
            <sz val="10"/>
            <color indexed="81"/>
            <rFont val="Tahoma"/>
            <family val="2"/>
          </rPr>
          <t>Author:</t>
        </r>
        <r>
          <rPr>
            <sz val="10"/>
            <color indexed="81"/>
            <rFont val="Tahoma"/>
            <family val="2"/>
          </rPr>
          <t xml:space="preserve">
See nameplate picture</t>
        </r>
      </text>
    </comment>
    <comment ref="E59" authorId="0" shapeId="0" xr:uid="{00000000-0006-0000-0000-000035030000}">
      <text>
        <r>
          <rPr>
            <b/>
            <sz val="10"/>
            <color indexed="81"/>
            <rFont val="Tahoma"/>
            <family val="2"/>
          </rPr>
          <t>Author:</t>
        </r>
        <r>
          <rPr>
            <sz val="10"/>
            <color indexed="81"/>
            <rFont val="Tahoma"/>
            <family val="2"/>
          </rPr>
          <t xml:space="preserve">
See nameplate picture</t>
        </r>
      </text>
    </comment>
    <comment ref="F59" authorId="0" shapeId="0" xr:uid="{00000000-0006-0000-0000-000036030000}">
      <text>
        <r>
          <rPr>
            <b/>
            <sz val="10"/>
            <color indexed="81"/>
            <rFont val="Tahoma"/>
            <family val="2"/>
          </rPr>
          <t>Author:</t>
        </r>
        <r>
          <rPr>
            <sz val="10"/>
            <color indexed="81"/>
            <rFont val="Tahoma"/>
            <family val="2"/>
          </rPr>
          <t xml:space="preserve">
See 1778D02</t>
        </r>
      </text>
    </comment>
    <comment ref="G59" authorId="0" shapeId="0" xr:uid="{00000000-0006-0000-0000-000037030000}">
      <text>
        <r>
          <rPr>
            <b/>
            <sz val="10"/>
            <color indexed="81"/>
            <rFont val="Tahoma"/>
            <family val="2"/>
          </rPr>
          <t>Author:</t>
        </r>
        <r>
          <rPr>
            <sz val="10"/>
            <color indexed="81"/>
            <rFont val="Tahoma"/>
            <family val="2"/>
          </rPr>
          <t xml:space="preserve">
See U-126675-M</t>
        </r>
      </text>
    </comment>
    <comment ref="H59" authorId="0" shapeId="0" xr:uid="{00000000-0006-0000-0000-000038030000}">
      <text>
        <r>
          <rPr>
            <b/>
            <sz val="9"/>
            <color indexed="81"/>
            <rFont val="Tahoma"/>
            <family val="2"/>
          </rPr>
          <t>Author:</t>
        </r>
        <r>
          <rPr>
            <sz val="9"/>
            <color indexed="81"/>
            <rFont val="Tahoma"/>
            <family val="2"/>
          </rPr>
          <t xml:space="preserve">
Generator disconnect is part of transmission FAC-008</t>
        </r>
      </text>
    </comment>
    <comment ref="J59" authorId="0" shapeId="0" xr:uid="{00000000-0006-0000-0000-000039030000}">
      <text>
        <r>
          <rPr>
            <b/>
            <sz val="10"/>
            <color indexed="81"/>
            <rFont val="Tahoma"/>
            <family val="2"/>
          </rPr>
          <t>Author:</t>
        </r>
        <r>
          <rPr>
            <sz val="10"/>
            <color indexed="81"/>
            <rFont val="Tahoma"/>
            <family val="2"/>
          </rPr>
          <t xml:space="preserve">
See nameplate picture</t>
        </r>
      </text>
    </comment>
    <comment ref="L59" authorId="0" shapeId="0" xr:uid="{00000000-0006-0000-0000-00003A030000}">
      <text>
        <r>
          <rPr>
            <b/>
            <sz val="10"/>
            <color indexed="81"/>
            <rFont val="Tahoma"/>
            <family val="2"/>
          </rPr>
          <t>Author:</t>
        </r>
        <r>
          <rPr>
            <sz val="10"/>
            <color indexed="81"/>
            <rFont val="Tahoma"/>
            <family val="2"/>
          </rPr>
          <t xml:space="preserve">
See nameplate picture</t>
        </r>
      </text>
    </comment>
    <comment ref="N59" authorId="0" shapeId="0" xr:uid="{00000000-0006-0000-0000-00003B030000}">
      <text>
        <r>
          <rPr>
            <b/>
            <sz val="10"/>
            <color indexed="81"/>
            <rFont val="Tahoma"/>
            <family val="2"/>
          </rPr>
          <t>Author:</t>
        </r>
        <r>
          <rPr>
            <sz val="10"/>
            <color indexed="81"/>
            <rFont val="Tahoma"/>
            <family val="2"/>
          </rPr>
          <t xml:space="preserve">
See nameplate picture</t>
        </r>
      </text>
    </comment>
    <comment ref="O59" authorId="0" shapeId="0" xr:uid="{00000000-0006-0000-0000-00003C030000}">
      <text>
        <r>
          <rPr>
            <b/>
            <sz val="10"/>
            <color indexed="81"/>
            <rFont val="Tahoma"/>
            <family val="2"/>
          </rPr>
          <t>Author:</t>
        </r>
        <r>
          <rPr>
            <sz val="10"/>
            <color indexed="81"/>
            <rFont val="Tahoma"/>
            <family val="2"/>
          </rPr>
          <t xml:space="preserve">
See nameplate picture. Single CT on H2 rated at 1125A</t>
        </r>
      </text>
    </comment>
    <comment ref="Q59" authorId="0" shapeId="0" xr:uid="{00000000-0006-0000-0000-00003D030000}">
      <text>
        <r>
          <rPr>
            <b/>
            <sz val="9"/>
            <color indexed="81"/>
            <rFont val="Tahoma"/>
            <family val="2"/>
          </rPr>
          <t>Author:</t>
        </r>
        <r>
          <rPr>
            <sz val="9"/>
            <color indexed="81"/>
            <rFont val="Tahoma"/>
            <family val="2"/>
          </rPr>
          <t xml:space="preserve">
Generator Breakers are part of transmission FAC-008</t>
        </r>
      </text>
    </comment>
    <comment ref="R59" authorId="0" shapeId="0" xr:uid="{00000000-0006-0000-0000-00003E030000}">
      <text>
        <r>
          <rPr>
            <b/>
            <sz val="9"/>
            <color indexed="81"/>
            <rFont val="Tahoma"/>
            <family val="2"/>
          </rPr>
          <t>Author:</t>
        </r>
        <r>
          <rPr>
            <sz val="9"/>
            <color indexed="81"/>
            <rFont val="Tahoma"/>
            <family val="2"/>
          </rPr>
          <t xml:space="preserve">
Generator Breakers are part of transmission FAC-008</t>
        </r>
      </text>
    </comment>
    <comment ref="S59" authorId="0" shapeId="0" xr:uid="{00000000-0006-0000-0000-00003F030000}">
      <text>
        <r>
          <rPr>
            <b/>
            <sz val="9"/>
            <color indexed="81"/>
            <rFont val="Tahoma"/>
            <family val="2"/>
          </rPr>
          <t>Author:</t>
        </r>
        <r>
          <rPr>
            <sz val="9"/>
            <color indexed="81"/>
            <rFont val="Tahoma"/>
            <family val="2"/>
          </rPr>
          <t xml:space="preserve">
Tap 1</t>
        </r>
      </text>
    </comment>
    <comment ref="T59" authorId="0" shapeId="0" xr:uid="{00000000-0006-0000-0000-000040030000}">
      <text>
        <r>
          <rPr>
            <b/>
            <sz val="9"/>
            <color indexed="81"/>
            <rFont val="Tahoma"/>
            <family val="2"/>
          </rPr>
          <t>Author:</t>
        </r>
        <r>
          <rPr>
            <sz val="9"/>
            <color indexed="81"/>
            <rFont val="Tahoma"/>
            <family val="2"/>
          </rPr>
          <t xml:space="preserve">
Value from Subs Eng FAC-008-3 Spreadsheet.
Limiting Element: 1272 ACSR Conductor</t>
        </r>
      </text>
    </comment>
    <comment ref="V59" authorId="0" shapeId="0" xr:uid="{00000000-0006-0000-0000-000041030000}">
      <text>
        <r>
          <rPr>
            <b/>
            <sz val="9"/>
            <color indexed="81"/>
            <rFont val="Tahoma"/>
            <family val="2"/>
          </rPr>
          <t>Author:</t>
        </r>
        <r>
          <rPr>
            <sz val="9"/>
            <color indexed="81"/>
            <rFont val="Tahoma"/>
            <family val="2"/>
          </rPr>
          <t xml:space="preserve">
Delta Current rating per nameplate</t>
        </r>
      </text>
    </comment>
    <comment ref="W59" authorId="0" shapeId="0" xr:uid="{00000000-0006-0000-0000-000042030000}">
      <text>
        <r>
          <rPr>
            <b/>
            <sz val="9"/>
            <color indexed="81"/>
            <rFont val="Tahoma"/>
            <family val="2"/>
          </rPr>
          <t>Author:</t>
        </r>
        <r>
          <rPr>
            <sz val="9"/>
            <color indexed="81"/>
            <rFont val="Tahoma"/>
            <family val="2"/>
          </rPr>
          <t xml:space="preserve">
No setting changes have been made since the acquisition of this plant</t>
        </r>
      </text>
    </comment>
    <comment ref="Y59" authorId="0" shapeId="0" xr:uid="{00000000-0006-0000-0000-000043030000}">
      <text>
        <r>
          <rPr>
            <b/>
            <sz val="9"/>
            <color indexed="81"/>
            <rFont val="Tahoma"/>
            <family val="2"/>
          </rPr>
          <t>Author:</t>
        </r>
        <r>
          <rPr>
            <sz val="9"/>
            <color indexed="81"/>
            <rFont val="Tahoma"/>
            <family val="2"/>
          </rPr>
          <t xml:space="preserve">
Nameplate</t>
        </r>
      </text>
    </comment>
    <comment ref="AC59" authorId="0" shapeId="0" xr:uid="{00000000-0006-0000-0000-000044030000}">
      <text>
        <r>
          <rPr>
            <b/>
            <sz val="10"/>
            <color indexed="81"/>
            <rFont val="Tahoma"/>
            <family val="2"/>
          </rPr>
          <t>Author:</t>
        </r>
        <r>
          <rPr>
            <sz val="10"/>
            <color indexed="81"/>
            <rFont val="Tahoma"/>
            <family val="2"/>
          </rPr>
          <t xml:space="preserve">
Info from Generator Data sheet, corrected for altitude.</t>
        </r>
      </text>
    </comment>
    <comment ref="AD59" authorId="0" shapeId="0" xr:uid="{00000000-0006-0000-0000-000045030000}">
      <text>
        <r>
          <rPr>
            <b/>
            <sz val="10"/>
            <color indexed="81"/>
            <rFont val="Tahoma"/>
            <family val="2"/>
          </rPr>
          <t>Author:</t>
        </r>
        <r>
          <rPr>
            <sz val="10"/>
            <color indexed="81"/>
            <rFont val="Tahoma"/>
            <family val="2"/>
          </rPr>
          <t xml:space="preserve">
See K14-76T-E5091</t>
        </r>
      </text>
    </comment>
    <comment ref="C60" authorId="0" shapeId="0" xr:uid="{00000000-0006-0000-0000-000046030000}">
      <text>
        <r>
          <rPr>
            <b/>
            <sz val="10"/>
            <color indexed="81"/>
            <rFont val="Tahoma"/>
            <family val="2"/>
          </rPr>
          <t>Author:</t>
        </r>
        <r>
          <rPr>
            <sz val="10"/>
            <color indexed="81"/>
            <rFont val="Tahoma"/>
            <family val="2"/>
          </rPr>
          <t xml:space="preserve">
From Generator Data sheet generator output as a function of inlet air temperature corrected for altitude. 5430' (.915 multiplier). Base capability curve at 104F used</t>
        </r>
      </text>
    </comment>
    <comment ref="D60" authorId="0" shapeId="0" xr:uid="{00000000-0006-0000-0000-000047030000}">
      <text>
        <r>
          <rPr>
            <b/>
            <sz val="10"/>
            <color indexed="81"/>
            <rFont val="Tahoma"/>
            <family val="2"/>
          </rPr>
          <t>Author:</t>
        </r>
        <r>
          <rPr>
            <sz val="10"/>
            <color indexed="81"/>
            <rFont val="Tahoma"/>
            <family val="2"/>
          </rPr>
          <t xml:space="preserve">
From Generator Data sheet.</t>
        </r>
      </text>
    </comment>
    <comment ref="E60" authorId="0" shapeId="0" xr:uid="{00000000-0006-0000-0000-000048030000}">
      <text>
        <r>
          <rPr>
            <b/>
            <sz val="10"/>
            <color indexed="81"/>
            <rFont val="Tahoma"/>
            <family val="2"/>
          </rPr>
          <t>Author:</t>
        </r>
        <r>
          <rPr>
            <sz val="10"/>
            <color indexed="81"/>
            <rFont val="Tahoma"/>
            <family val="2"/>
          </rPr>
          <t xml:space="preserve">
From Summer capability corrected for altitude. 5430' (.915 multiplier)</t>
        </r>
      </text>
    </comment>
    <comment ref="F60" authorId="0" shapeId="0" xr:uid="{00000000-0006-0000-0000-000049030000}">
      <text>
        <r>
          <rPr>
            <b/>
            <sz val="10"/>
            <color indexed="81"/>
            <rFont val="Tahoma"/>
            <family val="2"/>
          </rPr>
          <t>Author:</t>
        </r>
        <r>
          <rPr>
            <sz val="10"/>
            <color indexed="81"/>
            <rFont val="Tahoma"/>
            <family val="2"/>
          </rPr>
          <t xml:space="preserve">
See 813E895</t>
        </r>
      </text>
    </comment>
    <comment ref="G60" authorId="0" shapeId="0" xr:uid="{00000000-0006-0000-0000-00004A030000}">
      <text>
        <r>
          <rPr>
            <b/>
            <sz val="10"/>
            <color indexed="81"/>
            <rFont val="Tahoma"/>
            <family val="2"/>
          </rPr>
          <t>Author:</t>
        </r>
        <r>
          <rPr>
            <sz val="10"/>
            <color indexed="81"/>
            <rFont val="Tahoma"/>
            <family val="2"/>
          </rPr>
          <t xml:space="preserve">
See 952614</t>
        </r>
      </text>
    </comment>
    <comment ref="H60" authorId="0" shapeId="0" xr:uid="{00000000-0006-0000-0000-00004B030000}">
      <text>
        <r>
          <rPr>
            <b/>
            <sz val="10"/>
            <color indexed="81"/>
            <rFont val="Tahoma"/>
            <family val="2"/>
          </rPr>
          <t>Author:</t>
        </r>
        <r>
          <rPr>
            <sz val="10"/>
            <color indexed="81"/>
            <rFont val="Tahoma"/>
            <family val="2"/>
          </rPr>
          <t xml:space="preserve">
See name plate picture for DS 1512</t>
        </r>
      </text>
    </comment>
    <comment ref="J60" authorId="0" shapeId="0" xr:uid="{00000000-0006-0000-0000-00004C030000}">
      <text>
        <r>
          <rPr>
            <b/>
            <sz val="10"/>
            <color indexed="81"/>
            <rFont val="Tahoma"/>
            <family val="2"/>
          </rPr>
          <t>Author:</t>
        </r>
        <r>
          <rPr>
            <sz val="10"/>
            <color indexed="81"/>
            <rFont val="Tahoma"/>
            <family val="2"/>
          </rPr>
          <t xml:space="preserve">
See nameplate picture</t>
        </r>
      </text>
    </comment>
    <comment ref="L60" authorId="0" shapeId="0" xr:uid="{00000000-0006-0000-0000-00004D030000}">
      <text>
        <r>
          <rPr>
            <b/>
            <sz val="10"/>
            <color indexed="81"/>
            <rFont val="Tahoma"/>
            <family val="2"/>
          </rPr>
          <t>Author:</t>
        </r>
        <r>
          <rPr>
            <sz val="10"/>
            <color indexed="81"/>
            <rFont val="Tahoma"/>
            <family val="2"/>
          </rPr>
          <t xml:space="preserve">
See nameplate picture</t>
        </r>
      </text>
    </comment>
    <comment ref="N60" authorId="0" shapeId="0" xr:uid="{00000000-0006-0000-0000-00004E030000}">
      <text>
        <r>
          <rPr>
            <b/>
            <sz val="10"/>
            <color indexed="81"/>
            <rFont val="Tahoma"/>
            <family val="2"/>
          </rPr>
          <t>Author:</t>
        </r>
        <r>
          <rPr>
            <sz val="10"/>
            <color indexed="81"/>
            <rFont val="Tahoma"/>
            <family val="2"/>
          </rPr>
          <t xml:space="preserve">
See nameplate picture</t>
        </r>
      </text>
    </comment>
    <comment ref="O60" authorId="0" shapeId="0" xr:uid="{00000000-0006-0000-0000-00004F030000}">
      <text>
        <r>
          <rPr>
            <b/>
            <sz val="10"/>
            <color indexed="81"/>
            <rFont val="Tahoma"/>
            <family val="2"/>
          </rPr>
          <t>Author:</t>
        </r>
        <r>
          <rPr>
            <sz val="10"/>
            <color indexed="81"/>
            <rFont val="Tahoma"/>
            <family val="2"/>
          </rPr>
          <t xml:space="preserve">
See nameplate picture - 
KBS - Not Used</t>
        </r>
      </text>
    </comment>
    <comment ref="Q60" authorId="0" shapeId="0" xr:uid="{00000000-0006-0000-0000-000050030000}">
      <text>
        <r>
          <rPr>
            <b/>
            <sz val="10"/>
            <color indexed="81"/>
            <rFont val="Tahoma"/>
            <family val="2"/>
          </rPr>
          <t>Author:</t>
        </r>
        <r>
          <rPr>
            <sz val="10"/>
            <color indexed="81"/>
            <rFont val="Tahoma"/>
            <family val="2"/>
          </rPr>
          <t xml:space="preserve">
See 813E895</t>
        </r>
      </text>
    </comment>
    <comment ref="R60" authorId="0" shapeId="0" xr:uid="{00000000-0006-0000-0000-000051030000}">
      <text>
        <r>
          <rPr>
            <b/>
            <sz val="10"/>
            <color indexed="81"/>
            <rFont val="Tahoma"/>
            <family val="2"/>
          </rPr>
          <t>Author:</t>
        </r>
        <r>
          <rPr>
            <sz val="10"/>
            <color indexed="81"/>
            <rFont val="Tahoma"/>
            <family val="2"/>
          </rPr>
          <t xml:space="preserve">
See 813E895</t>
        </r>
      </text>
    </comment>
    <comment ref="S60" authorId="0" shapeId="0" xr:uid="{00000000-0006-0000-0000-000052030000}">
      <text>
        <r>
          <rPr>
            <b/>
            <sz val="9"/>
            <color indexed="81"/>
            <rFont val="Tahoma"/>
            <family val="2"/>
          </rPr>
          <t>Author:</t>
        </r>
        <r>
          <rPr>
            <sz val="9"/>
            <color indexed="81"/>
            <rFont val="Tahoma"/>
            <family val="2"/>
          </rPr>
          <t xml:space="preserve">
Tap C</t>
        </r>
      </text>
    </comment>
    <comment ref="T60" authorId="0" shapeId="0" xr:uid="{00000000-0006-0000-0000-000053030000}">
      <text>
        <r>
          <rPr>
            <b/>
            <sz val="9"/>
            <color indexed="81"/>
            <rFont val="Tahoma"/>
            <family val="2"/>
          </rPr>
          <t>Author:</t>
        </r>
        <r>
          <rPr>
            <sz val="9"/>
            <color indexed="81"/>
            <rFont val="Tahoma"/>
            <family val="2"/>
          </rPr>
          <t xml:space="preserve">
Value from Subs Eng FAC-008-3 Spreadsheet.
Limiting element: Breaker CTs</t>
        </r>
      </text>
    </comment>
    <comment ref="V60" authorId="0" shapeId="0" xr:uid="{00000000-0006-0000-0000-000054030000}">
      <text>
        <r>
          <rPr>
            <b/>
            <sz val="9"/>
            <color indexed="81"/>
            <rFont val="Tahoma"/>
            <family val="2"/>
          </rPr>
          <t>Author:</t>
        </r>
        <r>
          <rPr>
            <sz val="9"/>
            <color indexed="81"/>
            <rFont val="Tahoma"/>
            <family val="2"/>
          </rPr>
          <t xml:space="preserve">
Nameplate is at 60MVA so a calculation is used.</t>
        </r>
      </text>
    </comment>
    <comment ref="W60" authorId="0" shapeId="0" xr:uid="{00000000-0006-0000-0000-000055030000}">
      <text>
        <r>
          <rPr>
            <b/>
            <sz val="10"/>
            <color indexed="81"/>
            <rFont val="Tahoma"/>
            <family val="2"/>
          </rPr>
          <t xml:space="preserve">Brady Nunn:
</t>
        </r>
        <r>
          <rPr>
            <sz val="10"/>
            <color indexed="81"/>
            <rFont val="Tahoma"/>
            <family val="2"/>
          </rPr>
          <t>50 function pickup at 27.4A secondary, CTR= 160. HS pickup = 4384A. LS pickup = 38184.6A
51 function is set to 4.3 A secondary, CTR=160. HS pickup  = 688A. LS pickup  = 5992.5A
21 function (on generator) has been evaluated to PRC-025.</t>
        </r>
      </text>
    </comment>
    <comment ref="Y60" authorId="0" shapeId="0" xr:uid="{00000000-0006-0000-0000-000056030000}">
      <text>
        <r>
          <rPr>
            <b/>
            <sz val="9"/>
            <color indexed="81"/>
            <rFont val="Tahoma"/>
            <family val="2"/>
          </rPr>
          <t>Author:</t>
        </r>
        <r>
          <rPr>
            <sz val="9"/>
            <color indexed="81"/>
            <rFont val="Tahoma"/>
            <family val="2"/>
          </rPr>
          <t xml:space="preserve">
Nameplate shows capability at 55F rating, this is calculated using KVA for 65F rating at 62700KVA</t>
        </r>
      </text>
    </comment>
    <comment ref="AC60" authorId="0" shapeId="0" xr:uid="{00000000-0006-0000-0000-000057030000}">
      <text>
        <r>
          <rPr>
            <b/>
            <sz val="10"/>
            <color indexed="81"/>
            <rFont val="Tahoma"/>
            <family val="2"/>
          </rPr>
          <t>Author:</t>
        </r>
        <r>
          <rPr>
            <sz val="10"/>
            <color indexed="81"/>
            <rFont val="Tahoma"/>
            <family val="2"/>
          </rPr>
          <t xml:space="preserve">
Info from Generator Data sheet, corrected for altitude.</t>
        </r>
      </text>
    </comment>
    <comment ref="AD60" authorId="0" shapeId="0" xr:uid="{00000000-0006-0000-0000-000058030000}">
      <text>
        <r>
          <rPr>
            <b/>
            <sz val="10"/>
            <color indexed="81"/>
            <rFont val="Tahoma"/>
            <family val="2"/>
          </rPr>
          <t>Author:</t>
        </r>
        <r>
          <rPr>
            <sz val="10"/>
            <color indexed="81"/>
            <rFont val="Tahoma"/>
            <family val="2"/>
          </rPr>
          <t xml:space="preserve">
See K14-76T-E5091</t>
        </r>
      </text>
    </comment>
    <comment ref="C61" authorId="0" shapeId="0" xr:uid="{00000000-0006-0000-0000-000059030000}">
      <text>
        <r>
          <rPr>
            <b/>
            <sz val="10"/>
            <color indexed="81"/>
            <rFont val="Tahoma"/>
            <family val="2"/>
          </rPr>
          <t>Author:</t>
        </r>
        <r>
          <rPr>
            <sz val="10"/>
            <color indexed="81"/>
            <rFont val="Tahoma"/>
            <family val="2"/>
          </rPr>
          <t xml:space="preserve">
From Generator Data sheet generator output as a function of inlet air temperature corrected for altitude. 5430' (.915 multiplier) Base capability curve at 0F used</t>
        </r>
      </text>
    </comment>
    <comment ref="D61" authorId="0" shapeId="0" xr:uid="{00000000-0006-0000-0000-00005A030000}">
      <text>
        <r>
          <rPr>
            <b/>
            <sz val="10"/>
            <color indexed="81"/>
            <rFont val="Tahoma"/>
            <family val="2"/>
          </rPr>
          <t>Author:</t>
        </r>
        <r>
          <rPr>
            <sz val="10"/>
            <color indexed="81"/>
            <rFont val="Tahoma"/>
            <family val="2"/>
          </rPr>
          <t xml:space="preserve">
From Generator Data sheet.</t>
        </r>
      </text>
    </comment>
    <comment ref="E61" authorId="0" shapeId="0" xr:uid="{00000000-0006-0000-0000-00005B030000}">
      <text>
        <r>
          <rPr>
            <b/>
            <sz val="10"/>
            <color indexed="81"/>
            <rFont val="Tahoma"/>
            <family val="2"/>
          </rPr>
          <t>Author:</t>
        </r>
        <r>
          <rPr>
            <sz val="10"/>
            <color indexed="81"/>
            <rFont val="Tahoma"/>
            <family val="2"/>
          </rPr>
          <t xml:space="preserve">
From Winter capability corrected for altitude. 5430' (.915 multiplier)</t>
        </r>
      </text>
    </comment>
    <comment ref="F61" authorId="0" shapeId="0" xr:uid="{00000000-0006-0000-0000-00005C030000}">
      <text>
        <r>
          <rPr>
            <b/>
            <sz val="10"/>
            <color indexed="81"/>
            <rFont val="Tahoma"/>
            <family val="2"/>
          </rPr>
          <t>Author:</t>
        </r>
        <r>
          <rPr>
            <sz val="10"/>
            <color indexed="81"/>
            <rFont val="Tahoma"/>
            <family val="2"/>
          </rPr>
          <t xml:space="preserve">
See 813E895</t>
        </r>
      </text>
    </comment>
    <comment ref="G61" authorId="0" shapeId="0" xr:uid="{00000000-0006-0000-0000-00005D030000}">
      <text>
        <r>
          <rPr>
            <b/>
            <sz val="10"/>
            <color indexed="81"/>
            <rFont val="Tahoma"/>
            <family val="2"/>
          </rPr>
          <t>Author:</t>
        </r>
        <r>
          <rPr>
            <sz val="10"/>
            <color indexed="81"/>
            <rFont val="Tahoma"/>
            <family val="2"/>
          </rPr>
          <t xml:space="preserve">
See 952614</t>
        </r>
      </text>
    </comment>
    <comment ref="H61" authorId="0" shapeId="0" xr:uid="{00000000-0006-0000-0000-00005E030000}">
      <text>
        <r>
          <rPr>
            <b/>
            <sz val="10"/>
            <color indexed="81"/>
            <rFont val="Tahoma"/>
            <family val="2"/>
          </rPr>
          <t>Author:</t>
        </r>
        <r>
          <rPr>
            <sz val="10"/>
            <color indexed="81"/>
            <rFont val="Tahoma"/>
            <family val="2"/>
          </rPr>
          <t xml:space="preserve">
See name plate picture for DS 1512</t>
        </r>
      </text>
    </comment>
    <comment ref="J61" authorId="0" shapeId="0" xr:uid="{00000000-0006-0000-0000-00005F030000}">
      <text>
        <r>
          <rPr>
            <b/>
            <sz val="10"/>
            <color indexed="81"/>
            <rFont val="Tahoma"/>
            <family val="2"/>
          </rPr>
          <t>Author:</t>
        </r>
        <r>
          <rPr>
            <sz val="10"/>
            <color indexed="81"/>
            <rFont val="Tahoma"/>
            <family val="2"/>
          </rPr>
          <t xml:space="preserve">
See nameplate picture</t>
        </r>
      </text>
    </comment>
    <comment ref="L61" authorId="0" shapeId="0" xr:uid="{00000000-0006-0000-0000-000060030000}">
      <text>
        <r>
          <rPr>
            <b/>
            <sz val="10"/>
            <color indexed="81"/>
            <rFont val="Tahoma"/>
            <family val="2"/>
          </rPr>
          <t>Author:</t>
        </r>
        <r>
          <rPr>
            <sz val="10"/>
            <color indexed="81"/>
            <rFont val="Tahoma"/>
            <family val="2"/>
          </rPr>
          <t xml:space="preserve">
See nameplate picture</t>
        </r>
      </text>
    </comment>
    <comment ref="N61" authorId="0" shapeId="0" xr:uid="{00000000-0006-0000-0000-000061030000}">
      <text>
        <r>
          <rPr>
            <b/>
            <sz val="10"/>
            <color indexed="81"/>
            <rFont val="Tahoma"/>
            <family val="2"/>
          </rPr>
          <t>Author:</t>
        </r>
        <r>
          <rPr>
            <sz val="10"/>
            <color indexed="81"/>
            <rFont val="Tahoma"/>
            <family val="2"/>
          </rPr>
          <t xml:space="preserve">
See nameplate picture</t>
        </r>
      </text>
    </comment>
    <comment ref="O61" authorId="0" shapeId="0" xr:uid="{00000000-0006-0000-0000-000062030000}">
      <text>
        <r>
          <rPr>
            <b/>
            <sz val="10"/>
            <color indexed="81"/>
            <rFont val="Tahoma"/>
            <family val="2"/>
          </rPr>
          <t>Author:</t>
        </r>
        <r>
          <rPr>
            <sz val="10"/>
            <color indexed="81"/>
            <rFont val="Tahoma"/>
            <family val="2"/>
          </rPr>
          <t xml:space="preserve">
See nameplate picture
KBS - Not Used</t>
        </r>
      </text>
    </comment>
    <comment ref="Q61" authorId="0" shapeId="0" xr:uid="{00000000-0006-0000-0000-000063030000}">
      <text>
        <r>
          <rPr>
            <b/>
            <sz val="10"/>
            <color indexed="81"/>
            <rFont val="Tahoma"/>
            <family val="2"/>
          </rPr>
          <t>Author:</t>
        </r>
        <r>
          <rPr>
            <sz val="10"/>
            <color indexed="81"/>
            <rFont val="Tahoma"/>
            <family val="2"/>
          </rPr>
          <t xml:space="preserve">
See 813E895</t>
        </r>
      </text>
    </comment>
    <comment ref="R61" authorId="0" shapeId="0" xr:uid="{00000000-0006-0000-0000-000064030000}">
      <text>
        <r>
          <rPr>
            <b/>
            <sz val="10"/>
            <color indexed="81"/>
            <rFont val="Tahoma"/>
            <family val="2"/>
          </rPr>
          <t>Author:</t>
        </r>
        <r>
          <rPr>
            <sz val="10"/>
            <color indexed="81"/>
            <rFont val="Tahoma"/>
            <family val="2"/>
          </rPr>
          <t xml:space="preserve">
See 813E895</t>
        </r>
      </text>
    </comment>
    <comment ref="S61" authorId="0" shapeId="0" xr:uid="{00000000-0006-0000-0000-000065030000}">
      <text>
        <r>
          <rPr>
            <b/>
            <sz val="9"/>
            <color indexed="81"/>
            <rFont val="Tahoma"/>
            <family val="2"/>
          </rPr>
          <t>Author:</t>
        </r>
        <r>
          <rPr>
            <sz val="9"/>
            <color indexed="81"/>
            <rFont val="Tahoma"/>
            <family val="2"/>
          </rPr>
          <t xml:space="preserve">
Tap C</t>
        </r>
      </text>
    </comment>
    <comment ref="T61" authorId="0" shapeId="0" xr:uid="{00000000-0006-0000-0000-000066030000}">
      <text>
        <r>
          <rPr>
            <b/>
            <sz val="9"/>
            <color indexed="81"/>
            <rFont val="Tahoma"/>
            <family val="2"/>
          </rPr>
          <t>Author:</t>
        </r>
        <r>
          <rPr>
            <sz val="9"/>
            <color indexed="81"/>
            <rFont val="Tahoma"/>
            <family val="2"/>
          </rPr>
          <t xml:space="preserve">
Value from Subs Eng FAC-008-3 Spreadsheet.
Limiting Element: Breaker CTs</t>
        </r>
      </text>
    </comment>
    <comment ref="V61" authorId="0" shapeId="0" xr:uid="{00000000-0006-0000-0000-000067030000}">
      <text>
        <r>
          <rPr>
            <b/>
            <sz val="9"/>
            <color indexed="81"/>
            <rFont val="Tahoma"/>
            <family val="2"/>
          </rPr>
          <t>Author:</t>
        </r>
        <r>
          <rPr>
            <sz val="9"/>
            <color indexed="81"/>
            <rFont val="Tahoma"/>
            <family val="2"/>
          </rPr>
          <t xml:space="preserve">
Nameplate is at 60MVA so a calculation is used.</t>
        </r>
      </text>
    </comment>
    <comment ref="W61" authorId="0" shapeId="0" xr:uid="{00000000-0006-0000-0000-000068030000}">
      <text>
        <r>
          <rPr>
            <b/>
            <sz val="10"/>
            <color indexed="81"/>
            <rFont val="Tahoma"/>
            <family val="2"/>
          </rPr>
          <t xml:space="preserve">Brady Nunn:
</t>
        </r>
        <r>
          <rPr>
            <sz val="10"/>
            <color indexed="81"/>
            <rFont val="Tahoma"/>
            <family val="2"/>
          </rPr>
          <t>50 function pickup at 27.4A secondary, CTR= 160. HS pickup = 4384A. LS pickup = 38184.6A
51 function is set to 4.3 A secondary, CTR=160. HS pickup  = 688A. LS pickup  = 5992.5A
21 function (on generator) has been evaluated to PRC-025.</t>
        </r>
      </text>
    </comment>
    <comment ref="Y61" authorId="0" shapeId="0" xr:uid="{00000000-0006-0000-0000-000069030000}">
      <text>
        <r>
          <rPr>
            <b/>
            <sz val="9"/>
            <color indexed="81"/>
            <rFont val="Tahoma"/>
            <family val="2"/>
          </rPr>
          <t>Author:</t>
        </r>
        <r>
          <rPr>
            <sz val="9"/>
            <color indexed="81"/>
            <rFont val="Tahoma"/>
            <family val="2"/>
          </rPr>
          <t xml:space="preserve">
Nameplate shows capability at OA rating, this is calculated using KVA for FOA rating at 62700KVA</t>
        </r>
      </text>
    </comment>
    <comment ref="AC61" authorId="0" shapeId="0" xr:uid="{00000000-0006-0000-0000-00006A030000}">
      <text>
        <r>
          <rPr>
            <b/>
            <sz val="10"/>
            <color indexed="81"/>
            <rFont val="Tahoma"/>
            <family val="2"/>
          </rPr>
          <t>Author:</t>
        </r>
        <r>
          <rPr>
            <sz val="10"/>
            <color indexed="81"/>
            <rFont val="Tahoma"/>
            <family val="2"/>
          </rPr>
          <t xml:space="preserve">
Info from Generator Data sheet, corrected for altitude.</t>
        </r>
      </text>
    </comment>
    <comment ref="AD61" authorId="0" shapeId="0" xr:uid="{00000000-0006-0000-0000-00006B030000}">
      <text>
        <r>
          <rPr>
            <b/>
            <sz val="10"/>
            <color indexed="81"/>
            <rFont val="Tahoma"/>
            <family val="2"/>
          </rPr>
          <t>Author:</t>
        </r>
        <r>
          <rPr>
            <sz val="10"/>
            <color indexed="81"/>
            <rFont val="Tahoma"/>
            <family val="2"/>
          </rPr>
          <t xml:space="preserve">
See K14-76T-E5091</t>
        </r>
      </text>
    </comment>
    <comment ref="C62" authorId="0" shapeId="0" xr:uid="{00000000-0006-0000-0000-00006C030000}">
      <text>
        <r>
          <rPr>
            <b/>
            <sz val="10"/>
            <color indexed="81"/>
            <rFont val="Tahoma"/>
            <family val="2"/>
          </rPr>
          <t>Author:</t>
        </r>
        <r>
          <rPr>
            <sz val="10"/>
            <color indexed="81"/>
            <rFont val="Tahoma"/>
            <family val="2"/>
          </rPr>
          <t xml:space="preserve">
Variation of generator output with air inlet temp at 104F (40C)
accounted for PF (0.8 curve)
Altitude adjustment  5430' (.915 multiplier)</t>
        </r>
      </text>
    </comment>
    <comment ref="F62" authorId="0" shapeId="0" xr:uid="{00000000-0006-0000-0000-00006D030000}">
      <text>
        <r>
          <rPr>
            <b/>
            <sz val="9"/>
            <color indexed="81"/>
            <rFont val="Tahoma"/>
            <family val="2"/>
          </rPr>
          <t>Author:</t>
        </r>
        <r>
          <rPr>
            <sz val="9"/>
            <color indexed="81"/>
            <rFont val="Tahoma"/>
            <family val="2"/>
          </rPr>
          <t xml:space="preserve">
D001449-100E100 SH1
</t>
        </r>
      </text>
    </comment>
    <comment ref="G62" authorId="0" shapeId="0" xr:uid="{00000000-0006-0000-0000-00006E030000}">
      <text>
        <r>
          <rPr>
            <b/>
            <sz val="9"/>
            <color indexed="81"/>
            <rFont val="Tahoma"/>
            <family val="2"/>
          </rPr>
          <t>Author:</t>
        </r>
        <r>
          <rPr>
            <sz val="9"/>
            <color indexed="81"/>
            <rFont val="Tahoma"/>
            <family val="2"/>
          </rPr>
          <t xml:space="preserve">
Drawing D001449-500E001
8 MV-105 750 KCMIL conductors in underground electrical ducts. 375A *8 = 3000A per 2008 NEC table 310.77. Reference Valmont Facility Rating Assessment
5" AL Pipe: 3850 A - Reference XEL-EVD-Facility Rating Supplement-Table-Tubular and Square Conductor.xls
3x750 KCMIL open air conductors. Reference XEL-EVD-Facility Rating Supllement - Table - Bare Overhead Condctor.xls. Spacing Unknown, assume de-rated (more limiting). 2717A.
Gen Bus Section Most limiting: 2717A</t>
        </r>
      </text>
    </comment>
    <comment ref="J62" authorId="0" shapeId="0" xr:uid="{00000000-0006-0000-0000-00006F030000}">
      <text>
        <r>
          <rPr>
            <b/>
            <sz val="9"/>
            <color indexed="81"/>
            <rFont val="Tahoma"/>
            <family val="2"/>
          </rPr>
          <t>Author:</t>
        </r>
        <r>
          <rPr>
            <sz val="9"/>
            <color indexed="81"/>
            <rFont val="Tahoma"/>
            <family val="2"/>
          </rPr>
          <t xml:space="preserve">
Nameplate photo. 3 winding transformer, generator rating corresponds to LS winding connected to generator</t>
        </r>
      </text>
    </comment>
    <comment ref="N62" authorId="0" shapeId="0" xr:uid="{00000000-0006-0000-0000-000070030000}">
      <text>
        <r>
          <rPr>
            <b/>
            <sz val="9"/>
            <color indexed="81"/>
            <rFont val="Tahoma"/>
            <family val="2"/>
          </rPr>
          <t>Author:</t>
        </r>
        <r>
          <rPr>
            <sz val="9"/>
            <color indexed="81"/>
            <rFont val="Tahoma"/>
            <family val="2"/>
          </rPr>
          <t xml:space="preserve">
Reference Nameplate Photo
</t>
        </r>
      </text>
    </comment>
    <comment ref="Q62" authorId="0" shapeId="0" xr:uid="{00000000-0006-0000-0000-000071030000}">
      <text>
        <r>
          <rPr>
            <b/>
            <sz val="9"/>
            <color indexed="81"/>
            <rFont val="Tahoma"/>
            <family val="2"/>
          </rPr>
          <t>Author:</t>
        </r>
        <r>
          <rPr>
            <sz val="9"/>
            <color indexed="81"/>
            <rFont val="Tahoma"/>
            <family val="2"/>
          </rPr>
          <t xml:space="preserve">
M991081-510E003 S01 and D001449-100E100 SH1
 </t>
        </r>
      </text>
    </comment>
    <comment ref="R62" authorId="0" shapeId="0" xr:uid="{00000000-0006-0000-0000-000072030000}">
      <text>
        <r>
          <rPr>
            <b/>
            <sz val="9"/>
            <color indexed="81"/>
            <rFont val="Tahoma"/>
            <family val="2"/>
          </rPr>
          <t>Author:</t>
        </r>
        <r>
          <rPr>
            <sz val="9"/>
            <color indexed="81"/>
            <rFont val="Tahoma"/>
            <family val="2"/>
          </rPr>
          <t xml:space="preserve">
M991081-510E003 S01 and D001449-100E100 SH1
</t>
        </r>
      </text>
    </comment>
    <comment ref="T62" authorId="0" shapeId="0" xr:uid="{00000000-0006-0000-0000-000073030000}">
      <text>
        <r>
          <rPr>
            <b/>
            <sz val="9"/>
            <color indexed="81"/>
            <rFont val="Tahoma"/>
            <family val="2"/>
          </rPr>
          <t>Author:</t>
        </r>
        <r>
          <rPr>
            <sz val="9"/>
            <color indexed="81"/>
            <rFont val="Tahoma"/>
            <family val="2"/>
          </rPr>
          <t xml:space="preserve">
see sheet 2
</t>
        </r>
      </text>
    </comment>
    <comment ref="V62" authorId="0" shapeId="0" xr:uid="{00000000-0006-0000-0000-000074030000}">
      <text>
        <r>
          <rPr>
            <b/>
            <sz val="9"/>
            <color indexed="81"/>
            <rFont val="Tahoma"/>
            <family val="2"/>
          </rPr>
          <t>Author:</t>
        </r>
        <r>
          <rPr>
            <sz val="9"/>
            <color indexed="81"/>
            <rFont val="Tahoma"/>
            <family val="2"/>
          </rPr>
          <t xml:space="preserve">
Reflects nameplate value on GSU</t>
        </r>
      </text>
    </comment>
    <comment ref="W62" authorId="0" shapeId="0" xr:uid="{00000000-0006-0000-0000-000075030000}">
      <text>
        <r>
          <rPr>
            <b/>
            <sz val="9"/>
            <color indexed="81"/>
            <rFont val="Tahoma"/>
            <family val="2"/>
          </rPr>
          <t>Author:</t>
        </r>
        <r>
          <rPr>
            <sz val="9"/>
            <color indexed="81"/>
            <rFont val="Tahoma"/>
            <family val="2"/>
          </rPr>
          <t xml:space="preserve">
GSU SEL-387. 51 set at 5.25 A secondary. CTR=120. 5.25*120=630A Primary on high side of GSU. Low side calc performed in cell. 
51LT relay: 51 set at 160%, 160%*600 = 960A primary on high side of GSU. Less limiting than SEL-387</t>
        </r>
      </text>
    </comment>
    <comment ref="C63" authorId="0" shapeId="0" xr:uid="{00000000-0006-0000-0000-000076030000}">
      <text>
        <r>
          <rPr>
            <b/>
            <sz val="10"/>
            <color indexed="81"/>
            <rFont val="Tahoma"/>
            <family val="2"/>
          </rPr>
          <t>Author:</t>
        </r>
        <r>
          <rPr>
            <sz val="10"/>
            <color indexed="81"/>
            <rFont val="Tahoma"/>
            <family val="2"/>
          </rPr>
          <t xml:space="preserve">
Variation of generator output with air inlet temp at 0F (-17.778C)
accounted for PF
Altitude adjustment  5430' (.915 multiplier)</t>
        </r>
      </text>
    </comment>
    <comment ref="F63" authorId="0" shapeId="0" xr:uid="{399839E2-AB6F-4B7E-9555-AE707236564B}">
      <text>
        <r>
          <rPr>
            <b/>
            <sz val="9"/>
            <color indexed="81"/>
            <rFont val="Tahoma"/>
            <family val="2"/>
          </rPr>
          <t>Author:</t>
        </r>
        <r>
          <rPr>
            <sz val="9"/>
            <color indexed="81"/>
            <rFont val="Tahoma"/>
            <family val="2"/>
          </rPr>
          <t xml:space="preserve">
D001449-100E100 SH1</t>
        </r>
      </text>
    </comment>
    <comment ref="G63" authorId="0" shapeId="0" xr:uid="{00000000-0006-0000-0000-000077030000}">
      <text>
        <r>
          <rPr>
            <b/>
            <sz val="9"/>
            <color indexed="81"/>
            <rFont val="Tahoma"/>
            <family val="2"/>
          </rPr>
          <t>Author:</t>
        </r>
        <r>
          <rPr>
            <sz val="9"/>
            <color indexed="81"/>
            <rFont val="Tahoma"/>
            <family val="2"/>
          </rPr>
          <t xml:space="preserve">
Drawing D001449-500E001
8 MV-105 750 KCMIL conductors in underground electrical ducts. 375A *8 = 3000A per 2008 NEC table 310.77. Reference Valmont Facility Rating Assessment
5" AL Pipe: 3850 A - Reference XEL-EVD-Facility Rating Supplement-Table-Tubular and Square Conductor.xls
3x750 KCMIL open air conductors. Reference XEL-EVD-Facility Rating Supllement - Table - Bare Overhead Condctor.xls. Spacing Unknown, assume de-rated (more limiting). 3237A.
Gen Bus Section Most limiting: 3237A</t>
        </r>
      </text>
    </comment>
    <comment ref="V63" authorId="0" shapeId="0" xr:uid="{00000000-0006-0000-0000-000078030000}">
      <text>
        <r>
          <rPr>
            <b/>
            <sz val="9"/>
            <color indexed="81"/>
            <rFont val="Tahoma"/>
            <family val="2"/>
          </rPr>
          <t>Author:</t>
        </r>
        <r>
          <rPr>
            <sz val="9"/>
            <color indexed="81"/>
            <rFont val="Tahoma"/>
            <family val="2"/>
          </rPr>
          <t xml:space="preserve">
Reflects nameplate value on GSU</t>
        </r>
      </text>
    </comment>
    <comment ref="C64" authorId="0" shapeId="0" xr:uid="{00000000-0006-0000-0000-000079030000}">
      <text>
        <r>
          <rPr>
            <b/>
            <sz val="10"/>
            <color indexed="81"/>
            <rFont val="Tahoma"/>
            <family val="2"/>
          </rPr>
          <t>Author:</t>
        </r>
        <r>
          <rPr>
            <sz val="10"/>
            <color indexed="81"/>
            <rFont val="Tahoma"/>
            <family val="2"/>
          </rPr>
          <t xml:space="preserve">
Variation of generator output with air inlet temp at 104F (40C)
accounted for PF (0.8 curve)
Altitude adjustment  5430' (.915 multiplier)</t>
        </r>
      </text>
    </comment>
    <comment ref="F64" authorId="0" shapeId="0" xr:uid="{450338C2-8967-4D7B-ADFC-EED96A94BD8C}">
      <text>
        <r>
          <rPr>
            <b/>
            <sz val="9"/>
            <color indexed="81"/>
            <rFont val="Tahoma"/>
            <family val="2"/>
          </rPr>
          <t>Author:</t>
        </r>
        <r>
          <rPr>
            <sz val="9"/>
            <color indexed="81"/>
            <rFont val="Tahoma"/>
            <family val="2"/>
          </rPr>
          <t xml:space="preserve">
D001449-100E100 SH1</t>
        </r>
      </text>
    </comment>
    <comment ref="G64" authorId="0" shapeId="0" xr:uid="{00000000-0006-0000-0000-00007A030000}">
      <text>
        <r>
          <rPr>
            <b/>
            <sz val="9"/>
            <color indexed="81"/>
            <rFont val="Tahoma"/>
            <family val="2"/>
          </rPr>
          <t>Author:</t>
        </r>
        <r>
          <rPr>
            <sz val="9"/>
            <color indexed="81"/>
            <rFont val="Tahoma"/>
            <family val="2"/>
          </rPr>
          <t xml:space="preserve">
Drawing D001449-500E001
8 MV-105 750 KCMIL conductors in underground electrical ducts. 375A *8 = 3000A per 2008 NEC table 310.77. Reference Valmont Facility Rating Assessment
5" AL Pipe: 3850 A - Reference XEL-EVD-Facility Rating Supplement-Table-Tubular and Square Conductor.xls
3x750 KCMIL open air conductors. Reference XEL-EVD-Facility Rating Supllement - Table - Bare Overhead Condctor.xls. Spacing Unknown, assume de-rated (more limiting). 3237A.
Gen Bus Section Most limiting: 3237A</t>
        </r>
      </text>
    </comment>
    <comment ref="V64" authorId="0" shapeId="0" xr:uid="{00000000-0006-0000-0000-00007B030000}">
      <text>
        <r>
          <rPr>
            <b/>
            <sz val="9"/>
            <color indexed="81"/>
            <rFont val="Tahoma"/>
            <family val="2"/>
          </rPr>
          <t>Author:</t>
        </r>
        <r>
          <rPr>
            <sz val="9"/>
            <color indexed="81"/>
            <rFont val="Tahoma"/>
            <family val="2"/>
          </rPr>
          <t xml:space="preserve">
Reflects nameplate value on GSU</t>
        </r>
      </text>
    </comment>
    <comment ref="C65" authorId="0" shapeId="0" xr:uid="{00000000-0006-0000-0000-00007C030000}">
      <text>
        <r>
          <rPr>
            <b/>
            <sz val="10"/>
            <color indexed="81"/>
            <rFont val="Tahoma"/>
            <family val="2"/>
          </rPr>
          <t>Author:</t>
        </r>
        <r>
          <rPr>
            <sz val="10"/>
            <color indexed="81"/>
            <rFont val="Tahoma"/>
            <family val="2"/>
          </rPr>
          <t xml:space="preserve">
Variation of generator output with air inlet temp at 0F (-17.778C)
accounted for PF
Altitude adjustment  5430' (.915 multiplier)</t>
        </r>
      </text>
    </comment>
    <comment ref="F65" authorId="0" shapeId="0" xr:uid="{00000000-0006-0000-0000-00007D030000}">
      <text>
        <r>
          <rPr>
            <b/>
            <sz val="9"/>
            <color indexed="81"/>
            <rFont val="Tahoma"/>
            <family val="2"/>
          </rPr>
          <t>Author:</t>
        </r>
        <r>
          <rPr>
            <sz val="9"/>
            <color indexed="81"/>
            <rFont val="Tahoma"/>
            <family val="2"/>
          </rPr>
          <t xml:space="preserve">
D001449-100E100 SH1</t>
        </r>
      </text>
    </comment>
    <comment ref="G65" authorId="0" shapeId="0" xr:uid="{00000000-0006-0000-0000-00007E030000}">
      <text>
        <r>
          <rPr>
            <b/>
            <sz val="9"/>
            <color indexed="81"/>
            <rFont val="Tahoma"/>
            <family val="2"/>
          </rPr>
          <t>Author:</t>
        </r>
        <r>
          <rPr>
            <sz val="9"/>
            <color indexed="81"/>
            <rFont val="Tahoma"/>
            <family val="2"/>
          </rPr>
          <t xml:space="preserve">
Drawing D001449-500E001
8 MV-105 750 KCMIL conductors in underground electrical ducts. 375A *8 = 3000A per 2008 NEC table 310.77. Reference Valmont Facility Rating Assessment
5" AL Pipe: 3850 A - Reference XEL-EVD-Facility Rating Supplement-Table-Tubular and Square Conductor.xls
3x750 KCMIL open air conductors. Reference XEL-EVD-Facility Rating Supllement - Table - Bare Overhead Condctor.xls. Spacing Unknown, assume de-rated (more limiting). 3237A.
Gen Bus Section Most limiting: 3237A</t>
        </r>
      </text>
    </comment>
    <comment ref="J65" authorId="0" shapeId="0" xr:uid="{00000000-0006-0000-0000-00007F030000}">
      <text>
        <r>
          <rPr>
            <b/>
            <sz val="9"/>
            <color indexed="81"/>
            <rFont val="Tahoma"/>
            <family val="2"/>
          </rPr>
          <t>Author:</t>
        </r>
        <r>
          <rPr>
            <sz val="9"/>
            <color indexed="81"/>
            <rFont val="Tahoma"/>
            <family val="2"/>
          </rPr>
          <t xml:space="preserve">
Nameplate photo. 3 winding transformer, generator rating corresponds to LS winding connected to generator</t>
        </r>
      </text>
    </comment>
    <comment ref="N65" authorId="0" shapeId="0" xr:uid="{00000000-0006-0000-0000-000080030000}">
      <text>
        <r>
          <rPr>
            <b/>
            <sz val="9"/>
            <color indexed="81"/>
            <rFont val="Tahoma"/>
            <family val="2"/>
          </rPr>
          <t>Author:</t>
        </r>
        <r>
          <rPr>
            <sz val="9"/>
            <color indexed="81"/>
            <rFont val="Tahoma"/>
            <family val="2"/>
          </rPr>
          <t xml:space="preserve">
Reference Nameplate Photo
</t>
        </r>
      </text>
    </comment>
    <comment ref="Q65" authorId="0" shapeId="0" xr:uid="{00000000-0006-0000-0000-000081030000}">
      <text>
        <r>
          <rPr>
            <b/>
            <sz val="9"/>
            <color indexed="81"/>
            <rFont val="Tahoma"/>
            <family val="2"/>
          </rPr>
          <t>Author:</t>
        </r>
        <r>
          <rPr>
            <sz val="9"/>
            <color indexed="81"/>
            <rFont val="Tahoma"/>
            <family val="2"/>
          </rPr>
          <t xml:space="preserve">
M991081-510E003 S01 and D001449-100E100 SH1</t>
        </r>
      </text>
    </comment>
    <comment ref="R65" authorId="0" shapeId="0" xr:uid="{00000000-0006-0000-0000-000082030000}">
      <text>
        <r>
          <rPr>
            <b/>
            <sz val="9"/>
            <color indexed="81"/>
            <rFont val="Tahoma"/>
            <family val="2"/>
          </rPr>
          <t>Author:</t>
        </r>
        <r>
          <rPr>
            <sz val="9"/>
            <color indexed="81"/>
            <rFont val="Tahoma"/>
            <family val="2"/>
          </rPr>
          <t xml:space="preserve">
M991081-510E003 S01 and D001449-100E100 SH1
</t>
        </r>
      </text>
    </comment>
    <comment ref="T65" authorId="0" shapeId="0" xr:uid="{00000000-0006-0000-0000-000083030000}">
      <text>
        <r>
          <rPr>
            <b/>
            <sz val="9"/>
            <color indexed="81"/>
            <rFont val="Tahoma"/>
            <family val="2"/>
          </rPr>
          <t>Author:</t>
        </r>
        <r>
          <rPr>
            <sz val="9"/>
            <color indexed="81"/>
            <rFont val="Tahoma"/>
            <family val="2"/>
          </rPr>
          <t xml:space="preserve">
see sheet 2
</t>
        </r>
      </text>
    </comment>
    <comment ref="V65" authorId="0" shapeId="0" xr:uid="{00000000-0006-0000-0000-000084030000}">
      <text>
        <r>
          <rPr>
            <b/>
            <sz val="9"/>
            <color indexed="81"/>
            <rFont val="Tahoma"/>
            <family val="2"/>
          </rPr>
          <t>Author:</t>
        </r>
        <r>
          <rPr>
            <sz val="9"/>
            <color indexed="81"/>
            <rFont val="Tahoma"/>
            <family val="2"/>
          </rPr>
          <t xml:space="preserve">
Reflects nameplate value on GSU</t>
        </r>
      </text>
    </comment>
    <comment ref="W65" authorId="0" shapeId="0" xr:uid="{00000000-0006-0000-0000-000085030000}">
      <text>
        <r>
          <rPr>
            <b/>
            <sz val="9"/>
            <color indexed="81"/>
            <rFont val="Tahoma"/>
            <family val="2"/>
          </rPr>
          <t>Author:</t>
        </r>
        <r>
          <rPr>
            <sz val="9"/>
            <color indexed="81"/>
            <rFont val="Tahoma"/>
            <family val="2"/>
          </rPr>
          <t xml:space="preserve">
GSU SEL-387. 51 set at 5.25 A secondary. CTR=120. 5.25*120=630A Primary on high side of GSU. Low side calc performed in cell. 
51LT relay: 51 set at 160%, 160%*600 = 960A primary on high side of GSU. Less limiting than SEL-387</t>
        </r>
      </text>
    </comment>
    <comment ref="Y66" authorId="0" shapeId="0" xr:uid="{12EC0BA7-4BAF-4ADF-8E45-F0911ADACF76}">
      <text>
        <r>
          <rPr>
            <b/>
            <sz val="9"/>
            <color indexed="81"/>
            <rFont val="Tahoma"/>
            <family val="2"/>
          </rPr>
          <t>Author:</t>
        </r>
        <r>
          <rPr>
            <sz val="9"/>
            <color indexed="81"/>
            <rFont val="Tahoma"/>
            <family val="2"/>
          </rPr>
          <t xml:space="preserve">
Nameplate</t>
        </r>
      </text>
    </comment>
    <comment ref="G67" authorId="0" shapeId="0" xr:uid="{00000000-0006-0000-0000-000086030000}">
      <text>
        <r>
          <rPr>
            <b/>
            <sz val="9"/>
            <color indexed="81"/>
            <rFont val="Tahoma"/>
            <family val="2"/>
          </rPr>
          <t>Author:</t>
        </r>
        <r>
          <rPr>
            <sz val="9"/>
            <color indexed="81"/>
            <rFont val="Tahoma"/>
            <family val="2"/>
          </rPr>
          <t xml:space="preserve">
No Common Bus. Transformer is a 3 winding transformer. </t>
        </r>
      </text>
    </comment>
    <comment ref="H67" authorId="0" shapeId="0" xr:uid="{00000000-0006-0000-0000-000087030000}">
      <text>
        <r>
          <rPr>
            <b/>
            <sz val="9"/>
            <color indexed="81"/>
            <rFont val="Tahoma"/>
            <family val="2"/>
          </rPr>
          <t>Author:</t>
        </r>
        <r>
          <rPr>
            <sz val="9"/>
            <color indexed="81"/>
            <rFont val="Tahoma"/>
            <family val="2"/>
          </rPr>
          <t xml:space="preserve">
No Common Bus. Transformer is a 3 winding transformer. </t>
        </r>
      </text>
    </comment>
    <comment ref="J67" authorId="0" shapeId="0" xr:uid="{00000000-0006-0000-0000-000088030000}">
      <text>
        <r>
          <rPr>
            <b/>
            <sz val="9"/>
            <color indexed="81"/>
            <rFont val="Tahoma"/>
            <family val="2"/>
          </rPr>
          <t>Author:</t>
        </r>
        <r>
          <rPr>
            <sz val="9"/>
            <color indexed="81"/>
            <rFont val="Tahoma"/>
            <family val="2"/>
          </rPr>
          <t xml:space="preserve">
Nameplate Photo. HS winding rating
</t>
        </r>
      </text>
    </comment>
    <comment ref="T67" authorId="0" shapeId="0" xr:uid="{00000000-0006-0000-0000-000089030000}">
      <text>
        <r>
          <rPr>
            <b/>
            <sz val="9"/>
            <color indexed="81"/>
            <rFont val="Tahoma"/>
            <family val="2"/>
          </rPr>
          <t>Author:</t>
        </r>
        <r>
          <rPr>
            <sz val="9"/>
            <color indexed="81"/>
            <rFont val="Tahoma"/>
            <family val="2"/>
          </rPr>
          <t xml:space="preserve">
see sheet 2
</t>
        </r>
      </text>
    </comment>
    <comment ref="W67" authorId="0" shapeId="0" xr:uid="{00000000-0006-0000-0000-00008A030000}">
      <text>
        <r>
          <rPr>
            <b/>
            <sz val="9"/>
            <color indexed="81"/>
            <rFont val="Tahoma"/>
            <family val="2"/>
          </rPr>
          <t>Author:</t>
        </r>
        <r>
          <rPr>
            <sz val="9"/>
            <color indexed="81"/>
            <rFont val="Tahoma"/>
            <family val="2"/>
          </rPr>
          <t xml:space="preserve">
GSU SEL-387. 51 set at 5.25 A secondary. CTR=120. 5.25*120=630A Primary on high side of GSU. Low side calc performed in cell. 
51LT relay: 51 set at 160%, 160%*600 = 960A primary on high side of GSU. Less limiting than SEL-387</t>
        </r>
      </text>
    </comment>
    <comment ref="Y67" authorId="0" shapeId="0" xr:uid="{00000000-0006-0000-0000-00008B030000}">
      <text>
        <r>
          <rPr>
            <b/>
            <sz val="9"/>
            <color indexed="81"/>
            <rFont val="Tahoma"/>
            <family val="2"/>
          </rPr>
          <t>Author:</t>
        </r>
        <r>
          <rPr>
            <sz val="9"/>
            <color indexed="81"/>
            <rFont val="Tahoma"/>
            <family val="2"/>
          </rPr>
          <t xml:space="preserve">
From Nameplate at 115kV</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6" authorId="0" shapeId="0" xr:uid="{00000000-0006-0000-0000-000001000000}">
      <text>
        <r>
          <rPr>
            <b/>
            <sz val="9"/>
            <color rgb="FF000000"/>
            <rFont val="Tahoma"/>
            <family val="2"/>
          </rPr>
          <t>Author:</t>
        </r>
        <r>
          <rPr>
            <sz val="9"/>
            <color rgb="FF000000"/>
            <rFont val="Tahoma"/>
            <family val="2"/>
          </rPr>
          <t xml:space="preserve">
34.5 kV Feeder</t>
        </r>
      </text>
    </comment>
    <comment ref="B7" authorId="0" shapeId="0" xr:uid="{00000000-0006-0000-0000-000002000000}">
      <text>
        <r>
          <rPr>
            <b/>
            <sz val="9"/>
            <color rgb="FF000000"/>
            <rFont val="Tahoma"/>
            <family val="2"/>
          </rPr>
          <t>Author:</t>
        </r>
        <r>
          <rPr>
            <sz val="9"/>
            <color rgb="FF000000"/>
            <rFont val="Tahoma"/>
            <family val="2"/>
          </rPr>
          <t xml:space="preserve">
34.5 kV Feeder</t>
        </r>
      </text>
    </comment>
    <comment ref="B8" authorId="0" shapeId="0" xr:uid="{00000000-0006-0000-0000-000003000000}">
      <text>
        <r>
          <rPr>
            <b/>
            <sz val="9"/>
            <color rgb="FF000000"/>
            <rFont val="Tahoma"/>
            <family val="2"/>
          </rPr>
          <t>Author:</t>
        </r>
        <r>
          <rPr>
            <sz val="9"/>
            <color rgb="FF000000"/>
            <rFont val="Tahoma"/>
            <family val="2"/>
          </rPr>
          <t xml:space="preserve">
34.5 kV Collector at sub</t>
        </r>
      </text>
    </comment>
    <comment ref="B9" authorId="0" shapeId="0" xr:uid="{00000000-0006-0000-0000-000004000000}">
      <text>
        <r>
          <rPr>
            <b/>
            <sz val="9"/>
            <color rgb="FF000000"/>
            <rFont val="Tahoma"/>
            <family val="2"/>
          </rPr>
          <t>Author:</t>
        </r>
        <r>
          <rPr>
            <sz val="9"/>
            <color rgb="FF000000"/>
            <rFont val="Tahoma"/>
            <family val="2"/>
          </rPr>
          <t xml:space="preserve">
34.5 kV Feeder</t>
        </r>
      </text>
    </comment>
    <comment ref="B10" authorId="0" shapeId="0" xr:uid="{00000000-0006-0000-0000-000005000000}">
      <text>
        <r>
          <rPr>
            <b/>
            <sz val="9"/>
            <color rgb="FF000000"/>
            <rFont val="Tahoma"/>
            <family val="2"/>
          </rPr>
          <t>Author:</t>
        </r>
        <r>
          <rPr>
            <sz val="9"/>
            <color rgb="FF000000"/>
            <rFont val="Tahoma"/>
            <family val="2"/>
          </rPr>
          <t xml:space="preserve">
34.5 kV Feeder</t>
        </r>
      </text>
    </comment>
    <comment ref="B11" authorId="0" shapeId="0" xr:uid="{00000000-0006-0000-0000-000006000000}">
      <text>
        <r>
          <rPr>
            <b/>
            <sz val="9"/>
            <color rgb="FF000000"/>
            <rFont val="Tahoma"/>
            <family val="2"/>
          </rPr>
          <t>Author:</t>
        </r>
        <r>
          <rPr>
            <sz val="9"/>
            <color rgb="FF000000"/>
            <rFont val="Tahoma"/>
            <family val="2"/>
          </rPr>
          <t xml:space="preserve">
34.5 kV Collector at sub</t>
        </r>
      </text>
    </comment>
    <comment ref="B12" authorId="0" shapeId="0" xr:uid="{00000000-0006-0000-0000-000007000000}">
      <text>
        <r>
          <rPr>
            <b/>
            <sz val="9"/>
            <color rgb="FF000000"/>
            <rFont val="Tahoma"/>
            <family val="2"/>
          </rPr>
          <t>Author:</t>
        </r>
        <r>
          <rPr>
            <sz val="9"/>
            <color rgb="FF000000"/>
            <rFont val="Tahoma"/>
            <family val="2"/>
          </rPr>
          <t xml:space="preserve">
34.5 kV Feeder</t>
        </r>
      </text>
    </comment>
    <comment ref="B13" authorId="0" shapeId="0" xr:uid="{00000000-0006-0000-0000-000008000000}">
      <text>
        <r>
          <rPr>
            <b/>
            <sz val="9"/>
            <color rgb="FF000000"/>
            <rFont val="Tahoma"/>
            <family val="2"/>
          </rPr>
          <t>Author:</t>
        </r>
        <r>
          <rPr>
            <sz val="9"/>
            <color rgb="FF000000"/>
            <rFont val="Tahoma"/>
            <family val="2"/>
          </rPr>
          <t xml:space="preserve">
34.5 kV Feeder</t>
        </r>
      </text>
    </comment>
    <comment ref="B14" authorId="0" shapeId="0" xr:uid="{00000000-0006-0000-0000-000009000000}">
      <text>
        <r>
          <rPr>
            <b/>
            <sz val="9"/>
            <color rgb="FF000000"/>
            <rFont val="Tahoma"/>
            <family val="2"/>
          </rPr>
          <t>Author:</t>
        </r>
        <r>
          <rPr>
            <sz val="9"/>
            <color rgb="FF000000"/>
            <rFont val="Tahoma"/>
            <family val="2"/>
          </rPr>
          <t xml:space="preserve">
34.5 kV Collector at sub</t>
        </r>
      </text>
    </comment>
    <comment ref="B15" authorId="0" shapeId="0" xr:uid="{00000000-0006-0000-0000-00000A000000}">
      <text>
        <r>
          <rPr>
            <b/>
            <sz val="9"/>
            <color rgb="FF000000"/>
            <rFont val="Tahoma"/>
            <family val="2"/>
          </rPr>
          <t>Author:</t>
        </r>
        <r>
          <rPr>
            <sz val="9"/>
            <color rgb="FF000000"/>
            <rFont val="Tahoma"/>
            <family val="2"/>
          </rPr>
          <t xml:space="preserve">
34.5 kV Feeder</t>
        </r>
      </text>
    </comment>
    <comment ref="B16" authorId="0" shapeId="0" xr:uid="{00000000-0006-0000-0000-00000B000000}">
      <text>
        <r>
          <rPr>
            <b/>
            <sz val="9"/>
            <color rgb="FF000000"/>
            <rFont val="Tahoma"/>
            <family val="2"/>
          </rPr>
          <t>Author:</t>
        </r>
        <r>
          <rPr>
            <sz val="9"/>
            <color rgb="FF000000"/>
            <rFont val="Tahoma"/>
            <family val="2"/>
          </rPr>
          <t xml:space="preserve">
34.5 kV Feeder</t>
        </r>
      </text>
    </comment>
    <comment ref="B17" authorId="0" shapeId="0" xr:uid="{00000000-0006-0000-0000-00000C000000}">
      <text>
        <r>
          <rPr>
            <b/>
            <sz val="9"/>
            <color rgb="FF000000"/>
            <rFont val="Tahoma"/>
            <family val="2"/>
          </rPr>
          <t>Author:</t>
        </r>
        <r>
          <rPr>
            <sz val="9"/>
            <color rgb="FF000000"/>
            <rFont val="Tahoma"/>
            <family val="2"/>
          </rPr>
          <t xml:space="preserve">
34.5 kV Collector at sub</t>
        </r>
      </text>
    </comment>
    <comment ref="B18" authorId="0" shapeId="0" xr:uid="{00000000-0006-0000-0000-00000D000000}">
      <text>
        <r>
          <rPr>
            <b/>
            <sz val="9"/>
            <color rgb="FF000000"/>
            <rFont val="Tahoma"/>
            <family val="2"/>
          </rPr>
          <t>Author:</t>
        </r>
        <r>
          <rPr>
            <sz val="9"/>
            <color rgb="FF000000"/>
            <rFont val="Tahoma"/>
            <family val="2"/>
          </rPr>
          <t xml:space="preserve">
Feeder to 1153 Cap Bank
</t>
        </r>
      </text>
    </comment>
    <comment ref="B19" authorId="0" shapeId="0" xr:uid="{00000000-0006-0000-0000-00000E000000}">
      <text>
        <r>
          <rPr>
            <b/>
            <sz val="9"/>
            <color rgb="FF000000"/>
            <rFont val="Tahoma"/>
            <family val="2"/>
          </rPr>
          <t>Author:</t>
        </r>
        <r>
          <rPr>
            <sz val="9"/>
            <color rgb="FF000000"/>
            <rFont val="Tahoma"/>
            <family val="2"/>
          </rPr>
          <t xml:space="preserve">
Feeder to 1154 Cap Bank</t>
        </r>
      </text>
    </comment>
    <comment ref="B20" authorId="0" shapeId="0" xr:uid="{00000000-0006-0000-0000-00000F000000}">
      <text>
        <r>
          <rPr>
            <b/>
            <sz val="9"/>
            <color rgb="FF000000"/>
            <rFont val="Tahoma"/>
            <family val="2"/>
          </rPr>
          <t>Author:</t>
        </r>
        <r>
          <rPr>
            <sz val="9"/>
            <color rgb="FF000000"/>
            <rFont val="Tahoma"/>
            <family val="2"/>
          </rPr>
          <t xml:space="preserve">
Feeder to 1155 Cap Bank</t>
        </r>
      </text>
    </comment>
    <comment ref="B21" authorId="0" shapeId="0" xr:uid="{00000000-0006-0000-0000-000010000000}">
      <text>
        <r>
          <rPr>
            <b/>
            <sz val="9"/>
            <color rgb="FF000000"/>
            <rFont val="Tahoma"/>
            <family val="2"/>
          </rPr>
          <t>Author:</t>
        </r>
        <r>
          <rPr>
            <sz val="9"/>
            <color rgb="FF000000"/>
            <rFont val="Tahoma"/>
            <family val="2"/>
          </rPr>
          <t xml:space="preserve">
Feeder to 1150 capacitor switches</t>
        </r>
      </text>
    </comment>
    <comment ref="B22" authorId="0" shapeId="0" xr:uid="{00000000-0006-0000-0000-000011000000}">
      <text>
        <r>
          <rPr>
            <b/>
            <sz val="9"/>
            <color rgb="FF000000"/>
            <rFont val="Tahoma"/>
            <family val="2"/>
          </rPr>
          <t>Author:</t>
        </r>
        <r>
          <rPr>
            <sz val="9"/>
            <color rgb="FF000000"/>
            <rFont val="Tahoma"/>
            <family val="2"/>
          </rPr>
          <t xml:space="preserve">
Feeder to 1151 Reactor</t>
        </r>
      </text>
    </comment>
    <comment ref="B23" authorId="0" shapeId="0" xr:uid="{00000000-0006-0000-0000-000012000000}">
      <text>
        <r>
          <rPr>
            <b/>
            <sz val="9"/>
            <color rgb="FF000000"/>
            <rFont val="Tahoma"/>
            <family val="2"/>
          </rPr>
          <t>Author:</t>
        </r>
        <r>
          <rPr>
            <sz val="9"/>
            <color rgb="FF000000"/>
            <rFont val="Tahoma"/>
            <family val="2"/>
          </rPr>
          <t xml:space="preserve">
Feeder to 1152 Reactor
</t>
        </r>
      </text>
    </comment>
    <comment ref="B24" authorId="0" shapeId="0" xr:uid="{00000000-0006-0000-0000-000013000000}">
      <text>
        <r>
          <rPr>
            <b/>
            <sz val="9"/>
            <color rgb="FF000000"/>
            <rFont val="Tahoma"/>
            <family val="2"/>
          </rPr>
          <t>Author:</t>
        </r>
        <r>
          <rPr>
            <sz val="9"/>
            <color rgb="FF000000"/>
            <rFont val="Tahoma"/>
            <family val="2"/>
          </rPr>
          <t xml:space="preserve">
Feeder to 1150 shunt reactor switchers.</t>
        </r>
      </text>
    </comment>
    <comment ref="B25" authorId="0" shapeId="0" xr:uid="{00000000-0006-0000-0000-000014000000}">
      <text>
        <r>
          <rPr>
            <b/>
            <sz val="9"/>
            <color indexed="81"/>
            <rFont val="Tahoma"/>
            <family val="2"/>
          </rPr>
          <t>Author:</t>
        </r>
        <r>
          <rPr>
            <sz val="9"/>
            <color indexed="81"/>
            <rFont val="Tahoma"/>
            <family val="2"/>
          </rPr>
          <t xml:space="preserve">
Cap/Reactor 34.5 kV Feeder
</t>
        </r>
      </text>
    </comment>
    <comment ref="B26" authorId="0" shapeId="0" xr:uid="{00000000-0006-0000-0000-000015000000}">
      <text>
        <r>
          <rPr>
            <b/>
            <sz val="9"/>
            <color rgb="FF000000"/>
            <rFont val="Tahoma"/>
            <family val="2"/>
          </rPr>
          <t>Author:</t>
        </r>
        <r>
          <rPr>
            <sz val="9"/>
            <color rgb="FF000000"/>
            <rFont val="Tahoma"/>
            <family val="2"/>
          </rPr>
          <t xml:space="preserve">
34.5 kV Feeder</t>
        </r>
      </text>
    </comment>
    <comment ref="B27" authorId="0" shapeId="0" xr:uid="{00000000-0006-0000-0000-000016000000}">
      <text>
        <r>
          <rPr>
            <b/>
            <sz val="9"/>
            <color rgb="FF000000"/>
            <rFont val="Tahoma"/>
            <family val="2"/>
          </rPr>
          <t>Author:</t>
        </r>
        <r>
          <rPr>
            <sz val="9"/>
            <color rgb="FF000000"/>
            <rFont val="Tahoma"/>
            <family val="2"/>
          </rPr>
          <t xml:space="preserve">
34.5 kV Feeder</t>
        </r>
      </text>
    </comment>
    <comment ref="B28" authorId="0" shapeId="0" xr:uid="{00000000-0006-0000-0000-000017000000}">
      <text>
        <r>
          <rPr>
            <b/>
            <sz val="9"/>
            <color rgb="FF000000"/>
            <rFont val="Tahoma"/>
            <family val="2"/>
          </rPr>
          <t>Author:</t>
        </r>
        <r>
          <rPr>
            <sz val="9"/>
            <color rgb="FF000000"/>
            <rFont val="Tahoma"/>
            <family val="2"/>
          </rPr>
          <t xml:space="preserve">
34.5 kV Collector at sub</t>
        </r>
      </text>
    </comment>
    <comment ref="B29" authorId="0" shapeId="0" xr:uid="{00000000-0006-0000-0000-000018000000}">
      <text>
        <r>
          <rPr>
            <b/>
            <sz val="9"/>
            <color rgb="FF000000"/>
            <rFont val="Tahoma"/>
            <family val="2"/>
          </rPr>
          <t>Author:</t>
        </r>
        <r>
          <rPr>
            <sz val="9"/>
            <color rgb="FF000000"/>
            <rFont val="Tahoma"/>
            <family val="2"/>
          </rPr>
          <t xml:space="preserve">
34.5 kV Feeder</t>
        </r>
      </text>
    </comment>
    <comment ref="B30" authorId="0" shapeId="0" xr:uid="{00000000-0006-0000-0000-000019000000}">
      <text>
        <r>
          <rPr>
            <b/>
            <sz val="9"/>
            <color rgb="FF000000"/>
            <rFont val="Tahoma"/>
            <family val="2"/>
          </rPr>
          <t>Author:</t>
        </r>
        <r>
          <rPr>
            <sz val="9"/>
            <color rgb="FF000000"/>
            <rFont val="Tahoma"/>
            <family val="2"/>
          </rPr>
          <t xml:space="preserve">
34.5 kV Feeder</t>
        </r>
      </text>
    </comment>
    <comment ref="B31" authorId="0" shapeId="0" xr:uid="{00000000-0006-0000-0000-00001A000000}">
      <text>
        <r>
          <rPr>
            <b/>
            <sz val="9"/>
            <color rgb="FF000000"/>
            <rFont val="Tahoma"/>
            <family val="2"/>
          </rPr>
          <t>Author:</t>
        </r>
        <r>
          <rPr>
            <sz val="9"/>
            <color rgb="FF000000"/>
            <rFont val="Tahoma"/>
            <family val="2"/>
          </rPr>
          <t xml:space="preserve">
34.5 kV Collector at sub</t>
        </r>
      </text>
    </comment>
    <comment ref="B32" authorId="0" shapeId="0" xr:uid="{00000000-0006-0000-0000-00001B000000}">
      <text>
        <r>
          <rPr>
            <b/>
            <sz val="9"/>
            <color rgb="FF000000"/>
            <rFont val="Tahoma"/>
            <family val="2"/>
          </rPr>
          <t>Author:</t>
        </r>
        <r>
          <rPr>
            <sz val="9"/>
            <color rgb="FF000000"/>
            <rFont val="Tahoma"/>
            <family val="2"/>
          </rPr>
          <t xml:space="preserve">
34.5 Kv Feeder
</t>
        </r>
      </text>
    </comment>
    <comment ref="B33" authorId="0" shapeId="0" xr:uid="{00000000-0006-0000-0000-00001C000000}">
      <text>
        <r>
          <rPr>
            <b/>
            <sz val="9"/>
            <color indexed="81"/>
            <rFont val="Tahoma"/>
            <family val="2"/>
          </rPr>
          <t>Author:</t>
        </r>
        <r>
          <rPr>
            <sz val="9"/>
            <color indexed="81"/>
            <rFont val="Tahoma"/>
            <family val="2"/>
          </rPr>
          <t xml:space="preserve">
1203 34.5 kV breaker
</t>
        </r>
      </text>
    </comment>
    <comment ref="B34" authorId="0" shapeId="0" xr:uid="{00000000-0006-0000-0000-00001D000000}">
      <text>
        <r>
          <rPr>
            <b/>
            <sz val="9"/>
            <color rgb="FF000000"/>
            <rFont val="Tahoma"/>
            <family val="2"/>
          </rPr>
          <t>Author:</t>
        </r>
        <r>
          <rPr>
            <sz val="9"/>
            <color rgb="FF000000"/>
            <rFont val="Tahoma"/>
            <family val="2"/>
          </rPr>
          <t xml:space="preserve">
34.5 kV Feeder</t>
        </r>
      </text>
    </comment>
    <comment ref="B35" authorId="0" shapeId="0" xr:uid="{00000000-0006-0000-0000-00001E000000}">
      <text>
        <r>
          <rPr>
            <b/>
            <sz val="9"/>
            <color rgb="FF000000"/>
            <rFont val="Tahoma"/>
            <family val="2"/>
          </rPr>
          <t>Author:</t>
        </r>
        <r>
          <rPr>
            <sz val="9"/>
            <color rgb="FF000000"/>
            <rFont val="Tahoma"/>
            <family val="2"/>
          </rPr>
          <t xml:space="preserve">
34.5 kV Feeder</t>
        </r>
      </text>
    </comment>
    <comment ref="B36" authorId="0" shapeId="0" xr:uid="{00000000-0006-0000-0000-00001F000000}">
      <text>
        <r>
          <rPr>
            <b/>
            <sz val="9"/>
            <color rgb="FF000000"/>
            <rFont val="Tahoma"/>
            <family val="2"/>
          </rPr>
          <t>Author:</t>
        </r>
        <r>
          <rPr>
            <sz val="9"/>
            <color rgb="FF000000"/>
            <rFont val="Tahoma"/>
            <family val="2"/>
          </rPr>
          <t xml:space="preserve">
34.5 kV Collector at sub</t>
        </r>
      </text>
    </comment>
    <comment ref="B37" authorId="0" shapeId="0" xr:uid="{00000000-0006-0000-0000-000020000000}">
      <text>
        <r>
          <rPr>
            <b/>
            <sz val="9"/>
            <color rgb="FF000000"/>
            <rFont val="Tahoma"/>
            <family val="2"/>
          </rPr>
          <t>Author:</t>
        </r>
        <r>
          <rPr>
            <sz val="9"/>
            <color rgb="FF000000"/>
            <rFont val="Tahoma"/>
            <family val="2"/>
          </rPr>
          <t xml:space="preserve">
Feeder to 1253 Cap Bank
</t>
        </r>
      </text>
    </comment>
    <comment ref="B38" authorId="0" shapeId="0" xr:uid="{00000000-0006-0000-0000-000021000000}">
      <text>
        <r>
          <rPr>
            <b/>
            <sz val="9"/>
            <color rgb="FF000000"/>
            <rFont val="Tahoma"/>
            <family val="2"/>
          </rPr>
          <t>Author:</t>
        </r>
        <r>
          <rPr>
            <sz val="9"/>
            <color rgb="FF000000"/>
            <rFont val="Tahoma"/>
            <family val="2"/>
          </rPr>
          <t xml:space="preserve">
Feeer to 1254 Cap Bank</t>
        </r>
      </text>
    </comment>
    <comment ref="B39" authorId="0" shapeId="0" xr:uid="{00000000-0006-0000-0000-000022000000}">
      <text>
        <r>
          <rPr>
            <b/>
            <sz val="9"/>
            <color rgb="FF000000"/>
            <rFont val="Tahoma"/>
            <family val="2"/>
          </rPr>
          <t>Author:</t>
        </r>
        <r>
          <rPr>
            <sz val="9"/>
            <color rgb="FF000000"/>
            <rFont val="Tahoma"/>
            <family val="2"/>
          </rPr>
          <t xml:space="preserve">
Feeder to 1255 Cap Bank</t>
        </r>
      </text>
    </comment>
    <comment ref="B40" authorId="0" shapeId="0" xr:uid="{00000000-0006-0000-0000-000023000000}">
      <text>
        <r>
          <rPr>
            <b/>
            <sz val="9"/>
            <color rgb="FF000000"/>
            <rFont val="Tahoma"/>
            <family val="2"/>
          </rPr>
          <t>Author:</t>
        </r>
        <r>
          <rPr>
            <sz val="9"/>
            <color rgb="FF000000"/>
            <rFont val="Tahoma"/>
            <family val="2"/>
          </rPr>
          <t xml:space="preserve">
Feeder to 1250 Cap Switcher</t>
        </r>
      </text>
    </comment>
    <comment ref="B41" authorId="0" shapeId="0" xr:uid="{00000000-0006-0000-0000-000024000000}">
      <text>
        <r>
          <rPr>
            <b/>
            <sz val="9"/>
            <color rgb="FF000000"/>
            <rFont val="Tahoma"/>
            <family val="2"/>
          </rPr>
          <t>Author:</t>
        </r>
        <r>
          <rPr>
            <sz val="9"/>
            <color rgb="FF000000"/>
            <rFont val="Tahoma"/>
            <family val="2"/>
          </rPr>
          <t xml:space="preserve">
Feeder to reactor </t>
        </r>
      </text>
    </comment>
    <comment ref="B42" authorId="0" shapeId="0" xr:uid="{00000000-0006-0000-0000-000025000000}">
      <text>
        <r>
          <rPr>
            <b/>
            <sz val="9"/>
            <color rgb="FF000000"/>
            <rFont val="Tahoma"/>
            <family val="2"/>
          </rPr>
          <t>Author:</t>
        </r>
        <r>
          <rPr>
            <sz val="9"/>
            <color rgb="FF000000"/>
            <rFont val="Tahoma"/>
            <family val="2"/>
          </rPr>
          <t xml:space="preserve">
Feeder to reactor switcher</t>
        </r>
      </text>
    </comment>
    <comment ref="B43" authorId="0" shapeId="0" xr:uid="{00000000-0006-0000-0000-000026000000}">
      <text>
        <r>
          <rPr>
            <b/>
            <sz val="9"/>
            <color indexed="81"/>
            <rFont val="Tahoma"/>
            <family val="2"/>
          </rPr>
          <t>Author:</t>
        </r>
        <r>
          <rPr>
            <sz val="9"/>
            <color indexed="81"/>
            <rFont val="Tahoma"/>
            <family val="2"/>
          </rPr>
          <t xml:space="preserve">
Cap/Reactor 34.5 kV Feeder</t>
        </r>
      </text>
    </comment>
    <comment ref="B44" authorId="0" shapeId="0" xr:uid="{00000000-0006-0000-0000-000027000000}">
      <text>
        <r>
          <rPr>
            <b/>
            <sz val="9"/>
            <color rgb="FF000000"/>
            <rFont val="Tahoma"/>
            <family val="2"/>
          </rPr>
          <t>Author:</t>
        </r>
        <r>
          <rPr>
            <sz val="9"/>
            <color rgb="FF000000"/>
            <rFont val="Tahoma"/>
            <family val="2"/>
          </rPr>
          <t xml:space="preserve">
Rating of the bus tie disconnect switch loads, which can have the full load from one bus connected</t>
        </r>
      </text>
    </comment>
    <comment ref="B45" authorId="0" shapeId="0" xr:uid="{00000000-0006-0000-0000-000028000000}">
      <text>
        <r>
          <rPr>
            <b/>
            <sz val="9"/>
            <color rgb="FF000000"/>
            <rFont val="Tahoma"/>
            <family val="2"/>
          </rPr>
          <t>Author:</t>
        </r>
        <r>
          <rPr>
            <sz val="9"/>
            <color rgb="FF000000"/>
            <rFont val="Tahoma"/>
            <family val="2"/>
          </rPr>
          <t xml:space="preserve">
Step up transformer with normal configuration</t>
        </r>
      </text>
    </comment>
    <comment ref="B46" authorId="0" shapeId="0" xr:uid="{00000000-0006-0000-0000-000029000000}">
      <text>
        <r>
          <rPr>
            <b/>
            <sz val="9"/>
            <color indexed="81"/>
            <rFont val="Tahoma"/>
            <family val="2"/>
          </rPr>
          <t>Author:</t>
        </r>
        <r>
          <rPr>
            <sz val="9"/>
            <color indexed="81"/>
            <rFont val="Tahoma"/>
            <family val="2"/>
          </rPr>
          <t xml:space="preserve">
Step up transformer with normal configuration</t>
        </r>
      </text>
    </comment>
    <comment ref="B47" authorId="0" shapeId="0" xr:uid="{00000000-0006-0000-0000-00002A000000}">
      <text>
        <r>
          <rPr>
            <b/>
            <sz val="9"/>
            <color rgb="FF000000"/>
            <rFont val="Tahoma"/>
            <family val="2"/>
          </rPr>
          <t>Author:</t>
        </r>
        <r>
          <rPr>
            <sz val="9"/>
            <color rgb="FF000000"/>
            <rFont val="Tahoma"/>
            <family val="2"/>
          </rPr>
          <t xml:space="preserve">
Step up transformer with 34.5 kV bus tie</t>
        </r>
      </text>
    </comment>
    <comment ref="B48" authorId="0" shapeId="0" xr:uid="{00000000-0006-0000-0000-00002B000000}">
      <text>
        <r>
          <rPr>
            <b/>
            <sz val="9"/>
            <color indexed="81"/>
            <rFont val="Tahoma"/>
            <family val="2"/>
          </rPr>
          <t>Author:</t>
        </r>
        <r>
          <rPr>
            <sz val="9"/>
            <color indexed="81"/>
            <rFont val="Tahoma"/>
            <family val="2"/>
          </rPr>
          <t xml:space="preserve">
Step up transformer with 34.5 kV bus tie</t>
        </r>
      </text>
    </comment>
    <comment ref="B49" authorId="0" shapeId="0" xr:uid="{00000000-0006-0000-0000-00002C000000}">
      <text>
        <r>
          <rPr>
            <b/>
            <sz val="9"/>
            <color rgb="FF000000"/>
            <rFont val="Tahoma"/>
            <family val="2"/>
          </rPr>
          <t>Author:</t>
        </r>
        <r>
          <rPr>
            <sz val="9"/>
            <color rgb="FF000000"/>
            <rFont val="Tahoma"/>
            <family val="2"/>
          </rPr>
          <t xml:space="preserve">
Combined rating of all equipment, attached to 345 kV line to pronghorn switchyard.</t>
        </r>
      </text>
    </comment>
    <comment ref="B52" authorId="0" shapeId="0" xr:uid="{00000000-0006-0000-0000-00002D000000}">
      <text>
        <r>
          <rPr>
            <b/>
            <sz val="9"/>
            <color indexed="81"/>
            <rFont val="Tahoma"/>
            <family val="2"/>
          </rPr>
          <t>Author:</t>
        </r>
        <r>
          <rPr>
            <sz val="9"/>
            <color indexed="81"/>
            <rFont val="Tahoma"/>
            <family val="2"/>
          </rPr>
          <t xml:space="preserve">
2101A and 2101B feeders connect before the feeder disconnect. Combined rating</t>
        </r>
      </text>
    </comment>
    <comment ref="B67" authorId="0" shapeId="0" xr:uid="{00000000-0006-0000-0000-00002E000000}">
      <text>
        <r>
          <rPr>
            <b/>
            <sz val="9"/>
            <color indexed="81"/>
            <rFont val="Tahoma"/>
            <family val="2"/>
          </rPr>
          <t>Author:</t>
        </r>
        <r>
          <rPr>
            <sz val="9"/>
            <color indexed="81"/>
            <rFont val="Tahoma"/>
            <family val="2"/>
          </rPr>
          <t xml:space="preserve">
2105B and 2105C feeders connect before the feeder disconnect. Combined rating</t>
        </r>
      </text>
    </comment>
    <comment ref="B109" authorId="0" shapeId="0" xr:uid="{23FB01BD-969D-45D7-ACA4-67D3C847F962}">
      <text>
        <r>
          <rPr>
            <b/>
            <sz val="9"/>
            <color indexed="81"/>
            <rFont val="Tahoma"/>
            <family val="2"/>
          </rPr>
          <t>Author:</t>
        </r>
        <r>
          <rPr>
            <sz val="9"/>
            <color indexed="81"/>
            <rFont val="Tahoma"/>
            <family val="2"/>
          </rPr>
          <t xml:space="preserve">
All feeders connected to Bus 1 are combined.</t>
        </r>
      </text>
    </comment>
    <comment ref="B110" authorId="0" shapeId="0" xr:uid="{C8C3888D-CED4-423A-9338-2BC6DDB66B9F}">
      <text>
        <r>
          <rPr>
            <b/>
            <sz val="9"/>
            <color indexed="81"/>
            <rFont val="Tahoma"/>
            <family val="2"/>
          </rPr>
          <t>Author:</t>
        </r>
        <r>
          <rPr>
            <sz val="9"/>
            <color indexed="81"/>
            <rFont val="Tahoma"/>
            <family val="2"/>
          </rPr>
          <t xml:space="preserve">
All feeders connected to Bus 2 are combined.</t>
        </r>
      </text>
    </comment>
    <comment ref="B111" authorId="0" shapeId="0" xr:uid="{8107CABC-31B6-4980-B6B5-5A4A701DA76E}">
      <text>
        <r>
          <rPr>
            <b/>
            <sz val="9"/>
            <color indexed="81"/>
            <rFont val="Tahoma"/>
            <family val="2"/>
          </rPr>
          <t>Author:</t>
        </r>
        <r>
          <rPr>
            <sz val="9"/>
            <color indexed="81"/>
            <rFont val="Tahoma"/>
            <family val="2"/>
          </rPr>
          <t xml:space="preserve">
Rating in this configuration is limited to MPT MVA</t>
        </r>
      </text>
    </comment>
    <comment ref="B112" authorId="0" shapeId="0" xr:uid="{2307D7B7-10D7-4690-AB05-BEBE9E94C288}">
      <text>
        <r>
          <rPr>
            <b/>
            <sz val="9"/>
            <color indexed="81"/>
            <rFont val="Tahoma"/>
            <family val="2"/>
          </rPr>
          <t>Author:</t>
        </r>
        <r>
          <rPr>
            <sz val="9"/>
            <color indexed="81"/>
            <rFont val="Tahoma"/>
            <family val="2"/>
          </rPr>
          <t xml:space="preserve">
Rating in this configuration is limited to MPT MVA</t>
        </r>
      </text>
    </comment>
    <comment ref="B147" authorId="0" shapeId="0" xr:uid="{BECBF925-6B4A-4CB8-9CD0-4827D0A356D8}">
      <text>
        <r>
          <rPr>
            <b/>
            <sz val="9"/>
            <color indexed="81"/>
            <rFont val="Tahoma"/>
            <family val="2"/>
          </rPr>
          <t>Author:</t>
        </r>
        <r>
          <rPr>
            <sz val="9"/>
            <color indexed="81"/>
            <rFont val="Tahoma"/>
            <family val="2"/>
          </rPr>
          <t xml:space="preserve">
All feeders connected to Bus 1 are combined.</t>
        </r>
      </text>
    </comment>
    <comment ref="B148" authorId="0" shapeId="0" xr:uid="{CAB6531B-C087-4C8A-B035-DBD25EE538C1}">
      <text>
        <r>
          <rPr>
            <b/>
            <sz val="9"/>
            <color indexed="81"/>
            <rFont val="Tahoma"/>
            <family val="2"/>
          </rPr>
          <t>Author:</t>
        </r>
        <r>
          <rPr>
            <sz val="9"/>
            <color indexed="81"/>
            <rFont val="Tahoma"/>
            <family val="2"/>
          </rPr>
          <t xml:space="preserve">
All feeders connected to Bus 2 are combined.</t>
        </r>
      </text>
    </comment>
    <comment ref="B149" authorId="0" shapeId="0" xr:uid="{156E81DB-8452-4323-B86F-E2916FEA0BAE}">
      <text>
        <r>
          <rPr>
            <b/>
            <sz val="9"/>
            <color indexed="81"/>
            <rFont val="Tahoma"/>
            <family val="2"/>
          </rPr>
          <t>Author:</t>
        </r>
        <r>
          <rPr>
            <sz val="9"/>
            <color indexed="81"/>
            <rFont val="Tahoma"/>
            <family val="2"/>
          </rPr>
          <t xml:space="preserve">
Rating in this configuration is limited to MPT MVA</t>
        </r>
      </text>
    </comment>
    <comment ref="B150" authorId="0" shapeId="0" xr:uid="{709D002D-A601-48D1-82D6-8129A576EE03}">
      <text>
        <r>
          <rPr>
            <b/>
            <sz val="9"/>
            <color indexed="81"/>
            <rFont val="Tahoma"/>
            <family val="2"/>
          </rPr>
          <t>Author:</t>
        </r>
        <r>
          <rPr>
            <sz val="9"/>
            <color indexed="81"/>
            <rFont val="Tahoma"/>
            <family val="2"/>
          </rPr>
          <t xml:space="preserve">
Rating in this configuration is limited to MPT MVA</t>
        </r>
      </text>
    </comment>
    <comment ref="A174" authorId="0" shapeId="0" xr:uid="{00000000-0006-0000-0000-00002F000000}">
      <text>
        <r>
          <rPr>
            <b/>
            <sz val="9"/>
            <color indexed="81"/>
            <rFont val="Tahoma"/>
            <family val="2"/>
          </rPr>
          <t>Author:</t>
        </r>
        <r>
          <rPr>
            <sz val="9"/>
            <color indexed="81"/>
            <rFont val="Tahoma"/>
            <family val="2"/>
          </rPr>
          <t xml:space="preserve">
Refer to Reactive Capability curves provided in PSCo A&amp;R TSA Ex. D.1.1.b General Specification</t>
        </r>
      </text>
    </comment>
    <comment ref="D174" authorId="0" shapeId="0" xr:uid="{00000000-0006-0000-0000-000030000000}">
      <text>
        <r>
          <rPr>
            <b/>
            <sz val="9"/>
            <color indexed="81"/>
            <rFont val="Tahoma"/>
            <family val="2"/>
          </rPr>
          <t>Author:</t>
        </r>
        <r>
          <rPr>
            <sz val="9"/>
            <color indexed="81"/>
            <rFont val="Tahoma"/>
            <family val="2"/>
          </rPr>
          <t xml:space="preserve">
Refer to Reactive Capability curves provided in PSCo A&amp;R TSA Ex. D.1.1.a General Specification</t>
        </r>
      </text>
    </comment>
    <comment ref="C182" authorId="0" shapeId="0" xr:uid="{00000000-0006-0000-0000-000031000000}">
      <text>
        <r>
          <rPr>
            <b/>
            <sz val="9"/>
            <color indexed="81"/>
            <rFont val="Tahoma"/>
            <family val="2"/>
          </rPr>
          <t>Author:</t>
        </r>
        <r>
          <rPr>
            <sz val="9"/>
            <color indexed="81"/>
            <rFont val="Tahoma"/>
            <family val="2"/>
          </rPr>
          <t xml:space="preserve">
Refer to email "2018.8.2 Rush Creek Info"  detailing the location of the installed turbines.</t>
        </r>
      </text>
    </comment>
    <comment ref="H182" authorId="0" shapeId="0" xr:uid="{00000000-0006-0000-0000-000032000000}">
      <text>
        <r>
          <rPr>
            <b/>
            <sz val="9"/>
            <color indexed="81"/>
            <rFont val="Tahoma"/>
            <family val="2"/>
          </rPr>
          <t>Author:</t>
        </r>
        <r>
          <rPr>
            <sz val="9"/>
            <color indexed="81"/>
            <rFont val="Tahoma"/>
            <family val="2"/>
          </rPr>
          <t xml:space="preserve">
Uses largest of MVAR values</t>
        </r>
      </text>
    </comment>
    <comment ref="B184" authorId="0" shapeId="0" xr:uid="{00000000-0006-0000-0000-000033000000}">
      <text>
        <r>
          <rPr>
            <b/>
            <sz val="9"/>
            <color rgb="FF000000"/>
            <rFont val="Tahoma"/>
            <family val="2"/>
          </rPr>
          <t>Author:</t>
        </r>
        <r>
          <rPr>
            <sz val="9"/>
            <color rgb="FF000000"/>
            <rFont val="Tahoma"/>
            <family val="2"/>
          </rPr>
          <t xml:space="preserve">
34.5 kV Feeder</t>
        </r>
      </text>
    </comment>
    <comment ref="K184" authorId="0" shapeId="0" xr:uid="{00000000-0006-0000-0000-000034000000}">
      <text>
        <r>
          <rPr>
            <b/>
            <sz val="9"/>
            <color rgb="FF000000"/>
            <rFont val="Tahoma"/>
            <family val="2"/>
          </rPr>
          <t>Author:</t>
        </r>
        <r>
          <rPr>
            <sz val="9"/>
            <color rgb="FF000000"/>
            <rFont val="Tahoma"/>
            <family val="2"/>
          </rPr>
          <t xml:space="preserve">
1250 MCM AL Cable, 35 kV, Direct Buried. Rate per Engineering study RC1-COL-MVC-R0.pdf</t>
        </r>
      </text>
    </comment>
    <comment ref="L184" authorId="0" shapeId="0" xr:uid="{00000000-0006-0000-0000-000035000000}">
      <text>
        <r>
          <rPr>
            <b/>
            <sz val="9"/>
            <color rgb="FF000000"/>
            <rFont val="Tahoma"/>
            <family val="2"/>
          </rPr>
          <t>Author:</t>
        </r>
        <r>
          <rPr>
            <sz val="9"/>
            <color rgb="FF000000"/>
            <rFont val="Tahoma"/>
            <family val="2"/>
          </rPr>
          <t xml:space="preserve">
Reference DRCW01-ESEQ-E71002 SH5
1272 AAC 1 per Phase
Rate per XEL-EVD-Facility Rating Supplement-Table-Bare Overhead Conductor.xls Normal Summer Rating</t>
        </r>
      </text>
    </comment>
    <comment ref="M184" authorId="0" shapeId="0" xr:uid="{00000000-0006-0000-0000-000036000000}">
      <text>
        <r>
          <rPr>
            <b/>
            <sz val="9"/>
            <color rgb="FF000000"/>
            <rFont val="Tahoma"/>
            <family val="2"/>
          </rPr>
          <t>Author:</t>
        </r>
        <r>
          <rPr>
            <sz val="9"/>
            <color rgb="FF000000"/>
            <rFont val="Tahoma"/>
            <family val="2"/>
          </rPr>
          <t xml:space="preserve">
Reference DRCW01-ESEQ-E71002 SH5
1272 AAC 1 per Phase
Rate per XEL-EVD-Facility Rating Supplement-Table-Bare Overhead Conductor.xls Normal Summer Rating</t>
        </r>
      </text>
    </comment>
    <comment ref="N184" authorId="0" shapeId="0" xr:uid="{00000000-0006-0000-0000-000037000000}">
      <text>
        <r>
          <rPr>
            <b/>
            <sz val="9"/>
            <color rgb="FF000000"/>
            <rFont val="Tahoma"/>
            <family val="2"/>
          </rPr>
          <t>Author:</t>
        </r>
        <r>
          <rPr>
            <sz val="9"/>
            <color rgb="FF000000"/>
            <rFont val="Tahoma"/>
            <family val="2"/>
          </rPr>
          <t xml:space="preserve">
Reference DRCW01-ESMV-E01001 SH1
DS1101A
</t>
        </r>
      </text>
    </comment>
    <comment ref="B185" authorId="0" shapeId="0" xr:uid="{00000000-0006-0000-0000-000038000000}">
      <text>
        <r>
          <rPr>
            <b/>
            <sz val="9"/>
            <color rgb="FF000000"/>
            <rFont val="Tahoma"/>
            <family val="2"/>
          </rPr>
          <t>Author:</t>
        </r>
        <r>
          <rPr>
            <sz val="9"/>
            <color rgb="FF000000"/>
            <rFont val="Tahoma"/>
            <family val="2"/>
          </rPr>
          <t xml:space="preserve">
34.5 kV Feeder</t>
        </r>
      </text>
    </comment>
    <comment ref="K185" authorId="0" shapeId="0" xr:uid="{00000000-0006-0000-0000-000039000000}">
      <text>
        <r>
          <rPr>
            <b/>
            <sz val="9"/>
            <color rgb="FF000000"/>
            <rFont val="Tahoma"/>
            <family val="2"/>
          </rPr>
          <t>Author:</t>
        </r>
        <r>
          <rPr>
            <sz val="9"/>
            <color rgb="FF000000"/>
            <rFont val="Tahoma"/>
            <family val="2"/>
          </rPr>
          <t xml:space="preserve">
750 MCM AL Cable, 35 kV, Direct Buried. Rate per Engineering study RC1-COL-MVC-R0.pdf</t>
        </r>
      </text>
    </comment>
    <comment ref="L185" authorId="0" shapeId="0" xr:uid="{00000000-0006-0000-0000-00003A000000}">
      <text>
        <r>
          <rPr>
            <b/>
            <sz val="9"/>
            <color rgb="FF000000"/>
            <rFont val="Tahoma"/>
            <family val="2"/>
          </rPr>
          <t>Author:</t>
        </r>
        <r>
          <rPr>
            <sz val="9"/>
            <color rgb="FF000000"/>
            <rFont val="Tahoma"/>
            <family val="2"/>
          </rPr>
          <t xml:space="preserve">
Reference DRCW01-ESEQ-E71002 SH5
1272 AAC 1 per Phase
Rate per XEL-EVD-Facility Rating Supplement-Table-Bare Overhead Conductor.xls Normal Summer Rating</t>
        </r>
      </text>
    </comment>
    <comment ref="M185" authorId="0" shapeId="0" xr:uid="{00000000-0006-0000-0000-00003B000000}">
      <text>
        <r>
          <rPr>
            <b/>
            <sz val="9"/>
            <color rgb="FF000000"/>
            <rFont val="Tahoma"/>
            <family val="2"/>
          </rPr>
          <t>Author:</t>
        </r>
        <r>
          <rPr>
            <sz val="9"/>
            <color rgb="FF000000"/>
            <rFont val="Tahoma"/>
            <family val="2"/>
          </rPr>
          <t xml:space="preserve">
Reference DRCW01-ESEQ-E71002 SH5
1272 AAC 1 per Phase
Rate per XEL-EVD-Facility Rating Supplement-Table-Bare Overhead Conductor.xls Normal Summer Rating</t>
        </r>
      </text>
    </comment>
    <comment ref="N185" authorId="0" shapeId="0" xr:uid="{00000000-0006-0000-0000-00003C000000}">
      <text>
        <r>
          <rPr>
            <b/>
            <sz val="9"/>
            <color rgb="FF000000"/>
            <rFont val="Tahoma"/>
            <family val="2"/>
          </rPr>
          <t>Author:</t>
        </r>
        <r>
          <rPr>
            <sz val="9"/>
            <color rgb="FF000000"/>
            <rFont val="Tahoma"/>
            <family val="2"/>
          </rPr>
          <t xml:space="preserve">
Reference DRCW01-ESMV-E01001 SH1
DS1101B</t>
        </r>
      </text>
    </comment>
    <comment ref="B186" authorId="0" shapeId="0" xr:uid="{00000000-0006-0000-0000-00003D000000}">
      <text>
        <r>
          <rPr>
            <b/>
            <sz val="9"/>
            <color rgb="FF000000"/>
            <rFont val="Tahoma"/>
            <family val="2"/>
          </rPr>
          <t>Author:</t>
        </r>
        <r>
          <rPr>
            <sz val="9"/>
            <color rgb="FF000000"/>
            <rFont val="Tahoma"/>
            <family val="2"/>
          </rPr>
          <t xml:space="preserve">
34.5 kV Feeder</t>
        </r>
      </text>
    </comment>
    <comment ref="K186" authorId="0" shapeId="0" xr:uid="{00000000-0006-0000-0000-00003E000000}">
      <text>
        <r>
          <rPr>
            <b/>
            <sz val="9"/>
            <color rgb="FF000000"/>
            <rFont val="Tahoma"/>
            <family val="2"/>
          </rPr>
          <t>Author:</t>
        </r>
        <r>
          <rPr>
            <sz val="9"/>
            <color rgb="FF000000"/>
            <rFont val="Tahoma"/>
            <family val="2"/>
          </rPr>
          <t xml:space="preserve">
1250 MCM AL Cable, 35 kV, Direct Buried. Rate per Engineering study RC1-COL-MVC-R0.pdf </t>
        </r>
      </text>
    </comment>
    <comment ref="L186" authorId="0" shapeId="0" xr:uid="{00000000-0006-0000-0000-00003F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M186" authorId="0" shapeId="0" xr:uid="{00000000-0006-0000-0000-000040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N186" authorId="0" shapeId="0" xr:uid="{00000000-0006-0000-0000-000041000000}">
      <text>
        <r>
          <rPr>
            <b/>
            <sz val="9"/>
            <color rgb="FF000000"/>
            <rFont val="Tahoma"/>
            <family val="2"/>
          </rPr>
          <t>Author:</t>
        </r>
        <r>
          <rPr>
            <sz val="9"/>
            <color rgb="FF000000"/>
            <rFont val="Tahoma"/>
            <family val="2"/>
          </rPr>
          <t xml:space="preserve">
Reference 
DRCW01-ESEQ-E71002 SH4 
DRCW01-ESEQ-E41001 SH1 
DS1102A</t>
        </r>
      </text>
    </comment>
    <comment ref="B187" authorId="0" shapeId="0" xr:uid="{00000000-0006-0000-0000-000042000000}">
      <text>
        <r>
          <rPr>
            <b/>
            <sz val="9"/>
            <color rgb="FF000000"/>
            <rFont val="Tahoma"/>
            <family val="2"/>
          </rPr>
          <t>Author:</t>
        </r>
        <r>
          <rPr>
            <sz val="9"/>
            <color rgb="FF000000"/>
            <rFont val="Tahoma"/>
            <family val="2"/>
          </rPr>
          <t xml:space="preserve">
34.5 kV Feeder</t>
        </r>
      </text>
    </comment>
    <comment ref="K187" authorId="0" shapeId="0" xr:uid="{00000000-0006-0000-0000-000043000000}">
      <text>
        <r>
          <rPr>
            <b/>
            <sz val="9"/>
            <color rgb="FF000000"/>
            <rFont val="Tahoma"/>
            <family val="2"/>
          </rPr>
          <t>Author:</t>
        </r>
        <r>
          <rPr>
            <sz val="9"/>
            <color rgb="FF000000"/>
            <rFont val="Tahoma"/>
            <family val="2"/>
          </rPr>
          <t xml:space="preserve">
1250 MCM AL Cable, 35 kV, Direct Buried. Rate per Engineering study RC1-COL-MVC-R0.pdf  </t>
        </r>
      </text>
    </comment>
    <comment ref="L187" authorId="0" shapeId="0" xr:uid="{00000000-0006-0000-0000-000044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M187" authorId="0" shapeId="0" xr:uid="{00000000-0006-0000-0000-000045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N187" authorId="0" shapeId="0" xr:uid="{00000000-0006-0000-0000-000046000000}">
      <text>
        <r>
          <rPr>
            <b/>
            <sz val="9"/>
            <color rgb="FF000000"/>
            <rFont val="Tahoma"/>
            <family val="2"/>
          </rPr>
          <t>Author:</t>
        </r>
        <r>
          <rPr>
            <sz val="9"/>
            <color rgb="FF000000"/>
            <rFont val="Tahoma"/>
            <family val="2"/>
          </rPr>
          <t xml:space="preserve">
Reference 
DRCW01-ESEQ-E71002 SH4 
DRCW01-ESEQ-E41001 SH1 
DS1102B</t>
        </r>
      </text>
    </comment>
    <comment ref="B188" authorId="0" shapeId="0" xr:uid="{00000000-0006-0000-0000-000047000000}">
      <text>
        <r>
          <rPr>
            <b/>
            <sz val="9"/>
            <color rgb="FF000000"/>
            <rFont val="Tahoma"/>
            <family val="2"/>
          </rPr>
          <t>Author:</t>
        </r>
        <r>
          <rPr>
            <sz val="9"/>
            <color rgb="FF000000"/>
            <rFont val="Tahoma"/>
            <family val="2"/>
          </rPr>
          <t xml:space="preserve">
34.5 kV Feeder</t>
        </r>
      </text>
    </comment>
    <comment ref="K188" authorId="0" shapeId="0" xr:uid="{00000000-0006-0000-0000-000048000000}">
      <text>
        <r>
          <rPr>
            <b/>
            <sz val="9"/>
            <color rgb="FF000000"/>
            <rFont val="Tahoma"/>
            <family val="2"/>
          </rPr>
          <t>Author:</t>
        </r>
        <r>
          <rPr>
            <sz val="9"/>
            <color rgb="FF000000"/>
            <rFont val="Tahoma"/>
            <family val="2"/>
          </rPr>
          <t xml:space="preserve">
1250 MCM AL Cable, 35 kV, Direct Buried. Rate per Engineering study RC1-COL-MVC-R0.pdf</t>
        </r>
      </text>
    </comment>
    <comment ref="L188" authorId="0" shapeId="0" xr:uid="{00000000-0006-0000-0000-000049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M188" authorId="0" shapeId="0" xr:uid="{00000000-0006-0000-0000-00004A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N188" authorId="0" shapeId="0" xr:uid="{00000000-0006-0000-0000-00004B000000}">
      <text>
        <r>
          <rPr>
            <b/>
            <sz val="9"/>
            <color rgb="FF000000"/>
            <rFont val="Tahoma"/>
            <family val="2"/>
          </rPr>
          <t>Author:</t>
        </r>
        <r>
          <rPr>
            <sz val="9"/>
            <color rgb="FF000000"/>
            <rFont val="Tahoma"/>
            <family val="2"/>
          </rPr>
          <t xml:space="preserve">
Reference 
DRCW01-ESEQ-E71002 SH4 
DRCW01-ESEQ-E41001 SH1 
DS1103A</t>
        </r>
      </text>
    </comment>
    <comment ref="B189" authorId="0" shapeId="0" xr:uid="{00000000-0006-0000-0000-00004C000000}">
      <text>
        <r>
          <rPr>
            <b/>
            <sz val="9"/>
            <color rgb="FF000000"/>
            <rFont val="Tahoma"/>
            <family val="2"/>
          </rPr>
          <t>Author:</t>
        </r>
        <r>
          <rPr>
            <sz val="9"/>
            <color rgb="FF000000"/>
            <rFont val="Tahoma"/>
            <family val="2"/>
          </rPr>
          <t xml:space="preserve">
34.5 kV Feeder</t>
        </r>
      </text>
    </comment>
    <comment ref="K189" authorId="0" shapeId="0" xr:uid="{00000000-0006-0000-0000-00004D000000}">
      <text>
        <r>
          <rPr>
            <b/>
            <sz val="9"/>
            <color rgb="FF000000"/>
            <rFont val="Tahoma"/>
            <family val="2"/>
          </rPr>
          <t>Author:</t>
        </r>
        <r>
          <rPr>
            <sz val="9"/>
            <color rgb="FF000000"/>
            <rFont val="Tahoma"/>
            <family val="2"/>
          </rPr>
          <t xml:space="preserve">
1250 MCM AL Cable, 35 kV, Direct Buried. Rate per Engineering study RC1-COL-MVC-R0.pdf</t>
        </r>
      </text>
    </comment>
    <comment ref="L189" authorId="0" shapeId="0" xr:uid="{00000000-0006-0000-0000-00004E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M189" authorId="0" shapeId="0" xr:uid="{00000000-0006-0000-0000-00004F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N189" authorId="0" shapeId="0" xr:uid="{00000000-0006-0000-0000-000050000000}">
      <text>
        <r>
          <rPr>
            <b/>
            <sz val="9"/>
            <color rgb="FF000000"/>
            <rFont val="Tahoma"/>
            <family val="2"/>
          </rPr>
          <t>Author:</t>
        </r>
        <r>
          <rPr>
            <sz val="9"/>
            <color rgb="FF000000"/>
            <rFont val="Tahoma"/>
            <family val="2"/>
          </rPr>
          <t xml:space="preserve">
Reference 
DRCW01-ESEQ-E71002 SH4 
DRCW01-ESEQ-E41001 SH1 
DS1103B</t>
        </r>
      </text>
    </comment>
    <comment ref="B190" authorId="0" shapeId="0" xr:uid="{00000000-0006-0000-0000-000051000000}">
      <text>
        <r>
          <rPr>
            <b/>
            <sz val="9"/>
            <color rgb="FF000000"/>
            <rFont val="Tahoma"/>
            <family val="2"/>
          </rPr>
          <t>Author:</t>
        </r>
        <r>
          <rPr>
            <sz val="9"/>
            <color rgb="FF000000"/>
            <rFont val="Tahoma"/>
            <family val="2"/>
          </rPr>
          <t xml:space="preserve">
34.5 kV Feeder</t>
        </r>
      </text>
    </comment>
    <comment ref="K190" authorId="0" shapeId="0" xr:uid="{00000000-0006-0000-0000-000052000000}">
      <text>
        <r>
          <rPr>
            <b/>
            <sz val="9"/>
            <color rgb="FF000000"/>
            <rFont val="Tahoma"/>
            <family val="2"/>
          </rPr>
          <t>Author:</t>
        </r>
        <r>
          <rPr>
            <sz val="9"/>
            <color rgb="FF000000"/>
            <rFont val="Tahoma"/>
            <family val="2"/>
          </rPr>
          <t xml:space="preserve">
1250 MCM AL Cable, 35 kV, Direct Buried. Rate per Engineering study RC1-COL-MVC-R0.pdf</t>
        </r>
      </text>
    </comment>
    <comment ref="L190" authorId="0" shapeId="0" xr:uid="{00000000-0006-0000-0000-000053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M190" authorId="0" shapeId="0" xr:uid="{00000000-0006-0000-0000-000054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N190" authorId="0" shapeId="0" xr:uid="{00000000-0006-0000-0000-000055000000}">
      <text>
        <r>
          <rPr>
            <b/>
            <sz val="9"/>
            <color rgb="FF000000"/>
            <rFont val="Tahoma"/>
            <family val="2"/>
          </rPr>
          <t>Author:</t>
        </r>
        <r>
          <rPr>
            <sz val="9"/>
            <color rgb="FF000000"/>
            <rFont val="Tahoma"/>
            <family val="2"/>
          </rPr>
          <t xml:space="preserve">
Reference 
DRCW01-ESEQ-E71002 SH4 
DRCW01-ESEQ-E41001 SH1 
DS1104A</t>
        </r>
      </text>
    </comment>
    <comment ref="B191" authorId="0" shapeId="0" xr:uid="{00000000-0006-0000-0000-000056000000}">
      <text>
        <r>
          <rPr>
            <b/>
            <sz val="9"/>
            <color rgb="FF000000"/>
            <rFont val="Tahoma"/>
            <family val="2"/>
          </rPr>
          <t>Author:</t>
        </r>
        <r>
          <rPr>
            <sz val="9"/>
            <color rgb="FF000000"/>
            <rFont val="Tahoma"/>
            <family val="2"/>
          </rPr>
          <t xml:space="preserve">
34.5 kV Feeder</t>
        </r>
      </text>
    </comment>
    <comment ref="K191" authorId="0" shapeId="0" xr:uid="{00000000-0006-0000-0000-000057000000}">
      <text>
        <r>
          <rPr>
            <b/>
            <sz val="9"/>
            <color rgb="FF000000"/>
            <rFont val="Tahoma"/>
            <family val="2"/>
          </rPr>
          <t>Author:</t>
        </r>
        <r>
          <rPr>
            <sz val="9"/>
            <color rgb="FF000000"/>
            <rFont val="Tahoma"/>
            <family val="2"/>
          </rPr>
          <t xml:space="preserve">
1250 MCM AL Cable, 35 kV, Direct Buried. Rate per Engineering study RC1-COL-MVC-R0.pdf</t>
        </r>
      </text>
    </comment>
    <comment ref="L191" authorId="0" shapeId="0" xr:uid="{00000000-0006-0000-0000-000058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M191" authorId="0" shapeId="0" xr:uid="{00000000-0006-0000-0000-000059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N191" authorId="0" shapeId="0" xr:uid="{00000000-0006-0000-0000-00005A000000}">
      <text>
        <r>
          <rPr>
            <b/>
            <sz val="9"/>
            <color rgb="FF000000"/>
            <rFont val="Tahoma"/>
            <family val="2"/>
          </rPr>
          <t>Author:</t>
        </r>
        <r>
          <rPr>
            <sz val="9"/>
            <color rgb="FF000000"/>
            <rFont val="Tahoma"/>
            <family val="2"/>
          </rPr>
          <t xml:space="preserve">
Reference 
DRCW01-ESEQ-E71002 SH4 
DRCW01-ESEQ-E41001 SH1 
DS1104B</t>
        </r>
      </text>
    </comment>
    <comment ref="B192" authorId="0" shapeId="0" xr:uid="{00000000-0006-0000-0000-00005B000000}">
      <text>
        <r>
          <rPr>
            <b/>
            <sz val="9"/>
            <color rgb="FF000000"/>
            <rFont val="Tahoma"/>
            <family val="2"/>
          </rPr>
          <t>Author:</t>
        </r>
        <r>
          <rPr>
            <sz val="9"/>
            <color rgb="FF000000"/>
            <rFont val="Tahoma"/>
            <family val="2"/>
          </rPr>
          <t xml:space="preserve">
34.5 kV Feeder</t>
        </r>
      </text>
    </comment>
    <comment ref="K192" authorId="0" shapeId="0" xr:uid="{00000000-0006-0000-0000-00005C000000}">
      <text>
        <r>
          <rPr>
            <b/>
            <sz val="9"/>
            <color rgb="FF000000"/>
            <rFont val="Tahoma"/>
            <family val="2"/>
          </rPr>
          <t>Author:</t>
        </r>
        <r>
          <rPr>
            <sz val="9"/>
            <color rgb="FF000000"/>
            <rFont val="Tahoma"/>
            <family val="2"/>
          </rPr>
          <t xml:space="preserve">
1250 MCM AL Cable, 35 kV, Direct Buried. Rate per Engineering study RC1-COL-MVC-R0.pdf</t>
        </r>
      </text>
    </comment>
    <comment ref="L192" authorId="0" shapeId="0" xr:uid="{00000000-0006-0000-0000-00005D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M192" authorId="0" shapeId="0" xr:uid="{00000000-0006-0000-0000-00005E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N192" authorId="0" shapeId="0" xr:uid="{00000000-0006-0000-0000-00005F000000}">
      <text>
        <r>
          <rPr>
            <b/>
            <sz val="9"/>
            <color rgb="FF000000"/>
            <rFont val="Tahoma"/>
            <family val="2"/>
          </rPr>
          <t>Author:</t>
        </r>
        <r>
          <rPr>
            <sz val="9"/>
            <color rgb="FF000000"/>
            <rFont val="Tahoma"/>
            <family val="2"/>
          </rPr>
          <t xml:space="preserve">
Reference 
DRCW01-ESEQ-E71002 SH4 
DRCW01-ESEQ-E41001 SH1 
DS1201A</t>
        </r>
      </text>
    </comment>
    <comment ref="B193" authorId="0" shapeId="0" xr:uid="{00000000-0006-0000-0000-000060000000}">
      <text>
        <r>
          <rPr>
            <b/>
            <sz val="9"/>
            <color rgb="FF000000"/>
            <rFont val="Tahoma"/>
            <family val="2"/>
          </rPr>
          <t>Author:</t>
        </r>
        <r>
          <rPr>
            <sz val="9"/>
            <color rgb="FF000000"/>
            <rFont val="Tahoma"/>
            <family val="2"/>
          </rPr>
          <t xml:space="preserve">
34.5 kV Feeder</t>
        </r>
      </text>
    </comment>
    <comment ref="K193" authorId="0" shapeId="0" xr:uid="{00000000-0006-0000-0000-000061000000}">
      <text>
        <r>
          <rPr>
            <b/>
            <sz val="9"/>
            <color rgb="FF000000"/>
            <rFont val="Tahoma"/>
            <family val="2"/>
          </rPr>
          <t>Author:</t>
        </r>
        <r>
          <rPr>
            <sz val="9"/>
            <color rgb="FF000000"/>
            <rFont val="Tahoma"/>
            <family val="2"/>
          </rPr>
          <t xml:space="preserve">
1250 MCM AL Cable, 35 kV, Direct Buried. Rate per Engineering study RC1-COL-MVC-R0.pdf</t>
        </r>
      </text>
    </comment>
    <comment ref="L193" authorId="0" shapeId="0" xr:uid="{00000000-0006-0000-0000-000062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M193" authorId="0" shapeId="0" xr:uid="{00000000-0006-0000-0000-000063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N193" authorId="0" shapeId="0" xr:uid="{00000000-0006-0000-0000-000064000000}">
      <text>
        <r>
          <rPr>
            <b/>
            <sz val="9"/>
            <color rgb="FF000000"/>
            <rFont val="Tahoma"/>
            <family val="2"/>
          </rPr>
          <t>Author:</t>
        </r>
        <r>
          <rPr>
            <sz val="9"/>
            <color rgb="FF000000"/>
            <rFont val="Tahoma"/>
            <family val="2"/>
          </rPr>
          <t xml:space="preserve">
Reference 
DRCW01-ESEQ-E71002 SH4 
DRCW01-ESEQ-E41001 SH1 
DS1201B</t>
        </r>
      </text>
    </comment>
    <comment ref="B194" authorId="0" shapeId="0" xr:uid="{00000000-0006-0000-0000-000065000000}">
      <text>
        <r>
          <rPr>
            <b/>
            <sz val="9"/>
            <color rgb="FF000000"/>
            <rFont val="Tahoma"/>
            <family val="2"/>
          </rPr>
          <t>Author:</t>
        </r>
        <r>
          <rPr>
            <sz val="9"/>
            <color rgb="FF000000"/>
            <rFont val="Tahoma"/>
            <family val="2"/>
          </rPr>
          <t xml:space="preserve">
34.5 kV Feeder</t>
        </r>
      </text>
    </comment>
    <comment ref="K194" authorId="0" shapeId="0" xr:uid="{00000000-0006-0000-0000-000066000000}">
      <text>
        <r>
          <rPr>
            <b/>
            <sz val="9"/>
            <color rgb="FF000000"/>
            <rFont val="Tahoma"/>
            <family val="2"/>
          </rPr>
          <t>Author:</t>
        </r>
        <r>
          <rPr>
            <sz val="9"/>
            <color rgb="FF000000"/>
            <rFont val="Tahoma"/>
            <family val="2"/>
          </rPr>
          <t xml:space="preserve">
1250 MCM AL Cable, 35 kV, Direct Buried. Rate per Engineering study RC1-COL-MVC-R0.pdf</t>
        </r>
      </text>
    </comment>
    <comment ref="L194" authorId="0" shapeId="0" xr:uid="{00000000-0006-0000-0000-000067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M194" authorId="0" shapeId="0" xr:uid="{00000000-0006-0000-0000-000068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N194" authorId="0" shapeId="0" xr:uid="{00000000-0006-0000-0000-000069000000}">
      <text>
        <r>
          <rPr>
            <b/>
            <sz val="9"/>
            <color rgb="FF000000"/>
            <rFont val="Tahoma"/>
            <family val="2"/>
          </rPr>
          <t>Author:</t>
        </r>
        <r>
          <rPr>
            <sz val="9"/>
            <color rgb="FF000000"/>
            <rFont val="Tahoma"/>
            <family val="2"/>
          </rPr>
          <t xml:space="preserve">
Reference 
DRCW01-ESEQ-E71002 SH4 
DRCW01-ESEQ-E41001 SH1 
DS1202A</t>
        </r>
      </text>
    </comment>
    <comment ref="B195" authorId="0" shapeId="0" xr:uid="{00000000-0006-0000-0000-00006A000000}">
      <text>
        <r>
          <rPr>
            <b/>
            <sz val="9"/>
            <color rgb="FF000000"/>
            <rFont val="Tahoma"/>
            <family val="2"/>
          </rPr>
          <t>Author:</t>
        </r>
        <r>
          <rPr>
            <sz val="9"/>
            <color rgb="FF000000"/>
            <rFont val="Tahoma"/>
            <family val="2"/>
          </rPr>
          <t xml:space="preserve">
34.5 kV Feeder</t>
        </r>
      </text>
    </comment>
    <comment ref="K195" authorId="0" shapeId="0" xr:uid="{00000000-0006-0000-0000-00006B000000}">
      <text>
        <r>
          <rPr>
            <b/>
            <sz val="9"/>
            <color rgb="FF000000"/>
            <rFont val="Tahoma"/>
            <family val="2"/>
          </rPr>
          <t>Author:</t>
        </r>
        <r>
          <rPr>
            <sz val="9"/>
            <color rgb="FF000000"/>
            <rFont val="Tahoma"/>
            <family val="2"/>
          </rPr>
          <t xml:space="preserve">
1250 MCM AL Cable, 35 kV, Direct Buried. Rate per Engineering study RC1-COL-MVC-R0.pdf</t>
        </r>
      </text>
    </comment>
    <comment ref="L195" authorId="0" shapeId="0" xr:uid="{00000000-0006-0000-0000-00006C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M195" authorId="0" shapeId="0" xr:uid="{00000000-0006-0000-0000-00006D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N195" authorId="0" shapeId="0" xr:uid="{00000000-0006-0000-0000-00006E000000}">
      <text>
        <r>
          <rPr>
            <b/>
            <sz val="9"/>
            <color rgb="FF000000"/>
            <rFont val="Tahoma"/>
            <family val="2"/>
          </rPr>
          <t>Author:</t>
        </r>
        <r>
          <rPr>
            <sz val="9"/>
            <color rgb="FF000000"/>
            <rFont val="Tahoma"/>
            <family val="2"/>
          </rPr>
          <t xml:space="preserve">
Reference 
DRCW01-ESEQ-E71002 SH4 
DRCW01-ESEQ-E41001 SH1 
DS1202B</t>
        </r>
      </text>
    </comment>
    <comment ref="B196" authorId="0" shapeId="0" xr:uid="{00000000-0006-0000-0000-00006F000000}">
      <text>
        <r>
          <rPr>
            <b/>
            <sz val="9"/>
            <color rgb="FF000000"/>
            <rFont val="Tahoma"/>
            <family val="2"/>
          </rPr>
          <t>Author:</t>
        </r>
        <r>
          <rPr>
            <sz val="9"/>
            <color rgb="FF000000"/>
            <rFont val="Tahoma"/>
            <family val="2"/>
          </rPr>
          <t xml:space="preserve">
34.5 kV Collector at sub</t>
        </r>
      </text>
    </comment>
    <comment ref="K196" authorId="0" shapeId="0" xr:uid="{00000000-0006-0000-0000-000070000000}">
      <text>
        <r>
          <rPr>
            <b/>
            <sz val="9"/>
            <color rgb="FF000000"/>
            <rFont val="Tahoma"/>
            <family val="2"/>
          </rPr>
          <t>Author:</t>
        </r>
        <r>
          <rPr>
            <sz val="9"/>
            <color rgb="FF000000"/>
            <rFont val="Tahoma"/>
            <family val="2"/>
          </rPr>
          <t xml:space="preserve">
1250 MCM AL Cable, 35 kV, Direct Buried. Rate per Engineering study RC1-COL-MVC-R0.pdf</t>
        </r>
      </text>
    </comment>
    <comment ref="L196" authorId="0" shapeId="0" xr:uid="{00000000-0006-0000-0000-000071000000}">
      <text>
        <r>
          <rPr>
            <b/>
            <sz val="9"/>
            <color rgb="FF000000"/>
            <rFont val="Tahoma"/>
            <family val="2"/>
          </rPr>
          <t>Author:</t>
        </r>
        <r>
          <rPr>
            <sz val="9"/>
            <color rgb="FF000000"/>
            <rFont val="Tahoma"/>
            <family val="2"/>
          </rPr>
          <t xml:space="preserve">
Reference DRCW01-ESEQ-E71002 SH6
1272 AAC 1 per Phase
Rate per XEL-EVD-Facility Rating Supplement-Table-Bare Overhead Conductor.xls Normal Summer Rating</t>
        </r>
      </text>
    </comment>
    <comment ref="M196" authorId="0" shapeId="0" xr:uid="{00000000-0006-0000-0000-000072000000}">
      <text>
        <r>
          <rPr>
            <b/>
            <sz val="9"/>
            <color rgb="FF000000"/>
            <rFont val="Tahoma"/>
            <family val="2"/>
          </rPr>
          <t>Author:</t>
        </r>
        <r>
          <rPr>
            <sz val="9"/>
            <color rgb="FF000000"/>
            <rFont val="Tahoma"/>
            <family val="2"/>
          </rPr>
          <t xml:space="preserve">
Reference DRCW01-ESEQ-E71002 SH6
1272 AAC 1 per Phase
Rate per XEL-EVD-Facility Rating Supplement-Table-Bare Overhead Conductor.xls Normal Summer Rating</t>
        </r>
      </text>
    </comment>
    <comment ref="N196" authorId="0" shapeId="0" xr:uid="{00000000-0006-0000-0000-000073000000}">
      <text>
        <r>
          <rPr>
            <b/>
            <sz val="9"/>
            <color rgb="FF000000"/>
            <rFont val="Tahoma"/>
            <family val="2"/>
          </rPr>
          <t>Author:</t>
        </r>
        <r>
          <rPr>
            <sz val="9"/>
            <color rgb="FF000000"/>
            <rFont val="Tahoma"/>
            <family val="2"/>
          </rPr>
          <t xml:space="preserve">
Reference 
DRCW01-ESEQ-E71002 SH6 
DRCW01-ESEQ-E41001 SH1 
DS1203 and DS1203F
</t>
        </r>
      </text>
    </comment>
    <comment ref="B197" authorId="0" shapeId="0" xr:uid="{00000000-0006-0000-0000-000074000000}">
      <text>
        <r>
          <rPr>
            <b/>
            <sz val="9"/>
            <color rgb="FF000000"/>
            <rFont val="Tahoma"/>
            <family val="2"/>
          </rPr>
          <t>Author:</t>
        </r>
        <r>
          <rPr>
            <sz val="9"/>
            <color rgb="FF000000"/>
            <rFont val="Tahoma"/>
            <family val="2"/>
          </rPr>
          <t xml:space="preserve">
34.5 kV Feeder</t>
        </r>
      </text>
    </comment>
    <comment ref="K197" authorId="0" shapeId="0" xr:uid="{00000000-0006-0000-0000-000075000000}">
      <text>
        <r>
          <rPr>
            <b/>
            <sz val="9"/>
            <color rgb="FF000000"/>
            <rFont val="Tahoma"/>
            <family val="2"/>
          </rPr>
          <t>Author:</t>
        </r>
        <r>
          <rPr>
            <sz val="9"/>
            <color rgb="FF000000"/>
            <rFont val="Tahoma"/>
            <family val="2"/>
          </rPr>
          <t xml:space="preserve">
1250 MCM AL Cable, 35 kV, Direct Buried. Rate per Engineering study RC1-COL-MVC-R0.pdf</t>
        </r>
      </text>
    </comment>
    <comment ref="L197" authorId="0" shapeId="0" xr:uid="{00000000-0006-0000-0000-000076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M197" authorId="0" shapeId="0" xr:uid="{00000000-0006-0000-0000-000077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N197" authorId="0" shapeId="0" xr:uid="{00000000-0006-0000-0000-000078000000}">
      <text>
        <r>
          <rPr>
            <b/>
            <sz val="9"/>
            <color rgb="FF000000"/>
            <rFont val="Tahoma"/>
            <family val="2"/>
          </rPr>
          <t>Author:</t>
        </r>
        <r>
          <rPr>
            <sz val="9"/>
            <color rgb="FF000000"/>
            <rFont val="Tahoma"/>
            <family val="2"/>
          </rPr>
          <t xml:space="preserve">
Reference 
DRCW01-ESEQ-E71002 SH4 
DRCW01-ESEQ-E41001 SH1 
DS1204A</t>
        </r>
      </text>
    </comment>
    <comment ref="B198" authorId="0" shapeId="0" xr:uid="{00000000-0006-0000-0000-000079000000}">
      <text>
        <r>
          <rPr>
            <b/>
            <sz val="9"/>
            <color rgb="FF000000"/>
            <rFont val="Tahoma"/>
            <family val="2"/>
          </rPr>
          <t>Author:</t>
        </r>
        <r>
          <rPr>
            <sz val="9"/>
            <color rgb="FF000000"/>
            <rFont val="Tahoma"/>
            <family val="2"/>
          </rPr>
          <t xml:space="preserve">
34.5 kV Feeder</t>
        </r>
      </text>
    </comment>
    <comment ref="K198" authorId="0" shapeId="0" xr:uid="{00000000-0006-0000-0000-00007A000000}">
      <text>
        <r>
          <rPr>
            <b/>
            <sz val="9"/>
            <color rgb="FF000000"/>
            <rFont val="Tahoma"/>
            <family val="2"/>
          </rPr>
          <t>Author:</t>
        </r>
        <r>
          <rPr>
            <sz val="9"/>
            <color rgb="FF000000"/>
            <rFont val="Tahoma"/>
            <family val="2"/>
          </rPr>
          <t xml:space="preserve">
1250 MCM AL Cable, 35 kV, Direct Buried. Rate per Engineering study RC1-COL-MVC-R0.pdf</t>
        </r>
      </text>
    </comment>
    <comment ref="L198" authorId="0" shapeId="0" xr:uid="{00000000-0006-0000-0000-00007B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M198" authorId="0" shapeId="0" xr:uid="{00000000-0006-0000-0000-00007C000000}">
      <text>
        <r>
          <rPr>
            <b/>
            <sz val="9"/>
            <color rgb="FF000000"/>
            <rFont val="Tahoma"/>
            <family val="2"/>
          </rPr>
          <t>Author:</t>
        </r>
        <r>
          <rPr>
            <sz val="9"/>
            <color rgb="FF000000"/>
            <rFont val="Tahoma"/>
            <family val="2"/>
          </rPr>
          <t xml:space="preserve">
Reference DRCW01-ESEQ-E71002 SH4
1272 AAC 1 per Phase
Rate per XEL-EVD-Facility Rating Supplement-Table-Bare Overhead Conductor.xls Normal Summer Rating</t>
        </r>
      </text>
    </comment>
    <comment ref="N198" authorId="0" shapeId="0" xr:uid="{00000000-0006-0000-0000-00007D000000}">
      <text>
        <r>
          <rPr>
            <b/>
            <sz val="9"/>
            <color rgb="FF000000"/>
            <rFont val="Tahoma"/>
            <family val="2"/>
          </rPr>
          <t>Author:</t>
        </r>
        <r>
          <rPr>
            <sz val="9"/>
            <color rgb="FF000000"/>
            <rFont val="Tahoma"/>
            <family val="2"/>
          </rPr>
          <t xml:space="preserve">
Reference 
DRCW01-ESEQ-E71002 SH4 
DRCW01-ESEQ-E41001 SH1 
DS1204B</t>
        </r>
      </text>
    </comment>
    <comment ref="K199" authorId="0" shapeId="0" xr:uid="{00000000-0006-0000-0000-00007E000000}">
      <text>
        <r>
          <rPr>
            <b/>
            <sz val="9"/>
            <color indexed="81"/>
            <rFont val="Tahoma"/>
            <family val="2"/>
          </rPr>
          <t>Author:</t>
        </r>
        <r>
          <rPr>
            <sz val="9"/>
            <color indexed="81"/>
            <rFont val="Tahoma"/>
            <family val="2"/>
          </rPr>
          <t xml:space="preserve">
500 MCM cable
Rate per engineering study RC2-COL-MVC-R0.pdf
</t>
        </r>
      </text>
    </comment>
    <comment ref="L199" authorId="0" shapeId="0" xr:uid="{00000000-0006-0000-0000-00007F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M199" authorId="0" shapeId="0" xr:uid="{00000000-0006-0000-0000-000080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N199" authorId="0" shapeId="0" xr:uid="{00000000-0006-0000-0000-000081000000}">
      <text>
        <r>
          <rPr>
            <b/>
            <sz val="9"/>
            <color indexed="81"/>
            <rFont val="Tahoma"/>
            <family val="2"/>
          </rPr>
          <t>Author:</t>
        </r>
        <r>
          <rPr>
            <sz val="9"/>
            <color indexed="81"/>
            <rFont val="Tahoma"/>
            <family val="2"/>
          </rPr>
          <t xml:space="preserve">
Reference
DRCW02-ESMV-E002001 SH1 
DRCW02-ESEQ-E72002 SH6
DS2101B</t>
        </r>
      </text>
    </comment>
    <comment ref="K200" authorId="0" shapeId="0" xr:uid="{00000000-0006-0000-0000-000082000000}">
      <text>
        <r>
          <rPr>
            <b/>
            <sz val="9"/>
            <color indexed="81"/>
            <rFont val="Tahoma"/>
            <family val="2"/>
          </rPr>
          <t>Author:</t>
        </r>
        <r>
          <rPr>
            <sz val="9"/>
            <color indexed="81"/>
            <rFont val="Tahoma"/>
            <family val="2"/>
          </rPr>
          <t xml:space="preserve">
1250 MCM cable
Rate per engineering study RC2-COL-MVC-R0.pdf
</t>
        </r>
      </text>
    </comment>
    <comment ref="L200" authorId="0" shapeId="0" xr:uid="{00000000-0006-0000-0000-000083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M200" authorId="0" shapeId="0" xr:uid="{00000000-0006-0000-0000-000084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N200" authorId="0" shapeId="0" xr:uid="{00000000-0006-0000-0000-000085000000}">
      <text>
        <r>
          <rPr>
            <b/>
            <sz val="9"/>
            <color indexed="81"/>
            <rFont val="Tahoma"/>
            <family val="2"/>
          </rPr>
          <t>Author:</t>
        </r>
        <r>
          <rPr>
            <sz val="9"/>
            <color indexed="81"/>
            <rFont val="Tahoma"/>
            <family val="2"/>
          </rPr>
          <t xml:space="preserve">
Reference
DRCW02-ESMV-E002001 SH1 
DRCW02-ESEQ-E72002 SH6
DS2101B</t>
        </r>
      </text>
    </comment>
    <comment ref="B201" authorId="0" shapeId="0" xr:uid="{00000000-0006-0000-0000-000086000000}">
      <text>
        <r>
          <rPr>
            <b/>
            <sz val="9"/>
            <color indexed="81"/>
            <rFont val="Tahoma"/>
            <family val="2"/>
          </rPr>
          <t>Author:</t>
        </r>
        <r>
          <rPr>
            <sz val="9"/>
            <color indexed="81"/>
            <rFont val="Tahoma"/>
            <family val="2"/>
          </rPr>
          <t xml:space="preserve">
2101A and 2101B feeders connect before the feeder disconnect. Combined rating</t>
        </r>
      </text>
    </comment>
    <comment ref="L201" authorId="0" shapeId="0" xr:uid="{00000000-0006-0000-0000-000087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M201" authorId="0" shapeId="0" xr:uid="{00000000-0006-0000-0000-000088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N201" authorId="0" shapeId="0" xr:uid="{00000000-0006-0000-0000-000089000000}">
      <text>
        <r>
          <rPr>
            <b/>
            <sz val="9"/>
            <color indexed="81"/>
            <rFont val="Tahoma"/>
            <family val="2"/>
          </rPr>
          <t>Author:</t>
        </r>
        <r>
          <rPr>
            <sz val="9"/>
            <color indexed="81"/>
            <rFont val="Tahoma"/>
            <family val="2"/>
          </rPr>
          <t xml:space="preserve">
Reference
DRCW02-ESMV-E002001 SH1 
DRCW02-ESEQ-E72002 SH6
DS2101B</t>
        </r>
      </text>
    </comment>
    <comment ref="K202" authorId="0" shapeId="0" xr:uid="{00000000-0006-0000-0000-00008A000000}">
      <text>
        <r>
          <rPr>
            <b/>
            <sz val="9"/>
            <color indexed="81"/>
            <rFont val="Tahoma"/>
            <family val="2"/>
          </rPr>
          <t>Author:</t>
        </r>
        <r>
          <rPr>
            <sz val="9"/>
            <color indexed="81"/>
            <rFont val="Tahoma"/>
            <family val="2"/>
          </rPr>
          <t xml:space="preserve">
1250 MCM cable
Rate per engineering study RC2-COL-MVC-R0.pdf
</t>
        </r>
      </text>
    </comment>
    <comment ref="L202" authorId="0" shapeId="0" xr:uid="{00000000-0006-0000-0000-00008B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M202" authorId="0" shapeId="0" xr:uid="{00000000-0006-0000-0000-00008C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N202" authorId="0" shapeId="0" xr:uid="{00000000-0006-0000-0000-00008D000000}">
      <text>
        <r>
          <rPr>
            <b/>
            <sz val="9"/>
            <color indexed="81"/>
            <rFont val="Tahoma"/>
            <family val="2"/>
          </rPr>
          <t>Author:</t>
        </r>
        <r>
          <rPr>
            <sz val="9"/>
            <color indexed="81"/>
            <rFont val="Tahoma"/>
            <family val="2"/>
          </rPr>
          <t xml:space="preserve">
Reference
DRCW02-ESMV-E002001 SH1 
DRCW02-ESEQ-E72002 SH6
DS2101A
</t>
        </r>
      </text>
    </comment>
    <comment ref="K203" authorId="0" shapeId="0" xr:uid="{00000000-0006-0000-0000-00008E000000}">
      <text>
        <r>
          <rPr>
            <b/>
            <sz val="9"/>
            <color indexed="81"/>
            <rFont val="Tahoma"/>
            <family val="2"/>
          </rPr>
          <t>Author:</t>
        </r>
        <r>
          <rPr>
            <sz val="9"/>
            <color indexed="81"/>
            <rFont val="Tahoma"/>
            <family val="2"/>
          </rPr>
          <t xml:space="preserve">
1250 MCM cable
Rate per engineering study RC2-COL-MVC-R0.pdf
</t>
        </r>
      </text>
    </comment>
    <comment ref="L203" authorId="0" shapeId="0" xr:uid="{00000000-0006-0000-0000-00008F000000}">
      <text>
        <r>
          <rPr>
            <b/>
            <sz val="9"/>
            <color rgb="FF000000"/>
            <rFont val="Tahoma"/>
            <family val="2"/>
          </rPr>
          <t>Author:</t>
        </r>
        <r>
          <rPr>
            <sz val="9"/>
            <color rgb="FF000000"/>
            <rFont val="Tahoma"/>
            <family val="2"/>
          </rPr>
          <t xml:space="preserve">
Reference DRCW02-ESEQ-E72002 SH4
1272 AAC 1 per Phase
Rate per XEL-EVD-Facility Rating Supplement-Table-Bare Overhead Conductor.xls Normal Summer Rating</t>
        </r>
      </text>
    </comment>
    <comment ref="M203" authorId="0" shapeId="0" xr:uid="{00000000-0006-0000-0000-000090000000}">
      <text>
        <r>
          <rPr>
            <b/>
            <sz val="9"/>
            <color rgb="FF000000"/>
            <rFont val="Tahoma"/>
            <family val="2"/>
          </rPr>
          <t>Author:</t>
        </r>
        <r>
          <rPr>
            <sz val="9"/>
            <color rgb="FF000000"/>
            <rFont val="Tahoma"/>
            <family val="2"/>
          </rPr>
          <t xml:space="preserve">
Reference DRCW02-ESEQ-E72002 SH4
1272 AAC 1 per Phase
Rate per XEL-EVD-Facility Rating Supplement-Table-Bare Overhead Conductor.xls Normal Summer Rating</t>
        </r>
      </text>
    </comment>
    <comment ref="N203" authorId="0" shapeId="0" xr:uid="{00000000-0006-0000-0000-000091000000}">
      <text>
        <r>
          <rPr>
            <b/>
            <sz val="9"/>
            <color indexed="81"/>
            <rFont val="Tahoma"/>
            <family val="2"/>
          </rPr>
          <t>Author:</t>
        </r>
        <r>
          <rPr>
            <sz val="9"/>
            <color indexed="81"/>
            <rFont val="Tahoma"/>
            <family val="2"/>
          </rPr>
          <t xml:space="preserve">
Reference
DRCW02-ESMV-E002001 SH1 
DRCW02-ESEQ-E72002 SH4
DS2102A
</t>
        </r>
      </text>
    </comment>
    <comment ref="K204" authorId="0" shapeId="0" xr:uid="{00000000-0006-0000-0000-000092000000}">
      <text>
        <r>
          <rPr>
            <b/>
            <sz val="9"/>
            <color indexed="81"/>
            <rFont val="Tahoma"/>
            <family val="2"/>
          </rPr>
          <t>Author:</t>
        </r>
        <r>
          <rPr>
            <sz val="9"/>
            <color indexed="81"/>
            <rFont val="Tahoma"/>
            <family val="2"/>
          </rPr>
          <t xml:space="preserve">
1250 MCM cable
Rate per engineering study RC2-COL-MVC-R0.pdf
</t>
        </r>
      </text>
    </comment>
    <comment ref="L204" authorId="0" shapeId="0" xr:uid="{00000000-0006-0000-0000-000093000000}">
      <text>
        <r>
          <rPr>
            <b/>
            <sz val="9"/>
            <color rgb="FF000000"/>
            <rFont val="Tahoma"/>
            <family val="2"/>
          </rPr>
          <t>Author:</t>
        </r>
        <r>
          <rPr>
            <sz val="9"/>
            <color rgb="FF000000"/>
            <rFont val="Tahoma"/>
            <family val="2"/>
          </rPr>
          <t xml:space="preserve">
Reference DRCW02-ESEQ-E72002 SH4
1272 AAC 1 per Phase
Rate per XEL-EVD-Facility Rating Supplement-Table-Bare Overhead Conductor.xls Normal Summer Rating</t>
        </r>
      </text>
    </comment>
    <comment ref="M204" authorId="0" shapeId="0" xr:uid="{00000000-0006-0000-0000-000094000000}">
      <text>
        <r>
          <rPr>
            <b/>
            <sz val="9"/>
            <color rgb="FF000000"/>
            <rFont val="Tahoma"/>
            <family val="2"/>
          </rPr>
          <t>Author:</t>
        </r>
        <r>
          <rPr>
            <sz val="9"/>
            <color rgb="FF000000"/>
            <rFont val="Tahoma"/>
            <family val="2"/>
          </rPr>
          <t xml:space="preserve">
Reference DRCW02-ESEQ-E72002 SH4
1272 AAC 1 per Phase
Rate per XEL-EVD-Facility Rating Supplement-Table-Bare Overhead Conductor.xls Normal Summer Rating</t>
        </r>
      </text>
    </comment>
    <comment ref="N204" authorId="0" shapeId="0" xr:uid="{00000000-0006-0000-0000-000095000000}">
      <text>
        <r>
          <rPr>
            <b/>
            <sz val="9"/>
            <color indexed="81"/>
            <rFont val="Tahoma"/>
            <family val="2"/>
          </rPr>
          <t>Author:</t>
        </r>
        <r>
          <rPr>
            <sz val="9"/>
            <color indexed="81"/>
            <rFont val="Tahoma"/>
            <family val="2"/>
          </rPr>
          <t xml:space="preserve">
Reference
DRCW02-ESMV-E002001 SH1 
DRCW02-ESEQ-E72002 SH4
DS2102B
</t>
        </r>
      </text>
    </comment>
    <comment ref="K205" authorId="0" shapeId="0" xr:uid="{00000000-0006-0000-0000-000096000000}">
      <text>
        <r>
          <rPr>
            <b/>
            <sz val="9"/>
            <color indexed="81"/>
            <rFont val="Tahoma"/>
            <family val="2"/>
          </rPr>
          <t>Author:</t>
        </r>
        <r>
          <rPr>
            <sz val="9"/>
            <color indexed="81"/>
            <rFont val="Tahoma"/>
            <family val="2"/>
          </rPr>
          <t xml:space="preserve">
1250 MCM cable
Rate per engineering study RC2-COL-MVC-R0.pdf
</t>
        </r>
      </text>
    </comment>
    <comment ref="L205" authorId="0" shapeId="0" xr:uid="{00000000-0006-0000-0000-000097000000}">
      <text>
        <r>
          <rPr>
            <b/>
            <sz val="9"/>
            <color rgb="FF000000"/>
            <rFont val="Tahoma"/>
            <family val="2"/>
          </rPr>
          <t>Author:</t>
        </r>
        <r>
          <rPr>
            <sz val="9"/>
            <color rgb="FF000000"/>
            <rFont val="Tahoma"/>
            <family val="2"/>
          </rPr>
          <t xml:space="preserve">
Reference DRCW02-ESEQ-E72002 SH5
1272 AAC 1 per Phase
Rate per XEL-EVD-Facility Rating Supplement-Table-Bare Overhead Conductor.xls Normal Summer Rating</t>
        </r>
      </text>
    </comment>
    <comment ref="M205" authorId="0" shapeId="0" xr:uid="{00000000-0006-0000-0000-000098000000}">
      <text>
        <r>
          <rPr>
            <b/>
            <sz val="9"/>
            <color rgb="FF000000"/>
            <rFont val="Tahoma"/>
            <family val="2"/>
          </rPr>
          <t>Author:</t>
        </r>
        <r>
          <rPr>
            <sz val="9"/>
            <color rgb="FF000000"/>
            <rFont val="Tahoma"/>
            <family val="2"/>
          </rPr>
          <t xml:space="preserve">
Reference DRCW02-ESEQ-E72002 SH5
1272 AAC 1 per Phase
Rate per XEL-EVD-Facility Rating Supplement-Table-Bare Overhead Conductor.xls Normal Summer Rating</t>
        </r>
      </text>
    </comment>
    <comment ref="N205" authorId="0" shapeId="0" xr:uid="{00000000-0006-0000-0000-000099000000}">
      <text>
        <r>
          <rPr>
            <b/>
            <sz val="9"/>
            <color indexed="81"/>
            <rFont val="Tahoma"/>
            <family val="2"/>
          </rPr>
          <t>Author:</t>
        </r>
        <r>
          <rPr>
            <sz val="9"/>
            <color indexed="81"/>
            <rFont val="Tahoma"/>
            <family val="2"/>
          </rPr>
          <t xml:space="preserve">
Reference
DRCW02-ESMV-E002001 SH1 
DRCW02-ESEQ-E72002 SH5
DS2103A
</t>
        </r>
      </text>
    </comment>
    <comment ref="K206" authorId="0" shapeId="0" xr:uid="{00000000-0006-0000-0000-00009A000000}">
      <text>
        <r>
          <rPr>
            <b/>
            <sz val="9"/>
            <color indexed="81"/>
            <rFont val="Tahoma"/>
            <family val="2"/>
          </rPr>
          <t>Author:</t>
        </r>
        <r>
          <rPr>
            <sz val="9"/>
            <color indexed="81"/>
            <rFont val="Tahoma"/>
            <family val="2"/>
          </rPr>
          <t xml:space="preserve">
750 MCM cable
Rate per engineering study RC2-COL-MVC-R0.pdf
</t>
        </r>
      </text>
    </comment>
    <comment ref="L206" authorId="0" shapeId="0" xr:uid="{00000000-0006-0000-0000-00009B000000}">
      <text>
        <r>
          <rPr>
            <b/>
            <sz val="9"/>
            <color rgb="FF000000"/>
            <rFont val="Tahoma"/>
            <family val="2"/>
          </rPr>
          <t>Author:</t>
        </r>
        <r>
          <rPr>
            <sz val="9"/>
            <color rgb="FF000000"/>
            <rFont val="Tahoma"/>
            <family val="2"/>
          </rPr>
          <t xml:space="preserve">
Reference DRCW02-ESEQ-E72002 SH5
1272 AAC 1 per Phase
Rate per XEL-EVD-Facility Rating Supplement-Table-Bare Overhead Conductor.xls Normal Summer Rating</t>
        </r>
      </text>
    </comment>
    <comment ref="M206" authorId="0" shapeId="0" xr:uid="{00000000-0006-0000-0000-00009C000000}">
      <text>
        <r>
          <rPr>
            <b/>
            <sz val="9"/>
            <color rgb="FF000000"/>
            <rFont val="Tahoma"/>
            <family val="2"/>
          </rPr>
          <t>Author:</t>
        </r>
        <r>
          <rPr>
            <sz val="9"/>
            <color rgb="FF000000"/>
            <rFont val="Tahoma"/>
            <family val="2"/>
          </rPr>
          <t xml:space="preserve">
Reference DRCW02-ESEQ-E72002 SH5
1272 AAC 1 per Phase
Rate per XEL-EVD-Facility Rating Supplement-Table-Bare Overhead Conductor.xls Normal Summer Rating</t>
        </r>
      </text>
    </comment>
    <comment ref="N206" authorId="0" shapeId="0" xr:uid="{00000000-0006-0000-0000-00009D000000}">
      <text>
        <r>
          <rPr>
            <b/>
            <sz val="9"/>
            <color indexed="81"/>
            <rFont val="Tahoma"/>
            <family val="2"/>
          </rPr>
          <t>Author:</t>
        </r>
        <r>
          <rPr>
            <sz val="9"/>
            <color indexed="81"/>
            <rFont val="Tahoma"/>
            <family val="2"/>
          </rPr>
          <t xml:space="preserve">
Reference
DRCW02-ESMV-E002001 SH1 
DRCW02-ESEQ-E72002 SH5
DS2103B
</t>
        </r>
      </text>
    </comment>
    <comment ref="K207" authorId="0" shapeId="0" xr:uid="{00000000-0006-0000-0000-00009E000000}">
      <text>
        <r>
          <rPr>
            <b/>
            <sz val="9"/>
            <color indexed="81"/>
            <rFont val="Tahoma"/>
            <family val="2"/>
          </rPr>
          <t>Author:</t>
        </r>
        <r>
          <rPr>
            <sz val="9"/>
            <color indexed="81"/>
            <rFont val="Tahoma"/>
            <family val="2"/>
          </rPr>
          <t xml:space="preserve">
1250 MCM cable
Rate per engineering study RC2-COL-MVC-R0.pdf
</t>
        </r>
      </text>
    </comment>
    <comment ref="L207" authorId="0" shapeId="0" xr:uid="{00000000-0006-0000-0000-00009F000000}">
      <text>
        <r>
          <rPr>
            <b/>
            <sz val="9"/>
            <color rgb="FF000000"/>
            <rFont val="Tahoma"/>
            <family val="2"/>
          </rPr>
          <t>Author:</t>
        </r>
        <r>
          <rPr>
            <sz val="9"/>
            <color rgb="FF000000"/>
            <rFont val="Tahoma"/>
            <family val="2"/>
          </rPr>
          <t xml:space="preserve">
Reference DRCW02-ESEQ-E72002 SH4
1272 AAC 1 per Phase
Rate per XEL-EVD-Facility Rating Supplement-Table-Bare Overhead Conductor.xls Normal Summer Rating</t>
        </r>
      </text>
    </comment>
    <comment ref="M207" authorId="0" shapeId="0" xr:uid="{00000000-0006-0000-0000-0000A0000000}">
      <text>
        <r>
          <rPr>
            <b/>
            <sz val="9"/>
            <color rgb="FF000000"/>
            <rFont val="Tahoma"/>
            <family val="2"/>
          </rPr>
          <t>Author:</t>
        </r>
        <r>
          <rPr>
            <sz val="9"/>
            <color rgb="FF000000"/>
            <rFont val="Tahoma"/>
            <family val="2"/>
          </rPr>
          <t xml:space="preserve">
Reference DRCW02-ESEQ-E72002 SH4
1272 AAC 1 per Phase
Rate per XEL-EVD-Facility Rating Supplement-Table-Bare Overhead Conductor.xls Normal Summer Rating</t>
        </r>
      </text>
    </comment>
    <comment ref="N207" authorId="0" shapeId="0" xr:uid="{00000000-0006-0000-0000-0000A1000000}">
      <text>
        <r>
          <rPr>
            <b/>
            <sz val="9"/>
            <color indexed="81"/>
            <rFont val="Tahoma"/>
            <family val="2"/>
          </rPr>
          <t>Author:</t>
        </r>
        <r>
          <rPr>
            <sz val="9"/>
            <color indexed="81"/>
            <rFont val="Tahoma"/>
            <family val="2"/>
          </rPr>
          <t xml:space="preserve">
Reference
DRCW02-ESMV-E002001 SH1 
DRCW02-ESEQ-E72002 SH4
DS2104A
</t>
        </r>
      </text>
    </comment>
    <comment ref="K208" authorId="0" shapeId="0" xr:uid="{00000000-0006-0000-0000-0000A2000000}">
      <text>
        <r>
          <rPr>
            <b/>
            <sz val="9"/>
            <color indexed="81"/>
            <rFont val="Tahoma"/>
            <family val="2"/>
          </rPr>
          <t>Author:</t>
        </r>
        <r>
          <rPr>
            <sz val="9"/>
            <color indexed="81"/>
            <rFont val="Tahoma"/>
            <family val="2"/>
          </rPr>
          <t xml:space="preserve">
1250 MCM cable
Rate per engineering study RC2-COL-MVC-R0.pdf
</t>
        </r>
      </text>
    </comment>
    <comment ref="L208" authorId="0" shapeId="0" xr:uid="{00000000-0006-0000-0000-0000A3000000}">
      <text>
        <r>
          <rPr>
            <b/>
            <sz val="9"/>
            <color rgb="FF000000"/>
            <rFont val="Tahoma"/>
            <family val="2"/>
          </rPr>
          <t>Author:</t>
        </r>
        <r>
          <rPr>
            <sz val="9"/>
            <color rgb="FF000000"/>
            <rFont val="Tahoma"/>
            <family val="2"/>
          </rPr>
          <t xml:space="preserve">
Reference DRCW02-ESEQ-E72002 SH4
1272 AAC 1 per Phase
Rate per XEL-EVD-Facility Rating Supplement-Table-Bare Overhead Conductor.xls Normal Summer Rating</t>
        </r>
      </text>
    </comment>
    <comment ref="M208" authorId="0" shapeId="0" xr:uid="{00000000-0006-0000-0000-0000A4000000}">
      <text>
        <r>
          <rPr>
            <b/>
            <sz val="9"/>
            <color rgb="FF000000"/>
            <rFont val="Tahoma"/>
            <family val="2"/>
          </rPr>
          <t>Author:</t>
        </r>
        <r>
          <rPr>
            <sz val="9"/>
            <color rgb="FF000000"/>
            <rFont val="Tahoma"/>
            <family val="2"/>
          </rPr>
          <t xml:space="preserve">
Reference DRCW02-ESEQ-E72002 SH4
1272 AAC 1 per Phase
Rate per XEL-EVD-Facility Rating Supplement-Table-Bare Overhead Conductor.xls Normal Summer Rating</t>
        </r>
      </text>
    </comment>
    <comment ref="N208" authorId="0" shapeId="0" xr:uid="{00000000-0006-0000-0000-0000A5000000}">
      <text>
        <r>
          <rPr>
            <b/>
            <sz val="9"/>
            <color indexed="81"/>
            <rFont val="Tahoma"/>
            <family val="2"/>
          </rPr>
          <t>Author:</t>
        </r>
        <r>
          <rPr>
            <sz val="9"/>
            <color indexed="81"/>
            <rFont val="Tahoma"/>
            <family val="2"/>
          </rPr>
          <t xml:space="preserve">
Reference
DRCW02-ESMV-E002001 SH1 
DRCW02-ESEQ-E72002 SH4
DS2104B
</t>
        </r>
      </text>
    </comment>
    <comment ref="K209" authorId="0" shapeId="0" xr:uid="{00000000-0006-0000-0000-0000A6000000}">
      <text>
        <r>
          <rPr>
            <b/>
            <sz val="9"/>
            <color indexed="81"/>
            <rFont val="Tahoma"/>
            <family val="2"/>
          </rPr>
          <t>Author:</t>
        </r>
        <r>
          <rPr>
            <sz val="9"/>
            <color indexed="81"/>
            <rFont val="Tahoma"/>
            <family val="2"/>
          </rPr>
          <t xml:space="preserve">
1250 MCM cable
Rate per engineering study RC2-COL-MVC-R0.pdf
</t>
        </r>
      </text>
    </comment>
    <comment ref="L209" authorId="0" shapeId="0" xr:uid="{00000000-0006-0000-0000-0000A7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M209" authorId="0" shapeId="0" xr:uid="{00000000-0006-0000-0000-0000A8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N209" authorId="0" shapeId="0" xr:uid="{00000000-0006-0000-0000-0000A9000000}">
      <text>
        <r>
          <rPr>
            <b/>
            <sz val="9"/>
            <color indexed="81"/>
            <rFont val="Tahoma"/>
            <family val="2"/>
          </rPr>
          <t>Author:</t>
        </r>
        <r>
          <rPr>
            <sz val="9"/>
            <color indexed="81"/>
            <rFont val="Tahoma"/>
            <family val="2"/>
          </rPr>
          <t xml:space="preserve">
Reference
DRCW02-ESMV-E002001 SH1 
DRCW02-ESEQ-E72002 SH6
DS2105A</t>
        </r>
      </text>
    </comment>
    <comment ref="K210" authorId="0" shapeId="0" xr:uid="{00000000-0006-0000-0000-0000AA000000}">
      <text>
        <r>
          <rPr>
            <b/>
            <sz val="9"/>
            <color indexed="81"/>
            <rFont val="Tahoma"/>
            <family val="2"/>
          </rPr>
          <t>Author:</t>
        </r>
        <r>
          <rPr>
            <sz val="9"/>
            <color indexed="81"/>
            <rFont val="Tahoma"/>
            <family val="2"/>
          </rPr>
          <t xml:space="preserve">
1250 MCM cable
Rate per engineering study RC2-COL-MVC-R0.pdf
</t>
        </r>
      </text>
    </comment>
    <comment ref="L210" authorId="0" shapeId="0" xr:uid="{00000000-0006-0000-0000-0000AB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M210" authorId="0" shapeId="0" xr:uid="{00000000-0006-0000-0000-0000AC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N210" authorId="0" shapeId="0" xr:uid="{00000000-0006-0000-0000-0000AD000000}">
      <text>
        <r>
          <rPr>
            <b/>
            <sz val="9"/>
            <color indexed="81"/>
            <rFont val="Tahoma"/>
            <family val="2"/>
          </rPr>
          <t>Author:</t>
        </r>
        <r>
          <rPr>
            <sz val="9"/>
            <color indexed="81"/>
            <rFont val="Tahoma"/>
            <family val="2"/>
          </rPr>
          <t xml:space="preserve">
Reference
DRCW02-ESMV-E002001 SH1 
DRCW02-ESEQ-E72002 SH6
DS2105B</t>
        </r>
      </text>
    </comment>
    <comment ref="K211" authorId="0" shapeId="0" xr:uid="{00000000-0006-0000-0000-0000AE000000}">
      <text>
        <r>
          <rPr>
            <b/>
            <sz val="9"/>
            <color indexed="81"/>
            <rFont val="Tahoma"/>
            <family val="2"/>
          </rPr>
          <t>Author:</t>
        </r>
        <r>
          <rPr>
            <sz val="9"/>
            <color indexed="81"/>
            <rFont val="Tahoma"/>
            <family val="2"/>
          </rPr>
          <t xml:space="preserve">
500 MCM cable
Rate per engineering study RC2-COL-MVC-R0.pdf
</t>
        </r>
      </text>
    </comment>
    <comment ref="L211" authorId="0" shapeId="0" xr:uid="{00000000-0006-0000-0000-0000AF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M211" authorId="0" shapeId="0" xr:uid="{00000000-0006-0000-0000-0000B0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N211" authorId="0" shapeId="0" xr:uid="{00000000-0006-0000-0000-0000B1000000}">
      <text>
        <r>
          <rPr>
            <b/>
            <sz val="9"/>
            <color indexed="81"/>
            <rFont val="Tahoma"/>
            <family val="2"/>
          </rPr>
          <t>Author:</t>
        </r>
        <r>
          <rPr>
            <sz val="9"/>
            <color indexed="81"/>
            <rFont val="Tahoma"/>
            <family val="2"/>
          </rPr>
          <t xml:space="preserve">
Reference
DRCW02-ESMV-E002001 SH1 
DRCW02-ESEQ-E72002 SH6
DS2105B</t>
        </r>
      </text>
    </comment>
    <comment ref="B212" authorId="0" shapeId="0" xr:uid="{00000000-0006-0000-0000-0000B2000000}">
      <text>
        <r>
          <rPr>
            <b/>
            <sz val="9"/>
            <color indexed="81"/>
            <rFont val="Tahoma"/>
            <family val="2"/>
          </rPr>
          <t>Author:</t>
        </r>
        <r>
          <rPr>
            <sz val="9"/>
            <color indexed="81"/>
            <rFont val="Tahoma"/>
            <family val="2"/>
          </rPr>
          <t xml:space="preserve">
2105B and 2105C feeders connect before the feeder disconnect. Combined rating</t>
        </r>
      </text>
    </comment>
    <comment ref="L212" authorId="0" shapeId="0" xr:uid="{00000000-0006-0000-0000-0000B3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M212" authorId="0" shapeId="0" xr:uid="{00000000-0006-0000-0000-0000B4000000}">
      <text>
        <r>
          <rPr>
            <b/>
            <sz val="9"/>
            <color rgb="FF000000"/>
            <rFont val="Tahoma"/>
            <family val="2"/>
          </rPr>
          <t>Author:</t>
        </r>
        <r>
          <rPr>
            <sz val="9"/>
            <color rgb="FF000000"/>
            <rFont val="Tahoma"/>
            <family val="2"/>
          </rPr>
          <t xml:space="preserve">
Reference DRCW02-ESEQ-E72002 SH6
1272 AAC 1 per Phase
Rate per XEL-EVD-Facility Rating Supplement-Table-Bare Overhead Conductor.xls Normal Summer Rating</t>
        </r>
      </text>
    </comment>
    <comment ref="N212" authorId="0" shapeId="0" xr:uid="{00000000-0006-0000-0000-0000B5000000}">
      <text>
        <r>
          <rPr>
            <b/>
            <sz val="9"/>
            <color indexed="81"/>
            <rFont val="Tahoma"/>
            <family val="2"/>
          </rPr>
          <t>Author:</t>
        </r>
        <r>
          <rPr>
            <sz val="9"/>
            <color indexed="81"/>
            <rFont val="Tahoma"/>
            <family val="2"/>
          </rPr>
          <t xml:space="preserve">
Reference
DRCW02-ESMV-E002001 SH1 
DRCW02-ESEQ-E72002 SH6
DS2105B</t>
        </r>
      </text>
    </comment>
    <comment ref="F217" authorId="0" shapeId="0" xr:uid="{00000000-0006-0000-0000-0000B6000000}">
      <text>
        <r>
          <rPr>
            <b/>
            <sz val="9"/>
            <color rgb="FF000000"/>
            <rFont val="Tahoma"/>
            <family val="2"/>
          </rPr>
          <t>Author:</t>
        </r>
        <r>
          <rPr>
            <sz val="9"/>
            <color rgb="FF000000"/>
            <rFont val="Tahoma"/>
            <family val="2"/>
          </rPr>
          <t xml:space="preserve">
Reference 
DRCW01-ESMV-E01001 SH1
DRCW01-ESEQ-41001 SH1
2" SCH40 Al Tube Bus
Rate per XEL-EVD-Facility Rating Supplement-Table-Tubular and Square Conductor.xls.
Normal summer rating @ 4 ft/s</t>
        </r>
      </text>
    </comment>
    <comment ref="G217" authorId="0" shapeId="0" xr:uid="{00000000-0006-0000-0000-0000B700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H217" authorId="0" shapeId="0" xr:uid="{00000000-0006-0000-0000-0000B8000000}">
      <text>
        <r>
          <rPr>
            <b/>
            <sz val="9"/>
            <color rgb="FF000000"/>
            <rFont val="Tahoma"/>
            <family val="2"/>
          </rPr>
          <t>Author:</t>
        </r>
        <r>
          <rPr>
            <sz val="9"/>
            <color rgb="FF000000"/>
            <rFont val="Tahoma"/>
            <family val="2"/>
          </rPr>
          <t xml:space="preserve">
Reference 
DRCW01-ESMV-E01001 SH1
DRCW01-ESEQ-41001 SH1
Current Limiting Reactor, 1200A, 1/ph</t>
        </r>
      </text>
    </comment>
    <comment ref="I217" authorId="0" shapeId="0" xr:uid="{00000000-0006-0000-0000-0000B900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J217" authorId="0" shapeId="0" xr:uid="{00000000-0006-0000-0000-0000BA000000}">
      <text>
        <r>
          <rPr>
            <b/>
            <sz val="9"/>
            <color rgb="FF000000"/>
            <rFont val="Tahoma"/>
            <family val="2"/>
          </rPr>
          <t>Author:</t>
        </r>
        <r>
          <rPr>
            <sz val="9"/>
            <color rgb="FF000000"/>
            <rFont val="Tahoma"/>
            <family val="2"/>
          </rPr>
          <t xml:space="preserve">
Reference 
DRCW01-ESMV-E01001 SH1
DRCW01-ESEQ-41001 SH1
2" SCH40 Al Tube Bus - Both horizontal and vertical sections
Rate per XEL-EVD-Facility Rating Supplement-Table-Tubular and Square Conductor.xls.
Normal summer rating @ 4 ft/s</t>
        </r>
      </text>
    </comment>
    <comment ref="K217" authorId="0" shapeId="0" xr:uid="{00000000-0006-0000-0000-0000BB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L217" authorId="0" shapeId="0" xr:uid="{00000000-0006-0000-0000-0000BC000000}">
      <text>
        <r>
          <rPr>
            <b/>
            <sz val="9"/>
            <color rgb="FF000000"/>
            <rFont val="Tahoma"/>
            <family val="2"/>
          </rPr>
          <t>Author:</t>
        </r>
        <r>
          <rPr>
            <sz val="9"/>
            <color rgb="FF000000"/>
            <rFont val="Tahoma"/>
            <family val="2"/>
          </rPr>
          <t xml:space="preserve">
Reference 
DRCW01-ESMV-E01001 SH2
DRCW01-ESEQ-41001 SH1
Disconnect Switch, 2000A,
1101F</t>
        </r>
      </text>
    </comment>
    <comment ref="M217" authorId="0" shapeId="0" xr:uid="{00000000-0006-0000-0000-0000BD000000}">
      <text>
        <r>
          <rPr>
            <b/>
            <sz val="9"/>
            <color rgb="FF000000"/>
            <rFont val="Tahoma"/>
            <family val="2"/>
          </rPr>
          <t>Author:</t>
        </r>
        <r>
          <rPr>
            <sz val="9"/>
            <color rgb="FF000000"/>
            <rFont val="Tahoma"/>
            <family val="2"/>
          </rPr>
          <t xml:space="preserve">
CT on feeder side of breaker
3000/5 amp MRCT at 3000 amp tap.
Reference 
DRCW01-ESPT-E81001 SH2</t>
        </r>
      </text>
    </comment>
    <comment ref="N217" authorId="0" shapeId="0" xr:uid="{00000000-0006-0000-0000-0000BE000000}">
      <text>
        <r>
          <rPr>
            <b/>
            <sz val="9"/>
            <color indexed="81"/>
            <rFont val="Tahoma"/>
            <family val="2"/>
          </rPr>
          <t>Author:</t>
        </r>
        <r>
          <rPr>
            <sz val="9"/>
            <color indexed="81"/>
            <rFont val="Tahoma"/>
            <family val="2"/>
          </rPr>
          <t xml:space="preserve">
Reference 
DRCW01-ESMV-E01001 SH2
DRCW01-ESEQ-41001 SH1
</t>
        </r>
      </text>
    </comment>
    <comment ref="O217" authorId="0" shapeId="0" xr:uid="{00000000-0006-0000-0000-0000BF000000}">
      <text>
        <r>
          <rPr>
            <b/>
            <sz val="9"/>
            <color rgb="FF000000"/>
            <rFont val="Tahoma"/>
            <family val="2"/>
          </rPr>
          <t>Author:</t>
        </r>
        <r>
          <rPr>
            <sz val="9"/>
            <color rgb="FF000000"/>
            <rFont val="Tahoma"/>
            <family val="2"/>
          </rPr>
          <t xml:space="preserve">
Reference 
DRCW01-ESMV-E01001 SH2
DRCW01-ESEQ-41001 SH1
Disconnect Switch, 2000A,
1101M</t>
        </r>
      </text>
    </comment>
    <comment ref="P217" authorId="0" shapeId="0" xr:uid="{00000000-0006-0000-0000-0000C0000000}">
      <text>
        <r>
          <rPr>
            <b/>
            <sz val="9"/>
            <color rgb="FF000000"/>
            <rFont val="Tahoma"/>
            <family val="2"/>
          </rPr>
          <t>Author:</t>
        </r>
        <r>
          <rPr>
            <sz val="9"/>
            <color rgb="FF000000"/>
            <rFont val="Tahoma"/>
            <family val="2"/>
          </rPr>
          <t xml:space="preserve">
CT on bus side of feeder breaker
3000/5 amp MRCT at 3000 amp tap.
Reference 
DRCW01-ESPT-E81001 SH2</t>
        </r>
      </text>
    </comment>
    <comment ref="Q217" authorId="0" shapeId="0" xr:uid="{00000000-0006-0000-0000-0000C1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R217" authorId="0" shapeId="0" xr:uid="{00000000-0006-0000-0000-0000C2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S217" authorId="0" shapeId="0" xr:uid="{00000000-0006-0000-0000-0000C3000000}">
      <text>
        <r>
          <rPr>
            <b/>
            <sz val="9"/>
            <color rgb="FF000000"/>
            <rFont val="Tahoma"/>
            <family val="2"/>
          </rPr>
          <t>Author:</t>
        </r>
        <r>
          <rPr>
            <sz val="9"/>
            <color rgb="FF000000"/>
            <rFont val="Tahoma"/>
            <family val="2"/>
          </rPr>
          <t xml:space="preserve">
51 pickup: 1300 A Primary
50 pickup: 1800 A Primary</t>
        </r>
      </text>
    </comment>
    <comment ref="F218" authorId="0" shapeId="0" xr:uid="{00000000-0006-0000-0000-0000C4000000}">
      <text>
        <r>
          <rPr>
            <b/>
            <sz val="9"/>
            <color rgb="FF000000"/>
            <rFont val="Tahoma"/>
            <family val="2"/>
          </rPr>
          <t>Author:</t>
        </r>
        <r>
          <rPr>
            <sz val="9"/>
            <color rgb="FF000000"/>
            <rFont val="Tahoma"/>
            <family val="2"/>
          </rPr>
          <t xml:space="preserve">
Reference 
DRCW01-ESMV-E01001 SH1
DRCW01-ESEQ-41001 SH1
2" SCH40 Al Tube Bus
Rate per XEL-EVD-Facility Rating Supplement-Table-Tubular and Square Conductor.xls.
Normal summer rating @ 4 ft/s</t>
        </r>
      </text>
    </comment>
    <comment ref="G218" authorId="0" shapeId="0" xr:uid="{00000000-0006-0000-0000-0000C500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H218" authorId="0" shapeId="0" xr:uid="{00000000-0006-0000-0000-0000C6000000}">
      <text>
        <r>
          <rPr>
            <b/>
            <sz val="9"/>
            <color rgb="FF000000"/>
            <rFont val="Tahoma"/>
            <family val="2"/>
          </rPr>
          <t>Author:</t>
        </r>
        <r>
          <rPr>
            <sz val="9"/>
            <color rgb="FF000000"/>
            <rFont val="Tahoma"/>
            <family val="2"/>
          </rPr>
          <t xml:space="preserve">
Reference 
DRCW01-ESMV-E01001 SH1
DRCW01-ESEQ-41001 SH1
Current Limiting Reactor, 1200A, 1/ph</t>
        </r>
      </text>
    </comment>
    <comment ref="I218" authorId="0" shapeId="0" xr:uid="{00000000-0006-0000-0000-0000C700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J218" authorId="0" shapeId="0" xr:uid="{00000000-0006-0000-0000-0000C8000000}">
      <text>
        <r>
          <rPr>
            <b/>
            <sz val="9"/>
            <color rgb="FF000000"/>
            <rFont val="Tahoma"/>
            <family val="2"/>
          </rPr>
          <t>Author:</t>
        </r>
        <r>
          <rPr>
            <sz val="9"/>
            <color rgb="FF000000"/>
            <rFont val="Tahoma"/>
            <family val="2"/>
          </rPr>
          <t xml:space="preserve">
Reference 
DRCW01-ESMV-E01001 SH1
DRCW01-ESEQ-41001 SH1
2" SCH40 Al Tube Bus - Both horizontal and vertical sections
Rate per XEL-EVD-Facility Rating Supplement-Table-Tubular and Square Conductor.xls.
Normal summer rating @ 4 ft/s</t>
        </r>
      </text>
    </comment>
    <comment ref="K218" authorId="0" shapeId="0" xr:uid="{00000000-0006-0000-0000-0000C9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L218" authorId="0" shapeId="0" xr:uid="{00000000-0006-0000-0000-0000CA000000}">
      <text>
        <r>
          <rPr>
            <b/>
            <sz val="9"/>
            <color rgb="FF000000"/>
            <rFont val="Tahoma"/>
            <family val="2"/>
          </rPr>
          <t>Author:</t>
        </r>
        <r>
          <rPr>
            <sz val="9"/>
            <color rgb="FF000000"/>
            <rFont val="Tahoma"/>
            <family val="2"/>
          </rPr>
          <t xml:space="preserve">
Reference 
DRCW01-ESMV-E01001 SH2
DRCW01-ESEQ-41001 SH1
Disconnect Switch, 1200A,
DS1102F</t>
        </r>
      </text>
    </comment>
    <comment ref="M218" authorId="0" shapeId="0" xr:uid="{00000000-0006-0000-0000-0000CB000000}">
      <text>
        <r>
          <rPr>
            <b/>
            <sz val="9"/>
            <color rgb="FF000000"/>
            <rFont val="Tahoma"/>
            <family val="2"/>
          </rPr>
          <t>Author:</t>
        </r>
        <r>
          <rPr>
            <sz val="9"/>
            <color rgb="FF000000"/>
            <rFont val="Tahoma"/>
            <family val="2"/>
          </rPr>
          <t xml:space="preserve">
CT on feeder side of breaker
3000/5 amp MRCT at 3000 amp tap.
Reference 
DRCW01-ESPT-E81001 SH2</t>
        </r>
      </text>
    </comment>
    <comment ref="N218" authorId="0" shapeId="0" xr:uid="{00000000-0006-0000-0000-0000CC000000}">
      <text>
        <r>
          <rPr>
            <b/>
            <sz val="9"/>
            <color indexed="81"/>
            <rFont val="Tahoma"/>
            <family val="2"/>
          </rPr>
          <t>Author:</t>
        </r>
        <r>
          <rPr>
            <sz val="9"/>
            <color indexed="81"/>
            <rFont val="Tahoma"/>
            <family val="2"/>
          </rPr>
          <t xml:space="preserve">
Reference 
DRCW01-ESMV-E01001 SH2
DRCW01-ESEQ-41001 SH1
</t>
        </r>
      </text>
    </comment>
    <comment ref="O218" authorId="0" shapeId="0" xr:uid="{00000000-0006-0000-0000-0000CD000000}">
      <text>
        <r>
          <rPr>
            <b/>
            <sz val="9"/>
            <color rgb="FF000000"/>
            <rFont val="Tahoma"/>
            <family val="2"/>
          </rPr>
          <t>Author:</t>
        </r>
        <r>
          <rPr>
            <sz val="9"/>
            <color rgb="FF000000"/>
            <rFont val="Tahoma"/>
            <family val="2"/>
          </rPr>
          <t xml:space="preserve">
Reference 
DRCW01-ESMV-E01001 SH2
DRCW01-ESEQ-41001 SH1
Disconnect Switch, 1200A,
DS1102M</t>
        </r>
      </text>
    </comment>
    <comment ref="P218" authorId="0" shapeId="0" xr:uid="{00000000-0006-0000-0000-0000CE000000}">
      <text>
        <r>
          <rPr>
            <b/>
            <sz val="9"/>
            <color rgb="FF000000"/>
            <rFont val="Tahoma"/>
            <family val="2"/>
          </rPr>
          <t>Author:</t>
        </r>
        <r>
          <rPr>
            <sz val="9"/>
            <color rgb="FF000000"/>
            <rFont val="Tahoma"/>
            <family val="2"/>
          </rPr>
          <t xml:space="preserve">
CT on bus side of feeder breaker
3000/5 amp MRCT at 3000 amp tap.
Reference 
DRCW01-ESPT-E81001 SH2</t>
        </r>
      </text>
    </comment>
    <comment ref="Q218" authorId="0" shapeId="0" xr:uid="{00000000-0006-0000-0000-0000CF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R218" authorId="0" shapeId="0" xr:uid="{00000000-0006-0000-0000-0000D0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S218" authorId="0" shapeId="0" xr:uid="{00000000-0006-0000-0000-0000D1000000}">
      <text>
        <r>
          <rPr>
            <b/>
            <sz val="9"/>
            <color rgb="FF000000"/>
            <rFont val="Tahoma"/>
            <family val="2"/>
          </rPr>
          <t>Author:</t>
        </r>
        <r>
          <rPr>
            <sz val="9"/>
            <color rgb="FF000000"/>
            <rFont val="Tahoma"/>
            <family val="2"/>
          </rPr>
          <t xml:space="preserve">
51 pickup: 1300 A Primary
50 pickup: 1800 A Primary</t>
        </r>
      </text>
    </comment>
    <comment ref="F219" authorId="0" shapeId="0" xr:uid="{00000000-0006-0000-0000-0000D2000000}">
      <text>
        <r>
          <rPr>
            <b/>
            <sz val="9"/>
            <color rgb="FF000000"/>
            <rFont val="Tahoma"/>
            <family val="2"/>
          </rPr>
          <t>Author:</t>
        </r>
        <r>
          <rPr>
            <sz val="9"/>
            <color rgb="FF000000"/>
            <rFont val="Tahoma"/>
            <family val="2"/>
          </rPr>
          <t xml:space="preserve">
Reference 
DRCW01-ESMV-E01001 SH1
DRCW01-ESEQ-41001 SH1
2" SCH40 Al Tube Bus
Rate per XEL-EVD-Facility Rating Supplement-Table-Tubular and Square Conductor.xls.
Normal summer rating @ 4 ft/s</t>
        </r>
      </text>
    </comment>
    <comment ref="G219" authorId="0" shapeId="0" xr:uid="{00000000-0006-0000-0000-0000D300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H219" authorId="0" shapeId="0" xr:uid="{00000000-0006-0000-0000-0000D4000000}">
      <text>
        <r>
          <rPr>
            <b/>
            <sz val="9"/>
            <color rgb="FF000000"/>
            <rFont val="Tahoma"/>
            <family val="2"/>
          </rPr>
          <t>Author:</t>
        </r>
        <r>
          <rPr>
            <sz val="9"/>
            <color rgb="FF000000"/>
            <rFont val="Tahoma"/>
            <family val="2"/>
          </rPr>
          <t xml:space="preserve">
Reference 
DRCW01-ESMV-E01001 SH1
DRCW01-ESEQ-41001 SH1
Current Limiting Reactor, 1200A, 1/ph</t>
        </r>
      </text>
    </comment>
    <comment ref="I219" authorId="0" shapeId="0" xr:uid="{00000000-0006-0000-0000-0000D500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J219" authorId="0" shapeId="0" xr:uid="{00000000-0006-0000-0000-0000D6000000}">
      <text>
        <r>
          <rPr>
            <b/>
            <sz val="9"/>
            <color rgb="FF000000"/>
            <rFont val="Tahoma"/>
            <family val="2"/>
          </rPr>
          <t>Author:</t>
        </r>
        <r>
          <rPr>
            <sz val="9"/>
            <color rgb="FF000000"/>
            <rFont val="Tahoma"/>
            <family val="2"/>
          </rPr>
          <t xml:space="preserve">
Reference 
DRCW01-ESMV-E01001 SH1
DRCW01-ESEQ-41001 SH1
2" SCH40 Al Tube Bus - Both horizontal and vertical sections
Rate per XEL-EVD-Facility Rating Supplement-Table-Tubular and Square Conductor.xls.
Normal summer rating @ 4 ft/s</t>
        </r>
      </text>
    </comment>
    <comment ref="K219" authorId="0" shapeId="0" xr:uid="{00000000-0006-0000-0000-0000D7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L219" authorId="0" shapeId="0" xr:uid="{00000000-0006-0000-0000-0000D8000000}">
      <text>
        <r>
          <rPr>
            <b/>
            <sz val="9"/>
            <color rgb="FF000000"/>
            <rFont val="Tahoma"/>
            <family val="2"/>
          </rPr>
          <t>Author:</t>
        </r>
        <r>
          <rPr>
            <sz val="9"/>
            <color rgb="FF000000"/>
            <rFont val="Tahoma"/>
            <family val="2"/>
          </rPr>
          <t xml:space="preserve">
Reference 
DRCW01-ESMV-E01001 SH2
DRCW01-ESEQ-41001 SH1
Disconnect Switch, 1200A,
DS1103F</t>
        </r>
      </text>
    </comment>
    <comment ref="M219" authorId="0" shapeId="0" xr:uid="{00000000-0006-0000-0000-0000D9000000}">
      <text>
        <r>
          <rPr>
            <b/>
            <sz val="9"/>
            <color rgb="FF000000"/>
            <rFont val="Tahoma"/>
            <family val="2"/>
          </rPr>
          <t>Author:</t>
        </r>
        <r>
          <rPr>
            <sz val="9"/>
            <color rgb="FF000000"/>
            <rFont val="Tahoma"/>
            <family val="2"/>
          </rPr>
          <t xml:space="preserve">
CT on feeder side of breaker
3000/5 amp MRCT at 3000 amp tap.
Reference 
DRCW01-ESPT-E81001 SH2</t>
        </r>
      </text>
    </comment>
    <comment ref="N219" authorId="0" shapeId="0" xr:uid="{00000000-0006-0000-0000-0000DA000000}">
      <text>
        <r>
          <rPr>
            <b/>
            <sz val="9"/>
            <color indexed="81"/>
            <rFont val="Tahoma"/>
            <family val="2"/>
          </rPr>
          <t>Author:</t>
        </r>
        <r>
          <rPr>
            <sz val="9"/>
            <color indexed="81"/>
            <rFont val="Tahoma"/>
            <family val="2"/>
          </rPr>
          <t xml:space="preserve">
Reference 
DRCW01-ESMV-E01001 SH2
DRCW01-ESEQ-41001 SH1
</t>
        </r>
      </text>
    </comment>
    <comment ref="O219" authorId="0" shapeId="0" xr:uid="{00000000-0006-0000-0000-0000DB000000}">
      <text>
        <r>
          <rPr>
            <b/>
            <sz val="9"/>
            <color rgb="FF000000"/>
            <rFont val="Tahoma"/>
            <family val="2"/>
          </rPr>
          <t>Author:</t>
        </r>
        <r>
          <rPr>
            <sz val="9"/>
            <color rgb="FF000000"/>
            <rFont val="Tahoma"/>
            <family val="2"/>
          </rPr>
          <t xml:space="preserve">
Reference 
DRCW01-ESMV-E01001 SH2
DRCW01-ESEQ-41001 SH1
Disconnect Switch, 1200A,
DS1103M</t>
        </r>
      </text>
    </comment>
    <comment ref="P219" authorId="0" shapeId="0" xr:uid="{00000000-0006-0000-0000-0000DC000000}">
      <text>
        <r>
          <rPr>
            <b/>
            <sz val="9"/>
            <color rgb="FF000000"/>
            <rFont val="Tahoma"/>
            <family val="2"/>
          </rPr>
          <t>Author:</t>
        </r>
        <r>
          <rPr>
            <sz val="9"/>
            <color rgb="FF000000"/>
            <rFont val="Tahoma"/>
            <family val="2"/>
          </rPr>
          <t xml:space="preserve">
CT on bus side of feeder breaker
3000/5 amp MRCT at 3000 amp tap.
Reference 
DRCW01-ESPT-E81001 SH2</t>
        </r>
      </text>
    </comment>
    <comment ref="Q219" authorId="0" shapeId="0" xr:uid="{00000000-0006-0000-0000-0000DD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R219" authorId="0" shapeId="0" xr:uid="{00000000-0006-0000-0000-0000DE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S219" authorId="0" shapeId="0" xr:uid="{00000000-0006-0000-0000-0000DF000000}">
      <text>
        <r>
          <rPr>
            <b/>
            <sz val="9"/>
            <color rgb="FF000000"/>
            <rFont val="Tahoma"/>
            <family val="2"/>
          </rPr>
          <t>Author:</t>
        </r>
        <r>
          <rPr>
            <sz val="9"/>
            <color rgb="FF000000"/>
            <rFont val="Tahoma"/>
            <family val="2"/>
          </rPr>
          <t xml:space="preserve">
51 pickup: 1300 A Primary
50 pickup: 1800 A Primary</t>
        </r>
      </text>
    </comment>
    <comment ref="F220" authorId="0" shapeId="0" xr:uid="{00000000-0006-0000-0000-0000E0000000}">
      <text>
        <r>
          <rPr>
            <b/>
            <sz val="9"/>
            <color rgb="FF000000"/>
            <rFont val="Tahoma"/>
            <family val="2"/>
          </rPr>
          <t>Author:</t>
        </r>
        <r>
          <rPr>
            <sz val="9"/>
            <color rgb="FF000000"/>
            <rFont val="Tahoma"/>
            <family val="2"/>
          </rPr>
          <t xml:space="preserve">
Reference 
DRCW01-ESMV-E01001 SH1
DRCW01-ESEQ-41001 SH1
2" SCH40 Al Tube Bus
Rate per XEL-EVD-Facility Rating Supplement-Table-Tubular and Square Conductor.xls.
Normal summer rating @ 4 ft/s</t>
        </r>
      </text>
    </comment>
    <comment ref="G220" authorId="0" shapeId="0" xr:uid="{00000000-0006-0000-0000-0000E100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H220" authorId="0" shapeId="0" xr:uid="{00000000-0006-0000-0000-0000E2000000}">
      <text>
        <r>
          <rPr>
            <b/>
            <sz val="9"/>
            <color rgb="FF000000"/>
            <rFont val="Tahoma"/>
            <family val="2"/>
          </rPr>
          <t>Author:</t>
        </r>
        <r>
          <rPr>
            <sz val="9"/>
            <color rgb="FF000000"/>
            <rFont val="Tahoma"/>
            <family val="2"/>
          </rPr>
          <t xml:space="preserve">
Reference 
DRCW01-ESMV-E01001 SH1
DRCW01-ESEQ-41001 SH1
Current Limiting Reactor, 1200A, 1/ph</t>
        </r>
      </text>
    </comment>
    <comment ref="I220" authorId="0" shapeId="0" xr:uid="{00000000-0006-0000-0000-0000E300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J220" authorId="0" shapeId="0" xr:uid="{00000000-0006-0000-0000-0000E4000000}">
      <text>
        <r>
          <rPr>
            <b/>
            <sz val="9"/>
            <color rgb="FF000000"/>
            <rFont val="Tahoma"/>
            <family val="2"/>
          </rPr>
          <t>Author:</t>
        </r>
        <r>
          <rPr>
            <sz val="9"/>
            <color rgb="FF000000"/>
            <rFont val="Tahoma"/>
            <family val="2"/>
          </rPr>
          <t xml:space="preserve">
Reference 
DRCW01-ESMV-E01001 SH1
DRCW01-ESEQ-41001 SH1
2" SCH40 Al Tube Bus - Both horizontal and vertical sections
Rate per XEL-EVD-Facility Rating Supplement-Table-Tubular and Square Conductor.xls.
Normal summer rating @ 4 ft/s</t>
        </r>
      </text>
    </comment>
    <comment ref="K220" authorId="0" shapeId="0" xr:uid="{00000000-0006-0000-0000-0000E5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L220" authorId="0" shapeId="0" xr:uid="{00000000-0006-0000-0000-0000E6000000}">
      <text>
        <r>
          <rPr>
            <b/>
            <sz val="9"/>
            <color rgb="FF000000"/>
            <rFont val="Tahoma"/>
            <family val="2"/>
          </rPr>
          <t>Author:</t>
        </r>
        <r>
          <rPr>
            <sz val="9"/>
            <color rgb="FF000000"/>
            <rFont val="Tahoma"/>
            <family val="2"/>
          </rPr>
          <t xml:space="preserve">
Reference 
DRCW01-ESMV-E01001 SH2
DRCW01-ESEQ-41001 SH1
Disconnect Switch, 1200A,
DS1104F</t>
        </r>
      </text>
    </comment>
    <comment ref="M220" authorId="0" shapeId="0" xr:uid="{00000000-0006-0000-0000-0000E7000000}">
      <text>
        <r>
          <rPr>
            <b/>
            <sz val="9"/>
            <color rgb="FF000000"/>
            <rFont val="Tahoma"/>
            <family val="2"/>
          </rPr>
          <t>Author:</t>
        </r>
        <r>
          <rPr>
            <sz val="9"/>
            <color rgb="FF000000"/>
            <rFont val="Tahoma"/>
            <family val="2"/>
          </rPr>
          <t xml:space="preserve">
CT on feeder side of breaker
3000/5 amp MRCT at 3000 amp tap.
Reference 
DRCW01-ESPT-E81001 SH2</t>
        </r>
      </text>
    </comment>
    <comment ref="N220" authorId="0" shapeId="0" xr:uid="{00000000-0006-0000-0000-0000E8000000}">
      <text>
        <r>
          <rPr>
            <b/>
            <sz val="9"/>
            <color indexed="81"/>
            <rFont val="Tahoma"/>
            <family val="2"/>
          </rPr>
          <t>Author:</t>
        </r>
        <r>
          <rPr>
            <sz val="9"/>
            <color indexed="81"/>
            <rFont val="Tahoma"/>
            <family val="2"/>
          </rPr>
          <t xml:space="preserve">
Reference 
DRCW01-ESMV-E01001 SH2
DRCW01-ESEQ-41001 SH1
</t>
        </r>
      </text>
    </comment>
    <comment ref="O220" authorId="0" shapeId="0" xr:uid="{00000000-0006-0000-0000-0000E9000000}">
      <text>
        <r>
          <rPr>
            <b/>
            <sz val="9"/>
            <color rgb="FF000000"/>
            <rFont val="Tahoma"/>
            <family val="2"/>
          </rPr>
          <t>Author:</t>
        </r>
        <r>
          <rPr>
            <sz val="9"/>
            <color rgb="FF000000"/>
            <rFont val="Tahoma"/>
            <family val="2"/>
          </rPr>
          <t xml:space="preserve">
Reference 
DRCW01-ESMV-E01001 SH2
DRCW01-ESEQ-41001 SH1
Disconnect Switch, 1200A,
DS1104M</t>
        </r>
      </text>
    </comment>
    <comment ref="P220" authorId="0" shapeId="0" xr:uid="{00000000-0006-0000-0000-0000EA000000}">
      <text>
        <r>
          <rPr>
            <b/>
            <sz val="9"/>
            <color rgb="FF000000"/>
            <rFont val="Tahoma"/>
            <family val="2"/>
          </rPr>
          <t>Author:</t>
        </r>
        <r>
          <rPr>
            <sz val="9"/>
            <color rgb="FF000000"/>
            <rFont val="Tahoma"/>
            <family val="2"/>
          </rPr>
          <t xml:space="preserve">
CT on bus side of feeder breaker
3000/5 amp MRCT at 3000 amp tap.
Reference 
DRCW01-ESPT-E81001 SH2</t>
        </r>
      </text>
    </comment>
    <comment ref="Q220" authorId="0" shapeId="0" xr:uid="{00000000-0006-0000-0000-0000EB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R220" authorId="0" shapeId="0" xr:uid="{00000000-0006-0000-0000-0000EC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S220" authorId="0" shapeId="0" xr:uid="{00000000-0006-0000-0000-0000ED000000}">
      <text>
        <r>
          <rPr>
            <b/>
            <sz val="9"/>
            <color rgb="FF000000"/>
            <rFont val="Tahoma"/>
            <family val="2"/>
          </rPr>
          <t>Author:</t>
        </r>
        <r>
          <rPr>
            <sz val="9"/>
            <color rgb="FF000000"/>
            <rFont val="Tahoma"/>
            <family val="2"/>
          </rPr>
          <t xml:space="preserve">
51 pickup: 1300 A Primary
50 pickup: 1800 A Primary</t>
        </r>
      </text>
    </comment>
    <comment ref="F221" authorId="0" shapeId="0" xr:uid="{00000000-0006-0000-0000-0000EE000000}">
      <text>
        <r>
          <rPr>
            <b/>
            <sz val="9"/>
            <color rgb="FF000000"/>
            <rFont val="Tahoma"/>
            <family val="2"/>
          </rPr>
          <t>Author:</t>
        </r>
        <r>
          <rPr>
            <sz val="9"/>
            <color rgb="FF000000"/>
            <rFont val="Tahoma"/>
            <family val="2"/>
          </rPr>
          <t xml:space="preserve">
Reference 
DRCW01-ESMV-E01001 SH1
DRCW01-ESEQ-41001 SH1
2" SCH40 Al Tube Bus
Rate per XEL-EVD-Facility Rating Supplement-Table-Tubular and Square Conductor.xls.
Normal summer rating @ 4 ft/s</t>
        </r>
      </text>
    </comment>
    <comment ref="G221" authorId="0" shapeId="0" xr:uid="{00000000-0006-0000-0000-0000EF00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H221" authorId="0" shapeId="0" xr:uid="{00000000-0006-0000-0000-0000F0000000}">
      <text>
        <r>
          <rPr>
            <b/>
            <sz val="9"/>
            <color rgb="FF000000"/>
            <rFont val="Tahoma"/>
            <family val="2"/>
          </rPr>
          <t>Author:</t>
        </r>
        <r>
          <rPr>
            <sz val="9"/>
            <color rgb="FF000000"/>
            <rFont val="Tahoma"/>
            <family val="2"/>
          </rPr>
          <t xml:space="preserve">
Reference 
DRCW01-ESMV-E01001 SH1
DRCW01-ESEQ-41001 SH1
Current Limiting Reactor, 1200A, 1/ph</t>
        </r>
      </text>
    </comment>
    <comment ref="I221" authorId="0" shapeId="0" xr:uid="{00000000-0006-0000-0000-0000F100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J221" authorId="0" shapeId="0" xr:uid="{00000000-0006-0000-0000-0000F2000000}">
      <text>
        <r>
          <rPr>
            <b/>
            <sz val="9"/>
            <color rgb="FF000000"/>
            <rFont val="Tahoma"/>
            <family val="2"/>
          </rPr>
          <t>Author:</t>
        </r>
        <r>
          <rPr>
            <sz val="9"/>
            <color rgb="FF000000"/>
            <rFont val="Tahoma"/>
            <family val="2"/>
          </rPr>
          <t xml:space="preserve">
Reference 
DRCW01-ESMV-E01001 SH1
DRCW01-ESEQ-41001 SH1
2" SCH40 Al Tube Bus - Both horizontal and vertical sections
Rate per XEL-EVD-Facility Rating Supplement-Table-Tubular and Square Conductor.xls.
Normal summer rating @ 4 ft/s</t>
        </r>
      </text>
    </comment>
    <comment ref="K221" authorId="0" shapeId="0" xr:uid="{00000000-0006-0000-0000-0000F3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L221" authorId="0" shapeId="0" xr:uid="{00000000-0006-0000-0000-0000F4000000}">
      <text>
        <r>
          <rPr>
            <b/>
            <sz val="9"/>
            <color rgb="FF000000"/>
            <rFont val="Tahoma"/>
            <family val="2"/>
          </rPr>
          <t>Author:</t>
        </r>
        <r>
          <rPr>
            <sz val="9"/>
            <color rgb="FF000000"/>
            <rFont val="Tahoma"/>
            <family val="2"/>
          </rPr>
          <t xml:space="preserve">
Reference 
DRCW01-ESMV-E01001 SH2
DRCW01-ESEQ-41001 SH1
Disconnect Switch, 1200A,
DS1201F</t>
        </r>
      </text>
    </comment>
    <comment ref="M221" authorId="0" shapeId="0" xr:uid="{00000000-0006-0000-0000-0000F5000000}">
      <text>
        <r>
          <rPr>
            <b/>
            <sz val="9"/>
            <color rgb="FF000000"/>
            <rFont val="Tahoma"/>
            <family val="2"/>
          </rPr>
          <t>Author:</t>
        </r>
        <r>
          <rPr>
            <sz val="9"/>
            <color rgb="FF000000"/>
            <rFont val="Tahoma"/>
            <family val="2"/>
          </rPr>
          <t xml:space="preserve">
CT on feeder side of breaker
3000/5 amp MRCT at 3000 amp tap.
Reference 
DRCW01-ESPT-E81001 SH2</t>
        </r>
      </text>
    </comment>
    <comment ref="N221" authorId="0" shapeId="0" xr:uid="{00000000-0006-0000-0000-0000F6000000}">
      <text>
        <r>
          <rPr>
            <b/>
            <sz val="9"/>
            <color indexed="81"/>
            <rFont val="Tahoma"/>
            <family val="2"/>
          </rPr>
          <t>Author:</t>
        </r>
        <r>
          <rPr>
            <sz val="9"/>
            <color indexed="81"/>
            <rFont val="Tahoma"/>
            <family val="2"/>
          </rPr>
          <t xml:space="preserve">
Reference 
DRCW01-ESMV-E01001 SH2
DRCW01-ESEQ-41001 SH1
</t>
        </r>
      </text>
    </comment>
    <comment ref="O221" authorId="0" shapeId="0" xr:uid="{00000000-0006-0000-0000-0000F7000000}">
      <text>
        <r>
          <rPr>
            <b/>
            <sz val="9"/>
            <color rgb="FF000000"/>
            <rFont val="Tahoma"/>
            <family val="2"/>
          </rPr>
          <t>Author:</t>
        </r>
        <r>
          <rPr>
            <sz val="9"/>
            <color rgb="FF000000"/>
            <rFont val="Tahoma"/>
            <family val="2"/>
          </rPr>
          <t xml:space="preserve">
Reference 
DRCW01-ESMV-E01001 SH2
DRCW01-ESEQ-41001 SH1
Disconnect Switch, 1200A,
DS1201M</t>
        </r>
      </text>
    </comment>
    <comment ref="P221" authorId="0" shapeId="0" xr:uid="{00000000-0006-0000-0000-0000F8000000}">
      <text>
        <r>
          <rPr>
            <b/>
            <sz val="9"/>
            <color rgb="FF000000"/>
            <rFont val="Tahoma"/>
            <family val="2"/>
          </rPr>
          <t>Author:</t>
        </r>
        <r>
          <rPr>
            <sz val="9"/>
            <color rgb="FF000000"/>
            <rFont val="Tahoma"/>
            <family val="2"/>
          </rPr>
          <t xml:space="preserve">
CT on bus side of feeder breaker
3000/5 amp MRCT at 3000 amp tap.
Reference 
DRCW01-ESPT-E81001 SH2</t>
        </r>
      </text>
    </comment>
    <comment ref="Q221" authorId="0" shapeId="0" xr:uid="{00000000-0006-0000-0000-0000F9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R221" authorId="0" shapeId="0" xr:uid="{00000000-0006-0000-0000-0000FA00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S221" authorId="0" shapeId="0" xr:uid="{00000000-0006-0000-0000-0000FB000000}">
      <text>
        <r>
          <rPr>
            <b/>
            <sz val="9"/>
            <color rgb="FF000000"/>
            <rFont val="Tahoma"/>
            <family val="2"/>
          </rPr>
          <t>Author:</t>
        </r>
        <r>
          <rPr>
            <sz val="9"/>
            <color rgb="FF000000"/>
            <rFont val="Tahoma"/>
            <family val="2"/>
          </rPr>
          <t xml:space="preserve">
51 pickup: 1300 A Primary
50 pickup: 1800 A Primary</t>
        </r>
      </text>
    </comment>
    <comment ref="F222" authorId="0" shapeId="0" xr:uid="{00000000-0006-0000-0000-0000FC000000}">
      <text>
        <r>
          <rPr>
            <b/>
            <sz val="9"/>
            <color rgb="FF000000"/>
            <rFont val="Tahoma"/>
            <family val="2"/>
          </rPr>
          <t>Author:</t>
        </r>
        <r>
          <rPr>
            <sz val="9"/>
            <color rgb="FF000000"/>
            <rFont val="Tahoma"/>
            <family val="2"/>
          </rPr>
          <t xml:space="preserve">
Reference 
DRCW01-ESMV-E01001 SH1
DRCW01-ESEQ-41001 SH1
2" SCH40 Al Tube Bus
Rate per XEL-EVD-Facility Rating Supplement-Table-Tubular and Square Conductor.xls.
Normal summer rating @ 4 ft/s</t>
        </r>
      </text>
    </comment>
    <comment ref="G222" authorId="0" shapeId="0" xr:uid="{00000000-0006-0000-0000-0000FD00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H222" authorId="0" shapeId="0" xr:uid="{00000000-0006-0000-0000-0000FE000000}">
      <text>
        <r>
          <rPr>
            <b/>
            <sz val="9"/>
            <color rgb="FF000000"/>
            <rFont val="Tahoma"/>
            <family val="2"/>
          </rPr>
          <t>Author:</t>
        </r>
        <r>
          <rPr>
            <sz val="9"/>
            <color rgb="FF000000"/>
            <rFont val="Tahoma"/>
            <family val="2"/>
          </rPr>
          <t xml:space="preserve">
Reference 
DRCW01-ESMV-E01001 SH1
DRCW01-ESEQ-41001 SH1
Current Limiting Reactor, 1200A, 1/ph</t>
        </r>
      </text>
    </comment>
    <comment ref="I222" authorId="0" shapeId="0" xr:uid="{00000000-0006-0000-0000-0000FF00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J222" authorId="0" shapeId="0" xr:uid="{00000000-0006-0000-0000-000000010000}">
      <text>
        <r>
          <rPr>
            <b/>
            <sz val="9"/>
            <color rgb="FF000000"/>
            <rFont val="Tahoma"/>
            <family val="2"/>
          </rPr>
          <t>Author:</t>
        </r>
        <r>
          <rPr>
            <sz val="9"/>
            <color rgb="FF000000"/>
            <rFont val="Tahoma"/>
            <family val="2"/>
          </rPr>
          <t xml:space="preserve">
Reference 
DRCW01-ESMV-E01001 SH1
DRCW01-ESEQ-41001 SH1
2" SCH40 Al Tube Bus - Both horizontal and vertical sections
Rate per XEL-EVD-Facility Rating Supplement-Table-Tubular and Square Conductor.xls.
Normal summer rating @ 4 ft/s</t>
        </r>
      </text>
    </comment>
    <comment ref="K222" authorId="0" shapeId="0" xr:uid="{00000000-0006-0000-0000-00000101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L222" authorId="0" shapeId="0" xr:uid="{00000000-0006-0000-0000-000002010000}">
      <text>
        <r>
          <rPr>
            <b/>
            <sz val="9"/>
            <color rgb="FF000000"/>
            <rFont val="Tahoma"/>
            <family val="2"/>
          </rPr>
          <t>Author:</t>
        </r>
        <r>
          <rPr>
            <sz val="9"/>
            <color rgb="FF000000"/>
            <rFont val="Tahoma"/>
            <family val="2"/>
          </rPr>
          <t xml:space="preserve">
Reference 
DRCW01-ESMV-E01001 SH2
DRCW01-ESEQ-41001 SH1
Disconnect Switch, 1200A,
DS1202F</t>
        </r>
      </text>
    </comment>
    <comment ref="M222" authorId="0" shapeId="0" xr:uid="{00000000-0006-0000-0000-000003010000}">
      <text>
        <r>
          <rPr>
            <b/>
            <sz val="9"/>
            <color rgb="FF000000"/>
            <rFont val="Tahoma"/>
            <family val="2"/>
          </rPr>
          <t>Author:</t>
        </r>
        <r>
          <rPr>
            <sz val="9"/>
            <color rgb="FF000000"/>
            <rFont val="Tahoma"/>
            <family val="2"/>
          </rPr>
          <t xml:space="preserve">
CT on feeder side of breaker
3000/5 amp MRCT at 3000 amp tap.
Reference 
DRCW01-ESPT-E81001 SH2</t>
        </r>
      </text>
    </comment>
    <comment ref="N222" authorId="0" shapeId="0" xr:uid="{00000000-0006-0000-0000-000004010000}">
      <text>
        <r>
          <rPr>
            <b/>
            <sz val="9"/>
            <color indexed="81"/>
            <rFont val="Tahoma"/>
            <family val="2"/>
          </rPr>
          <t>Author:</t>
        </r>
        <r>
          <rPr>
            <sz val="9"/>
            <color indexed="81"/>
            <rFont val="Tahoma"/>
            <family val="2"/>
          </rPr>
          <t xml:space="preserve">
Reference 
DRCW01-ESMV-E01001 SH2
DRCW01-ESEQ-41001 SH1
</t>
        </r>
      </text>
    </comment>
    <comment ref="O222" authorId="0" shapeId="0" xr:uid="{00000000-0006-0000-0000-000005010000}">
      <text>
        <r>
          <rPr>
            <b/>
            <sz val="9"/>
            <color rgb="FF000000"/>
            <rFont val="Tahoma"/>
            <family val="2"/>
          </rPr>
          <t>Author:</t>
        </r>
        <r>
          <rPr>
            <sz val="9"/>
            <color rgb="FF000000"/>
            <rFont val="Tahoma"/>
            <family val="2"/>
          </rPr>
          <t xml:space="preserve">
Reference 
DRCW01-ESMV-E01001 SH2
DRCW01-ESEQ-41001 SH1
Disconnect Switch, 1200A,
DS1202M</t>
        </r>
      </text>
    </comment>
    <comment ref="P222" authorId="0" shapeId="0" xr:uid="{00000000-0006-0000-0000-000006010000}">
      <text>
        <r>
          <rPr>
            <b/>
            <sz val="9"/>
            <color rgb="FF000000"/>
            <rFont val="Tahoma"/>
            <family val="2"/>
          </rPr>
          <t>Author:</t>
        </r>
        <r>
          <rPr>
            <sz val="9"/>
            <color rgb="FF000000"/>
            <rFont val="Tahoma"/>
            <family val="2"/>
          </rPr>
          <t xml:space="preserve">
CT on bus side of feeder breaker
3000/5 amp MRCT at 3000 amp tap.
Reference 
DRCW01-ESPT-E81001 SH2</t>
        </r>
      </text>
    </comment>
    <comment ref="Q222" authorId="0" shapeId="0" xr:uid="{00000000-0006-0000-0000-00000701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R222" authorId="0" shapeId="0" xr:uid="{00000000-0006-0000-0000-00000801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S222" authorId="0" shapeId="0" xr:uid="{00000000-0006-0000-0000-000009010000}">
      <text>
        <r>
          <rPr>
            <b/>
            <sz val="9"/>
            <color rgb="FF000000"/>
            <rFont val="Tahoma"/>
            <family val="2"/>
          </rPr>
          <t>Author:</t>
        </r>
        <r>
          <rPr>
            <sz val="9"/>
            <color rgb="FF000000"/>
            <rFont val="Tahoma"/>
            <family val="2"/>
          </rPr>
          <t xml:space="preserve">
51 pickup: 1300 A Primary
50 pickup: 1800 A Primary</t>
        </r>
      </text>
    </comment>
    <comment ref="F223" authorId="0" shapeId="0" xr:uid="{00000000-0006-0000-0000-00000A010000}">
      <text>
        <r>
          <rPr>
            <b/>
            <sz val="9"/>
            <color rgb="FF000000"/>
            <rFont val="Tahoma"/>
            <family val="2"/>
          </rPr>
          <t>Author:</t>
        </r>
        <r>
          <rPr>
            <sz val="9"/>
            <color rgb="FF000000"/>
            <rFont val="Tahoma"/>
            <family val="2"/>
          </rPr>
          <t xml:space="preserve">
Reference 
DRCW01-ESMV-E01001 SH1
DRCW01-ESEQ-41001 SH1
2" SCH40 Al Tube Bus
Rate per XEL-EVD-Facility Rating Supplement-Table-Tubular and Square Conductor.xls.
Normal summer rating @ 4 ft/s</t>
        </r>
      </text>
    </comment>
    <comment ref="G223" authorId="0" shapeId="0" xr:uid="{00000000-0006-0000-0000-00000B01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H223" authorId="0" shapeId="0" xr:uid="{00000000-0006-0000-0000-00000C010000}">
      <text>
        <r>
          <rPr>
            <b/>
            <sz val="9"/>
            <color rgb="FF000000"/>
            <rFont val="Tahoma"/>
            <family val="2"/>
          </rPr>
          <t>Author:</t>
        </r>
        <r>
          <rPr>
            <sz val="9"/>
            <color rgb="FF000000"/>
            <rFont val="Tahoma"/>
            <family val="2"/>
          </rPr>
          <t xml:space="preserve">
Reference 
DRCW01-ESMV-E01001 SH1
DRCW01-ESEQ-41001 SH1
Current Limiting Reactor, 1200A, 1/ph</t>
        </r>
      </text>
    </comment>
    <comment ref="I223" authorId="0" shapeId="0" xr:uid="{00000000-0006-0000-0000-00000D01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J223" authorId="0" shapeId="0" xr:uid="{00000000-0006-0000-0000-00000E010000}">
      <text>
        <r>
          <rPr>
            <b/>
            <sz val="9"/>
            <color rgb="FF000000"/>
            <rFont val="Tahoma"/>
            <family val="2"/>
          </rPr>
          <t>Author:</t>
        </r>
        <r>
          <rPr>
            <sz val="9"/>
            <color rgb="FF000000"/>
            <rFont val="Tahoma"/>
            <family val="2"/>
          </rPr>
          <t xml:space="preserve">
Reference 
DRCW01-ESMV-E01001 SH1
DRCW01-ESEQ-41001 SH1
2" SCH40 Al Tube Bus - Both horizontal and vertical sections
Rate per XEL-EVD-Facility Rating Supplement-Table-Tubular and Square Conductor.xls.
Normal summer rating @ 4 ft/s</t>
        </r>
      </text>
    </comment>
    <comment ref="K223" authorId="0" shapeId="0" xr:uid="{00000000-0006-0000-0000-00000F01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L223" authorId="0" shapeId="0" xr:uid="{00000000-0006-0000-0000-000010010000}">
      <text>
        <r>
          <rPr>
            <b/>
            <sz val="9"/>
            <color rgb="FF000000"/>
            <rFont val="Tahoma"/>
            <family val="2"/>
          </rPr>
          <t>Author:</t>
        </r>
        <r>
          <rPr>
            <sz val="9"/>
            <color rgb="FF000000"/>
            <rFont val="Tahoma"/>
            <family val="2"/>
          </rPr>
          <t xml:space="preserve">
Reference 
DRCW01-ESEQ-E71002 SH6 
DRCW01-ESEQ-E41001 SH1 
DS1203 and DS1203F
</t>
        </r>
      </text>
    </comment>
    <comment ref="M223" authorId="0" shapeId="0" xr:uid="{00000000-0006-0000-0000-000011010000}">
      <text>
        <r>
          <rPr>
            <b/>
            <sz val="9"/>
            <color rgb="FF000000"/>
            <rFont val="Tahoma"/>
            <family val="2"/>
          </rPr>
          <t>Author:</t>
        </r>
        <r>
          <rPr>
            <sz val="9"/>
            <color rgb="FF000000"/>
            <rFont val="Tahoma"/>
            <family val="2"/>
          </rPr>
          <t xml:space="preserve">
CT on feeder side of breaker
3000/5 amp MRCT at 3000 amp tap.
Reference 
DRCW01-ESPT-E81001 SH2</t>
        </r>
      </text>
    </comment>
    <comment ref="N223" authorId="0" shapeId="0" xr:uid="{00000000-0006-0000-0000-000012010000}">
      <text>
        <r>
          <rPr>
            <b/>
            <sz val="9"/>
            <color indexed="81"/>
            <rFont val="Tahoma"/>
            <family val="2"/>
          </rPr>
          <t>Author:</t>
        </r>
        <r>
          <rPr>
            <sz val="9"/>
            <color indexed="81"/>
            <rFont val="Tahoma"/>
            <family val="2"/>
          </rPr>
          <t xml:space="preserve">
Reference 
DRCW01-ESEQ-E71002 SH6 
DRCW01-ESEQ-E41001 SH1 
</t>
        </r>
      </text>
    </comment>
    <comment ref="O223" authorId="0" shapeId="0" xr:uid="{00000000-0006-0000-0000-000013010000}">
      <text>
        <r>
          <rPr>
            <b/>
            <sz val="9"/>
            <color rgb="FF000000"/>
            <rFont val="Tahoma"/>
            <family val="2"/>
          </rPr>
          <t>Author:</t>
        </r>
        <r>
          <rPr>
            <sz val="9"/>
            <color rgb="FF000000"/>
            <rFont val="Tahoma"/>
            <family val="2"/>
          </rPr>
          <t xml:space="preserve">
Reference 
DRCW01-ESEQ-E71002 SH6 
DRCW01-ESEQ-E41001 SH1 
DS1203M
</t>
        </r>
      </text>
    </comment>
    <comment ref="P223" authorId="0" shapeId="0" xr:uid="{00000000-0006-0000-0000-000014010000}">
      <text>
        <r>
          <rPr>
            <b/>
            <sz val="9"/>
            <color rgb="FF000000"/>
            <rFont val="Tahoma"/>
            <family val="2"/>
          </rPr>
          <t>Author:</t>
        </r>
        <r>
          <rPr>
            <sz val="9"/>
            <color rgb="FF000000"/>
            <rFont val="Tahoma"/>
            <family val="2"/>
          </rPr>
          <t xml:space="preserve">
CT on bus side of feeder breaker
3000/5 amp MRCT at 3000 amp tap.
Reference 
DRCW01-ESPT-E81001 SH2</t>
        </r>
      </text>
    </comment>
    <comment ref="Q223" authorId="0" shapeId="0" xr:uid="{00000000-0006-0000-0000-00001501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R223" authorId="0" shapeId="0" xr:uid="{00000000-0006-0000-0000-00001601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S223" authorId="0" shapeId="0" xr:uid="{00000000-0006-0000-0000-000017010000}">
      <text>
        <r>
          <rPr>
            <b/>
            <sz val="9"/>
            <color rgb="FF000000"/>
            <rFont val="Tahoma"/>
            <family val="2"/>
          </rPr>
          <t>Author:</t>
        </r>
        <r>
          <rPr>
            <sz val="9"/>
            <color rgb="FF000000"/>
            <rFont val="Tahoma"/>
            <family val="2"/>
          </rPr>
          <t xml:space="preserve">
51 pickup: 1300 A Primary
50 pickup: 1800 A Primary</t>
        </r>
      </text>
    </comment>
    <comment ref="F224" authorId="0" shapeId="0" xr:uid="{00000000-0006-0000-0000-000018010000}">
      <text>
        <r>
          <rPr>
            <b/>
            <sz val="9"/>
            <color rgb="FF000000"/>
            <rFont val="Tahoma"/>
            <family val="2"/>
          </rPr>
          <t>Author:</t>
        </r>
        <r>
          <rPr>
            <sz val="9"/>
            <color rgb="FF000000"/>
            <rFont val="Tahoma"/>
            <family val="2"/>
          </rPr>
          <t xml:space="preserve">
Reference 
DRCW01-ESMV-E01001 SH1
DRCW01-ESEQ-41001 SH1
2" SCH40 Al Tube Bus
Rate per XEL-EVD-Facility Rating Supplement-Table-Tubular and Square Conductor.xls.
Normal summer rating @ 4 ft/s</t>
        </r>
      </text>
    </comment>
    <comment ref="G224" authorId="0" shapeId="0" xr:uid="{00000000-0006-0000-0000-00001901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H224" authorId="0" shapeId="0" xr:uid="{00000000-0006-0000-0000-00001A010000}">
      <text>
        <r>
          <rPr>
            <b/>
            <sz val="9"/>
            <color rgb="FF000000"/>
            <rFont val="Tahoma"/>
            <family val="2"/>
          </rPr>
          <t>Author:</t>
        </r>
        <r>
          <rPr>
            <sz val="9"/>
            <color rgb="FF000000"/>
            <rFont val="Tahoma"/>
            <family val="2"/>
          </rPr>
          <t xml:space="preserve">
Reference 
DRCW01-ESMV-E01001 SH1
DRCW01-ESEQ-41001 SH1
Current Limiting Reactor, 1200A, 1/ph</t>
        </r>
      </text>
    </comment>
    <comment ref="I224" authorId="0" shapeId="0" xr:uid="{00000000-0006-0000-0000-00001B010000}">
      <text>
        <r>
          <rPr>
            <b/>
            <sz val="9"/>
            <color rgb="FF000000"/>
            <rFont val="Tahoma"/>
            <family val="2"/>
          </rPr>
          <t>Author:</t>
        </r>
        <r>
          <rPr>
            <sz val="9"/>
            <color rgb="FF000000"/>
            <rFont val="Tahoma"/>
            <family val="2"/>
          </rPr>
          <t xml:space="preserve">
Reference 
DRCW01-ESMV-E01001 SH1
DRCW01-ESEQ-41001 SH1
1272 AAC Conductor 1/ph
Rate per XEL-EVD-Facility Rating Supplement-Table-Bare Overhead Conductor.xls.
Normal summer rating @ 4 ft/s</t>
        </r>
      </text>
    </comment>
    <comment ref="J224" authorId="0" shapeId="0" xr:uid="{00000000-0006-0000-0000-00001C010000}">
      <text>
        <r>
          <rPr>
            <b/>
            <sz val="9"/>
            <color rgb="FF000000"/>
            <rFont val="Tahoma"/>
            <family val="2"/>
          </rPr>
          <t>Author:</t>
        </r>
        <r>
          <rPr>
            <sz val="9"/>
            <color rgb="FF000000"/>
            <rFont val="Tahoma"/>
            <family val="2"/>
          </rPr>
          <t xml:space="preserve">
Reference 
DRCW01-ESMV-E01001 SH1
DRCW01-ESEQ-41001 SH1
2" SCH40 Al Tube Bus - Both horizontal and vertical sections
Rate per XEL-EVD-Facility Rating Supplement-Table-Tubular and Square Conductor.xls.
Normal summer rating @ 4 ft/s</t>
        </r>
      </text>
    </comment>
    <comment ref="K224" authorId="0" shapeId="0" xr:uid="{00000000-0006-0000-0000-00001D01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L224" authorId="0" shapeId="0" xr:uid="{00000000-0006-0000-0000-00001E010000}">
      <text>
        <r>
          <rPr>
            <b/>
            <sz val="9"/>
            <color rgb="FF000000"/>
            <rFont val="Tahoma"/>
            <family val="2"/>
          </rPr>
          <t>Author:</t>
        </r>
        <r>
          <rPr>
            <sz val="9"/>
            <color rgb="FF000000"/>
            <rFont val="Tahoma"/>
            <family val="2"/>
          </rPr>
          <t xml:space="preserve">
Reference 
DRCW01-ESMV-E01001 SH2
DRCW01-ESEQ-41001 SH1
Disconnect Switch, 2000A,
1204F</t>
        </r>
      </text>
    </comment>
    <comment ref="M224" authorId="0" shapeId="0" xr:uid="{00000000-0006-0000-0000-00001F010000}">
      <text>
        <r>
          <rPr>
            <b/>
            <sz val="9"/>
            <color rgb="FF000000"/>
            <rFont val="Tahoma"/>
            <family val="2"/>
          </rPr>
          <t>Author:</t>
        </r>
        <r>
          <rPr>
            <sz val="9"/>
            <color rgb="FF000000"/>
            <rFont val="Tahoma"/>
            <family val="2"/>
          </rPr>
          <t xml:space="preserve">
CT on feeder side of breaker
3000/5 amp MRCT at 3000 amp tap.
Reference 
DRCW01-ESPT-E81001 SH2</t>
        </r>
      </text>
    </comment>
    <comment ref="N224" authorId="0" shapeId="0" xr:uid="{00000000-0006-0000-0000-000020010000}">
      <text>
        <r>
          <rPr>
            <b/>
            <sz val="9"/>
            <color indexed="81"/>
            <rFont val="Tahoma"/>
            <family val="2"/>
          </rPr>
          <t>Author:</t>
        </r>
        <r>
          <rPr>
            <sz val="9"/>
            <color indexed="81"/>
            <rFont val="Tahoma"/>
            <family val="2"/>
          </rPr>
          <t xml:space="preserve">
Reference 
DRCW01-ESMV-E01001 SH2
DRCW01-ESEQ-41001 SH1
</t>
        </r>
      </text>
    </comment>
    <comment ref="O224" authorId="0" shapeId="0" xr:uid="{00000000-0006-0000-0000-000021010000}">
      <text>
        <r>
          <rPr>
            <b/>
            <sz val="9"/>
            <color rgb="FF000000"/>
            <rFont val="Tahoma"/>
            <family val="2"/>
          </rPr>
          <t>Author:</t>
        </r>
        <r>
          <rPr>
            <sz val="9"/>
            <color rgb="FF000000"/>
            <rFont val="Tahoma"/>
            <family val="2"/>
          </rPr>
          <t xml:space="preserve">
Reference 
DRCW01-ESMV-E01001 SH2
DRCW01-ESEQ-41001 SH1
Disconnect Switch, 1200A,
DS1204M</t>
        </r>
      </text>
    </comment>
    <comment ref="P224" authorId="0" shapeId="0" xr:uid="{00000000-0006-0000-0000-000022010000}">
      <text>
        <r>
          <rPr>
            <b/>
            <sz val="9"/>
            <color rgb="FF000000"/>
            <rFont val="Tahoma"/>
            <family val="2"/>
          </rPr>
          <t>Author:</t>
        </r>
        <r>
          <rPr>
            <sz val="9"/>
            <color rgb="FF000000"/>
            <rFont val="Tahoma"/>
            <family val="2"/>
          </rPr>
          <t xml:space="preserve">
CT on bus side of feeder breaker
3000/5 amp MRCT at 3000 amp tap.
Reference 
DRCW01-ESPT-E81001 SH2</t>
        </r>
      </text>
    </comment>
    <comment ref="Q224" authorId="0" shapeId="0" xr:uid="{00000000-0006-0000-0000-00002301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R224" authorId="0" shapeId="0" xr:uid="{00000000-0006-0000-0000-000024010000}">
      <text>
        <r>
          <rPr>
            <b/>
            <sz val="9"/>
            <color rgb="FF000000"/>
            <rFont val="Tahoma"/>
            <family val="2"/>
          </rPr>
          <t>Author:</t>
        </r>
        <r>
          <rPr>
            <sz val="9"/>
            <color rgb="FF000000"/>
            <rFont val="Tahoma"/>
            <family val="2"/>
          </rPr>
          <t xml:space="preserve">
Reference 
DRCW01-ESMV-E01001 SH1
DRCW01-ESEQ-41001 SH1
DRCW01-ESEQ-E71002 SH1
1272 AAC Conductor 1/ph
Rate per XEL-EVD-Facility Rating Supplement-Table-Bare Overhead Conductor.xls.
Normal summer rating @ 4 ft/s</t>
        </r>
      </text>
    </comment>
    <comment ref="S224" authorId="0" shapeId="0" xr:uid="{00000000-0006-0000-0000-000025010000}">
      <text>
        <r>
          <rPr>
            <b/>
            <sz val="9"/>
            <color rgb="FF000000"/>
            <rFont val="Tahoma"/>
            <family val="2"/>
          </rPr>
          <t>Author:</t>
        </r>
        <r>
          <rPr>
            <sz val="9"/>
            <color rgb="FF000000"/>
            <rFont val="Tahoma"/>
            <family val="2"/>
          </rPr>
          <t xml:space="preserve">
51 pickup: 1300 A Primary
50 pickup: 1800 A Primary</t>
        </r>
      </text>
    </comment>
    <comment ref="F225" authorId="0" shapeId="0" xr:uid="{00000000-0006-0000-0000-000026010000}">
      <text>
        <r>
          <rPr>
            <b/>
            <sz val="9"/>
            <color rgb="FF000000"/>
            <rFont val="Tahoma"/>
            <family val="2"/>
          </rPr>
          <t>Author:</t>
        </r>
        <r>
          <rPr>
            <sz val="9"/>
            <color rgb="FF000000"/>
            <rFont val="Tahoma"/>
            <family val="2"/>
          </rPr>
          <t xml:space="preserve">
Reference 
DRCW02-ESMV-E02001 SH1
DRCW02-ESEQ-42001 SH1
2" SCH40 Al Tube Bus
Rate per XEL-EVD-Facility Rating Supplement-Table-Tubular and Square Conductor.xls.
Normal summer rating @ 4 ft/s</t>
        </r>
      </text>
    </comment>
    <comment ref="G225" authorId="0" shapeId="0" xr:uid="{00000000-0006-0000-0000-000027010000}">
      <text>
        <r>
          <rPr>
            <b/>
            <sz val="9"/>
            <color rgb="FF000000"/>
            <rFont val="Tahoma"/>
            <family val="2"/>
          </rPr>
          <t>Author:</t>
        </r>
        <r>
          <rPr>
            <sz val="9"/>
            <color rgb="FF000000"/>
            <rFont val="Tahoma"/>
            <family val="2"/>
          </rPr>
          <t xml:space="preserve">
Reference 
DRCW02-ESMV-E02001 SH1
DRCW02-ESEQ-42001 SH1
1272 AAC Conductor 1/ph
Rate per XEL-EVD-Facility Rating Supplement-Table-Bare Overhead Conductor.xls.
Normal summer rating @ 4 ft/s</t>
        </r>
      </text>
    </comment>
    <comment ref="H225" authorId="0" shapeId="0" xr:uid="{00000000-0006-0000-0000-000028010000}">
      <text>
        <r>
          <rPr>
            <b/>
            <sz val="9"/>
            <color rgb="FF000000"/>
            <rFont val="Tahoma"/>
            <family val="2"/>
          </rPr>
          <t>Author:</t>
        </r>
        <r>
          <rPr>
            <sz val="9"/>
            <color rgb="FF000000"/>
            <rFont val="Tahoma"/>
            <family val="2"/>
          </rPr>
          <t xml:space="preserve">
Reference 
DRCW02-ESMV-E02001 SH1
DRCW02-ESEQ-42001 SH1
Current Limiting Reactor, 1200A, 1/ph</t>
        </r>
      </text>
    </comment>
    <comment ref="I225" authorId="0" shapeId="0" xr:uid="{00000000-0006-0000-0000-000029010000}">
      <text>
        <r>
          <rPr>
            <b/>
            <sz val="9"/>
            <color rgb="FF000000"/>
            <rFont val="Tahoma"/>
            <family val="2"/>
          </rPr>
          <t>Author:</t>
        </r>
        <r>
          <rPr>
            <sz val="9"/>
            <color rgb="FF000000"/>
            <rFont val="Tahoma"/>
            <family val="2"/>
          </rPr>
          <t xml:space="preserve">
Reference 
DRCW02-ESMV-E02001 SH1
DRCW02-ESEQ-42001 SH1
1272 AAC Conductor 1/ph
Rate per XEL-EVD-Facility Rating Supplement-Table-Bare Overhead Conductor.xls.
Normal summer rating @ 4 ft/s</t>
        </r>
      </text>
    </comment>
    <comment ref="J225" authorId="0" shapeId="0" xr:uid="{00000000-0006-0000-0000-00002A010000}">
      <text>
        <r>
          <rPr>
            <b/>
            <sz val="9"/>
            <color rgb="FF000000"/>
            <rFont val="Tahoma"/>
            <family val="2"/>
          </rPr>
          <t>Author:</t>
        </r>
        <r>
          <rPr>
            <sz val="9"/>
            <color rgb="FF000000"/>
            <rFont val="Tahoma"/>
            <family val="2"/>
          </rPr>
          <t xml:space="preserve">
Reference 
DRCW02-ESMV-E02001 SH1
DRCW02-ESEQ-42001 SH1
2" SCH40 Al Tube Bus - Both horizontal and vertical sections
Rate per XEL-EVD-Facility Rating Supplement-Table-Tubular and Square Conductor.xls.
Normal summer rating @ 4 ft/s</t>
        </r>
      </text>
    </comment>
    <comment ref="K225" authorId="0" shapeId="0" xr:uid="{00000000-0006-0000-0000-00002B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L225" authorId="0" shapeId="0" xr:uid="{00000000-0006-0000-0000-00002C010000}">
      <text>
        <r>
          <rPr>
            <b/>
            <sz val="9"/>
            <color rgb="FF000000"/>
            <rFont val="Tahoma"/>
            <family val="2"/>
          </rPr>
          <t>Author:</t>
        </r>
        <r>
          <rPr>
            <sz val="9"/>
            <color rgb="FF000000"/>
            <rFont val="Tahoma"/>
            <family val="2"/>
          </rPr>
          <t xml:space="preserve">
Reference 
DRCW02-ESMV-E02001 SH2
DRCW02-ESEQ-42001 SH1
Disconnect Switch, 2000A,
2101F</t>
        </r>
      </text>
    </comment>
    <comment ref="M225" authorId="0" shapeId="0" xr:uid="{00000000-0006-0000-0000-00002D010000}">
      <text>
        <r>
          <rPr>
            <b/>
            <sz val="9"/>
            <color rgb="FF000000"/>
            <rFont val="Tahoma"/>
            <family val="2"/>
          </rPr>
          <t>Author:</t>
        </r>
        <r>
          <rPr>
            <sz val="9"/>
            <color rgb="FF000000"/>
            <rFont val="Tahoma"/>
            <family val="2"/>
          </rPr>
          <t xml:space="preserve">
CT on feeder side of breaker
3000/5 amp MRCT at 3000 amp tap.
Reference 
DRCW02-ESPT-E82001 SH2</t>
        </r>
      </text>
    </comment>
    <comment ref="N225" authorId="0" shapeId="0" xr:uid="{00000000-0006-0000-0000-00002E010000}">
      <text>
        <r>
          <rPr>
            <b/>
            <sz val="9"/>
            <color indexed="81"/>
            <rFont val="Tahoma"/>
            <family val="2"/>
          </rPr>
          <t>Author:</t>
        </r>
        <r>
          <rPr>
            <sz val="9"/>
            <color indexed="81"/>
            <rFont val="Tahoma"/>
            <family val="2"/>
          </rPr>
          <t xml:space="preserve">
Reference 
DRCW02-ESMV-E02001 SH2
DRCW02-ESEQ-42001 SH1</t>
        </r>
      </text>
    </comment>
    <comment ref="O225" authorId="0" shapeId="0" xr:uid="{00000000-0006-0000-0000-00002F010000}">
      <text>
        <r>
          <rPr>
            <b/>
            <sz val="9"/>
            <color rgb="FF000000"/>
            <rFont val="Tahoma"/>
            <family val="2"/>
          </rPr>
          <t>Author:</t>
        </r>
        <r>
          <rPr>
            <sz val="9"/>
            <color rgb="FF000000"/>
            <rFont val="Tahoma"/>
            <family val="2"/>
          </rPr>
          <t xml:space="preserve">
Reference 
DRCW02-ESMV-E02001 SH2
DRCW02-ESEQ-42001 SH1
Disconnect Switch, 2000A,
2101M</t>
        </r>
      </text>
    </comment>
    <comment ref="P225" authorId="0" shapeId="0" xr:uid="{00000000-0006-0000-0000-000030010000}">
      <text>
        <r>
          <rPr>
            <b/>
            <sz val="9"/>
            <color rgb="FF000000"/>
            <rFont val="Tahoma"/>
            <family val="2"/>
          </rPr>
          <t>Author:</t>
        </r>
        <r>
          <rPr>
            <sz val="9"/>
            <color rgb="FF000000"/>
            <rFont val="Tahoma"/>
            <family val="2"/>
          </rPr>
          <t xml:space="preserve">
CT on bus side of breaker
3000/5 amp MRCT at 3000 amp tap.
Reference 
DRCW02-ESPT-E82001 SH2</t>
        </r>
      </text>
    </comment>
    <comment ref="Q225" authorId="0" shapeId="0" xr:uid="{00000000-0006-0000-0000-000031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R225" authorId="0" shapeId="0" xr:uid="{00000000-0006-0000-0000-000032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S225" authorId="0" shapeId="0" xr:uid="{00000000-0006-0000-0000-000033010000}">
      <text>
        <r>
          <rPr>
            <b/>
            <sz val="9"/>
            <color indexed="81"/>
            <rFont val="Tahoma"/>
            <family val="2"/>
          </rPr>
          <t>Author:</t>
        </r>
        <r>
          <rPr>
            <sz val="9"/>
            <color indexed="81"/>
            <rFont val="Tahoma"/>
            <family val="2"/>
          </rPr>
          <t xml:space="preserve">
51 Pickup: 1250A
50 Pickup: 2304A</t>
        </r>
      </text>
    </comment>
    <comment ref="F226" authorId="0" shapeId="0" xr:uid="{00000000-0006-0000-0000-000034010000}">
      <text>
        <r>
          <rPr>
            <b/>
            <sz val="9"/>
            <color rgb="FF000000"/>
            <rFont val="Tahoma"/>
            <family val="2"/>
          </rPr>
          <t>Author:</t>
        </r>
        <r>
          <rPr>
            <sz val="9"/>
            <color rgb="FF000000"/>
            <rFont val="Tahoma"/>
            <family val="2"/>
          </rPr>
          <t xml:space="preserve">
Reference 
DRCW02-ESMV-E02001 SH1
DRCW02-ESEQ-42001 SH1
2" SCH40 Al Tube Bus
Rate per XEL-EVD-Facility Rating Supplement-Table-Tubular and Square Conductor.xls.
Normal summer rating @ 4 ft/s</t>
        </r>
      </text>
    </comment>
    <comment ref="G226" authorId="0" shapeId="0" xr:uid="{00000000-0006-0000-0000-000035010000}">
      <text>
        <r>
          <rPr>
            <b/>
            <sz val="9"/>
            <color rgb="FF000000"/>
            <rFont val="Tahoma"/>
            <family val="2"/>
          </rPr>
          <t>Author:</t>
        </r>
        <r>
          <rPr>
            <sz val="9"/>
            <color rgb="FF000000"/>
            <rFont val="Tahoma"/>
            <family val="2"/>
          </rPr>
          <t xml:space="preserve">
Reference 
DRCW02-ESMV-E02001 SH1
DRCW02-ESEQ-42001 SH1
1272 AAC Conductor 1/ph
Rate per XEL-EVD-Facility Rating Supplement-Table-Bare Overhead Conductor.xls.
Normal summer rating @ 4 ft/s</t>
        </r>
      </text>
    </comment>
    <comment ref="H226" authorId="0" shapeId="0" xr:uid="{00000000-0006-0000-0000-000036010000}">
      <text>
        <r>
          <rPr>
            <b/>
            <sz val="9"/>
            <color rgb="FF000000"/>
            <rFont val="Tahoma"/>
            <family val="2"/>
          </rPr>
          <t>Author:</t>
        </r>
        <r>
          <rPr>
            <sz val="9"/>
            <color rgb="FF000000"/>
            <rFont val="Tahoma"/>
            <family val="2"/>
          </rPr>
          <t xml:space="preserve">
Reference 
DRCW02-ESMV-E02001 SH1
DRCW02-ESEQ-42001 SH1
Current Limiting Reactor, 1200A, 1/ph</t>
        </r>
      </text>
    </comment>
    <comment ref="I226" authorId="0" shapeId="0" xr:uid="{00000000-0006-0000-0000-000037010000}">
      <text>
        <r>
          <rPr>
            <b/>
            <sz val="9"/>
            <color rgb="FF000000"/>
            <rFont val="Tahoma"/>
            <family val="2"/>
          </rPr>
          <t>Author:</t>
        </r>
        <r>
          <rPr>
            <sz val="9"/>
            <color rgb="FF000000"/>
            <rFont val="Tahoma"/>
            <family val="2"/>
          </rPr>
          <t xml:space="preserve">
Reference 
DRCW02-ESMV-E02001 SH1
DRCW02-ESEQ-42001 SH1
1272 AAC Conductor 1/ph
Rate per XEL-EVD-Facility Rating Supplement-Table-Bare Overhead Conductor.xls.
Normal summer rating @ 4 ft/s</t>
        </r>
      </text>
    </comment>
    <comment ref="J226" authorId="0" shapeId="0" xr:uid="{00000000-0006-0000-0000-000038010000}">
      <text>
        <r>
          <rPr>
            <b/>
            <sz val="9"/>
            <color rgb="FF000000"/>
            <rFont val="Tahoma"/>
            <family val="2"/>
          </rPr>
          <t>Author:</t>
        </r>
        <r>
          <rPr>
            <sz val="9"/>
            <color rgb="FF000000"/>
            <rFont val="Tahoma"/>
            <family val="2"/>
          </rPr>
          <t xml:space="preserve">
Reference 
DRCW02-ESMV-E02001 SH1
DRCW02-ESEQ-42001 SH1
2" SCH40 Al Tube Bus - Both horizontal and vertical sections
Rate per XEL-EVD-Facility Rating Supplement-Table-Tubular and Square Conductor.xls.
Normal summer rating @ 4 ft/s</t>
        </r>
      </text>
    </comment>
    <comment ref="K226" authorId="0" shapeId="0" xr:uid="{00000000-0006-0000-0000-000039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L226" authorId="0" shapeId="0" xr:uid="{00000000-0006-0000-0000-00003A010000}">
      <text>
        <r>
          <rPr>
            <b/>
            <sz val="9"/>
            <color rgb="FF000000"/>
            <rFont val="Tahoma"/>
            <family val="2"/>
          </rPr>
          <t>Author:</t>
        </r>
        <r>
          <rPr>
            <sz val="9"/>
            <color rgb="FF000000"/>
            <rFont val="Tahoma"/>
            <family val="2"/>
          </rPr>
          <t xml:space="preserve">
Reference 
DRCW02-ESMV-E02001 SH2
DRCW02-ESEQ-42001 SH1
2102F</t>
        </r>
      </text>
    </comment>
    <comment ref="M226" authorId="0" shapeId="0" xr:uid="{00000000-0006-0000-0000-00003B010000}">
      <text>
        <r>
          <rPr>
            <b/>
            <sz val="9"/>
            <color rgb="FF000000"/>
            <rFont val="Tahoma"/>
            <family val="2"/>
          </rPr>
          <t>Author:</t>
        </r>
        <r>
          <rPr>
            <sz val="9"/>
            <color rgb="FF000000"/>
            <rFont val="Tahoma"/>
            <family val="2"/>
          </rPr>
          <t xml:space="preserve">
CT on feeder side of breaker
3000/5 amp MRCT at 3000 amp tap.
Reference 
DRCW02-ESPT-E82001 SH2</t>
        </r>
      </text>
    </comment>
    <comment ref="N226" authorId="0" shapeId="0" xr:uid="{00000000-0006-0000-0000-00003C010000}">
      <text>
        <r>
          <rPr>
            <b/>
            <sz val="9"/>
            <color indexed="81"/>
            <rFont val="Tahoma"/>
            <family val="2"/>
          </rPr>
          <t>Author:</t>
        </r>
        <r>
          <rPr>
            <sz val="9"/>
            <color indexed="81"/>
            <rFont val="Tahoma"/>
            <family val="2"/>
          </rPr>
          <t xml:space="preserve">
Reference 
DRCW02-ESMV-E02001 SH2
DRCW02-ESEQ-42001 SH1</t>
        </r>
      </text>
    </comment>
    <comment ref="O226" authorId="0" shapeId="0" xr:uid="{00000000-0006-0000-0000-00003D010000}">
      <text>
        <r>
          <rPr>
            <b/>
            <sz val="9"/>
            <color rgb="FF000000"/>
            <rFont val="Tahoma"/>
            <family val="2"/>
          </rPr>
          <t>Author:</t>
        </r>
        <r>
          <rPr>
            <sz val="9"/>
            <color rgb="FF000000"/>
            <rFont val="Tahoma"/>
            <family val="2"/>
          </rPr>
          <t xml:space="preserve">
Reference 
DRCW02-ESMV-E02001 SH2
DRCW02-ESEQ-42001 SH1
2102M</t>
        </r>
      </text>
    </comment>
    <comment ref="P226" authorId="0" shapeId="0" xr:uid="{00000000-0006-0000-0000-00003E010000}">
      <text>
        <r>
          <rPr>
            <b/>
            <sz val="9"/>
            <color rgb="FF000000"/>
            <rFont val="Tahoma"/>
            <family val="2"/>
          </rPr>
          <t>Author:</t>
        </r>
        <r>
          <rPr>
            <sz val="9"/>
            <color rgb="FF000000"/>
            <rFont val="Tahoma"/>
            <family val="2"/>
          </rPr>
          <t xml:space="preserve">
CT on bus side of breaker
3000/5 amp MRCT at 3000 amp tap.
Reference 
DRCW02-ESPT-E82001 SH2</t>
        </r>
      </text>
    </comment>
    <comment ref="Q226" authorId="0" shapeId="0" xr:uid="{00000000-0006-0000-0000-00003F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R226" authorId="0" shapeId="0" xr:uid="{00000000-0006-0000-0000-000040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S226" authorId="0" shapeId="0" xr:uid="{00000000-0006-0000-0000-000041010000}">
      <text>
        <r>
          <rPr>
            <b/>
            <sz val="9"/>
            <color indexed="81"/>
            <rFont val="Tahoma"/>
            <family val="2"/>
          </rPr>
          <t>Author:</t>
        </r>
        <r>
          <rPr>
            <sz val="9"/>
            <color indexed="81"/>
            <rFont val="Tahoma"/>
            <family val="2"/>
          </rPr>
          <t xml:space="preserve">
51 Pickup: 1250A
50 Pickup: 2304A</t>
        </r>
      </text>
    </comment>
    <comment ref="F227" authorId="0" shapeId="0" xr:uid="{00000000-0006-0000-0000-000042010000}">
      <text>
        <r>
          <rPr>
            <b/>
            <sz val="9"/>
            <color rgb="FF000000"/>
            <rFont val="Tahoma"/>
            <family val="2"/>
          </rPr>
          <t>Author:</t>
        </r>
        <r>
          <rPr>
            <sz val="9"/>
            <color rgb="FF000000"/>
            <rFont val="Tahoma"/>
            <family val="2"/>
          </rPr>
          <t xml:space="preserve">
Reference 
DRCW02-ESMV-E02001 SH1
DRCW02-ESEQ-42001 SH1
2" SCH40 Al Tube Bus
Rate per XEL-EVD-Facility Rating Supplement-Table-Tubular and Square Conductor.xls.
Normal summer rating @ 4 ft/s</t>
        </r>
      </text>
    </comment>
    <comment ref="G227" authorId="0" shapeId="0" xr:uid="{00000000-0006-0000-0000-000043010000}">
      <text>
        <r>
          <rPr>
            <b/>
            <sz val="9"/>
            <color rgb="FF000000"/>
            <rFont val="Tahoma"/>
            <family val="2"/>
          </rPr>
          <t>Author:</t>
        </r>
        <r>
          <rPr>
            <sz val="9"/>
            <color rgb="FF000000"/>
            <rFont val="Tahoma"/>
            <family val="2"/>
          </rPr>
          <t xml:space="preserve">
Reference 
DRCW02-ESMV-E02001 SH1
DRCW02-ESEQ-42001 SH1
1272 AAC Conductor 1/ph
Rate per XEL-EVD-Facility Rating Supplement-Table-Bare Overhead Conductor.xls.
Normal summer rating @ 4 ft/s</t>
        </r>
      </text>
    </comment>
    <comment ref="H227" authorId="0" shapeId="0" xr:uid="{00000000-0006-0000-0000-000044010000}">
      <text>
        <r>
          <rPr>
            <b/>
            <sz val="9"/>
            <color rgb="FF000000"/>
            <rFont val="Tahoma"/>
            <family val="2"/>
          </rPr>
          <t>Author:</t>
        </r>
        <r>
          <rPr>
            <sz val="9"/>
            <color rgb="FF000000"/>
            <rFont val="Tahoma"/>
            <family val="2"/>
          </rPr>
          <t xml:space="preserve">
Reference 
DRCW02-ESMV-E02001 SH1
DRCW02-ESEQ-42001 SH1
Current Limiting Reactor, 1200A, 1/ph</t>
        </r>
      </text>
    </comment>
    <comment ref="I227" authorId="0" shapeId="0" xr:uid="{00000000-0006-0000-0000-000045010000}">
      <text>
        <r>
          <rPr>
            <b/>
            <sz val="9"/>
            <color rgb="FF000000"/>
            <rFont val="Tahoma"/>
            <family val="2"/>
          </rPr>
          <t>Author:</t>
        </r>
        <r>
          <rPr>
            <sz val="9"/>
            <color rgb="FF000000"/>
            <rFont val="Tahoma"/>
            <family val="2"/>
          </rPr>
          <t xml:space="preserve">
Reference 
DRCW02-ESMV-E02001 SH1
DRCW02-ESEQ-42001 SH1
1272 AAC Conductor 1/ph
Rate per XEL-EVD-Facility Rating Supplement-Table-Bare Overhead Conductor.xls.
Normal summer rating @ 4 ft/s</t>
        </r>
      </text>
    </comment>
    <comment ref="J227" authorId="0" shapeId="0" xr:uid="{00000000-0006-0000-0000-000046010000}">
      <text>
        <r>
          <rPr>
            <b/>
            <sz val="9"/>
            <color rgb="FF000000"/>
            <rFont val="Tahoma"/>
            <family val="2"/>
          </rPr>
          <t>Author:</t>
        </r>
        <r>
          <rPr>
            <sz val="9"/>
            <color rgb="FF000000"/>
            <rFont val="Tahoma"/>
            <family val="2"/>
          </rPr>
          <t xml:space="preserve">
Reference 
DRCW02-ESMV-E02001 SH1
DRCW02-ESEQ-42001 SH1
2" SCH40 Al Tube Bus - Both horizontal and vertical sections
Rate per XEL-EVD-Facility Rating Supplement-Table-Tubular and Square Conductor.xls.
Normal summer rating @ 4 ft/s</t>
        </r>
      </text>
    </comment>
    <comment ref="K227" authorId="0" shapeId="0" xr:uid="{00000000-0006-0000-0000-000047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L227" authorId="0" shapeId="0" xr:uid="{00000000-0006-0000-0000-000048010000}">
      <text>
        <r>
          <rPr>
            <b/>
            <sz val="9"/>
            <color rgb="FF000000"/>
            <rFont val="Tahoma"/>
            <family val="2"/>
          </rPr>
          <t>Author:</t>
        </r>
        <r>
          <rPr>
            <sz val="9"/>
            <color rgb="FF000000"/>
            <rFont val="Tahoma"/>
            <family val="2"/>
          </rPr>
          <t xml:space="preserve">
Reference 
DRCW02-ESMV-E02001 SH2
DRCW02-ESEQ-42001 SH1
2103F</t>
        </r>
      </text>
    </comment>
    <comment ref="M227" authorId="0" shapeId="0" xr:uid="{00000000-0006-0000-0000-000049010000}">
      <text>
        <r>
          <rPr>
            <b/>
            <sz val="9"/>
            <color rgb="FF000000"/>
            <rFont val="Tahoma"/>
            <family val="2"/>
          </rPr>
          <t>Author:</t>
        </r>
        <r>
          <rPr>
            <sz val="9"/>
            <color rgb="FF000000"/>
            <rFont val="Tahoma"/>
            <family val="2"/>
          </rPr>
          <t xml:space="preserve">
CT on feeder side of breaker
3000/5 amp MRCT at 3000 amp tap.
Reference 
DRCW02-ESPT-E82001 SH2</t>
        </r>
      </text>
    </comment>
    <comment ref="N227" authorId="0" shapeId="0" xr:uid="{00000000-0006-0000-0000-00004A010000}">
      <text>
        <r>
          <rPr>
            <b/>
            <sz val="9"/>
            <color indexed="81"/>
            <rFont val="Tahoma"/>
            <family val="2"/>
          </rPr>
          <t>Author:</t>
        </r>
        <r>
          <rPr>
            <sz val="9"/>
            <color indexed="81"/>
            <rFont val="Tahoma"/>
            <family val="2"/>
          </rPr>
          <t xml:space="preserve">
Reference 
DRCW02-ESMV-E02001 SH2
DRCW02-ESEQ-42001 SH1</t>
        </r>
      </text>
    </comment>
    <comment ref="O227" authorId="0" shapeId="0" xr:uid="{00000000-0006-0000-0000-00004B010000}">
      <text>
        <r>
          <rPr>
            <b/>
            <sz val="9"/>
            <color rgb="FF000000"/>
            <rFont val="Tahoma"/>
            <family val="2"/>
          </rPr>
          <t>Author:</t>
        </r>
        <r>
          <rPr>
            <sz val="9"/>
            <color rgb="FF000000"/>
            <rFont val="Tahoma"/>
            <family val="2"/>
          </rPr>
          <t xml:space="preserve">
Reference 
DRCW02-ESMV-E02001 SH2
DRCW02-ESEQ-42001 SH1
2103M</t>
        </r>
      </text>
    </comment>
    <comment ref="P227" authorId="0" shapeId="0" xr:uid="{00000000-0006-0000-0000-00004C010000}">
      <text>
        <r>
          <rPr>
            <b/>
            <sz val="9"/>
            <color rgb="FF000000"/>
            <rFont val="Tahoma"/>
            <family val="2"/>
          </rPr>
          <t>Author:</t>
        </r>
        <r>
          <rPr>
            <sz val="9"/>
            <color rgb="FF000000"/>
            <rFont val="Tahoma"/>
            <family val="2"/>
          </rPr>
          <t xml:space="preserve">
CT on bus side of breaker
3000/5 amp MRCT at 3000 amp tap.
Reference 
DRCW02-ESPT-E82001 SH2</t>
        </r>
      </text>
    </comment>
    <comment ref="Q227" authorId="0" shapeId="0" xr:uid="{00000000-0006-0000-0000-00004D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R227" authorId="0" shapeId="0" xr:uid="{00000000-0006-0000-0000-00004E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S227" authorId="0" shapeId="0" xr:uid="{00000000-0006-0000-0000-00004F010000}">
      <text>
        <r>
          <rPr>
            <b/>
            <sz val="9"/>
            <color indexed="81"/>
            <rFont val="Tahoma"/>
            <family val="2"/>
          </rPr>
          <t>Author:</t>
        </r>
        <r>
          <rPr>
            <sz val="9"/>
            <color indexed="81"/>
            <rFont val="Tahoma"/>
            <family val="2"/>
          </rPr>
          <t xml:space="preserve">
51 Pickup: 1250A
50 Pickup: 2304A</t>
        </r>
      </text>
    </comment>
    <comment ref="F228" authorId="0" shapeId="0" xr:uid="{00000000-0006-0000-0000-000050010000}">
      <text>
        <r>
          <rPr>
            <b/>
            <sz val="9"/>
            <color rgb="FF000000"/>
            <rFont val="Tahoma"/>
            <family val="2"/>
          </rPr>
          <t>Author:</t>
        </r>
        <r>
          <rPr>
            <sz val="9"/>
            <color rgb="FF000000"/>
            <rFont val="Tahoma"/>
            <family val="2"/>
          </rPr>
          <t xml:space="preserve">
Reference 
DRCW02-ESMV-E02001 SH1
DRCW02-ESEQ-42001 SH1
2" SCH40 Al Tube Bus
Rate per XEL-EVD-Facility Rating Supplement-Table-Tubular and Square Conductor.xls.
Normal summer rating @ 4 ft/s</t>
        </r>
      </text>
    </comment>
    <comment ref="G228" authorId="0" shapeId="0" xr:uid="{00000000-0006-0000-0000-000051010000}">
      <text>
        <r>
          <rPr>
            <b/>
            <sz val="9"/>
            <color rgb="FF000000"/>
            <rFont val="Tahoma"/>
            <family val="2"/>
          </rPr>
          <t>Author:</t>
        </r>
        <r>
          <rPr>
            <sz val="9"/>
            <color rgb="FF000000"/>
            <rFont val="Tahoma"/>
            <family val="2"/>
          </rPr>
          <t xml:space="preserve">
Reference 
DRCW02-ESMV-E02001 SH1
DRCW02-ESEQ-42001 SH1
1272 AAC Conductor 1/ph
Rate per XEL-EVD-Facility Rating Supplement-Table-Bare Overhead Conductor.xls.
Normal summer rating @ 4 ft/s</t>
        </r>
      </text>
    </comment>
    <comment ref="H228" authorId="0" shapeId="0" xr:uid="{00000000-0006-0000-0000-000052010000}">
      <text>
        <r>
          <rPr>
            <b/>
            <sz val="9"/>
            <color rgb="FF000000"/>
            <rFont val="Tahoma"/>
            <family val="2"/>
          </rPr>
          <t>Author:</t>
        </r>
        <r>
          <rPr>
            <sz val="9"/>
            <color rgb="FF000000"/>
            <rFont val="Tahoma"/>
            <family val="2"/>
          </rPr>
          <t xml:space="preserve">
Reference 
DRCW02-ESMV-E02001 SH1
DRCW02-ESEQ-42001 SH1
Current Limiting Reactor, 1200A, 1/ph</t>
        </r>
      </text>
    </comment>
    <comment ref="I228" authorId="0" shapeId="0" xr:uid="{00000000-0006-0000-0000-000053010000}">
      <text>
        <r>
          <rPr>
            <b/>
            <sz val="9"/>
            <color rgb="FF000000"/>
            <rFont val="Tahoma"/>
            <family val="2"/>
          </rPr>
          <t>Author:</t>
        </r>
        <r>
          <rPr>
            <sz val="9"/>
            <color rgb="FF000000"/>
            <rFont val="Tahoma"/>
            <family val="2"/>
          </rPr>
          <t xml:space="preserve">
Reference 
DRCW02-ESMV-E02001 SH1
DRCW02-ESEQ-42001 SH1
1272 AAC Conductor 1/ph
Rate per XEL-EVD-Facility Rating Supplement-Table-Bare Overhead Conductor.xls.
Normal summer rating @ 4 ft/s</t>
        </r>
      </text>
    </comment>
    <comment ref="J228" authorId="0" shapeId="0" xr:uid="{00000000-0006-0000-0000-000054010000}">
      <text>
        <r>
          <rPr>
            <b/>
            <sz val="9"/>
            <color rgb="FF000000"/>
            <rFont val="Tahoma"/>
            <family val="2"/>
          </rPr>
          <t>Author:</t>
        </r>
        <r>
          <rPr>
            <sz val="9"/>
            <color rgb="FF000000"/>
            <rFont val="Tahoma"/>
            <family val="2"/>
          </rPr>
          <t xml:space="preserve">
Reference 
DRCW02-ESMV-E02001 SH1
DRCW02-ESEQ-42001 SH1
2" SCH40 Al Tube Bus - Both horizontal and vertical sections
Rate per XEL-EVD-Facility Rating Supplement-Table-Tubular and Square Conductor.xls.
Normal summer rating @ 4 ft/s</t>
        </r>
      </text>
    </comment>
    <comment ref="K228" authorId="0" shapeId="0" xr:uid="{00000000-0006-0000-0000-000055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L228" authorId="0" shapeId="0" xr:uid="{00000000-0006-0000-0000-000056010000}">
      <text>
        <r>
          <rPr>
            <b/>
            <sz val="9"/>
            <color rgb="FF000000"/>
            <rFont val="Tahoma"/>
            <family val="2"/>
          </rPr>
          <t>Author:</t>
        </r>
        <r>
          <rPr>
            <sz val="9"/>
            <color rgb="FF000000"/>
            <rFont val="Tahoma"/>
            <family val="2"/>
          </rPr>
          <t xml:space="preserve">
Reference 
DRCW02-ESMV-E02001 SH2
DRCW02-ESEQ-42001 SH1
2104F</t>
        </r>
      </text>
    </comment>
    <comment ref="M228" authorId="0" shapeId="0" xr:uid="{00000000-0006-0000-0000-000057010000}">
      <text>
        <r>
          <rPr>
            <b/>
            <sz val="9"/>
            <color rgb="FF000000"/>
            <rFont val="Tahoma"/>
            <family val="2"/>
          </rPr>
          <t>Author:</t>
        </r>
        <r>
          <rPr>
            <sz val="9"/>
            <color rgb="FF000000"/>
            <rFont val="Tahoma"/>
            <family val="2"/>
          </rPr>
          <t xml:space="preserve">
CT on feeder side of breaker
3000/5 amp MRCT at 3000 amp tap.
Reference 
DRCW02-ESPT-E82001 SH2</t>
        </r>
      </text>
    </comment>
    <comment ref="N228" authorId="0" shapeId="0" xr:uid="{00000000-0006-0000-0000-000058010000}">
      <text>
        <r>
          <rPr>
            <b/>
            <sz val="9"/>
            <color indexed="81"/>
            <rFont val="Tahoma"/>
            <family val="2"/>
          </rPr>
          <t>Author:</t>
        </r>
        <r>
          <rPr>
            <sz val="9"/>
            <color indexed="81"/>
            <rFont val="Tahoma"/>
            <family val="2"/>
          </rPr>
          <t xml:space="preserve">
Reference 
DRCW02-ESMV-E02001 SH2
DRCW02-ESEQ-42001 SH1</t>
        </r>
      </text>
    </comment>
    <comment ref="O228" authorId="0" shapeId="0" xr:uid="{00000000-0006-0000-0000-000059010000}">
      <text>
        <r>
          <rPr>
            <b/>
            <sz val="9"/>
            <color rgb="FF000000"/>
            <rFont val="Tahoma"/>
            <family val="2"/>
          </rPr>
          <t>Author:</t>
        </r>
        <r>
          <rPr>
            <sz val="9"/>
            <color rgb="FF000000"/>
            <rFont val="Tahoma"/>
            <family val="2"/>
          </rPr>
          <t xml:space="preserve">
Reference 
DRCW02-ESMV-E02001 SH2
DRCW02-ESEQ-42001 SH1
2104M</t>
        </r>
      </text>
    </comment>
    <comment ref="P228" authorId="0" shapeId="0" xr:uid="{00000000-0006-0000-0000-00005A010000}">
      <text>
        <r>
          <rPr>
            <b/>
            <sz val="9"/>
            <color rgb="FF000000"/>
            <rFont val="Tahoma"/>
            <family val="2"/>
          </rPr>
          <t>Author:</t>
        </r>
        <r>
          <rPr>
            <sz val="9"/>
            <color rgb="FF000000"/>
            <rFont val="Tahoma"/>
            <family val="2"/>
          </rPr>
          <t xml:space="preserve">
CT on bus side of breaker
3000/5 amp MRCT at 3000 amp tap.
Reference 
DRCW02-ESPT-E82001 SH2</t>
        </r>
      </text>
    </comment>
    <comment ref="Q228" authorId="0" shapeId="0" xr:uid="{00000000-0006-0000-0000-00005B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R228" authorId="0" shapeId="0" xr:uid="{00000000-0006-0000-0000-00005C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S228" authorId="0" shapeId="0" xr:uid="{00000000-0006-0000-0000-00005D010000}">
      <text>
        <r>
          <rPr>
            <b/>
            <sz val="9"/>
            <color indexed="81"/>
            <rFont val="Tahoma"/>
            <family val="2"/>
          </rPr>
          <t>Author:</t>
        </r>
        <r>
          <rPr>
            <sz val="9"/>
            <color indexed="81"/>
            <rFont val="Tahoma"/>
            <family val="2"/>
          </rPr>
          <t xml:space="preserve">
51 Pickup: 1250A
50 Pickup: 2304A</t>
        </r>
      </text>
    </comment>
    <comment ref="F229" authorId="0" shapeId="0" xr:uid="{00000000-0006-0000-0000-00005E010000}">
      <text>
        <r>
          <rPr>
            <b/>
            <sz val="9"/>
            <color rgb="FF000000"/>
            <rFont val="Tahoma"/>
            <family val="2"/>
          </rPr>
          <t>Author:</t>
        </r>
        <r>
          <rPr>
            <sz val="9"/>
            <color rgb="FF000000"/>
            <rFont val="Tahoma"/>
            <family val="2"/>
          </rPr>
          <t xml:space="preserve">
Reference 
DRCW02-ESMV-E02001 SH1
DRCW02-ESEQ-42001 SH1
2" SCH40 Al Tube Bus
Rate per XEL-EVD-Facility Rating Supplement-Table-Tubular and Square Conductor.xls.
Normal summer rating @ 4 ft/s</t>
        </r>
      </text>
    </comment>
    <comment ref="G229" authorId="0" shapeId="0" xr:uid="{00000000-0006-0000-0000-00005F010000}">
      <text>
        <r>
          <rPr>
            <b/>
            <sz val="9"/>
            <color rgb="FF000000"/>
            <rFont val="Tahoma"/>
            <family val="2"/>
          </rPr>
          <t>Author:</t>
        </r>
        <r>
          <rPr>
            <sz val="9"/>
            <color rgb="FF000000"/>
            <rFont val="Tahoma"/>
            <family val="2"/>
          </rPr>
          <t xml:space="preserve">
Reference 
DRCW02-ESMV-E02001 SH1
DRCW02-ESEQ-42001 SH1
1272 AAC Conductor 1/ph
Rate per XEL-EVD-Facility Rating Supplement-Table-Bare Overhead Conductor.xls.
Normal summer rating @ 4 ft/s</t>
        </r>
      </text>
    </comment>
    <comment ref="H229" authorId="0" shapeId="0" xr:uid="{00000000-0006-0000-0000-000060010000}">
      <text>
        <r>
          <rPr>
            <b/>
            <sz val="9"/>
            <color rgb="FF000000"/>
            <rFont val="Tahoma"/>
            <family val="2"/>
          </rPr>
          <t>Author:</t>
        </r>
        <r>
          <rPr>
            <sz val="9"/>
            <color rgb="FF000000"/>
            <rFont val="Tahoma"/>
            <family val="2"/>
          </rPr>
          <t xml:space="preserve">
Reference 
DRCW02-ESMV-E02001 SH1
DRCW02-ESEQ-42001 SH1
Current Limiting Reactor, 1200A, 1/ph</t>
        </r>
      </text>
    </comment>
    <comment ref="I229" authorId="0" shapeId="0" xr:uid="{00000000-0006-0000-0000-000061010000}">
      <text>
        <r>
          <rPr>
            <b/>
            <sz val="9"/>
            <color rgb="FF000000"/>
            <rFont val="Tahoma"/>
            <family val="2"/>
          </rPr>
          <t>Author:</t>
        </r>
        <r>
          <rPr>
            <sz val="9"/>
            <color rgb="FF000000"/>
            <rFont val="Tahoma"/>
            <family val="2"/>
          </rPr>
          <t xml:space="preserve">
Reference 
DRCW02-ESMV-E02001 SH1
DRCW02-ESEQ-42001 SH1
1272 AAC Conductor 1/ph
Rate per XEL-EVD-Facility Rating Supplement-Table-Bare Overhead Conductor.xls.
Normal summer rating @ 4 ft/s</t>
        </r>
      </text>
    </comment>
    <comment ref="J229" authorId="0" shapeId="0" xr:uid="{00000000-0006-0000-0000-000062010000}">
      <text>
        <r>
          <rPr>
            <b/>
            <sz val="9"/>
            <color rgb="FF000000"/>
            <rFont val="Tahoma"/>
            <family val="2"/>
          </rPr>
          <t>Author:</t>
        </r>
        <r>
          <rPr>
            <sz val="9"/>
            <color rgb="FF000000"/>
            <rFont val="Tahoma"/>
            <family val="2"/>
          </rPr>
          <t xml:space="preserve">
Reference 
DRCW02-ESMV-E02001 SH1
DRCW02-ESEQ-42001 SH1
2" SCH40 Al Tube Bus - Both horizontal and vertical sections
Rate per XEL-EVD-Facility Rating Supplement-Table-Tubular and Square Conductor.xls.
Normal summer rating @ 4 ft/s</t>
        </r>
      </text>
    </comment>
    <comment ref="K229" authorId="0" shapeId="0" xr:uid="{00000000-0006-0000-0000-000063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L229" authorId="0" shapeId="0" xr:uid="{00000000-0006-0000-0000-000064010000}">
      <text>
        <r>
          <rPr>
            <b/>
            <sz val="9"/>
            <color rgb="FF000000"/>
            <rFont val="Tahoma"/>
            <family val="2"/>
          </rPr>
          <t>Author:</t>
        </r>
        <r>
          <rPr>
            <sz val="9"/>
            <color rgb="FF000000"/>
            <rFont val="Tahoma"/>
            <family val="2"/>
          </rPr>
          <t xml:space="preserve">
Reference 
DRCW02-ESMV-E02001 SH2
DRCW02-ESEQ-42001 SH1
2105F</t>
        </r>
      </text>
    </comment>
    <comment ref="M229" authorId="0" shapeId="0" xr:uid="{00000000-0006-0000-0000-000065010000}">
      <text>
        <r>
          <rPr>
            <b/>
            <sz val="9"/>
            <color rgb="FF000000"/>
            <rFont val="Tahoma"/>
            <family val="2"/>
          </rPr>
          <t>Author:</t>
        </r>
        <r>
          <rPr>
            <sz val="9"/>
            <color rgb="FF000000"/>
            <rFont val="Tahoma"/>
            <family val="2"/>
          </rPr>
          <t xml:space="preserve">
CT on feeder side of breaker
3000/5 amp MRCT at 3000 amp tap.
Reference 
DRCW02-ESPT-E82001 SH2</t>
        </r>
      </text>
    </comment>
    <comment ref="N229" authorId="0" shapeId="0" xr:uid="{00000000-0006-0000-0000-000066010000}">
      <text>
        <r>
          <rPr>
            <b/>
            <sz val="9"/>
            <color indexed="81"/>
            <rFont val="Tahoma"/>
            <family val="2"/>
          </rPr>
          <t>Author:</t>
        </r>
        <r>
          <rPr>
            <sz val="9"/>
            <color indexed="81"/>
            <rFont val="Tahoma"/>
            <family val="2"/>
          </rPr>
          <t xml:space="preserve">
Reference 
DRCW02-ESMV-E02001 SH2
DRCW02-ESEQ-42001 SH1</t>
        </r>
      </text>
    </comment>
    <comment ref="O229" authorId="0" shapeId="0" xr:uid="{00000000-0006-0000-0000-000067010000}">
      <text>
        <r>
          <rPr>
            <b/>
            <sz val="9"/>
            <color rgb="FF000000"/>
            <rFont val="Tahoma"/>
            <family val="2"/>
          </rPr>
          <t>Author:</t>
        </r>
        <r>
          <rPr>
            <sz val="9"/>
            <color rgb="FF000000"/>
            <rFont val="Tahoma"/>
            <family val="2"/>
          </rPr>
          <t xml:space="preserve">
Reference 
DRCW02-ESMV-E02001 SH2
DRCW02-ESEQ-42001 SH1
2105M</t>
        </r>
      </text>
    </comment>
    <comment ref="P229" authorId="0" shapeId="0" xr:uid="{00000000-0006-0000-0000-000068010000}">
      <text>
        <r>
          <rPr>
            <b/>
            <sz val="9"/>
            <color rgb="FF000000"/>
            <rFont val="Tahoma"/>
            <family val="2"/>
          </rPr>
          <t>Author:</t>
        </r>
        <r>
          <rPr>
            <sz val="9"/>
            <color rgb="FF000000"/>
            <rFont val="Tahoma"/>
            <family val="2"/>
          </rPr>
          <t xml:space="preserve">
CT on bus side of breaker
3000/5 amp MRCT at 3000 amp tap.
Reference 
DRCW02-ESPT-E82001 SH2</t>
        </r>
      </text>
    </comment>
    <comment ref="Q229" authorId="0" shapeId="0" xr:uid="{00000000-0006-0000-0000-000069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R229" authorId="0" shapeId="0" xr:uid="{00000000-0006-0000-0000-00006A010000}">
      <text>
        <r>
          <rPr>
            <b/>
            <sz val="9"/>
            <color rgb="FF000000"/>
            <rFont val="Tahoma"/>
            <family val="2"/>
          </rPr>
          <t>Author:</t>
        </r>
        <r>
          <rPr>
            <sz val="9"/>
            <color rgb="FF000000"/>
            <rFont val="Tahoma"/>
            <family val="2"/>
          </rPr>
          <t xml:space="preserve">
Reference 
DRCW02-ESMV-E02001 SH1
DRCW02-ESEQ-42001 SH1
DRCW02-ESEQ-E72002 SH1
1272 AAC Conductor 1/ph
Rate per XEL-EVD-Facility Rating Supplement-Table-Bare Overhead Conductor.xls.
Normal summer rating @ 4 ft/s</t>
        </r>
      </text>
    </comment>
    <comment ref="S229" authorId="0" shapeId="0" xr:uid="{00000000-0006-0000-0000-00006B010000}">
      <text>
        <r>
          <rPr>
            <b/>
            <sz val="9"/>
            <color indexed="81"/>
            <rFont val="Tahoma"/>
            <family val="2"/>
          </rPr>
          <t>Author:</t>
        </r>
        <r>
          <rPr>
            <sz val="9"/>
            <color indexed="81"/>
            <rFont val="Tahoma"/>
            <family val="2"/>
          </rPr>
          <t xml:space="preserve">
51 Pickup: 1250A
50 Pickup: 2304A</t>
        </r>
      </text>
    </comment>
    <comment ref="C234" authorId="0" shapeId="0" xr:uid="{00000000-0006-0000-0000-00006C010000}">
      <text>
        <r>
          <rPr>
            <b/>
            <sz val="9"/>
            <color rgb="FF000000"/>
            <rFont val="Tahoma"/>
            <family val="2"/>
          </rPr>
          <t>Author:</t>
        </r>
        <r>
          <rPr>
            <sz val="9"/>
            <color rgb="FF000000"/>
            <rFont val="Tahoma"/>
            <family val="2"/>
          </rPr>
          <t xml:space="preserve">
Cap bank MVAR rating
Reference
DRCW01-ESGA-E01001
SH1
</t>
        </r>
      </text>
    </comment>
    <comment ref="F234" authorId="0" shapeId="0" xr:uid="{89F7D70E-6CD0-4627-A712-5408839860C1}">
      <text>
        <r>
          <rPr>
            <b/>
            <sz val="9"/>
            <color indexed="81"/>
            <rFont val="Tahoma"/>
            <family val="2"/>
          </rPr>
          <t>Author:</t>
        </r>
        <r>
          <rPr>
            <sz val="9"/>
            <color indexed="81"/>
            <rFont val="Tahoma"/>
            <family val="2"/>
          </rPr>
          <t xml:space="preserve">
From Drawing CEB17012 SH.1 Connection is 750MCM Aluminum. Referencing XEL-EVD-Facility Rating Supplement- table -  Bare Overhead Conductor summer rataing is 737A at 4ft /sec wind speed</t>
        </r>
      </text>
    </comment>
    <comment ref="G234" authorId="0" shapeId="0" xr:uid="{00000000-0006-0000-0000-00006E010000}">
      <text>
        <r>
          <rPr>
            <b/>
            <sz val="9"/>
            <color rgb="FF000000"/>
            <rFont val="Tahoma"/>
            <family val="2"/>
          </rPr>
          <t>Author:</t>
        </r>
        <r>
          <rPr>
            <sz val="9"/>
            <color rgb="FF000000"/>
            <rFont val="Tahoma"/>
            <family val="2"/>
          </rPr>
          <t xml:space="preserve">
Cap Switcher 1153
Reference
DRCW01-ESMV-E01001
SH5
</t>
        </r>
      </text>
    </comment>
    <comment ref="H234" authorId="0" shapeId="0" xr:uid="{00000000-0006-0000-0000-00006F010000}">
      <text>
        <r>
          <rPr>
            <b/>
            <sz val="9"/>
            <color rgb="FF000000"/>
            <rFont val="Tahoma"/>
            <family val="2"/>
          </rPr>
          <t>Author:</t>
        </r>
        <r>
          <rPr>
            <sz val="9"/>
            <color rgb="FF000000"/>
            <rFont val="Tahoma"/>
            <family val="2"/>
          </rPr>
          <t xml:space="preserve">
Reference 
DRCW01-ESMV-E01001 SH5
DRCW01-ESEQ-41001 SH1
1272 AAC Conductor 1/ph
Rate per XEL-EVD-Facility Rating Supplement-Table-Bare Overhead Conductor.xls.
Normal summer rating @ 4 ft/s</t>
        </r>
      </text>
    </comment>
    <comment ref="C235" authorId="0" shapeId="0" xr:uid="{00000000-0006-0000-0000-000070010000}">
      <text>
        <r>
          <rPr>
            <b/>
            <sz val="9"/>
            <color rgb="FF000000"/>
            <rFont val="Tahoma"/>
            <family val="2"/>
          </rPr>
          <t>Author:</t>
        </r>
        <r>
          <rPr>
            <sz val="9"/>
            <color rgb="FF000000"/>
            <rFont val="Tahoma"/>
            <family val="2"/>
          </rPr>
          <t xml:space="preserve">
Cap bank MVAR rating
Reference
DRCW01-ESGA-E01001
SH1
</t>
        </r>
      </text>
    </comment>
    <comment ref="F235" authorId="0" shapeId="0" xr:uid="{C9312361-728C-4F82-A26A-DF1D83CE1623}">
      <text>
        <r>
          <rPr>
            <b/>
            <sz val="9"/>
            <color indexed="81"/>
            <rFont val="Tahoma"/>
            <family val="2"/>
          </rPr>
          <t>Author:</t>
        </r>
        <r>
          <rPr>
            <sz val="9"/>
            <color indexed="81"/>
            <rFont val="Tahoma"/>
            <family val="2"/>
          </rPr>
          <t xml:space="preserve">
From Drawing CEB17012 SH.1 Connection is 750MCM Aluminum. Referencing XEL-EVD-Facility Rating Supplement- table -  Bare Overhead Conductor summer rataing is 737A at 4ft /sec wind speed</t>
        </r>
      </text>
    </comment>
    <comment ref="G235" authorId="0" shapeId="0" xr:uid="{00000000-0006-0000-0000-000072010000}">
      <text>
        <r>
          <rPr>
            <b/>
            <sz val="9"/>
            <color rgb="FF000000"/>
            <rFont val="Tahoma"/>
            <family val="2"/>
          </rPr>
          <t>Author:</t>
        </r>
        <r>
          <rPr>
            <sz val="9"/>
            <color rgb="FF000000"/>
            <rFont val="Tahoma"/>
            <family val="2"/>
          </rPr>
          <t xml:space="preserve">
Cap Switcher 1154
Reference
DRCW01-ESMV-E01001
SH5
</t>
        </r>
      </text>
    </comment>
    <comment ref="H235" authorId="0" shapeId="0" xr:uid="{00000000-0006-0000-0000-000073010000}">
      <text>
        <r>
          <rPr>
            <b/>
            <sz val="9"/>
            <color rgb="FF000000"/>
            <rFont val="Tahoma"/>
            <family val="2"/>
          </rPr>
          <t>Author:</t>
        </r>
        <r>
          <rPr>
            <sz val="9"/>
            <color rgb="FF000000"/>
            <rFont val="Tahoma"/>
            <family val="2"/>
          </rPr>
          <t xml:space="preserve">
Reference 
DRCW01-ESMV-E01001 SH5
DRCW01-ESEQ-41001 SH1
1272 AAC Conductor 1/ph
Rate per XEL-EVD-Facility Rating Supplement-Table-Bare Overhead Conductor.xls.
Normal summer rating @ 4 ft/s</t>
        </r>
      </text>
    </comment>
    <comment ref="C236" authorId="0" shapeId="0" xr:uid="{00000000-0006-0000-0000-000074010000}">
      <text>
        <r>
          <rPr>
            <b/>
            <sz val="9"/>
            <color rgb="FF000000"/>
            <rFont val="Tahoma"/>
            <family val="2"/>
          </rPr>
          <t>Author:</t>
        </r>
        <r>
          <rPr>
            <sz val="9"/>
            <color rgb="FF000000"/>
            <rFont val="Tahoma"/>
            <family val="2"/>
          </rPr>
          <t xml:space="preserve">
Cap bank MVAR rating
Reference
DRCW01-ESGA-E01001
SH1
</t>
        </r>
      </text>
    </comment>
    <comment ref="F236" authorId="0" shapeId="0" xr:uid="{83543DDE-13E2-455F-A14A-0450A11546F9}">
      <text>
        <r>
          <rPr>
            <b/>
            <sz val="9"/>
            <color indexed="81"/>
            <rFont val="Tahoma"/>
            <family val="2"/>
          </rPr>
          <t>Author:</t>
        </r>
        <r>
          <rPr>
            <sz val="9"/>
            <color indexed="81"/>
            <rFont val="Tahoma"/>
            <family val="2"/>
          </rPr>
          <t xml:space="preserve">
From Drawing CEB17012 SH.1 Connection is 750MCM Aluminum. Referencing XEL-EVD-Facility Rating Supplement- table -  Bare Overhead Conductor summer rataing is 737A at 4ft /sec wind speed</t>
        </r>
      </text>
    </comment>
    <comment ref="G236" authorId="0" shapeId="0" xr:uid="{00000000-0006-0000-0000-000076010000}">
      <text>
        <r>
          <rPr>
            <b/>
            <sz val="9"/>
            <color rgb="FF000000"/>
            <rFont val="Tahoma"/>
            <family val="2"/>
          </rPr>
          <t>Author:</t>
        </r>
        <r>
          <rPr>
            <sz val="9"/>
            <color rgb="FF000000"/>
            <rFont val="Tahoma"/>
            <family val="2"/>
          </rPr>
          <t xml:space="preserve">
Cap Switcher 1155
Reference
DRCW01-ESMV-E01001
SH5
</t>
        </r>
      </text>
    </comment>
    <comment ref="H236" authorId="0" shapeId="0" xr:uid="{00000000-0006-0000-0000-000077010000}">
      <text>
        <r>
          <rPr>
            <b/>
            <sz val="9"/>
            <color rgb="FF000000"/>
            <rFont val="Tahoma"/>
            <family val="2"/>
          </rPr>
          <t>Author:</t>
        </r>
        <r>
          <rPr>
            <sz val="9"/>
            <color rgb="FF000000"/>
            <rFont val="Tahoma"/>
            <family val="2"/>
          </rPr>
          <t xml:space="preserve">
Reference 
DRCW01-ESMV-E01001 SH5
DRCW01-ESEQ-41001 SH1
1272 AAC Conductor 1/ph
Rate per XEL-EVD-Facility Rating Supplement-Table-Bare Overhead Conductor.xls.
Normal summer rating @ 4 ft/s</t>
        </r>
      </text>
    </comment>
    <comment ref="C237" authorId="0" shapeId="0" xr:uid="{00000000-0006-0000-0000-000078010000}">
      <text>
        <r>
          <rPr>
            <b/>
            <sz val="9"/>
            <color rgb="FF000000"/>
            <rFont val="Tahoma"/>
            <family val="2"/>
          </rPr>
          <t>Author:</t>
        </r>
        <r>
          <rPr>
            <sz val="9"/>
            <color rgb="FF000000"/>
            <rFont val="Tahoma"/>
            <family val="2"/>
          </rPr>
          <t xml:space="preserve">
Cap bank MVAR rating
Reference
DRCW01-ESGA-E01001
SH1
</t>
        </r>
      </text>
    </comment>
    <comment ref="F237" authorId="0" shapeId="0" xr:uid="{40361552-AB13-4C1B-8E5D-7D3E118A9C24}">
      <text>
        <r>
          <rPr>
            <b/>
            <sz val="9"/>
            <color indexed="81"/>
            <rFont val="Tahoma"/>
            <family val="2"/>
          </rPr>
          <t>Author:</t>
        </r>
        <r>
          <rPr>
            <sz val="9"/>
            <color indexed="81"/>
            <rFont val="Tahoma"/>
            <family val="2"/>
          </rPr>
          <t xml:space="preserve">
From Drawing CEB17012 SH.1 Connection is 750MCM Aluminum. Referencing XEL-EVD-Facility Rating Supplement- table -  Bare Overhead Conductor summer rataing is 737A at 4ft /sec wind speed</t>
        </r>
      </text>
    </comment>
    <comment ref="G237" authorId="0" shapeId="0" xr:uid="{00000000-0006-0000-0000-00007A010000}">
      <text>
        <r>
          <rPr>
            <b/>
            <sz val="9"/>
            <color rgb="FF000000"/>
            <rFont val="Tahoma"/>
            <family val="2"/>
          </rPr>
          <t>Author:</t>
        </r>
        <r>
          <rPr>
            <sz val="9"/>
            <color rgb="FF000000"/>
            <rFont val="Tahoma"/>
            <family val="2"/>
          </rPr>
          <t xml:space="preserve">
Cap Switcher 1253
Reference
DRCW01-ESMV-E01001
SH4
</t>
        </r>
      </text>
    </comment>
    <comment ref="H237" authorId="0" shapeId="0" xr:uid="{00000000-0006-0000-0000-00007B010000}">
      <text>
        <r>
          <rPr>
            <b/>
            <sz val="9"/>
            <color rgb="FF000000"/>
            <rFont val="Tahoma"/>
            <family val="2"/>
          </rPr>
          <t>Author:</t>
        </r>
        <r>
          <rPr>
            <sz val="9"/>
            <color rgb="FF000000"/>
            <rFont val="Tahoma"/>
            <family val="2"/>
          </rPr>
          <t xml:space="preserve">
Reference 
DRCW01-ESMV-E01001 SH4
DRCW01-ESEQ-41001 SH1
1272 AAC Conductor 1/ph
Rate per XEL-EVD-Facility Rating Supplement-Table-Bare Overhead Conductor.xls.
Normal summer rating @ 4 ft/s</t>
        </r>
      </text>
    </comment>
    <comment ref="C238" authorId="0" shapeId="0" xr:uid="{00000000-0006-0000-0000-00007C010000}">
      <text>
        <r>
          <rPr>
            <b/>
            <sz val="9"/>
            <color rgb="FF000000"/>
            <rFont val="Tahoma"/>
            <family val="2"/>
          </rPr>
          <t>Author:</t>
        </r>
        <r>
          <rPr>
            <sz val="9"/>
            <color rgb="FF000000"/>
            <rFont val="Tahoma"/>
            <family val="2"/>
          </rPr>
          <t xml:space="preserve">
Cap bank MVAR rating
Reference
DRCW01-ESGA-E01001
SH1
</t>
        </r>
      </text>
    </comment>
    <comment ref="F238" authorId="0" shapeId="0" xr:uid="{7889DC5E-A7F3-4838-BA19-C1909344C106}">
      <text>
        <r>
          <rPr>
            <b/>
            <sz val="9"/>
            <color indexed="81"/>
            <rFont val="Tahoma"/>
            <family val="2"/>
          </rPr>
          <t>Author:</t>
        </r>
        <r>
          <rPr>
            <sz val="9"/>
            <color indexed="81"/>
            <rFont val="Tahoma"/>
            <family val="2"/>
          </rPr>
          <t xml:space="preserve">
From Drawing CEB17012 SH.1 Connection is 750MCM Aluminum. Referencing XEL-EVD-Facility Rating Supplement- table -  Bare Overhead Conductor summer rataing is 737A at 4ft /sec wind speed</t>
        </r>
      </text>
    </comment>
    <comment ref="G238" authorId="0" shapeId="0" xr:uid="{00000000-0006-0000-0000-00007E010000}">
      <text>
        <r>
          <rPr>
            <b/>
            <sz val="9"/>
            <color rgb="FF000000"/>
            <rFont val="Tahoma"/>
            <family val="2"/>
          </rPr>
          <t>Author:</t>
        </r>
        <r>
          <rPr>
            <sz val="9"/>
            <color rgb="FF000000"/>
            <rFont val="Tahoma"/>
            <family val="2"/>
          </rPr>
          <t xml:space="preserve">
Cap Switcher 1254
Reference
DRCW01-ESMV-E01001
SH4
</t>
        </r>
      </text>
    </comment>
    <comment ref="H238" authorId="0" shapeId="0" xr:uid="{00000000-0006-0000-0000-00007F010000}">
      <text>
        <r>
          <rPr>
            <b/>
            <sz val="9"/>
            <color rgb="FF000000"/>
            <rFont val="Tahoma"/>
            <family val="2"/>
          </rPr>
          <t>Author:</t>
        </r>
        <r>
          <rPr>
            <sz val="9"/>
            <color rgb="FF000000"/>
            <rFont val="Tahoma"/>
            <family val="2"/>
          </rPr>
          <t xml:space="preserve">
Reference 
DRCW01-ESMV-E01001 SH4
DRCW01-ESEQ-41001 SH1
1272 AAC Conductor 1/ph
Rate per XEL-EVD-Facility Rating Supplement-Table-Bare Overhead Conductor.xls.
Normal summer rating @ 4 ft/s</t>
        </r>
      </text>
    </comment>
    <comment ref="C239" authorId="0" shapeId="0" xr:uid="{00000000-0006-0000-0000-000080010000}">
      <text>
        <r>
          <rPr>
            <b/>
            <sz val="9"/>
            <color rgb="FF000000"/>
            <rFont val="Tahoma"/>
            <family val="2"/>
          </rPr>
          <t>Author:</t>
        </r>
        <r>
          <rPr>
            <sz val="9"/>
            <color rgb="FF000000"/>
            <rFont val="Tahoma"/>
            <family val="2"/>
          </rPr>
          <t xml:space="preserve">
Cap bank MVAR rating
Reference
DRCW01-ESGA-E01001
SH1
</t>
        </r>
      </text>
    </comment>
    <comment ref="F239" authorId="0" shapeId="0" xr:uid="{102E5B8C-6A7A-4AA6-A37D-A4F7B3250050}">
      <text>
        <r>
          <rPr>
            <b/>
            <sz val="9"/>
            <color indexed="81"/>
            <rFont val="Tahoma"/>
            <family val="2"/>
          </rPr>
          <t>Author:</t>
        </r>
        <r>
          <rPr>
            <sz val="9"/>
            <color indexed="81"/>
            <rFont val="Tahoma"/>
            <family val="2"/>
          </rPr>
          <t xml:space="preserve">
From Drawing CEB17012 SH.1 Connection is 750MCM Aluminum. Referencing XEL-EVD-Facility Rating Supplement- table -  Bare Overhead Conductor summer rataing is 737A at 4ft /sec wind speed</t>
        </r>
      </text>
    </comment>
    <comment ref="G239" authorId="0" shapeId="0" xr:uid="{00000000-0006-0000-0000-000082010000}">
      <text>
        <r>
          <rPr>
            <b/>
            <sz val="9"/>
            <color rgb="FF000000"/>
            <rFont val="Tahoma"/>
            <family val="2"/>
          </rPr>
          <t>Author:</t>
        </r>
        <r>
          <rPr>
            <sz val="9"/>
            <color rgb="FF000000"/>
            <rFont val="Tahoma"/>
            <family val="2"/>
          </rPr>
          <t xml:space="preserve">
Cap Switcher 1255
Reference
DRCW01-ESMV-E01001
SH4
</t>
        </r>
      </text>
    </comment>
    <comment ref="H239" authorId="0" shapeId="0" xr:uid="{00000000-0006-0000-0000-000083010000}">
      <text>
        <r>
          <rPr>
            <b/>
            <sz val="9"/>
            <color rgb="FF000000"/>
            <rFont val="Tahoma"/>
            <family val="2"/>
          </rPr>
          <t>Author:</t>
        </r>
        <r>
          <rPr>
            <sz val="9"/>
            <color rgb="FF000000"/>
            <rFont val="Tahoma"/>
            <family val="2"/>
          </rPr>
          <t xml:space="preserve">
Reference 
DRCW01-ESMV-E01001 SH4
DRCW01-ESEQ-41001 SH1
1272 AAC Conductor 1/ph
Rate per XEL-EVD-Facility Rating Supplement-Table-Bare Overhead Conductor.xls.
Normal summer rating @ 4 ft/s</t>
        </r>
      </text>
    </comment>
    <comment ref="C240" authorId="0" shapeId="0" xr:uid="{00000000-0006-0000-0000-000084010000}">
      <text>
        <r>
          <rPr>
            <b/>
            <sz val="9"/>
            <color indexed="81"/>
            <rFont val="Tahoma"/>
            <family val="2"/>
          </rPr>
          <t>Author:</t>
        </r>
        <r>
          <rPr>
            <sz val="9"/>
            <color indexed="81"/>
            <rFont val="Tahoma"/>
            <family val="2"/>
          </rPr>
          <t xml:space="preserve">
Cap bank MVAR rating
Reference
DRCW02-ESGA-E02001
SH1</t>
        </r>
      </text>
    </comment>
    <comment ref="F240" authorId="0" shapeId="0" xr:uid="{F782F9A5-BE8B-4423-AEFD-0BD8A8630662}">
      <text>
        <r>
          <rPr>
            <b/>
            <sz val="9"/>
            <color indexed="81"/>
            <rFont val="Tahoma"/>
            <family val="2"/>
          </rPr>
          <t>Author:</t>
        </r>
        <r>
          <rPr>
            <sz val="9"/>
            <color indexed="81"/>
            <rFont val="Tahoma"/>
            <family val="2"/>
          </rPr>
          <t xml:space="preserve">
From Drawing CEB17012 SH.1 Connection is 750MCM Aluminum. Referencing XEL-EVD-Facility Rating Supplement- table -  Bare Overhead Conductor summer rataing is 737A at 4ft /sec wind speed</t>
        </r>
      </text>
    </comment>
    <comment ref="G240" authorId="0" shapeId="0" xr:uid="{00000000-0006-0000-0000-000086010000}">
      <text>
        <r>
          <rPr>
            <b/>
            <sz val="9"/>
            <color rgb="FF000000"/>
            <rFont val="Tahoma"/>
            <family val="2"/>
          </rPr>
          <t>Author:</t>
        </r>
        <r>
          <rPr>
            <sz val="9"/>
            <color rgb="FF000000"/>
            <rFont val="Tahoma"/>
            <family val="2"/>
          </rPr>
          <t xml:space="preserve">
Cap Switcher 2153
Reference
DRCW01-ESMV-E01001
SH4
</t>
        </r>
      </text>
    </comment>
    <comment ref="H240" authorId="0" shapeId="0" xr:uid="{00000000-0006-0000-0000-000087010000}">
      <text>
        <r>
          <rPr>
            <b/>
            <sz val="9"/>
            <color rgb="FF000000"/>
            <rFont val="Tahoma"/>
            <family val="2"/>
          </rPr>
          <t>Author:</t>
        </r>
        <r>
          <rPr>
            <sz val="9"/>
            <color rgb="FF000000"/>
            <rFont val="Tahoma"/>
            <family val="2"/>
          </rPr>
          <t xml:space="preserve">
Reference 
DRCW02-ESMV-E02001 SH4
DRCW02-ESEQ-42001 SH1
1272 AAC Conductor 1/ph
Rate per XEL-EVD-Facility Rating Supplement-Table-Bare Overhead Conductor.xls.
Normal summer rating @ 4 ft/s</t>
        </r>
      </text>
    </comment>
    <comment ref="C241" authorId="0" shapeId="0" xr:uid="{00000000-0006-0000-0000-000088010000}">
      <text>
        <r>
          <rPr>
            <b/>
            <sz val="9"/>
            <color indexed="81"/>
            <rFont val="Tahoma"/>
            <family val="2"/>
          </rPr>
          <t>Author:</t>
        </r>
        <r>
          <rPr>
            <sz val="9"/>
            <color indexed="81"/>
            <rFont val="Tahoma"/>
            <family val="2"/>
          </rPr>
          <t xml:space="preserve">
Cap bank MVAR rating
Reference
DRCW02-ESGA-E02001
SH1</t>
        </r>
      </text>
    </comment>
    <comment ref="F241" authorId="0" shapeId="0" xr:uid="{F3C6BD9F-43C3-4E91-8C01-75565F3BDD57}">
      <text>
        <r>
          <rPr>
            <b/>
            <sz val="9"/>
            <color indexed="81"/>
            <rFont val="Tahoma"/>
            <family val="2"/>
          </rPr>
          <t>Author:</t>
        </r>
        <r>
          <rPr>
            <sz val="9"/>
            <color indexed="81"/>
            <rFont val="Tahoma"/>
            <family val="2"/>
          </rPr>
          <t xml:space="preserve">
From Drawing CEB17012 SH.1 Connection is 750MCM Aluminum. Referencing XEL-EVD-Facility Rating Supplement- table -  Bare Overhead Conductor summer rataing is 737A at 4ft /sec wind speed</t>
        </r>
      </text>
    </comment>
    <comment ref="G241" authorId="0" shapeId="0" xr:uid="{00000000-0006-0000-0000-00008A010000}">
      <text>
        <r>
          <rPr>
            <b/>
            <sz val="9"/>
            <color rgb="FF000000"/>
            <rFont val="Tahoma"/>
            <family val="2"/>
          </rPr>
          <t>Author:</t>
        </r>
        <r>
          <rPr>
            <sz val="9"/>
            <color rgb="FF000000"/>
            <rFont val="Tahoma"/>
            <family val="2"/>
          </rPr>
          <t xml:space="preserve">
Cap Switcher 2154
Reference
DRCW01-ESMV-E01001
SH4
</t>
        </r>
      </text>
    </comment>
    <comment ref="H241" authorId="0" shapeId="0" xr:uid="{00000000-0006-0000-0000-00008B010000}">
      <text>
        <r>
          <rPr>
            <b/>
            <sz val="9"/>
            <color rgb="FF000000"/>
            <rFont val="Tahoma"/>
            <family val="2"/>
          </rPr>
          <t>Author:</t>
        </r>
        <r>
          <rPr>
            <sz val="9"/>
            <color rgb="FF000000"/>
            <rFont val="Tahoma"/>
            <family val="2"/>
          </rPr>
          <t xml:space="preserve">
Reference 
DRCW02-ESMV-E02001 SH4
DRCW02-ESEQ-42001 SH1
1272 AAC Conductor 1/ph
Rate per XEL-EVD-Facility Rating Supplement-Table-Bare Overhead Conductor.xls.
Normal summer rating @ 4 ft/s</t>
        </r>
      </text>
    </comment>
    <comment ref="C242" authorId="0" shapeId="0" xr:uid="{00000000-0006-0000-0000-00008C010000}">
      <text>
        <r>
          <rPr>
            <b/>
            <sz val="9"/>
            <color indexed="81"/>
            <rFont val="Tahoma"/>
            <family val="2"/>
          </rPr>
          <t>Author:</t>
        </r>
        <r>
          <rPr>
            <sz val="9"/>
            <color indexed="81"/>
            <rFont val="Tahoma"/>
            <family val="2"/>
          </rPr>
          <t xml:space="preserve">
Cap bank MVAR rating
Reference
DRCW02-ESGA-E02001
SH1</t>
        </r>
      </text>
    </comment>
    <comment ref="F242" authorId="0" shapeId="0" xr:uid="{9AB8C22A-6772-4F37-A244-930C5125D1E8}">
      <text>
        <r>
          <rPr>
            <b/>
            <sz val="9"/>
            <color indexed="81"/>
            <rFont val="Tahoma"/>
            <family val="2"/>
          </rPr>
          <t>Author:</t>
        </r>
        <r>
          <rPr>
            <sz val="9"/>
            <color indexed="81"/>
            <rFont val="Tahoma"/>
            <family val="2"/>
          </rPr>
          <t xml:space="preserve">
From Drawing CEB17012 SH.1 Connection is 750MCM Aluminum. Referencing XEL-EVD-Facility Rating Supplement- table -  Bare Overhead Conductor summer rataing is 737A at 4ft /sec wind speed</t>
        </r>
      </text>
    </comment>
    <comment ref="G242" authorId="0" shapeId="0" xr:uid="{00000000-0006-0000-0000-00008E010000}">
      <text>
        <r>
          <rPr>
            <b/>
            <sz val="9"/>
            <color rgb="FF000000"/>
            <rFont val="Tahoma"/>
            <family val="2"/>
          </rPr>
          <t>Author:</t>
        </r>
        <r>
          <rPr>
            <sz val="9"/>
            <color rgb="FF000000"/>
            <rFont val="Tahoma"/>
            <family val="2"/>
          </rPr>
          <t xml:space="preserve">
Cap Switcher 2155
Reference
DRCW01-ESMV-E01001
SH4
</t>
        </r>
      </text>
    </comment>
    <comment ref="H242" authorId="0" shapeId="0" xr:uid="{00000000-0006-0000-0000-00008F010000}">
      <text>
        <r>
          <rPr>
            <b/>
            <sz val="9"/>
            <color rgb="FF000000"/>
            <rFont val="Tahoma"/>
            <family val="2"/>
          </rPr>
          <t>Author:</t>
        </r>
        <r>
          <rPr>
            <sz val="9"/>
            <color rgb="FF000000"/>
            <rFont val="Tahoma"/>
            <family val="2"/>
          </rPr>
          <t xml:space="preserve">
Reference 
DRCW02-ESMV-E02001 SH4
DRCW02-ESEQ-42001 SH1
1272 AAC Conductor 1/ph
Rate per XEL-EVD-Facility Rating Supplement-Table-Bare Overhead Conductor.xls.
Normal summer rating @ 4 ft/s</t>
        </r>
      </text>
    </comment>
    <comment ref="C247" authorId="0" shapeId="0" xr:uid="{00000000-0006-0000-0000-000090010000}">
      <text>
        <r>
          <rPr>
            <b/>
            <sz val="9"/>
            <color rgb="FF000000"/>
            <rFont val="Tahoma"/>
            <family val="2"/>
          </rPr>
          <t>Author:</t>
        </r>
        <r>
          <rPr>
            <sz val="9"/>
            <color rgb="FF000000"/>
            <rFont val="Tahoma"/>
            <family val="2"/>
          </rPr>
          <t xml:space="preserve">
Reference
DRCW01-ESGA-E01001
SH1</t>
        </r>
      </text>
    </comment>
    <comment ref="F247" authorId="0" shapeId="0" xr:uid="{00000000-0006-0000-0000-000091010000}">
      <text>
        <r>
          <rPr>
            <b/>
            <sz val="9"/>
            <color rgb="FF000000"/>
            <rFont val="Tahoma"/>
            <family val="2"/>
          </rPr>
          <t>Author:</t>
        </r>
        <r>
          <rPr>
            <sz val="9"/>
            <color rgb="FF000000"/>
            <rFont val="Tahoma"/>
            <family val="2"/>
          </rPr>
          <t xml:space="preserve">
Reference 
DRCW01-ESMV-E01001 SH3
DRCW01-ESEQ-41001 SH1
1272 AAC Conductor 1/ph
Rate per XEL-EVD-Facility Rating Supplement-Table-Bare Overhead Conductor.xls.
Normal summer rating @ 4 ft/s</t>
        </r>
      </text>
    </comment>
    <comment ref="G247" authorId="0" shapeId="0" xr:uid="{00000000-0006-0000-0000-000092010000}">
      <text>
        <r>
          <rPr>
            <b/>
            <sz val="9"/>
            <color rgb="FF000000"/>
            <rFont val="Tahoma"/>
            <family val="2"/>
          </rPr>
          <t>Author:</t>
        </r>
        <r>
          <rPr>
            <sz val="9"/>
            <color rgb="FF000000"/>
            <rFont val="Tahoma"/>
            <family val="2"/>
          </rPr>
          <t xml:space="preserve">
Reference 
DRCW01-ESMV-E01001 SH3
DRCW01-ESEQ-41001 SH1
2" SCH40 Al Tube Bus
Rate per XEL-EVD-Facility Rating Supplement-Table-Tubular and Square Conductor.xls.
Normal summer rating @ 4 ft/s</t>
        </r>
      </text>
    </comment>
    <comment ref="H247" authorId="0" shapeId="0" xr:uid="{00000000-0006-0000-0000-000093010000}">
      <text>
        <r>
          <rPr>
            <b/>
            <sz val="9"/>
            <color rgb="FF000000"/>
            <rFont val="Tahoma"/>
            <family val="2"/>
          </rPr>
          <t>Author:</t>
        </r>
        <r>
          <rPr>
            <sz val="9"/>
            <color rgb="FF000000"/>
            <rFont val="Tahoma"/>
            <family val="2"/>
          </rPr>
          <t xml:space="preserve">
Reference 
DRCW01-ESMV-E01001 SH3
DRCW01-ESEQ-41001 SH1
1272 AAC Conductor 1/ph
Rate per XEL-EVD-Facility Rating Supplement-Table-Bare Overhead Conductor.xls.
Normal summer rating @ 4 ft/s</t>
        </r>
      </text>
    </comment>
    <comment ref="I247" authorId="0" shapeId="0" xr:uid="{00000000-0006-0000-0000-000094010000}">
      <text>
        <r>
          <rPr>
            <b/>
            <sz val="9"/>
            <color rgb="FF000000"/>
            <rFont val="Tahoma"/>
            <family val="2"/>
          </rPr>
          <t>Author:</t>
        </r>
        <r>
          <rPr>
            <sz val="9"/>
            <color rgb="FF000000"/>
            <rFont val="Tahoma"/>
            <family val="2"/>
          </rPr>
          <t xml:space="preserve">
Reactor Switcher 1151
Reference
DRCW01-ESMV-E01001
SH3</t>
        </r>
      </text>
    </comment>
    <comment ref="J247" authorId="0" shapeId="0" xr:uid="{00000000-0006-0000-0000-000095010000}">
      <text>
        <r>
          <rPr>
            <b/>
            <sz val="9"/>
            <color rgb="FF000000"/>
            <rFont val="Tahoma"/>
            <family val="2"/>
          </rPr>
          <t>Author:</t>
        </r>
        <r>
          <rPr>
            <sz val="9"/>
            <color rgb="FF000000"/>
            <rFont val="Tahoma"/>
            <family val="2"/>
          </rPr>
          <t xml:space="preserve">
Reference 
DRCW01-ESMV-E01001 SH3
DRCW01-ESEQ-41001 SH1
1272 AAC Conductor 1/ph
Rate per XEL-EVD-Facility Rating Supplement-Table-Bare Overhead Conductor.xls.
Normal summer rating @ 4 ft/s</t>
        </r>
      </text>
    </comment>
    <comment ref="C248" authorId="0" shapeId="0" xr:uid="{00000000-0006-0000-0000-000096010000}">
      <text>
        <r>
          <rPr>
            <b/>
            <sz val="9"/>
            <color rgb="FF000000"/>
            <rFont val="Tahoma"/>
            <family val="2"/>
          </rPr>
          <t>Author:</t>
        </r>
        <r>
          <rPr>
            <sz val="9"/>
            <color rgb="FF000000"/>
            <rFont val="Tahoma"/>
            <family val="2"/>
          </rPr>
          <t xml:space="preserve">
Reference
DRCW01-ESGA-E01001
SH1</t>
        </r>
      </text>
    </comment>
    <comment ref="F248" authorId="0" shapeId="0" xr:uid="{00000000-0006-0000-0000-000097010000}">
      <text>
        <r>
          <rPr>
            <b/>
            <sz val="9"/>
            <color rgb="FF000000"/>
            <rFont val="Tahoma"/>
            <family val="2"/>
          </rPr>
          <t>Author:</t>
        </r>
        <r>
          <rPr>
            <sz val="9"/>
            <color rgb="FF000000"/>
            <rFont val="Tahoma"/>
            <family val="2"/>
          </rPr>
          <t xml:space="preserve">
Reference 
DRCW01-ESMV-E01001 SH3
DRCW01-ESEQ-41001 SH1
1272 AAC Conductor 1/ph
Rate per XEL-EVD-Facility Rating Supplement-Table-Bare Overhead Conductor.xls.
Normal summer rating @ 4 ft/s</t>
        </r>
      </text>
    </comment>
    <comment ref="G248" authorId="0" shapeId="0" xr:uid="{00000000-0006-0000-0000-000098010000}">
      <text>
        <r>
          <rPr>
            <b/>
            <sz val="9"/>
            <color rgb="FF000000"/>
            <rFont val="Tahoma"/>
            <family val="2"/>
          </rPr>
          <t>Author:</t>
        </r>
        <r>
          <rPr>
            <sz val="9"/>
            <color rgb="FF000000"/>
            <rFont val="Tahoma"/>
            <family val="2"/>
          </rPr>
          <t xml:space="preserve">
Reference 
DRCW01-ESMV-E01001 SH3
DRCW01-ESEQ-41001 SH1
2" SCH40 Al Tube Bus
Rate per XEL-EVD-Facility Rating Supplement-Table-Tubular and Square Conductor.xls.
Normal summer rating @ 4 ft/s</t>
        </r>
      </text>
    </comment>
    <comment ref="H248" authorId="0" shapeId="0" xr:uid="{00000000-0006-0000-0000-000099010000}">
      <text>
        <r>
          <rPr>
            <b/>
            <sz val="9"/>
            <color rgb="FF000000"/>
            <rFont val="Tahoma"/>
            <family val="2"/>
          </rPr>
          <t>Author:</t>
        </r>
        <r>
          <rPr>
            <sz val="9"/>
            <color rgb="FF000000"/>
            <rFont val="Tahoma"/>
            <family val="2"/>
          </rPr>
          <t xml:space="preserve">
Reference 
DRCW01-ESMV-E01001 SH3
DRCW01-ESEQ-41001 SH1
1272 AAC Conductor 1/ph
Rate per XEL-EVD-Facility Rating Supplement-Table-Bare Overhead Conductor.xls.
Normal summer rating @ 4 ft/s</t>
        </r>
      </text>
    </comment>
    <comment ref="I248" authorId="0" shapeId="0" xr:uid="{00000000-0006-0000-0000-00009A010000}">
      <text>
        <r>
          <rPr>
            <b/>
            <sz val="9"/>
            <color rgb="FF000000"/>
            <rFont val="Tahoma"/>
            <family val="2"/>
          </rPr>
          <t>Author:</t>
        </r>
        <r>
          <rPr>
            <sz val="9"/>
            <color rgb="FF000000"/>
            <rFont val="Tahoma"/>
            <family val="2"/>
          </rPr>
          <t xml:space="preserve">
Reactor Switcher 1152
Reference
DRCW01-ESMV-E01001
SH3</t>
        </r>
      </text>
    </comment>
    <comment ref="J248" authorId="0" shapeId="0" xr:uid="{00000000-0006-0000-0000-00009B010000}">
      <text>
        <r>
          <rPr>
            <b/>
            <sz val="9"/>
            <color rgb="FF000000"/>
            <rFont val="Tahoma"/>
            <family val="2"/>
          </rPr>
          <t>Author:</t>
        </r>
        <r>
          <rPr>
            <sz val="9"/>
            <color rgb="FF000000"/>
            <rFont val="Tahoma"/>
            <family val="2"/>
          </rPr>
          <t xml:space="preserve">
Reference 
DRCW01-ESMV-E01001 SH3
DRCW01-ESEQ-41001 SH1
1272 AAC Conductor 1/ph
Rate per XEL-EVD-Facility Rating Supplement-Table-Bare Overhead Conductor.xls.
Normal summer rating @ 4 ft/s</t>
        </r>
      </text>
    </comment>
    <comment ref="C249" authorId="0" shapeId="0" xr:uid="{00000000-0006-0000-0000-00009C010000}">
      <text>
        <r>
          <rPr>
            <b/>
            <sz val="9"/>
            <color rgb="FF000000"/>
            <rFont val="Tahoma"/>
            <family val="2"/>
          </rPr>
          <t>Author:</t>
        </r>
        <r>
          <rPr>
            <sz val="9"/>
            <color rgb="FF000000"/>
            <rFont val="Tahoma"/>
            <family val="2"/>
          </rPr>
          <t xml:space="preserve">
Reference
DRCW01-ESGA-E01001
SH1</t>
        </r>
      </text>
    </comment>
    <comment ref="F249" authorId="0" shapeId="0" xr:uid="{00000000-0006-0000-0000-00009D010000}">
      <text>
        <r>
          <rPr>
            <b/>
            <sz val="9"/>
            <color rgb="FF000000"/>
            <rFont val="Tahoma"/>
            <family val="2"/>
          </rPr>
          <t>Author:</t>
        </r>
        <r>
          <rPr>
            <sz val="9"/>
            <color rgb="FF000000"/>
            <rFont val="Tahoma"/>
            <family val="2"/>
          </rPr>
          <t xml:space="preserve">
Reference 
DRCW01-ESMV-E01001 SH3
DRCW01-ESEQ-41001 SH1
1272 AAC Conductor 1/ph
Rate per XEL-EVD-Facility Rating Supplement-Table-Bare Overhead Conductor.xls.
Normal summer rating @ 4 ft/s</t>
        </r>
      </text>
    </comment>
    <comment ref="G249" authorId="0" shapeId="0" xr:uid="{00000000-0006-0000-0000-00009E010000}">
      <text>
        <r>
          <rPr>
            <b/>
            <sz val="9"/>
            <color rgb="FF000000"/>
            <rFont val="Tahoma"/>
            <family val="2"/>
          </rPr>
          <t>Author:</t>
        </r>
        <r>
          <rPr>
            <sz val="9"/>
            <color rgb="FF000000"/>
            <rFont val="Tahoma"/>
            <family val="2"/>
          </rPr>
          <t xml:space="preserve">
Reference 
DRCW01-ESMV-E01001 SH3
DRCW01-ESEQ-41001 SH1
2" SCH40 Al Tube Bus
Rate per XEL-EVD-Facility Rating Supplement-Table-Tubular and Square Conductor.xls.
Normal summer rating @ 4 ft/s</t>
        </r>
      </text>
    </comment>
    <comment ref="H249" authorId="0" shapeId="0" xr:uid="{00000000-0006-0000-0000-00009F010000}">
      <text>
        <r>
          <rPr>
            <b/>
            <sz val="9"/>
            <color rgb="FF000000"/>
            <rFont val="Tahoma"/>
            <family val="2"/>
          </rPr>
          <t>Author:</t>
        </r>
        <r>
          <rPr>
            <sz val="9"/>
            <color rgb="FF000000"/>
            <rFont val="Tahoma"/>
            <family val="2"/>
          </rPr>
          <t xml:space="preserve">
Reference 
DRCW01-ESMV-E01001 SH3
DRCW01-ESEQ-41001 SH1
1272 AAC Conductor 1/ph
Rate per XEL-EVD-Facility Rating Supplement-Table-Bare Overhead Conductor.xls.
Normal summer rating @ 4 ft/s</t>
        </r>
      </text>
    </comment>
    <comment ref="I249" authorId="0" shapeId="0" xr:uid="{00000000-0006-0000-0000-0000A0010000}">
      <text>
        <r>
          <rPr>
            <b/>
            <sz val="9"/>
            <color rgb="FF000000"/>
            <rFont val="Tahoma"/>
            <family val="2"/>
          </rPr>
          <t>Author:</t>
        </r>
        <r>
          <rPr>
            <sz val="9"/>
            <color rgb="FF000000"/>
            <rFont val="Tahoma"/>
            <family val="2"/>
          </rPr>
          <t xml:space="preserve">
Reactor Switcher 1251
Reference
DRCW01-ESMV-E01001
SH3</t>
        </r>
      </text>
    </comment>
    <comment ref="J249" authorId="0" shapeId="0" xr:uid="{00000000-0006-0000-0000-0000A1010000}">
      <text>
        <r>
          <rPr>
            <b/>
            <sz val="9"/>
            <color rgb="FF000000"/>
            <rFont val="Tahoma"/>
            <family val="2"/>
          </rPr>
          <t>Author:</t>
        </r>
        <r>
          <rPr>
            <sz val="9"/>
            <color rgb="FF000000"/>
            <rFont val="Tahoma"/>
            <family val="2"/>
          </rPr>
          <t xml:space="preserve">
Reference 
DRCW01-ESMV-E01001 SH3
DRCW01-ESEQ-41001 SH1
1272 AAC Conductor 1/ph
Rate per XEL-EVD-Facility Rating Supplement-Table-Bare Overhead Conductor.xls.
Normal summer rating @ 4 ft/s</t>
        </r>
      </text>
    </comment>
    <comment ref="C250" authorId="0" shapeId="0" xr:uid="{00000000-0006-0000-0000-0000A2010000}">
      <text>
        <r>
          <rPr>
            <b/>
            <sz val="9"/>
            <color indexed="81"/>
            <rFont val="Tahoma"/>
            <family val="2"/>
          </rPr>
          <t>Author:</t>
        </r>
        <r>
          <rPr>
            <sz val="9"/>
            <color indexed="81"/>
            <rFont val="Tahoma"/>
            <family val="2"/>
          </rPr>
          <t xml:space="preserve">
Reference
DRCW02-ESGA-E02001
SH1</t>
        </r>
      </text>
    </comment>
    <comment ref="F250" authorId="0" shapeId="0" xr:uid="{00000000-0006-0000-0000-0000A3010000}">
      <text>
        <r>
          <rPr>
            <b/>
            <sz val="9"/>
            <color rgb="FF000000"/>
            <rFont val="Tahoma"/>
            <family val="2"/>
          </rPr>
          <t>Author:</t>
        </r>
        <r>
          <rPr>
            <sz val="9"/>
            <color rgb="FF000000"/>
            <rFont val="Tahoma"/>
            <family val="2"/>
          </rPr>
          <t xml:space="preserve">
Reference 
DRCW02-ESMV-E02001 SH3
DRCW02-ESEQ-42001 SH1
1272 AAC Conductor 1/ph
Rate per XEL-EVD-Facility Rating Supplement-Table-Bare Overhead Conductor.xls.
Normal summer rating @ 4 ft/s</t>
        </r>
      </text>
    </comment>
    <comment ref="G250" authorId="0" shapeId="0" xr:uid="{00000000-0006-0000-0000-0000A4010000}">
      <text>
        <r>
          <rPr>
            <b/>
            <sz val="9"/>
            <color rgb="FF000000"/>
            <rFont val="Tahoma"/>
            <family val="2"/>
          </rPr>
          <t>Author:</t>
        </r>
        <r>
          <rPr>
            <sz val="9"/>
            <color rgb="FF000000"/>
            <rFont val="Tahoma"/>
            <family val="2"/>
          </rPr>
          <t xml:space="preserve">
Reference 
DRCW02-ESMV-E02001 SH3
DRCW02-ESEQ-42001 SH1
2" SCH40 Al Tube Bus
Rate per XEL-EVD-Facility Rating Supplement-Table-Tubular and Square Conductor.xls.
Normal summer rating @ 4 ft/s</t>
        </r>
      </text>
    </comment>
    <comment ref="H250" authorId="0" shapeId="0" xr:uid="{00000000-0006-0000-0000-0000A5010000}">
      <text>
        <r>
          <rPr>
            <b/>
            <sz val="9"/>
            <color rgb="FF000000"/>
            <rFont val="Tahoma"/>
            <family val="2"/>
          </rPr>
          <t>Author:</t>
        </r>
        <r>
          <rPr>
            <sz val="9"/>
            <color rgb="FF000000"/>
            <rFont val="Tahoma"/>
            <family val="2"/>
          </rPr>
          <t xml:space="preserve">
Reference 
DRCW02-ESMV-E02001 SH3
DRCW02-ESEQ-42001 SH1
1272 AAC Conductor 1/ph
Rate per XEL-EVD-Facility Rating Supplement-Table-Bare Overhead Conductor.xls.
Normal summer rating @ 4 ft/s</t>
        </r>
      </text>
    </comment>
    <comment ref="I250" authorId="0" shapeId="0" xr:uid="{00000000-0006-0000-0000-0000A6010000}">
      <text>
        <r>
          <rPr>
            <b/>
            <sz val="9"/>
            <color rgb="FF000000"/>
            <rFont val="Tahoma"/>
            <family val="2"/>
          </rPr>
          <t>Author:</t>
        </r>
        <r>
          <rPr>
            <sz val="9"/>
            <color rgb="FF000000"/>
            <rFont val="Tahoma"/>
            <family val="2"/>
          </rPr>
          <t xml:space="preserve">
Reactor Switcher 2151
Reference
DRCW02-ESMV-E02001
SH3</t>
        </r>
      </text>
    </comment>
    <comment ref="J250" authorId="0" shapeId="0" xr:uid="{00000000-0006-0000-0000-0000A7010000}">
      <text>
        <r>
          <rPr>
            <b/>
            <sz val="9"/>
            <color rgb="FF000000"/>
            <rFont val="Tahoma"/>
            <family val="2"/>
          </rPr>
          <t>Author:</t>
        </r>
        <r>
          <rPr>
            <sz val="9"/>
            <color rgb="FF000000"/>
            <rFont val="Tahoma"/>
            <family val="2"/>
          </rPr>
          <t xml:space="preserve">
Reference 
DRCW02-ESMV-E02001 SH3
DRCW02-ESEQ-42001 SH1
1272 AAC Conductor 1/ph
Rate per XEL-EVD-Facility Rating Supplement-Table-Bare Overhead Conductor.xls.
Normal summer rating @ 4 ft/s</t>
        </r>
      </text>
    </comment>
    <comment ref="C251" authorId="0" shapeId="0" xr:uid="{00000000-0006-0000-0000-0000A8010000}">
      <text>
        <r>
          <rPr>
            <b/>
            <sz val="9"/>
            <color indexed="81"/>
            <rFont val="Tahoma"/>
            <family val="2"/>
          </rPr>
          <t>Author:</t>
        </r>
        <r>
          <rPr>
            <sz val="9"/>
            <color indexed="81"/>
            <rFont val="Tahoma"/>
            <family val="2"/>
          </rPr>
          <t xml:space="preserve">
Reference
DRCW02-ESGA-E02001
SH1</t>
        </r>
      </text>
    </comment>
    <comment ref="F251" authorId="0" shapeId="0" xr:uid="{00000000-0006-0000-0000-0000A9010000}">
      <text>
        <r>
          <rPr>
            <b/>
            <sz val="9"/>
            <color rgb="FF000000"/>
            <rFont val="Tahoma"/>
            <family val="2"/>
          </rPr>
          <t>Author:</t>
        </r>
        <r>
          <rPr>
            <sz val="9"/>
            <color rgb="FF000000"/>
            <rFont val="Tahoma"/>
            <family val="2"/>
          </rPr>
          <t xml:space="preserve">
Reference 
DRCW02-ESMV-E02001 SH3
DRCW02-ESEQ-42001 SH1
1272 AAC Conductor 1/ph
Rate per XEL-EVD-Facility Rating Supplement-Table-Bare Overhead Conductor.xls.
Normal summer rating @ 4 ft/s</t>
        </r>
      </text>
    </comment>
    <comment ref="G251" authorId="0" shapeId="0" xr:uid="{00000000-0006-0000-0000-0000AA010000}">
      <text>
        <r>
          <rPr>
            <b/>
            <sz val="9"/>
            <color rgb="FF000000"/>
            <rFont val="Tahoma"/>
            <family val="2"/>
          </rPr>
          <t>Author:</t>
        </r>
        <r>
          <rPr>
            <sz val="9"/>
            <color rgb="FF000000"/>
            <rFont val="Tahoma"/>
            <family val="2"/>
          </rPr>
          <t xml:space="preserve">
Reference 
DRCW02-ESMV-E02001 SH3
DRCW02-ESEQ-42001 SH1
2" SCH40 Al Tube Bus
Rate per XEL-EVD-Facility Rating Supplement-Table-Tubular and Square Conductor.xls.
Normal summer rating @ 4 ft/s</t>
        </r>
      </text>
    </comment>
    <comment ref="H251" authorId="0" shapeId="0" xr:uid="{00000000-0006-0000-0000-0000AB010000}">
      <text>
        <r>
          <rPr>
            <b/>
            <sz val="9"/>
            <color rgb="FF000000"/>
            <rFont val="Tahoma"/>
            <family val="2"/>
          </rPr>
          <t>Author:</t>
        </r>
        <r>
          <rPr>
            <sz val="9"/>
            <color rgb="FF000000"/>
            <rFont val="Tahoma"/>
            <family val="2"/>
          </rPr>
          <t xml:space="preserve">
Reference 
DRCW02-ESMV-E02001 SH3
DRCW02-ESEQ-42001 SH1
1272 AAC Conductor 1/ph
Rate per XEL-EVD-Facility Rating Supplement-Table-Bare Overhead Conductor.xls.
Normal summer rating @ 4 ft/s</t>
        </r>
      </text>
    </comment>
    <comment ref="I251" authorId="0" shapeId="0" xr:uid="{00000000-0006-0000-0000-0000AC010000}">
      <text>
        <r>
          <rPr>
            <b/>
            <sz val="9"/>
            <color rgb="FF000000"/>
            <rFont val="Tahoma"/>
            <family val="2"/>
          </rPr>
          <t>Author:</t>
        </r>
        <r>
          <rPr>
            <sz val="9"/>
            <color rgb="FF000000"/>
            <rFont val="Tahoma"/>
            <family val="2"/>
          </rPr>
          <t xml:space="preserve">
Reactor Switcher 2152
Reference
DRCW02-ESMV-E02001
SH3</t>
        </r>
      </text>
    </comment>
    <comment ref="J251" authorId="0" shapeId="0" xr:uid="{00000000-0006-0000-0000-0000AD010000}">
      <text>
        <r>
          <rPr>
            <b/>
            <sz val="9"/>
            <color rgb="FF000000"/>
            <rFont val="Tahoma"/>
            <family val="2"/>
          </rPr>
          <t>Author:</t>
        </r>
        <r>
          <rPr>
            <sz val="9"/>
            <color rgb="FF000000"/>
            <rFont val="Tahoma"/>
            <family val="2"/>
          </rPr>
          <t xml:space="preserve">
Reference 
DRCW02-ESMV-E02001 SH3
DRCW02-ESEQ-42001 SH1
1272 AAC Conductor 1/ph
Rate per XEL-EVD-Facility Rating Supplement-Table-Bare Overhead Conductor.xls.
Normal summer rating @ 4 ft/s</t>
        </r>
      </text>
    </comment>
    <comment ref="F256" authorId="0" shapeId="0" xr:uid="{00000000-0006-0000-0000-0000AE010000}">
      <text>
        <r>
          <rPr>
            <b/>
            <sz val="9"/>
            <color rgb="FF000000"/>
            <rFont val="Tahoma"/>
            <family val="2"/>
          </rPr>
          <t>Author:</t>
        </r>
        <r>
          <rPr>
            <sz val="9"/>
            <color rgb="FF000000"/>
            <rFont val="Tahoma"/>
            <family val="2"/>
          </rPr>
          <t xml:space="preserve">
Reference:
DRCW01-ESMV-E01001SH5
DRCW01-ESEQ-41001 SH1
2.5" SCH40 Al Tube Bus
Rate per XEL-EVD-Facility Rating Supplement-Table-Tubular and Square Conductor.xls.
Normal summer rating @ 4 ft/s
</t>
        </r>
      </text>
    </comment>
    <comment ref="G256" authorId="0" shapeId="0" xr:uid="{00000000-0006-0000-0000-0000AF010000}">
      <text>
        <r>
          <rPr>
            <b/>
            <sz val="9"/>
            <color rgb="FF000000"/>
            <rFont val="Tahoma"/>
            <family val="2"/>
          </rPr>
          <t>Author:</t>
        </r>
        <r>
          <rPr>
            <sz val="9"/>
            <color rgb="FF000000"/>
            <rFont val="Tahoma"/>
            <family val="2"/>
          </rPr>
          <t xml:space="preserve">
Reference 
DRCW01-ESEQ-E71002 SH3
DRCW01-ESEQ-41001 SH1
1272 AAC Conductor 2/ph
Rate per XEL-EVD-Facility Rating Supplement-Table-Bare Overhead Conductor.xls.
Normal summer rating @ 4 ft/s, double conductor, derated
</t>
        </r>
      </text>
    </comment>
    <comment ref="H256" authorId="0" shapeId="0" xr:uid="{00000000-0006-0000-0000-0000B0010000}">
      <text>
        <r>
          <rPr>
            <b/>
            <sz val="9"/>
            <color rgb="FF000000"/>
            <rFont val="Tahoma"/>
            <family val="2"/>
          </rPr>
          <t>Author:</t>
        </r>
        <r>
          <rPr>
            <sz val="9"/>
            <color rgb="FF000000"/>
            <rFont val="Tahoma"/>
            <family val="2"/>
          </rPr>
          <t xml:space="preserve">
Reference:
DRCW01-ESGA-E01001 SH1
DS1150C</t>
        </r>
      </text>
    </comment>
    <comment ref="I256" authorId="0" shapeId="0" xr:uid="{00000000-0006-0000-0000-0000B1010000}">
      <text>
        <r>
          <rPr>
            <b/>
            <sz val="9"/>
            <color rgb="FF000000"/>
            <rFont val="Tahoma"/>
            <family val="2"/>
          </rPr>
          <t>Author:</t>
        </r>
        <r>
          <rPr>
            <sz val="9"/>
            <color rgb="FF000000"/>
            <rFont val="Tahoma"/>
            <family val="2"/>
          </rPr>
          <t xml:space="preserve">
Reference 
DRCW01-ESEQ-E71002 SH3
3-1250MCM Cables
Rate per pg 4 of Rush Creek-1-East Cap Bank Conduit Detail Rev. 1. (for west cap bank). 491A per circuit</t>
        </r>
      </text>
    </comment>
    <comment ref="F257" authorId="0" shapeId="0" xr:uid="{00000000-0006-0000-0000-0000B2010000}">
      <text>
        <r>
          <rPr>
            <b/>
            <sz val="9"/>
            <color rgb="FF000000"/>
            <rFont val="Tahoma"/>
            <family val="2"/>
          </rPr>
          <t>Author:</t>
        </r>
        <r>
          <rPr>
            <sz val="9"/>
            <color rgb="FF000000"/>
            <rFont val="Tahoma"/>
            <family val="2"/>
          </rPr>
          <t xml:space="preserve">
DRCW01-ESMV-E01001SH4
DRCW01-ESEQ-41001 SH1
2.5" SCH40 Al Tube Bus
Rate per XEL-EVD-Facility Rating Supplement-Table-Tubular and Square Conductor.xls.
Normal summer rating @ 4 ft/s</t>
        </r>
      </text>
    </comment>
    <comment ref="G257" authorId="0" shapeId="0" xr:uid="{00000000-0006-0000-0000-0000B3010000}">
      <text>
        <r>
          <rPr>
            <b/>
            <sz val="9"/>
            <color rgb="FF000000"/>
            <rFont val="Tahoma"/>
            <family val="2"/>
          </rPr>
          <t>Author:</t>
        </r>
        <r>
          <rPr>
            <sz val="9"/>
            <color rgb="FF000000"/>
            <rFont val="Tahoma"/>
            <family val="2"/>
          </rPr>
          <t xml:space="preserve">
Reference 
DRCW01-ESEQ-E71002 SH3
DRCW01-ESEQ-41001 SH1
1272 AAC Conductor 2/ph
Rate per XEL-EVD-Facility Rating Supplement-Table-Bare Overhead Conductor.xls.
Normal summer rating @ 4 ft/s, double conductor, derated
</t>
        </r>
      </text>
    </comment>
    <comment ref="H257" authorId="0" shapeId="0" xr:uid="{00000000-0006-0000-0000-0000B4010000}">
      <text>
        <r>
          <rPr>
            <b/>
            <sz val="9"/>
            <color rgb="FF000000"/>
            <rFont val="Tahoma"/>
            <family val="2"/>
          </rPr>
          <t>Author:</t>
        </r>
        <r>
          <rPr>
            <sz val="9"/>
            <color rgb="FF000000"/>
            <rFont val="Tahoma"/>
            <family val="2"/>
          </rPr>
          <t xml:space="preserve">
Reference:
DRCW01-ESGA-E01001 SH1
DS1250C</t>
        </r>
      </text>
    </comment>
    <comment ref="I257" authorId="0" shapeId="0" xr:uid="{00000000-0006-0000-0000-0000B5010000}">
      <text>
        <r>
          <rPr>
            <b/>
            <sz val="9"/>
            <color rgb="FF000000"/>
            <rFont val="Tahoma"/>
            <family val="2"/>
          </rPr>
          <t>Author:</t>
        </r>
        <r>
          <rPr>
            <sz val="9"/>
            <color rgb="FF000000"/>
            <rFont val="Tahoma"/>
            <family val="2"/>
          </rPr>
          <t xml:space="preserve">
Reference 
DRCW01-ESEQ-E71002 SH3
3-1250MCM Cables
Rate per RC1 East Side Cap Bank - Pedestrian Trenwa.xlsx
555.4 Amps per circuit</t>
        </r>
      </text>
    </comment>
    <comment ref="F258" authorId="0" shapeId="0" xr:uid="{00000000-0006-0000-0000-0000B6010000}">
      <text>
        <r>
          <rPr>
            <b/>
            <sz val="9"/>
            <color rgb="FF000000"/>
            <rFont val="Tahoma"/>
            <family val="2"/>
          </rPr>
          <t>Author:</t>
        </r>
        <r>
          <rPr>
            <sz val="9"/>
            <color rgb="FF000000"/>
            <rFont val="Tahoma"/>
            <family val="2"/>
          </rPr>
          <t xml:space="preserve">
Reference 
DRCW01-ESEQ-E71002 SH8
DRCW01-ESEQ-41001 SH1
2" SCH40 Al Tube Bus
Rate per XEL-EVD-Facility Rating Supplement-Table-Tubular and Square Conductor.xls.
Normal summer rating @ 4 ft/s</t>
        </r>
      </text>
    </comment>
    <comment ref="G258" authorId="0" shapeId="0" xr:uid="{00000000-0006-0000-0000-0000B7010000}">
      <text>
        <r>
          <rPr>
            <b/>
            <sz val="9"/>
            <color rgb="FF000000"/>
            <rFont val="Tahoma"/>
            <family val="2"/>
          </rPr>
          <t>Author:</t>
        </r>
        <r>
          <rPr>
            <sz val="9"/>
            <color rgb="FF000000"/>
            <rFont val="Tahoma"/>
            <family val="2"/>
          </rPr>
          <t xml:space="preserve">
Reference 
DRCW01-ESEQ-71002 SH8
DRCW01-ESEQ-41001 SH1
1272 AAC Conductor 1/ph
Rate per XEL-EVD-Facility Rating Supplement-Table-Bare Overhead Conductor.xls.
Normal summer rating @ 4 ft/s</t>
        </r>
      </text>
    </comment>
    <comment ref="H258" authorId="0" shapeId="0" xr:uid="{00000000-0006-0000-0000-0000B8010000}">
      <text>
        <r>
          <rPr>
            <b/>
            <sz val="9"/>
            <color rgb="FF000000"/>
            <rFont val="Tahoma"/>
            <family val="2"/>
          </rPr>
          <t>Author:</t>
        </r>
        <r>
          <rPr>
            <sz val="9"/>
            <color rgb="FF000000"/>
            <rFont val="Tahoma"/>
            <family val="2"/>
          </rPr>
          <t xml:space="preserve">
Reference:
DRCW01-ESGA-E01001 SH1
DS1150R</t>
        </r>
      </text>
    </comment>
    <comment ref="I258" authorId="0" shapeId="0" xr:uid="{00000000-0006-0000-0000-0000B9010000}">
      <text>
        <r>
          <rPr>
            <b/>
            <sz val="9"/>
            <color rgb="FF000000"/>
            <rFont val="Tahoma"/>
            <family val="2"/>
          </rPr>
          <t>Author:</t>
        </r>
        <r>
          <rPr>
            <sz val="9"/>
            <color rgb="FF000000"/>
            <rFont val="Tahoma"/>
            <family val="2"/>
          </rPr>
          <t xml:space="preserve">
Reference:
DRCW01-ESEQ-E71002 SH8
2-1250MCM AL cable
Rate per "Rush Creek In Line Reactors Scenario.xlsx"</t>
        </r>
      </text>
    </comment>
    <comment ref="F259" authorId="0" shapeId="0" xr:uid="{00000000-0006-0000-0000-0000BA010000}">
      <text>
        <r>
          <rPr>
            <b/>
            <sz val="9"/>
            <color rgb="FF000000"/>
            <rFont val="Tahoma"/>
            <family val="2"/>
          </rPr>
          <t>Author:</t>
        </r>
        <r>
          <rPr>
            <sz val="9"/>
            <color rgb="FF000000"/>
            <rFont val="Tahoma"/>
            <family val="2"/>
          </rPr>
          <t xml:space="preserve">
Reference 
DRCW01-ESEQ-E71002 SH3
DRCW01-ESEQ-41001 SH1
2" SCH40 Al Tube Bus
Rate per XEL-EVD-Facility Rating Supplement-Table-Tubular and Square Conductor.xls.
Normal summer rating @ 4 ft/s</t>
        </r>
      </text>
    </comment>
    <comment ref="G259" authorId="0" shapeId="0" xr:uid="{00000000-0006-0000-0000-0000BB010000}">
      <text>
        <r>
          <rPr>
            <b/>
            <sz val="9"/>
            <color rgb="FF000000"/>
            <rFont val="Tahoma"/>
            <family val="2"/>
          </rPr>
          <t>Author:</t>
        </r>
        <r>
          <rPr>
            <sz val="9"/>
            <color rgb="FF000000"/>
            <rFont val="Tahoma"/>
            <family val="2"/>
          </rPr>
          <t xml:space="preserve">
Reference 
DRCW01-ESEQ-71002 SH3
DRCW01-ESEQ-41001 SH1
1272 AAC Conductor 1/ph
Rate per XEL-EVD-Facility Rating Supplement-Table-Bare Overhead Conductor.xls.
Normal summer rating @ 4 ft/s</t>
        </r>
      </text>
    </comment>
    <comment ref="H259" authorId="0" shapeId="0" xr:uid="{00000000-0006-0000-0000-0000BC010000}">
      <text>
        <r>
          <rPr>
            <b/>
            <sz val="9"/>
            <color rgb="FF000000"/>
            <rFont val="Tahoma"/>
            <family val="2"/>
          </rPr>
          <t>Author:</t>
        </r>
        <r>
          <rPr>
            <sz val="9"/>
            <color rgb="FF000000"/>
            <rFont val="Tahoma"/>
            <family val="2"/>
          </rPr>
          <t xml:space="preserve">
Reference:
DRCW01-ESGA-E01001 SH1
DS1250R</t>
        </r>
      </text>
    </comment>
    <comment ref="I259" authorId="0" shapeId="0" xr:uid="{00000000-0006-0000-0000-0000BD010000}">
      <text>
        <r>
          <rPr>
            <b/>
            <sz val="9"/>
            <color rgb="FF000000"/>
            <rFont val="Tahoma"/>
            <family val="2"/>
          </rPr>
          <t>Author:</t>
        </r>
        <r>
          <rPr>
            <sz val="9"/>
            <color rgb="FF000000"/>
            <rFont val="Tahoma"/>
            <family val="2"/>
          </rPr>
          <t xml:space="preserve">
Reference:
DRCW01-ESEQ-E71002 SH3
1-1250MCM AL cable
Rate per "Rush Creek In Line Reactors Scenario.xlsx"</t>
        </r>
      </text>
    </comment>
    <comment ref="F260" authorId="0" shapeId="0" xr:uid="{00000000-0006-0000-0000-0000BE010000}">
      <text>
        <r>
          <rPr>
            <b/>
            <sz val="9"/>
            <color rgb="FF000000"/>
            <rFont val="Tahoma"/>
            <family val="2"/>
          </rPr>
          <t>Author:</t>
        </r>
        <r>
          <rPr>
            <sz val="9"/>
            <color rgb="FF000000"/>
            <rFont val="Tahoma"/>
            <family val="2"/>
          </rPr>
          <t xml:space="preserve">
Reference 
DRCW02-ESEQ-E72002 SH3
DRCW02-ESEQ-42001 SH1
2.5" SCH40 Al Tube Bus
Rate per XEL-EVD-Facility Rating Supplement-Table-Tubular and Square Conductor.xls.
Normal summer rating @ 4 ft/s</t>
        </r>
      </text>
    </comment>
    <comment ref="G260" authorId="0" shapeId="0" xr:uid="{00000000-0006-0000-0000-0000BF010000}">
      <text>
        <r>
          <rPr>
            <b/>
            <sz val="9"/>
            <color rgb="FF000000"/>
            <rFont val="Tahoma"/>
            <family val="2"/>
          </rPr>
          <t>Author:</t>
        </r>
        <r>
          <rPr>
            <sz val="9"/>
            <color rgb="FF000000"/>
            <rFont val="Tahoma"/>
            <family val="2"/>
          </rPr>
          <t xml:space="preserve">
Reference 
DRCW02-ESEQ-E72002 SH3
DRCW02-ESEQ-42001 SH1
1272 AAC Conductor 2/ph
Rate per XEL-EVD-Facility Rating Supplement-Table-Bare Overhead Conductor.xls.
Normal summer rating @ 4 ft/s, double conductor, derated
</t>
        </r>
      </text>
    </comment>
    <comment ref="H260" authorId="0" shapeId="0" xr:uid="{00000000-0006-0000-0000-0000C0010000}">
      <text>
        <r>
          <rPr>
            <b/>
            <sz val="9"/>
            <color rgb="FF000000"/>
            <rFont val="Tahoma"/>
            <family val="2"/>
          </rPr>
          <t>Author:</t>
        </r>
        <r>
          <rPr>
            <sz val="9"/>
            <color rgb="FF000000"/>
            <rFont val="Tahoma"/>
            <family val="2"/>
          </rPr>
          <t xml:space="preserve">
Reference:
DRCW02-ESGA-E02001 SH1
DS2150C</t>
        </r>
      </text>
    </comment>
    <comment ref="I260" authorId="0" shapeId="0" xr:uid="{00000000-0006-0000-0000-0000C1010000}">
      <text>
        <r>
          <rPr>
            <b/>
            <sz val="9"/>
            <color rgb="FF000000"/>
            <rFont val="Tahoma"/>
            <family val="2"/>
          </rPr>
          <t>Author:</t>
        </r>
        <r>
          <rPr>
            <sz val="9"/>
            <color rgb="FF000000"/>
            <rFont val="Tahoma"/>
            <family val="2"/>
          </rPr>
          <t xml:space="preserve">
Reference 
DRCW02-ESEQ-E72002 SH3
3-1250MCM Cables
Rate per RC2 Cap Bank 21 Inches apart.xlsx
381 A per circuit</t>
        </r>
      </text>
    </comment>
    <comment ref="F261" authorId="0" shapeId="0" xr:uid="{00000000-0006-0000-0000-0000C2010000}">
      <text>
        <r>
          <rPr>
            <b/>
            <sz val="9"/>
            <color rgb="FF000000"/>
            <rFont val="Tahoma"/>
            <family val="2"/>
          </rPr>
          <t>Author:</t>
        </r>
        <r>
          <rPr>
            <sz val="9"/>
            <color rgb="FF000000"/>
            <rFont val="Tahoma"/>
            <family val="2"/>
          </rPr>
          <t xml:space="preserve">
Reference 
DRCW02-ESEQ-E72002 SH3
DRCW02-ESEQ-42001 SH1
2" SCH40 Al Tube Bus
Rate per XEL-EVD-Facility Rating Supplement-Table-Tubular and Square Conductor.xls.
Normal summer rating @ 4 ft/s</t>
        </r>
      </text>
    </comment>
    <comment ref="G261" authorId="0" shapeId="0" xr:uid="{00000000-0006-0000-0000-0000C3010000}">
      <text>
        <r>
          <rPr>
            <b/>
            <sz val="9"/>
            <color rgb="FF000000"/>
            <rFont val="Tahoma"/>
            <family val="2"/>
          </rPr>
          <t>Author:</t>
        </r>
        <r>
          <rPr>
            <sz val="9"/>
            <color rgb="FF000000"/>
            <rFont val="Tahoma"/>
            <family val="2"/>
          </rPr>
          <t xml:space="preserve">
Reference 
DRCW02-ESEQ-72002 SH3
DRCW01-ESEQ-41001 SH1
1272 AAC Conductor 1/ph
Rate per XEL-EVD-Facility Rating Supplement-Table-Bare Overhead Conductor.xls.
Normal summer rating @ 4 ft/s</t>
        </r>
      </text>
    </comment>
    <comment ref="H261" authorId="0" shapeId="0" xr:uid="{00000000-0006-0000-0000-0000C4010000}">
      <text>
        <r>
          <rPr>
            <b/>
            <sz val="9"/>
            <color rgb="FF000000"/>
            <rFont val="Tahoma"/>
            <family val="2"/>
          </rPr>
          <t>Author:</t>
        </r>
        <r>
          <rPr>
            <sz val="9"/>
            <color rgb="FF000000"/>
            <rFont val="Tahoma"/>
            <family val="2"/>
          </rPr>
          <t xml:space="preserve">
Reference:
DRCW02-ESGA-E02001 SH1
DS2150R</t>
        </r>
      </text>
    </comment>
    <comment ref="I261" authorId="0" shapeId="0" xr:uid="{00000000-0006-0000-0000-0000C5010000}">
      <text>
        <r>
          <rPr>
            <b/>
            <sz val="9"/>
            <color rgb="FF000000"/>
            <rFont val="Tahoma"/>
            <family val="2"/>
          </rPr>
          <t>Author:</t>
        </r>
        <r>
          <rPr>
            <sz val="9"/>
            <color rgb="FF000000"/>
            <rFont val="Tahoma"/>
            <family val="2"/>
          </rPr>
          <t xml:space="preserve">
Reference 
DRCW02-ESEQ-E72002 SH3
2-1250MCM Cables
Rate per "Rush Creek 2 In Line Reactors.xlsx"
2*403A per circuit</t>
        </r>
      </text>
    </comment>
    <comment ref="F266" authorId="0" shapeId="0" xr:uid="{00000000-0006-0000-0000-0000C6010000}">
      <text>
        <r>
          <rPr>
            <b/>
            <sz val="9"/>
            <color rgb="FF000000"/>
            <rFont val="Tahoma"/>
            <family val="2"/>
          </rPr>
          <t>Author:</t>
        </r>
        <r>
          <rPr>
            <sz val="9"/>
            <color rgb="FF000000"/>
            <rFont val="Tahoma"/>
            <family val="2"/>
          </rPr>
          <t xml:space="preserve">
Reference:
DRCW01-ESMV-E01001SH2
DRCW01-ESEQ-41001 SH1
2.5" SCH40 Al Tube Bus
Rate per XEL-EVD-Facility Rating Supplement-Table-Tubular and Square Conductor.xls.
Normal summer rating @ 4 ft/s</t>
        </r>
      </text>
    </comment>
    <comment ref="G266" authorId="0" shapeId="0" xr:uid="{00000000-0006-0000-0000-0000C7010000}">
      <text>
        <r>
          <rPr>
            <b/>
            <sz val="9"/>
            <color rgb="FF000000"/>
            <rFont val="Tahoma"/>
            <family val="2"/>
          </rPr>
          <t>Author:</t>
        </r>
        <r>
          <rPr>
            <sz val="9"/>
            <color rgb="FF000000"/>
            <rFont val="Tahoma"/>
            <family val="2"/>
          </rPr>
          <t xml:space="preserve">
Reference 
DRCW01-ESMV-E01001 SH2
DRCW01-ESEQ-41001 SH1
1272 AAC Conductor 2/ph
Rate per XEL-EVD-Facility Rating Supplement-Table-Bare Overhead Conductor.xls.
Normal summer rating @ 4 ft/s, double conductor, derated
</t>
        </r>
      </text>
    </comment>
    <comment ref="H266" authorId="0" shapeId="0" xr:uid="{00000000-0006-0000-0000-0000C8010000}">
      <text>
        <r>
          <rPr>
            <b/>
            <sz val="9"/>
            <color rgb="FF000000"/>
            <rFont val="Tahoma"/>
            <family val="2"/>
          </rPr>
          <t>Author:</t>
        </r>
        <r>
          <rPr>
            <sz val="9"/>
            <color rgb="FF000000"/>
            <rFont val="Tahoma"/>
            <family val="2"/>
          </rPr>
          <t xml:space="preserve">
CT on feeder side of breaker
3000/5 amp MRCT at 3000 amp tap.
Reference 
DRCW01-ESPT-E81001 SH2</t>
        </r>
      </text>
    </comment>
    <comment ref="I266" authorId="0" shapeId="0" xr:uid="{00000000-0006-0000-0000-0000C9010000}">
      <text>
        <r>
          <rPr>
            <b/>
            <sz val="9"/>
            <color rgb="FF000000"/>
            <rFont val="Tahoma"/>
            <family val="2"/>
          </rPr>
          <t>Author:</t>
        </r>
        <r>
          <rPr>
            <sz val="9"/>
            <color rgb="FF000000"/>
            <rFont val="Tahoma"/>
            <family val="2"/>
          </rPr>
          <t xml:space="preserve">
Reference:
DRCW01-ESMV-E01001 SH2
VCB1150</t>
        </r>
      </text>
    </comment>
    <comment ref="J266" authorId="0" shapeId="0" xr:uid="{00000000-0006-0000-0000-0000CA010000}">
      <text>
        <r>
          <rPr>
            <b/>
            <sz val="9"/>
            <color rgb="FF000000"/>
            <rFont val="Tahoma"/>
            <family val="2"/>
          </rPr>
          <t>Author:</t>
        </r>
        <r>
          <rPr>
            <sz val="9"/>
            <color rgb="FF000000"/>
            <rFont val="Tahoma"/>
            <family val="2"/>
          </rPr>
          <t xml:space="preserve">
CT on bus side of feeder breaker
3000/5 amp MRCT at 3000 amp tap.
Reference 
DRCW01-ESPT-E81001 SH2</t>
        </r>
      </text>
    </comment>
    <comment ref="K266" authorId="0" shapeId="0" xr:uid="{00000000-0006-0000-0000-0000CB010000}">
      <text>
        <r>
          <rPr>
            <b/>
            <sz val="9"/>
            <color rgb="FF000000"/>
            <rFont val="Tahoma"/>
            <family val="2"/>
          </rPr>
          <t>Author:</t>
        </r>
        <r>
          <rPr>
            <sz val="9"/>
            <color rgb="FF000000"/>
            <rFont val="Tahoma"/>
            <family val="2"/>
          </rPr>
          <t xml:space="preserve">
Reference 
DRCW01-ESEQ-E71002 SH1
DRCW01-ESEQ-41001 SH1
1272 AAC Conductor 2/ph
Rate per XEL-EVD-Facility Rating Supplement-Table-Bare Overhead Conductor.xls.
Normal summer rating @ 4 ft/s, double conductor, derated
</t>
        </r>
      </text>
    </comment>
    <comment ref="L266" authorId="0" shapeId="0" xr:uid="{00000000-0006-0000-0000-0000CC010000}">
      <text>
        <r>
          <rPr>
            <b/>
            <sz val="9"/>
            <color rgb="FF000000"/>
            <rFont val="Tahoma"/>
            <family val="2"/>
          </rPr>
          <t>Author:</t>
        </r>
        <r>
          <rPr>
            <sz val="9"/>
            <color rgb="FF000000"/>
            <rFont val="Tahoma"/>
            <family val="2"/>
          </rPr>
          <t xml:space="preserve">
Reference:
DRCW01-ESMV-E01001 SH2
DS1150M</t>
        </r>
      </text>
    </comment>
    <comment ref="M266" authorId="0" shapeId="0" xr:uid="{00000000-0006-0000-0000-0000CD010000}">
      <text>
        <r>
          <rPr>
            <b/>
            <sz val="9"/>
            <color rgb="FF000000"/>
            <rFont val="Tahoma"/>
            <family val="2"/>
          </rPr>
          <t>Author:</t>
        </r>
        <r>
          <rPr>
            <sz val="9"/>
            <color rgb="FF000000"/>
            <rFont val="Tahoma"/>
            <family val="2"/>
          </rPr>
          <t xml:space="preserve">
Reference 
DRCW01-ESEQ-E71002 SH1
DRCW01-ESEQ-41001 SH1
1272 AAC Conductor 2/ph
Rate per XEL-EVD-Facility Rating Supplement-Table-Bare Overhead Conductor.xls.
Normal summer rating @ 4 ft/s, double conductor, derated
</t>
        </r>
      </text>
    </comment>
    <comment ref="N266" authorId="0" shapeId="0" xr:uid="{00000000-0006-0000-0000-0000CE010000}">
      <text>
        <r>
          <rPr>
            <b/>
            <sz val="9"/>
            <color rgb="FF000000"/>
            <rFont val="Tahoma"/>
            <family val="2"/>
          </rPr>
          <t>Author:</t>
        </r>
        <r>
          <rPr>
            <sz val="9"/>
            <color rgb="FF000000"/>
            <rFont val="Tahoma"/>
            <family val="2"/>
          </rPr>
          <t xml:space="preserve">
50 Element PU: 2000A
51 Element PU: 1471</t>
        </r>
      </text>
    </comment>
    <comment ref="F267" authorId="0" shapeId="0" xr:uid="{00000000-0006-0000-0000-0000CF010000}">
      <text>
        <r>
          <rPr>
            <b/>
            <sz val="9"/>
            <color rgb="FF000000"/>
            <rFont val="Tahoma"/>
            <family val="2"/>
          </rPr>
          <t>Author:</t>
        </r>
        <r>
          <rPr>
            <sz val="9"/>
            <color rgb="FF000000"/>
            <rFont val="Tahoma"/>
            <family val="2"/>
          </rPr>
          <t xml:space="preserve">
Reference:
DRCW01-ESMV-E01001SH2
DRCW01-ESEQ-41001 SH1
2.5" SCH40 Al Tube Bus
Rate per XEL-EVD-Facility Rating Supplement-Table-Tubular and Square Conductor.xls.
Normal summer rating @ 4 ft/s</t>
        </r>
      </text>
    </comment>
    <comment ref="G267" authorId="0" shapeId="0" xr:uid="{00000000-0006-0000-0000-0000D0010000}">
      <text>
        <r>
          <rPr>
            <b/>
            <sz val="9"/>
            <color rgb="FF000000"/>
            <rFont val="Tahoma"/>
            <family val="2"/>
          </rPr>
          <t>Author:</t>
        </r>
        <r>
          <rPr>
            <sz val="9"/>
            <color rgb="FF000000"/>
            <rFont val="Tahoma"/>
            <family val="2"/>
          </rPr>
          <t xml:space="preserve">
Reference 
DRCW01-ESMV-E01001 SH2
DRCW01-ESEQ-41001 SH1
1272 AAC Conductor 2/ph
Rate per XEL-EVD-Facility Rating Supplement-Table-Bare Overhead Conductor.xls.
Normal summer rating @ 4 ft/s, double conductor, derated
</t>
        </r>
      </text>
    </comment>
    <comment ref="H267" authorId="0" shapeId="0" xr:uid="{00000000-0006-0000-0000-0000D1010000}">
      <text>
        <r>
          <rPr>
            <b/>
            <sz val="9"/>
            <color rgb="FF000000"/>
            <rFont val="Tahoma"/>
            <family val="2"/>
          </rPr>
          <t>Author:</t>
        </r>
        <r>
          <rPr>
            <sz val="9"/>
            <color rgb="FF000000"/>
            <rFont val="Tahoma"/>
            <family val="2"/>
          </rPr>
          <t xml:space="preserve">
CT on feeder side of breaker
3000/5 amp MRCT at 3000 amp tap.
Reference 
DRCW01-ESPT-E81001 SH3</t>
        </r>
      </text>
    </comment>
    <comment ref="I267" authorId="0" shapeId="0" xr:uid="{00000000-0006-0000-0000-0000D2010000}">
      <text>
        <r>
          <rPr>
            <b/>
            <sz val="9"/>
            <color rgb="FF000000"/>
            <rFont val="Tahoma"/>
            <family val="2"/>
          </rPr>
          <t>Author:</t>
        </r>
        <r>
          <rPr>
            <sz val="9"/>
            <color rgb="FF000000"/>
            <rFont val="Tahoma"/>
            <family val="2"/>
          </rPr>
          <t xml:space="preserve">
Reference:
DRCW01-ESMV-E01001 SH2
VCB1150</t>
        </r>
      </text>
    </comment>
    <comment ref="J267" authorId="0" shapeId="0" xr:uid="{00000000-0006-0000-0000-0000D3010000}">
      <text>
        <r>
          <rPr>
            <b/>
            <sz val="9"/>
            <color rgb="FF000000"/>
            <rFont val="Tahoma"/>
            <family val="2"/>
          </rPr>
          <t>Author:</t>
        </r>
        <r>
          <rPr>
            <sz val="9"/>
            <color rgb="FF000000"/>
            <rFont val="Tahoma"/>
            <family val="2"/>
          </rPr>
          <t xml:space="preserve">
CT on bus side of feeder breaker
3000/5 amp MRCT at 3000 amp tap.
Reference 
DRCW01-ESPT-E81001 SH3</t>
        </r>
      </text>
    </comment>
    <comment ref="K267" authorId="0" shapeId="0" xr:uid="{00000000-0006-0000-0000-0000D4010000}">
      <text>
        <r>
          <rPr>
            <b/>
            <sz val="9"/>
            <color rgb="FF000000"/>
            <rFont val="Tahoma"/>
            <family val="2"/>
          </rPr>
          <t>Author:</t>
        </r>
        <r>
          <rPr>
            <sz val="9"/>
            <color rgb="FF000000"/>
            <rFont val="Tahoma"/>
            <family val="2"/>
          </rPr>
          <t xml:space="preserve">
Reference 
DRCW01-ESEQ-E71002 SH1
DRCW01-ESEQ-41001 SH1
1272 AAC Conductor 2/ph
Rate per XEL-EVD-Facility Rating Supplement-Table-Bare Overhead Conductor.xls.
Normal summer rating @ 4 ft/s, double conductor, derated
</t>
        </r>
      </text>
    </comment>
    <comment ref="L267" authorId="0" shapeId="0" xr:uid="{00000000-0006-0000-0000-0000D5010000}">
      <text>
        <r>
          <rPr>
            <b/>
            <sz val="9"/>
            <color rgb="FF000000"/>
            <rFont val="Tahoma"/>
            <family val="2"/>
          </rPr>
          <t>Author:</t>
        </r>
        <r>
          <rPr>
            <sz val="9"/>
            <color rgb="FF000000"/>
            <rFont val="Tahoma"/>
            <family val="2"/>
          </rPr>
          <t xml:space="preserve">
Reference:
DRCW01-ESMV-E01001 SH2
DS1250M</t>
        </r>
      </text>
    </comment>
    <comment ref="M267" authorId="0" shapeId="0" xr:uid="{00000000-0006-0000-0000-0000D6010000}">
      <text>
        <r>
          <rPr>
            <b/>
            <sz val="9"/>
            <color rgb="FF000000"/>
            <rFont val="Tahoma"/>
            <family val="2"/>
          </rPr>
          <t>Author:</t>
        </r>
        <r>
          <rPr>
            <sz val="9"/>
            <color rgb="FF000000"/>
            <rFont val="Tahoma"/>
            <family val="2"/>
          </rPr>
          <t xml:space="preserve">
Reference 
DRCW01-ESEQ-E71002 SH1
DRCW01-ESEQ-41001 SH1
1272 AAC Conductor 2/ph
Rate per XEL-EVD-Facility Rating Supplement-Table-Bare Overhead Conductor.xls.
Normal summer rating @ 4 ft/s, double conductor, derated
</t>
        </r>
      </text>
    </comment>
    <comment ref="N267" authorId="0" shapeId="0" xr:uid="{00000000-0006-0000-0000-0000D7010000}">
      <text>
        <r>
          <rPr>
            <b/>
            <sz val="9"/>
            <color rgb="FF000000"/>
            <rFont val="Tahoma"/>
            <family val="2"/>
          </rPr>
          <t>Author:</t>
        </r>
        <r>
          <rPr>
            <sz val="9"/>
            <color rgb="FF000000"/>
            <rFont val="Tahoma"/>
            <family val="2"/>
          </rPr>
          <t xml:space="preserve">
50 Element PU: 2000A
51 Element PU: 1471</t>
        </r>
      </text>
    </comment>
    <comment ref="F268" authorId="0" shapeId="0" xr:uid="{00000000-0006-0000-0000-0000D8010000}">
      <text>
        <r>
          <rPr>
            <b/>
            <sz val="9"/>
            <color rgb="FF000000"/>
            <rFont val="Tahoma"/>
            <family val="2"/>
          </rPr>
          <t>Author:</t>
        </r>
        <r>
          <rPr>
            <sz val="9"/>
            <color rgb="FF000000"/>
            <rFont val="Tahoma"/>
            <family val="2"/>
          </rPr>
          <t xml:space="preserve">
Reference:
DRCW02-ESMV-E02001SH2
DRCW02-ESEQ-42001 SH1
2.5" SCH40 Al Tube Bus
Rate per XEL-EVD-Facility Rating Supplement-Table-Tubular and Square Conductor.xls.
Normal summer rating @ 4 ft/s</t>
        </r>
      </text>
    </comment>
    <comment ref="G268" authorId="0" shapeId="0" xr:uid="{00000000-0006-0000-0000-0000D9010000}">
      <text>
        <r>
          <rPr>
            <b/>
            <sz val="9"/>
            <color rgb="FF000000"/>
            <rFont val="Tahoma"/>
            <family val="2"/>
          </rPr>
          <t>Author:</t>
        </r>
        <r>
          <rPr>
            <sz val="9"/>
            <color rgb="FF000000"/>
            <rFont val="Tahoma"/>
            <family val="2"/>
          </rPr>
          <t xml:space="preserve">
Reference 
DRCW02-ESMV-E02001 SH2
DRCW02-ESEQ-42001 SH1
1272 AAC Conductor 2/ph
Rate per XEL-EVD-Facility Rating Supplement-Table-Bare Overhead Conductor.xls.
Normal summer rating @ 4 ft/s, double conductor, derated
</t>
        </r>
      </text>
    </comment>
    <comment ref="H268" authorId="0" shapeId="0" xr:uid="{00000000-0006-0000-0000-0000DA010000}">
      <text>
        <r>
          <rPr>
            <b/>
            <sz val="9"/>
            <color rgb="FF000000"/>
            <rFont val="Tahoma"/>
            <family val="2"/>
          </rPr>
          <t>Author:</t>
        </r>
        <r>
          <rPr>
            <sz val="9"/>
            <color rgb="FF000000"/>
            <rFont val="Tahoma"/>
            <family val="2"/>
          </rPr>
          <t xml:space="preserve">
CT on feeder side of breaker
3000/5 amp MRCT at 3000 amp tap.
Reference 
DRCW02-ESPT-E82001 SH2</t>
        </r>
      </text>
    </comment>
    <comment ref="I268" authorId="0" shapeId="0" xr:uid="{00000000-0006-0000-0000-0000DB010000}">
      <text>
        <r>
          <rPr>
            <b/>
            <sz val="9"/>
            <color rgb="FF000000"/>
            <rFont val="Tahoma"/>
            <family val="2"/>
          </rPr>
          <t>Author:</t>
        </r>
        <r>
          <rPr>
            <sz val="9"/>
            <color rgb="FF000000"/>
            <rFont val="Tahoma"/>
            <family val="2"/>
          </rPr>
          <t xml:space="preserve">
Reference:
DRCW02-ESMV-E02001 SH2
VCB2150</t>
        </r>
      </text>
    </comment>
    <comment ref="J268" authorId="0" shapeId="0" xr:uid="{00000000-0006-0000-0000-0000DC010000}">
      <text>
        <r>
          <rPr>
            <b/>
            <sz val="9"/>
            <color rgb="FF000000"/>
            <rFont val="Tahoma"/>
            <family val="2"/>
          </rPr>
          <t>Author:</t>
        </r>
        <r>
          <rPr>
            <sz val="9"/>
            <color rgb="FF000000"/>
            <rFont val="Tahoma"/>
            <family val="2"/>
          </rPr>
          <t xml:space="preserve">
CT on feeder side of breaker
3000/5 amp MRCT at 3000 amp tap.
Reference 
DRCW02-ESPT-E82001 SH2</t>
        </r>
      </text>
    </comment>
    <comment ref="K268" authorId="0" shapeId="0" xr:uid="{00000000-0006-0000-0000-0000DD010000}">
      <text>
        <r>
          <rPr>
            <b/>
            <sz val="9"/>
            <color rgb="FF000000"/>
            <rFont val="Tahoma"/>
            <family val="2"/>
          </rPr>
          <t>Author:</t>
        </r>
        <r>
          <rPr>
            <sz val="9"/>
            <color rgb="FF000000"/>
            <rFont val="Tahoma"/>
            <family val="2"/>
          </rPr>
          <t xml:space="preserve">
Reference 
DRCW02-ESEQ-E72002 SH1
DRCW02-ESEQ-42001 SH1
1272 AAC Conductor 2/ph
Rate per XEL-EVD-Facility Rating Supplement-Table-Bare Overhead Conductor.xls.
Normal summer rating @ 4 ft/s, double conductor, derated
</t>
        </r>
      </text>
    </comment>
    <comment ref="L268" authorId="0" shapeId="0" xr:uid="{00000000-0006-0000-0000-0000DE010000}">
      <text>
        <r>
          <rPr>
            <b/>
            <sz val="9"/>
            <color rgb="FF000000"/>
            <rFont val="Tahoma"/>
            <family val="2"/>
          </rPr>
          <t>Author:</t>
        </r>
        <r>
          <rPr>
            <sz val="9"/>
            <color rgb="FF000000"/>
            <rFont val="Tahoma"/>
            <family val="2"/>
          </rPr>
          <t xml:space="preserve">
Reference:
DRCW02-ESMV-E02001 SH2
DS2150M</t>
        </r>
      </text>
    </comment>
    <comment ref="M268" authorId="0" shapeId="0" xr:uid="{00000000-0006-0000-0000-0000DF010000}">
      <text>
        <r>
          <rPr>
            <b/>
            <sz val="9"/>
            <color rgb="FF000000"/>
            <rFont val="Tahoma"/>
            <family val="2"/>
          </rPr>
          <t>Author:</t>
        </r>
        <r>
          <rPr>
            <sz val="9"/>
            <color rgb="FF000000"/>
            <rFont val="Tahoma"/>
            <family val="2"/>
          </rPr>
          <t xml:space="preserve">
Reference 
DRCW02-ESEQ-E72002 SH1
DRCW02-ESEQ-42001 SH1
1272 AAC Conductor 2/ph
Rate per XEL-EVD-Facility Rating Supplement-Table-Bare Overhead Conductor.xls.
Normal summer rating @ 4 ft/s, double conductor, derated
</t>
        </r>
      </text>
    </comment>
    <comment ref="N268" authorId="0" shapeId="0" xr:uid="{00000000-0006-0000-0000-0000E0010000}">
      <text>
        <r>
          <rPr>
            <b/>
            <sz val="9"/>
            <color indexed="81"/>
            <rFont val="Tahoma"/>
            <family val="2"/>
          </rPr>
          <t>Author:</t>
        </r>
        <r>
          <rPr>
            <sz val="9"/>
            <color indexed="81"/>
            <rFont val="Tahoma"/>
            <family val="2"/>
          </rPr>
          <t xml:space="preserve">
50 Element PU: 2560A
51 Element PU: 1230A</t>
        </r>
      </text>
    </comment>
    <comment ref="C273" authorId="0" shapeId="0" xr:uid="{00000000-0006-0000-0000-0000E1010000}">
      <text>
        <r>
          <rPr>
            <b/>
            <sz val="9"/>
            <color indexed="81"/>
            <rFont val="Tahoma"/>
            <family val="2"/>
          </rPr>
          <t>Author:</t>
        </r>
        <r>
          <rPr>
            <sz val="9"/>
            <color indexed="81"/>
            <rFont val="Tahoma"/>
            <family val="2"/>
          </rPr>
          <t xml:space="preserve">
Includes feeders 1101-1104 and MVAR from 1150. Evaluates the largest MVA from capacitive or inductive contributions (turbines and caps/reactors included)
</t>
        </r>
      </text>
    </comment>
    <comment ref="F273" authorId="0" shapeId="0" xr:uid="{00000000-0006-0000-0000-0000E2010000}">
      <text>
        <r>
          <rPr>
            <b/>
            <sz val="9"/>
            <color rgb="FF000000"/>
            <rFont val="Tahoma"/>
            <family val="2"/>
          </rPr>
          <t>Author:</t>
        </r>
        <r>
          <rPr>
            <sz val="9"/>
            <color rgb="FF000000"/>
            <rFont val="Tahoma"/>
            <family val="2"/>
          </rPr>
          <t xml:space="preserve">
Reference:
DRCW01-ESMV-E01001 SH2
DRCW01-ESEQ-41001 SH1
6" SCH80 Al Tube Bus
Rate per XEL-EVD-Facility Rating Supplement-Table-Tubular and Square Conductor.xls.
Normal summer rating @ 4 ft/s</t>
        </r>
      </text>
    </comment>
    <comment ref="G273" authorId="0" shapeId="0" xr:uid="{00000000-0006-0000-0000-0000E3010000}">
      <text>
        <r>
          <rPr>
            <b/>
            <sz val="9"/>
            <color rgb="FF000000"/>
            <rFont val="Tahoma"/>
            <family val="2"/>
          </rPr>
          <t>Author:</t>
        </r>
        <r>
          <rPr>
            <sz val="9"/>
            <color rgb="FF000000"/>
            <rFont val="Tahoma"/>
            <family val="2"/>
          </rPr>
          <t xml:space="preserve">
Reference 
DRCW01-ESMV-E01001 SH1
DRCW01-ESEQ-41001 SH1
2000 AAC Conductor 4/ph
8" spacing
Rate per XEL-EVD-Facility Rating Supplement-Table-Bare Overhead Conductor.xls.
Normal summer rating @ 4 ft/s, quadruple conductor</t>
        </r>
      </text>
    </comment>
    <comment ref="H273" authorId="0" shapeId="0" xr:uid="{00000000-0006-0000-0000-0000E4010000}">
      <text>
        <r>
          <rPr>
            <b/>
            <sz val="9"/>
            <color rgb="FF000000"/>
            <rFont val="Tahoma"/>
            <family val="2"/>
          </rPr>
          <t>Author:</t>
        </r>
        <r>
          <rPr>
            <sz val="9"/>
            <color rgb="FF000000"/>
            <rFont val="Tahoma"/>
            <family val="2"/>
          </rPr>
          <t xml:space="preserve">
Reference:
DRCW01-ESMV-E01001 SH2
DRCW01-ESEQ-41001 SH1
6" SCH80 Al Tube Bus
Rate per XEL-EVD-Facility Rating Supplement-Table-Tubular and Square Conductor.xls.
Normal summer rating @ 4 ft/s</t>
        </r>
      </text>
    </comment>
    <comment ref="I273" authorId="0" shapeId="0" xr:uid="{00000000-0006-0000-0000-0000E5010000}">
      <text>
        <r>
          <rPr>
            <b/>
            <sz val="9"/>
            <color rgb="FF000000"/>
            <rFont val="Tahoma"/>
            <family val="2"/>
          </rPr>
          <t>Author:</t>
        </r>
        <r>
          <rPr>
            <sz val="9"/>
            <color rgb="FF000000"/>
            <rFont val="Tahoma"/>
            <family val="2"/>
          </rPr>
          <t xml:space="preserve">
DS1100M
Reference:
DRCW01-ESMV-E01001</t>
        </r>
      </text>
    </comment>
    <comment ref="J273" authorId="0" shapeId="0" xr:uid="{00000000-0006-0000-0000-0000E6010000}">
      <text>
        <r>
          <rPr>
            <b/>
            <sz val="9"/>
            <color rgb="FF000000"/>
            <rFont val="Tahoma"/>
            <family val="2"/>
          </rPr>
          <t>Author:</t>
        </r>
        <r>
          <rPr>
            <sz val="9"/>
            <color rgb="FF000000"/>
            <rFont val="Tahoma"/>
            <family val="2"/>
          </rPr>
          <t xml:space="preserve">
Reference:
DRCW01-ESPT-E81001 SH1
GIFD36-13.00.PDF
Metering CTs on GSU side of 1100M switch.
1500/5 CT with Rating Factor = 3.0
</t>
        </r>
      </text>
    </comment>
    <comment ref="K273" authorId="0" shapeId="0" xr:uid="{00000000-0006-0000-0000-0000E7010000}">
      <text>
        <r>
          <rPr>
            <b/>
            <sz val="9"/>
            <color rgb="FF000000"/>
            <rFont val="Tahoma"/>
            <family val="2"/>
          </rPr>
          <t>Author:</t>
        </r>
        <r>
          <rPr>
            <sz val="9"/>
            <color rgb="FF000000"/>
            <rFont val="Tahoma"/>
            <family val="2"/>
          </rPr>
          <t xml:space="preserve">
Reference 
DRCW01-ESMV-E01001 SH1
DRCW01-ESEQ-41001 SH1
2000 AAC Conductor 4/ph
8" spacing
Rate per XEL-EVD-Facility Rating Supplement-Table-Bare Overhead Conductor.xls.
Normal summer rating @ 4 ft/s, quadruple conductor</t>
        </r>
      </text>
    </comment>
    <comment ref="L273" authorId="0" shapeId="0" xr:uid="{00000000-0006-0000-0000-0000E8010000}">
      <text>
        <r>
          <rPr>
            <b/>
            <sz val="9"/>
            <color rgb="FF000000"/>
            <rFont val="Tahoma"/>
            <family val="2"/>
          </rPr>
          <t>Author:</t>
        </r>
        <r>
          <rPr>
            <sz val="9"/>
            <color rgb="FF000000"/>
            <rFont val="Tahoma"/>
            <family val="2"/>
          </rPr>
          <t xml:space="preserve">
Reference:
DRCW01-ESPT-E81001
MPT BCT Name Plate
3000/5 CTs with TRF = 2.0</t>
        </r>
      </text>
    </comment>
    <comment ref="R273" authorId="0" shapeId="0" xr:uid="{00000000-0006-0000-0000-0000E9010000}">
      <text>
        <r>
          <rPr>
            <b/>
            <sz val="9"/>
            <color indexed="81"/>
            <rFont val="Tahoma"/>
            <family val="2"/>
          </rPr>
          <t>Author:</t>
        </r>
        <r>
          <rPr>
            <sz val="9"/>
            <color indexed="81"/>
            <rFont val="Tahoma"/>
            <family val="2"/>
          </rPr>
          <t xml:space="preserve">
Reference:
DRCW01-ESPT-E81001
MPT BCT Name Plate
400/5 CTs with TRF = 2.</t>
        </r>
      </text>
    </comment>
    <comment ref="T273" authorId="0" shapeId="0" xr:uid="{00000000-0006-0000-0000-0000EA010000}">
      <text>
        <r>
          <rPr>
            <b/>
            <sz val="9"/>
            <color rgb="FF000000"/>
            <rFont val="Tahoma"/>
            <family val="2"/>
          </rPr>
          <t>Author:</t>
        </r>
        <r>
          <rPr>
            <sz val="9"/>
            <color rgb="FF000000"/>
            <rFont val="Tahoma"/>
            <family val="2"/>
          </rPr>
          <t xml:space="preserve">
Reference:
DRCW01-ESHV-E01001 SH1
(2) 954 AAC Magnolia 8" spacing
Value from Transmission's XEL-EVD-Facility Rating Supplement Table - Bare Overhead Conductor. @4ft per second and normal summer rating.
</t>
        </r>
      </text>
    </comment>
    <comment ref="V273" authorId="0" shapeId="0" xr:uid="{00000000-0006-0000-0000-0000EB010000}">
      <text>
        <r>
          <rPr>
            <b/>
            <sz val="9"/>
            <color rgb="FF000000"/>
            <rFont val="Tahoma"/>
            <family val="2"/>
          </rPr>
          <t>Author:</t>
        </r>
        <r>
          <rPr>
            <sz val="9"/>
            <color rgb="FF000000"/>
            <rFont val="Tahoma"/>
            <family val="2"/>
          </rPr>
          <t xml:space="preserve">
Reference:
DRCW01-ESHV-E01001 SH1
5" Al Tube, sch40
Value from Transmission's XEL-EVD-Facility Rating Supplement Table - Tubular and square conductor. @4ft per second and normal summer rating</t>
        </r>
      </text>
    </comment>
    <comment ref="X273" authorId="0" shapeId="0" xr:uid="{00000000-0006-0000-0000-0000EC010000}">
      <text>
        <r>
          <rPr>
            <b/>
            <sz val="9"/>
            <color rgb="FF000000"/>
            <rFont val="Tahoma"/>
            <family val="2"/>
          </rPr>
          <t>Author:</t>
        </r>
        <r>
          <rPr>
            <sz val="9"/>
            <color rgb="FF000000"/>
            <rFont val="Tahoma"/>
            <family val="2"/>
          </rPr>
          <t xml:space="preserve">
Reference:
DRCW01-ESHV-E01001 SH1
(2) 954 AAC Magnolia 8" spacing
Value from Transmission's XEL-EVD-Facility Rating Supplement Table - Bare Overhead Conductor. @4ft per second and normal summer rating.</t>
        </r>
      </text>
    </comment>
    <comment ref="Z273" authorId="0" shapeId="0" xr:uid="{00000000-0006-0000-0000-0000ED010000}">
      <text>
        <r>
          <rPr>
            <b/>
            <sz val="9"/>
            <color rgb="FF000000"/>
            <rFont val="Tahoma"/>
            <family val="2"/>
          </rPr>
          <t>Brady Nunn:</t>
        </r>
        <r>
          <rPr>
            <sz val="9"/>
            <color rgb="FF000000"/>
            <rFont val="Tahoma"/>
            <family val="2"/>
          </rPr>
          <t xml:space="preserve">
Reference:
DRCW01-ESPT-E81001 SH1
</t>
        </r>
      </text>
    </comment>
    <comment ref="AB273" authorId="0" shapeId="0" xr:uid="{00000000-0006-0000-0000-0000EE010000}">
      <text>
        <r>
          <rPr>
            <b/>
            <sz val="9"/>
            <color indexed="81"/>
            <rFont val="Tahoma"/>
            <family val="2"/>
          </rPr>
          <t>Author:</t>
        </r>
        <r>
          <rPr>
            <sz val="9"/>
            <color indexed="81"/>
            <rFont val="Tahoma"/>
            <family val="2"/>
          </rPr>
          <t xml:space="preserve">
Reference:
DRCW01-ESHV-E01001 SH1</t>
        </r>
      </text>
    </comment>
    <comment ref="AD273" authorId="0" shapeId="0" xr:uid="{00000000-0006-0000-0000-0000EF010000}">
      <text>
        <r>
          <rPr>
            <b/>
            <sz val="9"/>
            <color rgb="FF000000"/>
            <rFont val="Tahoma"/>
            <family val="2"/>
          </rPr>
          <t>Brady Nunn:</t>
        </r>
        <r>
          <rPr>
            <sz val="9"/>
            <color rgb="FF000000"/>
            <rFont val="Tahoma"/>
            <family val="2"/>
          </rPr>
          <t xml:space="preserve">
Reference:
DRCW01-ESPT-E81001 SH1
</t>
        </r>
      </text>
    </comment>
    <comment ref="AF273" authorId="0" shapeId="0" xr:uid="{00000000-0006-0000-0000-0000F0010000}">
      <text>
        <r>
          <rPr>
            <b/>
            <sz val="9"/>
            <color rgb="FF000000"/>
            <rFont val="Tahoma"/>
            <family val="2"/>
          </rPr>
          <t>Author:</t>
        </r>
        <r>
          <rPr>
            <sz val="9"/>
            <color rgb="FF000000"/>
            <rFont val="Tahoma"/>
            <family val="2"/>
          </rPr>
          <t xml:space="preserve">
Reference:
DRCW01-ESHV-E01001 SH1
(2) 954 AAC Magnolia 8" spacing
Value from Transmission's XEL-EVD-Facility Rating Supplement Table - Bare Overhead Conductor. @4ft per second and normal summer rating.</t>
        </r>
      </text>
    </comment>
    <comment ref="AH273" authorId="0" shapeId="0" xr:uid="{00000000-0006-0000-0000-0000F1010000}">
      <text>
        <r>
          <rPr>
            <b/>
            <sz val="9"/>
            <color indexed="81"/>
            <rFont val="Tahoma"/>
            <family val="2"/>
          </rPr>
          <t>Author:</t>
        </r>
        <r>
          <rPr>
            <sz val="9"/>
            <color indexed="81"/>
            <rFont val="Tahoma"/>
            <family val="2"/>
          </rPr>
          <t xml:space="preserve">
Reference:
DRCW01-ESHV-E01001 SH1</t>
        </r>
      </text>
    </comment>
    <comment ref="AS273" authorId="0" shapeId="0" xr:uid="{00000000-0006-0000-0000-0000F2010000}">
      <text>
        <r>
          <rPr>
            <b/>
            <sz val="9"/>
            <color rgb="FF000000"/>
            <rFont val="Tahoma"/>
            <family val="2"/>
          </rPr>
          <t>Author:</t>
        </r>
        <r>
          <rPr>
            <sz val="9"/>
            <color rgb="FF000000"/>
            <rFont val="Tahoma"/>
            <family val="2"/>
          </rPr>
          <t xml:space="preserve">
51 PU set at 706 A Primary (HS)</t>
        </r>
      </text>
    </comment>
    <comment ref="C274" authorId="0" shapeId="0" xr:uid="{00000000-0006-0000-0000-0000F3010000}">
      <text>
        <r>
          <rPr>
            <b/>
            <sz val="9"/>
            <color indexed="81"/>
            <rFont val="Tahoma"/>
            <family val="2"/>
          </rPr>
          <t>Author:</t>
        </r>
        <r>
          <rPr>
            <sz val="9"/>
            <color indexed="81"/>
            <rFont val="Tahoma"/>
            <family val="2"/>
          </rPr>
          <t xml:space="preserve">
Includes feeders 1201-1204 and  MVAR from 1250. Evaluates the largest MVA from capacitive or inductive contributions (turbines and caps/reactors included)
</t>
        </r>
      </text>
    </comment>
    <comment ref="F274" authorId="0" shapeId="0" xr:uid="{00000000-0006-0000-0000-0000F4010000}">
      <text>
        <r>
          <rPr>
            <b/>
            <sz val="9"/>
            <color rgb="FF000000"/>
            <rFont val="Tahoma"/>
            <family val="2"/>
          </rPr>
          <t>Author:</t>
        </r>
        <r>
          <rPr>
            <sz val="9"/>
            <color rgb="FF000000"/>
            <rFont val="Tahoma"/>
            <family val="2"/>
          </rPr>
          <t xml:space="preserve">
Reference:
DRCW01-ESMV-E01001 SH2
DRCW01-ESEQ-41001 SH1
6" SCH80 Al Tube Bus
Rate per XEL-EVD-Facility Rating Supplement-Table-Tubular and Square Conductor.xls.
Normal summer rating @ 4 ft/s</t>
        </r>
      </text>
    </comment>
    <comment ref="G274" authorId="0" shapeId="0" xr:uid="{00000000-0006-0000-0000-0000F5010000}">
      <text>
        <r>
          <rPr>
            <b/>
            <sz val="9"/>
            <color rgb="FF000000"/>
            <rFont val="Tahoma"/>
            <family val="2"/>
          </rPr>
          <t>Author:</t>
        </r>
        <r>
          <rPr>
            <sz val="9"/>
            <color rgb="FF000000"/>
            <rFont val="Tahoma"/>
            <family val="2"/>
          </rPr>
          <t xml:space="preserve">
Reference 
DRCW01-ESMV-E01001 SH1
DRCW01-ESEQ-41001 SH1
2000 AAC Conductor 4/ph
8" spacing
Rate per XEL-EVD-Facility Rating Supplement-Table-Bare Overhead Conductor.xls.
Normal summer rating @ 4 ft/s, quadruple conductor</t>
        </r>
      </text>
    </comment>
    <comment ref="H274" authorId="0" shapeId="0" xr:uid="{00000000-0006-0000-0000-0000F6010000}">
      <text>
        <r>
          <rPr>
            <b/>
            <sz val="9"/>
            <color rgb="FF000000"/>
            <rFont val="Tahoma"/>
            <family val="2"/>
          </rPr>
          <t>Author:</t>
        </r>
        <r>
          <rPr>
            <sz val="9"/>
            <color rgb="FF000000"/>
            <rFont val="Tahoma"/>
            <family val="2"/>
          </rPr>
          <t xml:space="preserve">
Reference:
DRCW01-ESMV-E01001 SH2
DRCW01-ESEQ-41001 SH1
6" SCH80 Al Tube Bus
Rate per XEL-EVD-Facility Rating Supplement-Table-Tubular and Square Conductor.xls.
Normal summer rating @ 4 ft/s</t>
        </r>
      </text>
    </comment>
    <comment ref="I274" authorId="0" shapeId="0" xr:uid="{00000000-0006-0000-0000-0000F7010000}">
      <text>
        <r>
          <rPr>
            <b/>
            <sz val="9"/>
            <color rgb="FF000000"/>
            <rFont val="Tahoma"/>
            <family val="2"/>
          </rPr>
          <t>Author:</t>
        </r>
        <r>
          <rPr>
            <sz val="9"/>
            <color rgb="FF000000"/>
            <rFont val="Tahoma"/>
            <family val="2"/>
          </rPr>
          <t xml:space="preserve">
DS1200M
Reference:
DRCW01-ESMV-E01001</t>
        </r>
      </text>
    </comment>
    <comment ref="J274" authorId="0" shapeId="0" xr:uid="{00000000-0006-0000-0000-0000F8010000}">
      <text>
        <r>
          <rPr>
            <b/>
            <sz val="9"/>
            <color rgb="FF000000"/>
            <rFont val="Tahoma"/>
            <family val="2"/>
          </rPr>
          <t>Author:</t>
        </r>
        <r>
          <rPr>
            <sz val="9"/>
            <color rgb="FF000000"/>
            <rFont val="Tahoma"/>
            <family val="2"/>
          </rPr>
          <t xml:space="preserve">
Reference:
DRCW01-ESPT-E81001 SH1
GIFD36-13.00.PDF
Metering CTs on GSU side of 1100M switch.
1500/5 CT with Rating Factor = 3.0
</t>
        </r>
      </text>
    </comment>
    <comment ref="K274" authorId="0" shapeId="0" xr:uid="{00000000-0006-0000-0000-0000F9010000}">
      <text>
        <r>
          <rPr>
            <b/>
            <sz val="9"/>
            <color rgb="FF000000"/>
            <rFont val="Tahoma"/>
            <family val="2"/>
          </rPr>
          <t>Author:</t>
        </r>
        <r>
          <rPr>
            <sz val="9"/>
            <color rgb="FF000000"/>
            <rFont val="Tahoma"/>
            <family val="2"/>
          </rPr>
          <t xml:space="preserve">
Reference 
DRCW01-ESMV-E01001 SH1
DRCW01-ESEQ-41001 SH1
2000 AAC Conductor 4/ph
8" spacing
Rate per XEL-EVD-Facility Rating Supplement-Table-Bare Overhead Conductor.xls.
Normal summer rating @ 4 ft/s, quadruple conductor</t>
        </r>
      </text>
    </comment>
    <comment ref="L274" authorId="0" shapeId="0" xr:uid="{00000000-0006-0000-0000-0000FA010000}">
      <text>
        <r>
          <rPr>
            <b/>
            <sz val="9"/>
            <color rgb="FF000000"/>
            <rFont val="Tahoma"/>
            <family val="2"/>
          </rPr>
          <t>Author:</t>
        </r>
        <r>
          <rPr>
            <sz val="9"/>
            <color rgb="FF000000"/>
            <rFont val="Tahoma"/>
            <family val="2"/>
          </rPr>
          <t xml:space="preserve">
Reference:
DRCW01-ESPT-E81001
MPT BCT Name Plate
3000/5 CTs with TRF = 2.0</t>
        </r>
      </text>
    </comment>
    <comment ref="R274" authorId="0" shapeId="0" xr:uid="{00000000-0006-0000-0000-0000FB010000}">
      <text>
        <r>
          <rPr>
            <b/>
            <sz val="9"/>
            <color indexed="81"/>
            <rFont val="Tahoma"/>
            <family val="2"/>
          </rPr>
          <t>Author:</t>
        </r>
        <r>
          <rPr>
            <sz val="9"/>
            <color indexed="81"/>
            <rFont val="Tahoma"/>
            <family val="2"/>
          </rPr>
          <t xml:space="preserve">
Reference:
DRCW01-ESPT-E81001
MPT BCT Name Plate
400/5 CTs with TRF = 2.</t>
        </r>
      </text>
    </comment>
    <comment ref="T274" authorId="0" shapeId="0" xr:uid="{00000000-0006-0000-0000-0000FC010000}">
      <text>
        <r>
          <rPr>
            <b/>
            <sz val="9"/>
            <color rgb="FF000000"/>
            <rFont val="Tahoma"/>
            <family val="2"/>
          </rPr>
          <t>Author:</t>
        </r>
        <r>
          <rPr>
            <sz val="9"/>
            <color rgb="FF000000"/>
            <rFont val="Tahoma"/>
            <family val="2"/>
          </rPr>
          <t xml:space="preserve">
Reference:
DRCW01-ESHV-E01001 SH1
(2) 954 AAC Magnolia 8" spacing
Value from Transmission's XEL-EVD-Facility Rating Supplement Table - Bare Overhead Conductor. @4ft per second and normal summer rating.
</t>
        </r>
      </text>
    </comment>
    <comment ref="V274" authorId="0" shapeId="0" xr:uid="{00000000-0006-0000-0000-0000FD010000}">
      <text>
        <r>
          <rPr>
            <b/>
            <sz val="9"/>
            <color rgb="FF000000"/>
            <rFont val="Tahoma"/>
            <family val="2"/>
          </rPr>
          <t>Author:</t>
        </r>
        <r>
          <rPr>
            <sz val="9"/>
            <color rgb="FF000000"/>
            <rFont val="Tahoma"/>
            <family val="2"/>
          </rPr>
          <t xml:space="preserve">
Reference:
DRCW01-ESHV-E01001 SH1
5" Al Tube, sch40
Value from Transmission's XEL-EVD-Facility Rating Supplement Table - Tubular and square conductor. @4ft per second and normal summer rating</t>
        </r>
      </text>
    </comment>
    <comment ref="X274" authorId="0" shapeId="0" xr:uid="{00000000-0006-0000-0000-0000FE010000}">
      <text>
        <r>
          <rPr>
            <b/>
            <sz val="9"/>
            <color rgb="FF000000"/>
            <rFont val="Tahoma"/>
            <family val="2"/>
          </rPr>
          <t>Author:</t>
        </r>
        <r>
          <rPr>
            <sz val="9"/>
            <color rgb="FF000000"/>
            <rFont val="Tahoma"/>
            <family val="2"/>
          </rPr>
          <t xml:space="preserve">
Reference:
DRCW01-ESHV-E01001 SH1
(2) 954 AAC Magnolia 8" spacing
Value from Transmission's XEL-EVD-Facility Rating Supplement Table - Bare Overhead Conductor. @4ft per second and normal summer rating.</t>
        </r>
      </text>
    </comment>
    <comment ref="Z274" authorId="0" shapeId="0" xr:uid="{00000000-0006-0000-0000-0000FF010000}">
      <text>
        <r>
          <rPr>
            <b/>
            <sz val="9"/>
            <color rgb="FF000000"/>
            <rFont val="Tahoma"/>
            <family val="2"/>
          </rPr>
          <t>Brady Nunn:</t>
        </r>
        <r>
          <rPr>
            <sz val="9"/>
            <color rgb="FF000000"/>
            <rFont val="Tahoma"/>
            <family val="2"/>
          </rPr>
          <t xml:space="preserve">
Reference:
DRCW01-ESPT-E81001 SH1
</t>
        </r>
      </text>
    </comment>
    <comment ref="AB274" authorId="0" shapeId="0" xr:uid="{00000000-0006-0000-0000-000000020000}">
      <text>
        <r>
          <rPr>
            <b/>
            <sz val="9"/>
            <color indexed="81"/>
            <rFont val="Tahoma"/>
            <family val="2"/>
          </rPr>
          <t>Author:</t>
        </r>
        <r>
          <rPr>
            <sz val="9"/>
            <color indexed="81"/>
            <rFont val="Tahoma"/>
            <family val="2"/>
          </rPr>
          <t xml:space="preserve">
Reference:
DRCW01-ESHV-E01001 SH1</t>
        </r>
      </text>
    </comment>
    <comment ref="AD274" authorId="0" shapeId="0" xr:uid="{00000000-0006-0000-0000-000001020000}">
      <text>
        <r>
          <rPr>
            <b/>
            <sz val="9"/>
            <color rgb="FF000000"/>
            <rFont val="Tahoma"/>
            <family val="2"/>
          </rPr>
          <t>Brady Nunn:</t>
        </r>
        <r>
          <rPr>
            <sz val="9"/>
            <color rgb="FF000000"/>
            <rFont val="Tahoma"/>
            <family val="2"/>
          </rPr>
          <t xml:space="preserve">
Reference:
DRCW01-ESPT-E81001 SH1
</t>
        </r>
      </text>
    </comment>
    <comment ref="AF274" authorId="0" shapeId="0" xr:uid="{00000000-0006-0000-0000-000002020000}">
      <text>
        <r>
          <rPr>
            <b/>
            <sz val="9"/>
            <color rgb="FF000000"/>
            <rFont val="Tahoma"/>
            <family val="2"/>
          </rPr>
          <t>Author:</t>
        </r>
        <r>
          <rPr>
            <sz val="9"/>
            <color rgb="FF000000"/>
            <rFont val="Tahoma"/>
            <family val="2"/>
          </rPr>
          <t xml:space="preserve">
Reference:
DRCW01-ESHV-E01001 SH1
(2) 954 AAC Magnolia 8" spacing
Value from Transmission's XEL-EVD-Facility Rating Supplement Table - Bare Overhead Conductor. @4ft per second and normal summer rating.</t>
        </r>
      </text>
    </comment>
    <comment ref="AH274" authorId="0" shapeId="0" xr:uid="{00000000-0006-0000-0000-000003020000}">
      <text>
        <r>
          <rPr>
            <b/>
            <sz val="9"/>
            <color indexed="81"/>
            <rFont val="Tahoma"/>
            <family val="2"/>
          </rPr>
          <t>Author:</t>
        </r>
        <r>
          <rPr>
            <sz val="9"/>
            <color indexed="81"/>
            <rFont val="Tahoma"/>
            <family val="2"/>
          </rPr>
          <t xml:space="preserve">
Reference:
DRCW01-ESHV-E01001 SH1</t>
        </r>
      </text>
    </comment>
    <comment ref="AJ274" authorId="0" shapeId="0" xr:uid="{00000000-0006-0000-0000-000004020000}">
      <text>
        <r>
          <rPr>
            <b/>
            <sz val="9"/>
            <color rgb="FF000000"/>
            <rFont val="Tahoma"/>
            <family val="2"/>
          </rPr>
          <t>Author:</t>
        </r>
        <r>
          <rPr>
            <sz val="9"/>
            <color rgb="FF000000"/>
            <rFont val="Tahoma"/>
            <family val="2"/>
          </rPr>
          <t xml:space="preserve">
Reference:
DRCW01-ESHV-E01001 SH1
5" Al Tube, sch40
Value from Transmission's XEL-EVD-Facility Rating Supplement Table - Tubular and square conductor. @4ft per second and normal summer rating
</t>
        </r>
      </text>
    </comment>
    <comment ref="AL274" authorId="0" shapeId="0" xr:uid="{00000000-0006-0000-0000-000005020000}">
      <text>
        <r>
          <rPr>
            <b/>
            <sz val="9"/>
            <color rgb="FF000000"/>
            <rFont val="Tahoma"/>
            <family val="2"/>
          </rPr>
          <t>Author:</t>
        </r>
        <r>
          <rPr>
            <sz val="9"/>
            <color rgb="FF000000"/>
            <rFont val="Tahoma"/>
            <family val="2"/>
          </rPr>
          <t xml:space="preserve">
Reference:
DRCW01-ESHV-E01001 SH1
DRCW01-ESEQ-E71002 SH1
(2) 2-1/2" Al tube risers
Value from Transmission's XEL-EVD-Facility Rating Supplement Table - Tubular and square conductor. @4ft per second and normal summer rating</t>
        </r>
      </text>
    </comment>
    <comment ref="AN274" authorId="0" shapeId="0" xr:uid="{00000000-0006-0000-0000-000006020000}">
      <text>
        <r>
          <rPr>
            <b/>
            <sz val="9"/>
            <color rgb="FF000000"/>
            <rFont val="Tahoma"/>
            <family val="2"/>
          </rPr>
          <t>Author:</t>
        </r>
        <r>
          <rPr>
            <sz val="9"/>
            <color rgb="FF000000"/>
            <rFont val="Tahoma"/>
            <family val="2"/>
          </rPr>
          <t xml:space="preserve">
Reference:
DRCW01-ESHV-E01001 SH1
DRCW01-ESHV-E01001 SH2
5" Al Tube, sch40
Value from Transmission's XEL-EVD-Facility Rating Supplement Table - Tubular and square conductor. @4ft per second and normal summer rating</t>
        </r>
      </text>
    </comment>
    <comment ref="AP274" authorId="0" shapeId="0" xr:uid="{00000000-0006-0000-0000-000007020000}">
      <text>
        <r>
          <rPr>
            <b/>
            <sz val="9"/>
            <color rgb="FF000000"/>
            <rFont val="Tahoma"/>
            <family val="2"/>
          </rPr>
          <t>Author:</t>
        </r>
        <r>
          <rPr>
            <sz val="9"/>
            <color rgb="FF000000"/>
            <rFont val="Tahoma"/>
            <family val="2"/>
          </rPr>
          <t xml:space="preserve">
Reference:
DRCW01-ESHV-E01001 SH1
DRCW01-ESEQ-E71002 SH1
(2) 2-1/2" Al tube risers
Value from Transmission's XEL-EVD-Facility Rating Supplement Table - Tubular and square conductor. @4ft per second and normal summer rating</t>
        </r>
      </text>
    </comment>
    <comment ref="AS274" authorId="0" shapeId="0" xr:uid="{00000000-0006-0000-0000-000008020000}">
      <text>
        <r>
          <rPr>
            <b/>
            <sz val="9"/>
            <color rgb="FF000000"/>
            <rFont val="Tahoma"/>
            <family val="2"/>
          </rPr>
          <t>Author:</t>
        </r>
        <r>
          <rPr>
            <sz val="9"/>
            <color rgb="FF000000"/>
            <rFont val="Tahoma"/>
            <family val="2"/>
          </rPr>
          <t xml:space="preserve">
51 PU set at 706 A Primary (HS)</t>
        </r>
      </text>
    </comment>
    <comment ref="C275" authorId="0" shapeId="0" xr:uid="{00000000-0006-0000-0000-000009020000}">
      <text>
        <r>
          <rPr>
            <b/>
            <sz val="9"/>
            <color indexed="81"/>
            <rFont val="Tahoma"/>
            <family val="2"/>
          </rPr>
          <t>Author:</t>
        </r>
        <r>
          <rPr>
            <sz val="9"/>
            <color indexed="81"/>
            <rFont val="Tahoma"/>
            <family val="2"/>
          </rPr>
          <t xml:space="preserve">
Includes turbine feeders and MVAR from 2150. Evaluates the largest MVA from capacitive or inductive contributions (turbines and caps/reactors included)</t>
        </r>
      </text>
    </comment>
    <comment ref="F275" authorId="0" shapeId="0" xr:uid="{00000000-0006-0000-0000-00000A020000}">
      <text>
        <r>
          <rPr>
            <b/>
            <sz val="9"/>
            <color rgb="FF000000"/>
            <rFont val="Tahoma"/>
            <family val="2"/>
          </rPr>
          <t>Author:</t>
        </r>
        <r>
          <rPr>
            <sz val="9"/>
            <color rgb="FF000000"/>
            <rFont val="Tahoma"/>
            <family val="2"/>
          </rPr>
          <t xml:space="preserve">
Reference:
DRCW02-ESMV-E02001 SH2
DRCW02-ESEQ-42001 SH1
6" SCH80 Al Tube Bus
Rate per XEL-EVD-Facility Rating Supplement-Table-Tubular and Square Conductor.xls.
Normal summer rating @ 4 ft/s</t>
        </r>
      </text>
    </comment>
    <comment ref="G275" authorId="0" shapeId="0" xr:uid="{00000000-0006-0000-0000-00000B020000}">
      <text>
        <r>
          <rPr>
            <b/>
            <sz val="9"/>
            <color rgb="FF000000"/>
            <rFont val="Tahoma"/>
            <family val="2"/>
          </rPr>
          <t>Author:</t>
        </r>
        <r>
          <rPr>
            <sz val="9"/>
            <color rgb="FF000000"/>
            <rFont val="Tahoma"/>
            <family val="2"/>
          </rPr>
          <t xml:space="preserve">
Reference 
DRCW02-ESMV-E02001 SH1
DRCW02-ESEQ-42001 SH1
2000 AAC Conductor 4/ph
8" spacing
Rate per XEL-EVD-Facility Rating Supplement-Table-Bare Overhead Conductor.xls.
Normal summer rating @ 4 ft/s, quadruple conductor</t>
        </r>
      </text>
    </comment>
    <comment ref="H275" authorId="0" shapeId="0" xr:uid="{00000000-0006-0000-0000-00000C020000}">
      <text>
        <r>
          <rPr>
            <b/>
            <sz val="9"/>
            <color rgb="FF000000"/>
            <rFont val="Tahoma"/>
            <family val="2"/>
          </rPr>
          <t>Author:</t>
        </r>
        <r>
          <rPr>
            <sz val="9"/>
            <color rgb="FF000000"/>
            <rFont val="Tahoma"/>
            <family val="2"/>
          </rPr>
          <t xml:space="preserve">
Reference:
DRCW02-ESMV-E02001 SH1
DRCW02-ESEQ-42001 SH1
6" SCH80 Al Tube Bus
Rate per XEL-EVD-Facility Rating Supplement-Table-Tubular and Square Conductor.xls.
Normal summer rating @ 4 ft/s</t>
        </r>
      </text>
    </comment>
    <comment ref="I275" authorId="0" shapeId="0" xr:uid="{00000000-0006-0000-0000-00000D020000}">
      <text>
        <r>
          <rPr>
            <b/>
            <sz val="9"/>
            <color rgb="FF000000"/>
            <rFont val="Tahoma"/>
            <family val="2"/>
          </rPr>
          <t>Author:</t>
        </r>
        <r>
          <rPr>
            <sz val="9"/>
            <color rgb="FF000000"/>
            <rFont val="Tahoma"/>
            <family val="2"/>
          </rPr>
          <t xml:space="preserve">
DS2100M
Reference:
DRCW02-ESMV-E02001 SH1</t>
        </r>
      </text>
    </comment>
    <comment ref="J275" authorId="0" shapeId="0" xr:uid="{00000000-0006-0000-0000-00000E020000}">
      <text>
        <r>
          <rPr>
            <b/>
            <sz val="9"/>
            <color rgb="FF000000"/>
            <rFont val="Tahoma"/>
            <family val="2"/>
          </rPr>
          <t>Author:</t>
        </r>
        <r>
          <rPr>
            <sz val="9"/>
            <color rgb="FF000000"/>
            <rFont val="Tahoma"/>
            <family val="2"/>
          </rPr>
          <t xml:space="preserve">
Reference:
DRCW02-ESPT-E82001 SH1
GIFD36-13.00.PDF
Metering CTs on GSU side of 1100M switch.
1500/5 CT with Rating Factor = 3.0
</t>
        </r>
      </text>
    </comment>
    <comment ref="K275" authorId="0" shapeId="0" xr:uid="{00000000-0006-0000-0000-00000F020000}">
      <text>
        <r>
          <rPr>
            <b/>
            <sz val="9"/>
            <color rgb="FF000000"/>
            <rFont val="Tahoma"/>
            <family val="2"/>
          </rPr>
          <t>Author:</t>
        </r>
        <r>
          <rPr>
            <sz val="9"/>
            <color rgb="FF000000"/>
            <rFont val="Tahoma"/>
            <family val="2"/>
          </rPr>
          <t xml:space="preserve">
Reference 
DRCW02-ESMV-E02001 SH1
DRCW02-ESEQ-42001 SH1
2000 AAC Conductor 4/ph
8" spacing
Rate per XEL-EVD-Facility Rating Supplement-Table-Bare Overhead Conductor.xls.
Normal summer rating @ 4 ft/s, quadruple conductor</t>
        </r>
      </text>
    </comment>
    <comment ref="L275" authorId="0" shapeId="0" xr:uid="{00000000-0006-0000-0000-000010020000}">
      <text>
        <r>
          <rPr>
            <b/>
            <sz val="9"/>
            <color rgb="FF000000"/>
            <rFont val="Tahoma"/>
            <family val="2"/>
          </rPr>
          <t>Author:</t>
        </r>
        <r>
          <rPr>
            <sz val="9"/>
            <color rgb="FF000000"/>
            <rFont val="Tahoma"/>
            <family val="2"/>
          </rPr>
          <t xml:space="preserve">
Reference:
DRCW02-ESPT-E82001 SH1
MPT BCT Name Plate
3000/5 CTs with TRF = 2.0</t>
        </r>
      </text>
    </comment>
    <comment ref="R275" authorId="0" shapeId="0" xr:uid="{00000000-0006-0000-0000-000011020000}">
      <text>
        <r>
          <rPr>
            <b/>
            <sz val="9"/>
            <color indexed="81"/>
            <rFont val="Tahoma"/>
            <family val="2"/>
          </rPr>
          <t>Author:</t>
        </r>
        <r>
          <rPr>
            <sz val="9"/>
            <color indexed="81"/>
            <rFont val="Tahoma"/>
            <family val="2"/>
          </rPr>
          <t xml:space="preserve">
Reference:
DRCW02-ESPT-E82001 SH1
MPT BCT Name Plate
400/5 CTs with TRF = 2.0</t>
        </r>
      </text>
    </comment>
    <comment ref="T275" authorId="0" shapeId="0" xr:uid="{00000000-0006-0000-0000-000012020000}">
      <text>
        <r>
          <rPr>
            <b/>
            <sz val="9"/>
            <color rgb="FF000000"/>
            <rFont val="Tahoma"/>
            <family val="2"/>
          </rPr>
          <t>Author:</t>
        </r>
        <r>
          <rPr>
            <sz val="9"/>
            <color rgb="FF000000"/>
            <rFont val="Tahoma"/>
            <family val="2"/>
          </rPr>
          <t xml:space="preserve">
Reference:
DRCW02-ESHV-E02001 SH1
(2) 954 AAC Magnolia 8" spacing
Value from Transmission's XEL-EVD-Facility Rating Supplement Table - Bare Overhead Conductor. @4ft per second and normal summer rating.
</t>
        </r>
      </text>
    </comment>
    <comment ref="V275" authorId="0" shapeId="0" xr:uid="{00000000-0006-0000-0000-000013020000}">
      <text>
        <r>
          <rPr>
            <b/>
            <sz val="9"/>
            <color rgb="FF000000"/>
            <rFont val="Tahoma"/>
            <family val="2"/>
          </rPr>
          <t>Author:</t>
        </r>
        <r>
          <rPr>
            <sz val="9"/>
            <color rgb="FF000000"/>
            <rFont val="Tahoma"/>
            <family val="2"/>
          </rPr>
          <t xml:space="preserve">
Reference:
DRCW02-ESHV-E02001 SH1
5" Al Tube, sch40
Value from Transmission's XEL-EVD-Facility Rating Supplement Table - Tubular and square conductor. @4ft per second and normal summer rating</t>
        </r>
      </text>
    </comment>
    <comment ref="X275" authorId="0" shapeId="0" xr:uid="{00000000-0006-0000-0000-000014020000}">
      <text>
        <r>
          <rPr>
            <b/>
            <sz val="9"/>
            <color rgb="FF000000"/>
            <rFont val="Tahoma"/>
            <family val="2"/>
          </rPr>
          <t>Author:</t>
        </r>
        <r>
          <rPr>
            <sz val="9"/>
            <color rgb="FF000000"/>
            <rFont val="Tahoma"/>
            <family val="2"/>
          </rPr>
          <t xml:space="preserve">
Reference:
DRCW02-ESHV-E02001 SH1
(2) 954 AAC Magnolia 8" spacing
Value from Transmission's XEL-EVD-Facility Rating Supplement Table - Bare Overhead Conductor. @4ft per second and normal summer rating.</t>
        </r>
      </text>
    </comment>
    <comment ref="Z275" authorId="0" shapeId="0" xr:uid="{00000000-0006-0000-0000-000015020000}">
      <text>
        <r>
          <rPr>
            <b/>
            <sz val="9"/>
            <color rgb="FF000000"/>
            <rFont val="Tahoma"/>
            <family val="2"/>
          </rPr>
          <t>Brady Nunn:</t>
        </r>
        <r>
          <rPr>
            <sz val="9"/>
            <color rgb="FF000000"/>
            <rFont val="Tahoma"/>
            <family val="2"/>
          </rPr>
          <t xml:space="preserve">
Reference:
DRCW02-ESPT-E82001 SH1
</t>
        </r>
      </text>
    </comment>
    <comment ref="AB275" authorId="0" shapeId="0" xr:uid="{00000000-0006-0000-0000-000016020000}">
      <text>
        <r>
          <rPr>
            <b/>
            <sz val="9"/>
            <color indexed="81"/>
            <rFont val="Tahoma"/>
            <family val="2"/>
          </rPr>
          <t>Author:</t>
        </r>
        <r>
          <rPr>
            <sz val="9"/>
            <color indexed="81"/>
            <rFont val="Tahoma"/>
            <family val="2"/>
          </rPr>
          <t xml:space="preserve">
Reference:
DRCW02-ESHV-E02001 SH1</t>
        </r>
      </text>
    </comment>
    <comment ref="AD275" authorId="0" shapeId="0" xr:uid="{00000000-0006-0000-0000-000017020000}">
      <text>
        <r>
          <rPr>
            <b/>
            <sz val="9"/>
            <color rgb="FF000000"/>
            <rFont val="Tahoma"/>
            <family val="2"/>
          </rPr>
          <t>Brady Nunn:</t>
        </r>
        <r>
          <rPr>
            <sz val="9"/>
            <color rgb="FF000000"/>
            <rFont val="Tahoma"/>
            <family val="2"/>
          </rPr>
          <t xml:space="preserve">
Reference:
DRCW02-ESPT-E82001 SH1
</t>
        </r>
      </text>
    </comment>
    <comment ref="AF275" authorId="0" shapeId="0" xr:uid="{00000000-0006-0000-0000-000018020000}">
      <text>
        <r>
          <rPr>
            <b/>
            <sz val="9"/>
            <color rgb="FF000000"/>
            <rFont val="Tahoma"/>
            <family val="2"/>
          </rPr>
          <t>Author:</t>
        </r>
        <r>
          <rPr>
            <sz val="9"/>
            <color rgb="FF000000"/>
            <rFont val="Tahoma"/>
            <family val="2"/>
          </rPr>
          <t xml:space="preserve">
Reference:
DRCW02-ESHV-E02001 SH1
(2) 954 AAC Magnolia 8" spacing
Value from Transmission's XEL-EVD-Facility Rating Supplement Table - Bare Overhead Conductor. @4ft per second and normal summer rating.</t>
        </r>
      </text>
    </comment>
    <comment ref="AH275" authorId="0" shapeId="0" xr:uid="{00000000-0006-0000-0000-000019020000}">
      <text>
        <r>
          <rPr>
            <b/>
            <sz val="9"/>
            <color indexed="81"/>
            <rFont val="Tahoma"/>
            <family val="2"/>
          </rPr>
          <t>Author:</t>
        </r>
        <r>
          <rPr>
            <sz val="9"/>
            <color indexed="81"/>
            <rFont val="Tahoma"/>
            <family val="2"/>
          </rPr>
          <t xml:space="preserve">
Reference:
DRCW02-ESHV-E02001 SH1</t>
        </r>
      </text>
    </comment>
    <comment ref="AS275" authorId="0" shapeId="0" xr:uid="{00000000-0006-0000-0000-00001A020000}">
      <text>
        <r>
          <rPr>
            <b/>
            <sz val="9"/>
            <color rgb="FF000000"/>
            <rFont val="Tahoma"/>
            <family val="2"/>
          </rPr>
          <t>Author:</t>
        </r>
        <r>
          <rPr>
            <sz val="9"/>
            <color rgb="FF000000"/>
            <rFont val="Tahoma"/>
            <family val="2"/>
          </rPr>
          <t xml:space="preserve">
51 PU set at 706 A Primary (HS)</t>
        </r>
      </text>
    </comment>
    <comment ref="C280" authorId="0" shapeId="0" xr:uid="{00000000-0006-0000-0000-00001B020000}">
      <text>
        <r>
          <rPr>
            <b/>
            <sz val="9"/>
            <color rgb="FF000000"/>
            <rFont val="Tahoma"/>
            <family val="2"/>
          </rPr>
          <t>Author:</t>
        </r>
        <r>
          <rPr>
            <sz val="9"/>
            <color rgb="FF000000"/>
            <rFont val="Tahoma"/>
            <family val="2"/>
          </rPr>
          <t xml:space="preserve">
Load from all connected sources on bus 1 (larger than bus 2 and maximum the tie will see) 
</t>
        </r>
      </text>
    </comment>
    <comment ref="F280" authorId="0" shapeId="0" xr:uid="{00000000-0006-0000-0000-00001C020000}">
      <text>
        <r>
          <rPr>
            <b/>
            <sz val="9"/>
            <color rgb="FF000000"/>
            <rFont val="Tahoma"/>
            <family val="2"/>
          </rPr>
          <t>Author:</t>
        </r>
        <r>
          <rPr>
            <sz val="9"/>
            <color rgb="FF000000"/>
            <rFont val="Tahoma"/>
            <family val="2"/>
          </rPr>
          <t xml:space="preserve">
3000/5 CTs on either side of 1001M disconnect switch
TRF=2.0
Reference: 
DRCW01-ESMV-E01001 SH2
DRCW01-ESEQ-E41001 SH1</t>
        </r>
      </text>
    </comment>
    <comment ref="G280" authorId="0" shapeId="0" xr:uid="{00000000-0006-0000-0000-00001D020000}">
      <text>
        <r>
          <rPr>
            <b/>
            <sz val="9"/>
            <color rgb="FF000000"/>
            <rFont val="Tahoma"/>
            <family val="2"/>
          </rPr>
          <t>Author:</t>
        </r>
        <r>
          <rPr>
            <sz val="9"/>
            <color rgb="FF000000"/>
            <rFont val="Tahoma"/>
            <family val="2"/>
          </rPr>
          <t xml:space="preserve">
Reference:
DRCW01-ESMV-E01001 SH2
DRCW01-ESEQ-41001 SH1
6" SCH80 Al Tube Bus
Rate per XEL-EVD-Facility Rating Supplement-Table-Tubular and Square Conductor.xls.
Normal summer rating @ 4 ft/s</t>
        </r>
      </text>
    </comment>
    <comment ref="H280" authorId="0" shapeId="0" xr:uid="{00000000-0006-0000-0000-00001E020000}">
      <text>
        <r>
          <rPr>
            <b/>
            <sz val="9"/>
            <color rgb="FF000000"/>
            <rFont val="Tahoma"/>
            <family val="2"/>
          </rPr>
          <t>Author:</t>
        </r>
        <r>
          <rPr>
            <sz val="9"/>
            <color rgb="FF000000"/>
            <rFont val="Tahoma"/>
            <family val="2"/>
          </rPr>
          <t xml:space="preserve">
1001M disconnect switch
Reference: 
DRCW01-ESMV-E01001 SH2
DRCW01-ESEQ-E41001 SH1</t>
        </r>
      </text>
    </comment>
    <comment ref="F284" authorId="0" shapeId="0" xr:uid="{00000000-0006-0000-0000-00001F020000}">
      <text>
        <r>
          <rPr>
            <b/>
            <sz val="9"/>
            <color indexed="81"/>
            <rFont val="Tahoma"/>
            <family val="2"/>
          </rPr>
          <t>Author:</t>
        </r>
        <r>
          <rPr>
            <sz val="9"/>
            <color indexed="81"/>
            <rFont val="Tahoma"/>
            <family val="2"/>
          </rPr>
          <t xml:space="preserve">
Does not include the combined MVA rating from the normal configuration as that is replaced with the increase from the bus tie
</t>
        </r>
      </text>
    </comment>
    <comment ref="G284" authorId="0" shapeId="0" xr:uid="{00000000-0006-0000-0000-000020020000}">
      <text>
        <r>
          <rPr>
            <b/>
            <sz val="9"/>
            <color indexed="81"/>
            <rFont val="Tahoma"/>
            <family val="2"/>
          </rPr>
          <t>Author:</t>
        </r>
        <r>
          <rPr>
            <sz val="9"/>
            <color indexed="81"/>
            <rFont val="Tahoma"/>
            <family val="2"/>
          </rPr>
          <t xml:space="preserve">
Does not include the combined MVA rating from the normal configuration as that is replaced with the increase from the bus tie</t>
        </r>
      </text>
    </comment>
    <comment ref="C286" authorId="0" shapeId="0" xr:uid="{00000000-0006-0000-0000-000021020000}">
      <text>
        <r>
          <rPr>
            <b/>
            <sz val="9"/>
            <color rgb="FF000000"/>
            <rFont val="Tahoma"/>
            <family val="2"/>
          </rPr>
          <t>Author:</t>
        </r>
        <r>
          <rPr>
            <sz val="9"/>
            <color rgb="FF000000"/>
            <rFont val="Tahoma"/>
            <family val="2"/>
          </rPr>
          <t xml:space="preserve">
Maximum amount of MVA that can be connected, limited by the kirk key system
Includes the 5 largest turbine feeders included in the kirk key system (1102,1103,1104,1201,1204) and 1203 along with the cap/reactor bank feeders from both buses. 
Evaluates the largest MVA from capacitive or inductive contributions (turbines and caps/reactors included)</t>
        </r>
      </text>
    </comment>
    <comment ref="C287" authorId="0" shapeId="0" xr:uid="{00000000-0006-0000-0000-000022020000}">
      <text>
        <r>
          <rPr>
            <b/>
            <sz val="9"/>
            <color rgb="FF000000"/>
            <rFont val="Tahoma"/>
            <family val="2"/>
          </rPr>
          <t>Author:</t>
        </r>
        <r>
          <rPr>
            <sz val="9"/>
            <color rgb="FF000000"/>
            <rFont val="Tahoma"/>
            <family val="2"/>
          </rPr>
          <t xml:space="preserve">
Maximum amount of MVA that can be connected, limited by the kirk key system
Includes the 5 largest turbine feeders included in the kirk key system (1102,1103,1104,1201,1204) and 1203 along with the cap/reactor bank feeders from both buses. 
Evaluates the largest MVA from capacitive or inductive contributions (turbines and caps/reactors included) 
</t>
        </r>
      </text>
    </comment>
    <comment ref="B293" authorId="0" shapeId="0" xr:uid="{00000000-0006-0000-0000-000023020000}">
      <text>
        <r>
          <rPr>
            <b/>
            <sz val="9"/>
            <color rgb="FF000000"/>
            <rFont val="Tahoma"/>
            <family val="2"/>
          </rPr>
          <t>Author:</t>
        </r>
        <r>
          <rPr>
            <sz val="9"/>
            <color rgb="FF000000"/>
            <rFont val="Tahoma"/>
            <family val="2"/>
          </rPr>
          <t xml:space="preserve">
Rating of all wind turbines and reactive sources.
Evaluates the largest MVA from capacitive or inductive contributions (turbines and caps/reactors included)
</t>
        </r>
      </text>
    </comment>
    <comment ref="E293" authorId="0" shapeId="0" xr:uid="{00000000-0006-0000-0000-000024020000}">
      <text>
        <r>
          <rPr>
            <b/>
            <sz val="9"/>
            <color indexed="81"/>
            <rFont val="Tahoma"/>
            <family val="2"/>
          </rPr>
          <t>Author:</t>
        </r>
        <r>
          <rPr>
            <sz val="9"/>
            <color indexed="81"/>
            <rFont val="Tahoma"/>
            <family val="2"/>
          </rPr>
          <t xml:space="preserve">
Reference:
DRCW01-ESHV-E01001 SH1
5" Al Tube, sch40
Value from Transmission's XEL-EVD-Facility Rating Supplement Table - Tubular and square conductor. @4ft per second and normal summer rating</t>
        </r>
      </text>
    </comment>
    <comment ref="H293" authorId="0" shapeId="0" xr:uid="{00000000-0006-0000-0000-000025020000}">
      <text>
        <r>
          <rPr>
            <b/>
            <sz val="9"/>
            <color indexed="81"/>
            <rFont val="Tahoma"/>
            <family val="2"/>
          </rPr>
          <t>Author:</t>
        </r>
        <r>
          <rPr>
            <sz val="9"/>
            <color indexed="81"/>
            <rFont val="Tahoma"/>
            <family val="2"/>
          </rPr>
          <t xml:space="preserve">
Reference:
DRCW01-ESHV-E01001 SH1
(2) 954 AAC Magnolia 8" spacing
Value from Transmission's XEL-EVD-Facility Rating Supplement Table - Bare Overhead Conductor. @4ft per second and normal summer rating.</t>
        </r>
      </text>
    </comment>
    <comment ref="I293" authorId="0" shapeId="0" xr:uid="{00000000-0006-0000-0000-000026020000}">
      <text>
        <r>
          <rPr>
            <b/>
            <sz val="9"/>
            <color indexed="81"/>
            <rFont val="Tahoma"/>
            <family val="2"/>
          </rPr>
          <t>Author:</t>
        </r>
        <r>
          <rPr>
            <sz val="9"/>
            <color indexed="81"/>
            <rFont val="Tahoma"/>
            <family val="2"/>
          </rPr>
          <t xml:space="preserve">
Reference:
DRCW01-ESHV-E01001 SH1</t>
        </r>
      </text>
    </comment>
    <comment ref="J293" authorId="0" shapeId="0" xr:uid="{00000000-0006-0000-0000-000027020000}">
      <text>
        <r>
          <rPr>
            <b/>
            <sz val="9"/>
            <color rgb="FF000000"/>
            <rFont val="Tahoma"/>
            <family val="2"/>
          </rPr>
          <t>Author:</t>
        </r>
        <r>
          <rPr>
            <sz val="9"/>
            <color rgb="FF000000"/>
            <rFont val="Tahoma"/>
            <family val="2"/>
          </rPr>
          <t xml:space="preserve">
Reference:
DRCW01-ESHV-E01001 SH1
(2) 954 AAC Magnolia 8" spacing
Value from Transmission's XEL-EVD-Facility Rating Supplement Table - Bare Overhead Conductor. @4ft per second and normal summer rating.</t>
        </r>
      </text>
    </comment>
    <comment ref="L293" authorId="0" shapeId="0" xr:uid="{00000000-0006-0000-0000-000028020000}">
      <text>
        <r>
          <rPr>
            <b/>
            <sz val="9"/>
            <color indexed="81"/>
            <rFont val="Tahoma"/>
            <family val="2"/>
          </rPr>
          <t>Author:</t>
        </r>
        <r>
          <rPr>
            <sz val="9"/>
            <color indexed="81"/>
            <rFont val="Tahoma"/>
            <family val="2"/>
          </rPr>
          <t xml:space="preserve">
T-line transferred to Transmission documentation
</t>
        </r>
      </text>
    </comment>
    <comment ref="N293" authorId="0" shapeId="0" xr:uid="{00000000-0006-0000-0000-000029020000}">
      <text>
        <r>
          <rPr>
            <b/>
            <sz val="9"/>
            <color rgb="FF000000"/>
            <rFont val="Tahoma"/>
            <family val="2"/>
          </rPr>
          <t>Author:</t>
        </r>
        <r>
          <rPr>
            <sz val="9"/>
            <color rgb="FF000000"/>
            <rFont val="Tahoma"/>
            <family val="2"/>
          </rPr>
          <t xml:space="preserve">
Combined rating of both transformers</t>
        </r>
      </text>
    </comment>
    <comment ref="B294" authorId="0" shapeId="0" xr:uid="{00000000-0006-0000-0000-00002A020000}">
      <text>
        <r>
          <rPr>
            <b/>
            <sz val="9"/>
            <color indexed="81"/>
            <rFont val="Tahoma"/>
            <family val="2"/>
          </rPr>
          <t>Author:</t>
        </r>
        <r>
          <rPr>
            <sz val="9"/>
            <color indexed="81"/>
            <rFont val="Tahoma"/>
            <family val="2"/>
          </rPr>
          <t xml:space="preserve">
Rating of all wind turbines and reactive sources.
Evaluates the largest MVA from capacitive or inductive contributions (turbines and caps/reactors included)</t>
        </r>
      </text>
    </comment>
    <comment ref="E294" authorId="0" shapeId="0" xr:uid="{00000000-0006-0000-0000-00002B020000}">
      <text>
        <r>
          <rPr>
            <b/>
            <sz val="9"/>
            <color indexed="81"/>
            <rFont val="Tahoma"/>
            <family val="2"/>
          </rPr>
          <t>Author:</t>
        </r>
        <r>
          <rPr>
            <sz val="9"/>
            <color indexed="81"/>
            <rFont val="Tahoma"/>
            <family val="2"/>
          </rPr>
          <t xml:space="preserve">
Reference:
DRCW02-ESHV-E02001 SH1
5" Al Tube, sch40
Value from Transmission's XEL-EVD-Facility Rating Supplement Table - Tubular and square conductor. @4ft per second and normal summer rating</t>
        </r>
      </text>
    </comment>
    <comment ref="F294" authorId="0" shapeId="0" xr:uid="{00000000-0006-0000-0000-00002C020000}">
      <text>
        <r>
          <rPr>
            <b/>
            <sz val="9"/>
            <color indexed="81"/>
            <rFont val="Tahoma"/>
            <family val="2"/>
          </rPr>
          <t>Author:</t>
        </r>
        <r>
          <rPr>
            <sz val="9"/>
            <color indexed="81"/>
            <rFont val="Tahoma"/>
            <family val="2"/>
          </rPr>
          <t xml:space="preserve">
Reference:
DRCW02-ESHV-E02001 SH1
(2) 954 AAC Magnolia 8" spacing
Value from Transmission's XEL-EVD-Facility Rating Supplement Table - Bare Overhead Conductor. @4ft per second and normal summer rating.
Wave Trap removed with the addition of Shortgrass.</t>
        </r>
      </text>
    </comment>
    <comment ref="G294" authorId="0" shapeId="0" xr:uid="{00000000-0006-0000-0000-00002D020000}">
      <text>
        <r>
          <rPr>
            <b/>
            <sz val="9"/>
            <color indexed="81"/>
            <rFont val="Tahoma"/>
            <family val="2"/>
          </rPr>
          <t>Author:</t>
        </r>
        <r>
          <rPr>
            <sz val="9"/>
            <color indexed="81"/>
            <rFont val="Tahoma"/>
            <family val="2"/>
          </rPr>
          <t xml:space="preserve">
Reference 
DRCW02-ESGA-E02001 SH1
Wave Trap removed with addition of Shortgrass switching station. Pulled from ratings in Rev6</t>
        </r>
      </text>
    </comment>
    <comment ref="H294" authorId="0" shapeId="0" xr:uid="{00000000-0006-0000-0000-00002E020000}">
      <text>
        <r>
          <rPr>
            <b/>
            <sz val="9"/>
            <color indexed="81"/>
            <rFont val="Tahoma"/>
            <family val="2"/>
          </rPr>
          <t>Author:</t>
        </r>
        <r>
          <rPr>
            <sz val="9"/>
            <color indexed="81"/>
            <rFont val="Tahoma"/>
            <family val="2"/>
          </rPr>
          <t xml:space="preserve">
Reference:
DRCW02-ESHV-E02001 SH1
(2) 954 AAC Magnolia 8" spacing
Value from Transmission's XEL-EVD-Facility Rating Supplement Table - Bare Overhead Conductor. @4ft per second and normal summer rating.</t>
        </r>
      </text>
    </comment>
    <comment ref="I294" authorId="0" shapeId="0" xr:uid="{00000000-0006-0000-0000-00002F020000}">
      <text>
        <r>
          <rPr>
            <b/>
            <sz val="9"/>
            <color indexed="81"/>
            <rFont val="Tahoma"/>
            <family val="2"/>
          </rPr>
          <t>Author:</t>
        </r>
        <r>
          <rPr>
            <sz val="9"/>
            <color indexed="81"/>
            <rFont val="Tahoma"/>
            <family val="2"/>
          </rPr>
          <t xml:space="preserve">
Reference:
DRCW02-ESHV-E02001 SH1</t>
        </r>
      </text>
    </comment>
    <comment ref="J294" authorId="0" shapeId="0" xr:uid="{00000000-0006-0000-0000-000030020000}">
      <text>
        <r>
          <rPr>
            <b/>
            <sz val="9"/>
            <color rgb="FF000000"/>
            <rFont val="Tahoma"/>
            <family val="2"/>
          </rPr>
          <t>Author:</t>
        </r>
        <r>
          <rPr>
            <sz val="9"/>
            <color rgb="FF000000"/>
            <rFont val="Tahoma"/>
            <family val="2"/>
          </rPr>
          <t xml:space="preserve">
Reference:
DRCW02-ESHV-E02001 SH1
(2) 954 AAC Magnolia 8" spacing
Value from Transmission's XEL-EVD-Facility Rating Supplement Table - Bare Overhead Conductor. @4ft per second and normal summer rating.</t>
        </r>
      </text>
    </comment>
    <comment ref="L294" authorId="0" shapeId="0" xr:uid="{00000000-0006-0000-0000-000031020000}">
      <text>
        <r>
          <rPr>
            <b/>
            <sz val="9"/>
            <color indexed="81"/>
            <rFont val="Tahoma"/>
            <family val="2"/>
          </rPr>
          <t xml:space="preserve">Author:
</t>
        </r>
      </text>
    </comment>
    <comment ref="A302" authorId="0" shapeId="0" xr:uid="{C952AEA8-EFFF-4D7C-82F8-C295F2B9F353}">
      <text>
        <r>
          <rPr>
            <b/>
            <sz val="9"/>
            <color indexed="81"/>
            <rFont val="Tahoma"/>
            <family val="2"/>
          </rPr>
          <t>Author:</t>
        </r>
        <r>
          <rPr>
            <sz val="9"/>
            <color indexed="81"/>
            <rFont val="Tahoma"/>
            <family val="2"/>
          </rPr>
          <t xml:space="preserve">
Reference:
Cheyenne Ridge TSA Ex. D.1.1.a General Specification (V110).pdf</t>
        </r>
      </text>
    </comment>
    <comment ref="D302" authorId="0" shapeId="0" xr:uid="{535E906C-E60D-4D46-8627-B8AAD13BC11D}">
      <text>
        <r>
          <rPr>
            <b/>
            <sz val="9"/>
            <color indexed="81"/>
            <rFont val="Tahoma"/>
            <family val="2"/>
          </rPr>
          <t>Author:</t>
        </r>
        <r>
          <rPr>
            <sz val="9"/>
            <color indexed="81"/>
            <rFont val="Tahoma"/>
            <family val="2"/>
          </rPr>
          <t xml:space="preserve">
Reference:
Cheyenne Ridge TSA Ex. D.1.1.c General Specification (V120).pdf</t>
        </r>
      </text>
    </comment>
    <comment ref="B310" authorId="0" shapeId="0" xr:uid="{F1809FA5-3AAD-4025-8B0B-B6B6E5798D34}">
      <text>
        <r>
          <rPr>
            <b/>
            <sz val="9"/>
            <color indexed="81"/>
            <rFont val="Tahoma"/>
            <family val="2"/>
          </rPr>
          <t>Author:</t>
        </r>
        <r>
          <rPr>
            <sz val="9"/>
            <color indexed="81"/>
            <rFont val="Tahoma"/>
            <family val="2"/>
          </rPr>
          <t xml:space="preserve">
34.5 KV UG Feeders</t>
        </r>
      </text>
    </comment>
    <comment ref="C310" authorId="0" shapeId="0" xr:uid="{10571092-5596-4127-A1A5-311ADB56A9EF}">
      <text>
        <r>
          <rPr>
            <b/>
            <sz val="9"/>
            <color indexed="81"/>
            <rFont val="Tahoma"/>
            <family val="2"/>
          </rPr>
          <t>Author:</t>
        </r>
        <r>
          <rPr>
            <sz val="9"/>
            <color indexed="81"/>
            <rFont val="Tahoma"/>
            <family val="2"/>
          </rPr>
          <t xml:space="preserve">
Reference:
Cheyenne East and West Collection System One-line.pdf</t>
        </r>
      </text>
    </comment>
    <comment ref="D310" authorId="0" shapeId="0" xr:uid="{53C921E3-C66B-41A0-8A8E-5BA5218BE4D2}">
      <text>
        <r>
          <rPr>
            <b/>
            <sz val="9"/>
            <color indexed="81"/>
            <rFont val="Tahoma"/>
            <family val="2"/>
          </rPr>
          <t>Author:</t>
        </r>
        <r>
          <rPr>
            <sz val="9"/>
            <color indexed="81"/>
            <rFont val="Tahoma"/>
            <family val="2"/>
          </rPr>
          <t xml:space="preserve">
Reference:
Cheyenne East and West Collection System One-line.pdf</t>
        </r>
      </text>
    </comment>
    <comment ref="K312" authorId="0" shapeId="0" xr:uid="{E5BB1751-C400-4010-850C-07CB43324816}">
      <text>
        <r>
          <rPr>
            <b/>
            <sz val="9"/>
            <color indexed="81"/>
            <rFont val="Tahoma"/>
            <family val="2"/>
          </rPr>
          <t xml:space="preserve">Author:
</t>
        </r>
        <r>
          <rPr>
            <sz val="9"/>
            <color indexed="81"/>
            <rFont val="Tahoma"/>
            <family val="2"/>
          </rPr>
          <t>Reference:
1250 MCM MV Cable ampacity from ACYR00-ESMV-MVC-R0
Bore Cymcap Results</t>
        </r>
      </text>
    </comment>
    <comment ref="L312" authorId="0" shapeId="0" xr:uid="{F7551D79-F2BC-4E30-9B00-A5F82AA60594}">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M312" authorId="0" shapeId="0" xr:uid="{2C7756FF-19B6-4F9F-837A-6772E6CFAB79}">
      <text>
        <r>
          <rPr>
            <b/>
            <sz val="9"/>
            <color indexed="81"/>
            <rFont val="Tahoma"/>
            <family val="2"/>
          </rPr>
          <t>Author:</t>
        </r>
        <r>
          <rPr>
            <sz val="9"/>
            <color indexed="81"/>
            <rFont val="Tahoma"/>
            <family val="2"/>
          </rPr>
          <t xml:space="preserve">
Reference:
DCYR01-ESMV-E0E001 
SH. 1
ACYR00-SIMD-E01005.pdf</t>
        </r>
      </text>
    </comment>
    <comment ref="N312" authorId="0" shapeId="0" xr:uid="{485A910F-A8AB-4883-A031-1229F2CB42CD}">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K313" authorId="0" shapeId="0" xr:uid="{DB321E4D-37CD-46AF-9C56-42F98ADF747F}">
      <text>
        <r>
          <rPr>
            <b/>
            <sz val="9"/>
            <color indexed="81"/>
            <rFont val="Tahoma"/>
            <family val="2"/>
          </rPr>
          <t xml:space="preserve">Author:
</t>
        </r>
        <r>
          <rPr>
            <sz val="9"/>
            <color indexed="81"/>
            <rFont val="Tahoma"/>
            <family val="2"/>
          </rPr>
          <t>Reference:
1250 MCM MV Cable ampacity from ACYR00-ESMV-MVC-R0
Bore Cymcap Results</t>
        </r>
      </text>
    </comment>
    <comment ref="L313" authorId="0" shapeId="0" xr:uid="{29CFD2F4-69DD-4F18-99E6-5B62C18512D1}">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M313" authorId="0" shapeId="0" xr:uid="{676BFFA3-A81E-46F2-AE87-EA7E3F9BF415}">
      <text>
        <r>
          <rPr>
            <b/>
            <sz val="9"/>
            <color indexed="81"/>
            <rFont val="Tahoma"/>
            <family val="2"/>
          </rPr>
          <t>Author:</t>
        </r>
        <r>
          <rPr>
            <sz val="9"/>
            <color indexed="81"/>
            <rFont val="Tahoma"/>
            <family val="2"/>
          </rPr>
          <t xml:space="preserve">
Reference:
DCYR01-ESMV-E0E001 
SH. 1
ACYR00-SIMD-E01005.pdf</t>
        </r>
      </text>
    </comment>
    <comment ref="N313" authorId="0" shapeId="0" xr:uid="{88E0A868-0CD2-4D1B-9F3F-5E713FA5706E}">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K314" authorId="0" shapeId="0" xr:uid="{915771B0-AEBE-47B0-8243-D8577448354E}">
      <text>
        <r>
          <rPr>
            <b/>
            <sz val="9"/>
            <color indexed="81"/>
            <rFont val="Tahoma"/>
            <family val="2"/>
          </rPr>
          <t>Author:</t>
        </r>
        <r>
          <rPr>
            <sz val="9"/>
            <color indexed="81"/>
            <rFont val="Tahoma"/>
            <family val="2"/>
          </rPr>
          <t xml:space="preserve">
Reference:
1250 MCM MV Cable ampacity from ACYR00-ESMV-MVC-R0
Bore Cymcap Results</t>
        </r>
      </text>
    </comment>
    <comment ref="L314" authorId="0" shapeId="0" xr:uid="{6B433440-730E-4437-BD90-85D21616092B}">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M314" authorId="0" shapeId="0" xr:uid="{FE1403B1-D6CD-4F9C-9EA7-616E02715F3C}">
      <text>
        <r>
          <rPr>
            <b/>
            <sz val="9"/>
            <color indexed="81"/>
            <rFont val="Tahoma"/>
            <family val="2"/>
          </rPr>
          <t>Author:</t>
        </r>
        <r>
          <rPr>
            <sz val="9"/>
            <color indexed="81"/>
            <rFont val="Tahoma"/>
            <family val="2"/>
          </rPr>
          <t xml:space="preserve">
Reference:
DCYR01-ESMV-E0E001 
SH. 1
ACYR00-SIMD-E01005.pdf</t>
        </r>
      </text>
    </comment>
    <comment ref="N314" authorId="0" shapeId="0" xr:uid="{0386D8C0-4223-4E33-8D11-BD9710B50FBE}">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K315" authorId="0" shapeId="0" xr:uid="{F4F42FC7-63DC-484C-881A-48B207E36E95}">
      <text>
        <r>
          <rPr>
            <b/>
            <sz val="9"/>
            <color indexed="81"/>
            <rFont val="Tahoma"/>
            <family val="2"/>
          </rPr>
          <t>Author:</t>
        </r>
        <r>
          <rPr>
            <sz val="9"/>
            <color indexed="81"/>
            <rFont val="Tahoma"/>
            <family val="2"/>
          </rPr>
          <t xml:space="preserve">
Reference:
1250 MCM MV Cable ampacity from ACYR00-ESMV-MVC-R0
Bore Cymcap Results</t>
        </r>
      </text>
    </comment>
    <comment ref="L315" authorId="0" shapeId="0" xr:uid="{3CD62067-8D93-445E-91A3-996ACFA3627E}">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M315" authorId="0" shapeId="0" xr:uid="{F1799787-CA8F-4573-9312-9DD8EF71286A}">
      <text>
        <r>
          <rPr>
            <b/>
            <sz val="9"/>
            <color indexed="81"/>
            <rFont val="Tahoma"/>
            <family val="2"/>
          </rPr>
          <t>Author:</t>
        </r>
        <r>
          <rPr>
            <sz val="9"/>
            <color indexed="81"/>
            <rFont val="Tahoma"/>
            <family val="2"/>
          </rPr>
          <t xml:space="preserve">
Reference:
DCYR01-ESMV-E0E001 
SH. 1
ACYR00-SIMD-E01005.pdf</t>
        </r>
      </text>
    </comment>
    <comment ref="N315" authorId="0" shapeId="0" xr:uid="{35A389B6-4985-4D63-80DE-1C84FFBB6BEC}">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K316" authorId="0" shapeId="0" xr:uid="{49A3DA65-93AF-45CC-8511-900B8D4A7CA9}">
      <text>
        <r>
          <rPr>
            <b/>
            <sz val="9"/>
            <color indexed="81"/>
            <rFont val="Tahoma"/>
            <family val="2"/>
          </rPr>
          <t>Author:</t>
        </r>
        <r>
          <rPr>
            <sz val="9"/>
            <color indexed="81"/>
            <rFont val="Tahoma"/>
            <family val="2"/>
          </rPr>
          <t xml:space="preserve">
Reference:
750 MCM MV Cable ampacity from ACYR00-ESMV-MVC-R0
Bore Cymcap Results</t>
        </r>
      </text>
    </comment>
    <comment ref="L316" authorId="0" shapeId="0" xr:uid="{57C57919-37A3-4F63-9CD8-03F6768475BC}">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M316" authorId="0" shapeId="0" xr:uid="{22FBEA46-39E5-4DA9-AEF1-D6C92C0009DB}">
      <text>
        <r>
          <rPr>
            <b/>
            <sz val="9"/>
            <color indexed="81"/>
            <rFont val="Tahoma"/>
            <family val="2"/>
          </rPr>
          <t>Author:</t>
        </r>
        <r>
          <rPr>
            <sz val="9"/>
            <color indexed="81"/>
            <rFont val="Tahoma"/>
            <family val="2"/>
          </rPr>
          <t xml:space="preserve">
Reference:
DCYR01-ESMV-E0E001 
SH. 1
ACYR00-SIMD-E01005.pdf</t>
        </r>
      </text>
    </comment>
    <comment ref="N316" authorId="0" shapeId="0" xr:uid="{E0C5E106-8F80-42ED-800B-381C50657705}">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K317" authorId="0" shapeId="0" xr:uid="{0B0D8253-4B58-4375-90C8-A4E990867B59}">
      <text>
        <r>
          <rPr>
            <b/>
            <sz val="9"/>
            <color indexed="81"/>
            <rFont val="Tahoma"/>
            <family val="2"/>
          </rPr>
          <t>Author:</t>
        </r>
        <r>
          <rPr>
            <sz val="9"/>
            <color indexed="81"/>
            <rFont val="Tahoma"/>
            <family val="2"/>
          </rPr>
          <t xml:space="preserve">
Reference:
1250 MCM MV Cable ampacity from ACYR00-ESMV-MVC-R0
Bore Cymcap Results</t>
        </r>
      </text>
    </comment>
    <comment ref="L317" authorId="0" shapeId="0" xr:uid="{3AFF1B49-A408-4B2C-BB24-41A4C6BAAD6C}">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M317" authorId="0" shapeId="0" xr:uid="{1BFB96BB-5D92-4188-BA09-A304D79A8CD4}">
      <text>
        <r>
          <rPr>
            <b/>
            <sz val="9"/>
            <color indexed="81"/>
            <rFont val="Tahoma"/>
            <family val="2"/>
          </rPr>
          <t>Author:</t>
        </r>
        <r>
          <rPr>
            <sz val="9"/>
            <color indexed="81"/>
            <rFont val="Tahoma"/>
            <family val="2"/>
          </rPr>
          <t xml:space="preserve">
Reference:
DCYR01-ESMV-E0E001 
SH. 1
ACYR00-SIMD-E01005.pdf</t>
        </r>
      </text>
    </comment>
    <comment ref="N317" authorId="0" shapeId="0" xr:uid="{8621962B-B09F-4596-ADD6-EFCF2B0DDB29}">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K318" authorId="0" shapeId="0" xr:uid="{46BAD9CF-E39D-4413-A831-365462FD004F}">
      <text>
        <r>
          <rPr>
            <b/>
            <sz val="9"/>
            <color indexed="81"/>
            <rFont val="Tahoma"/>
            <family val="2"/>
          </rPr>
          <t>Author:</t>
        </r>
        <r>
          <rPr>
            <sz val="9"/>
            <color indexed="81"/>
            <rFont val="Tahoma"/>
            <family val="2"/>
          </rPr>
          <t xml:space="preserve">
Reference:
1250 MCM MV Cable ampacity from ACYR00-ESMV-MVC-R0
Bore Cymcap Results</t>
        </r>
      </text>
    </comment>
    <comment ref="L318" authorId="0" shapeId="0" xr:uid="{40A2CD8E-6C9E-4572-BD01-FA7AEED977CC}">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M318" authorId="0" shapeId="0" xr:uid="{D4A2B6D4-403E-4FF5-BF72-4E31122CC8D7}">
      <text>
        <r>
          <rPr>
            <b/>
            <sz val="9"/>
            <color indexed="81"/>
            <rFont val="Tahoma"/>
            <family val="2"/>
          </rPr>
          <t>Author:</t>
        </r>
        <r>
          <rPr>
            <sz val="9"/>
            <color indexed="81"/>
            <rFont val="Tahoma"/>
            <family val="2"/>
          </rPr>
          <t xml:space="preserve">
Reference:
DCYR01-ESMV-E0E001 
SH. 1
ACYR00-SIMD-E01005.pdf</t>
        </r>
      </text>
    </comment>
    <comment ref="N318" authorId="0" shapeId="0" xr:uid="{3EBE2C62-77E0-4DBC-BF89-04AF52F7FC7B}">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K319" authorId="0" shapeId="0" xr:uid="{5094280A-A667-421D-8D79-E34E8B2A447E}">
      <text>
        <r>
          <rPr>
            <b/>
            <sz val="9"/>
            <color indexed="81"/>
            <rFont val="Tahoma"/>
            <family val="2"/>
          </rPr>
          <t>Author:</t>
        </r>
        <r>
          <rPr>
            <sz val="9"/>
            <color indexed="81"/>
            <rFont val="Tahoma"/>
            <family val="2"/>
          </rPr>
          <t xml:space="preserve">
Reference:
1250 MCM MV Cable ampacity from ACYR00-ESMV-MVC-R0
Bore Cymcap Results</t>
        </r>
      </text>
    </comment>
    <comment ref="L319" authorId="0" shapeId="0" xr:uid="{BD69DC0D-99B9-4F29-8667-BF1BC0E7771A}">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M319" authorId="0" shapeId="0" xr:uid="{E31C4D35-D370-4650-89CE-7709541313F4}">
      <text>
        <r>
          <rPr>
            <b/>
            <sz val="9"/>
            <color indexed="81"/>
            <rFont val="Tahoma"/>
            <family val="2"/>
          </rPr>
          <t>Author:</t>
        </r>
        <r>
          <rPr>
            <sz val="9"/>
            <color indexed="81"/>
            <rFont val="Tahoma"/>
            <family val="2"/>
          </rPr>
          <t xml:space="preserve">
Reference:
DCYR01-ESMV-E0E001 
SH. 1
ACYR00-SIMD-E01005.pdf</t>
        </r>
      </text>
    </comment>
    <comment ref="N319" authorId="0" shapeId="0" xr:uid="{09AB59EF-A322-424E-8883-FD784F5B06CA}">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K320" authorId="0" shapeId="0" xr:uid="{BCBFB04B-DAB7-452B-BAB4-AED4C2D266CD}">
      <text>
        <r>
          <rPr>
            <b/>
            <sz val="9"/>
            <color indexed="81"/>
            <rFont val="Tahoma"/>
            <family val="2"/>
          </rPr>
          <t>Author:</t>
        </r>
        <r>
          <rPr>
            <sz val="9"/>
            <color indexed="81"/>
            <rFont val="Tahoma"/>
            <family val="2"/>
          </rPr>
          <t xml:space="preserve">
Reference:
1250 MCM MV Cable ampacity from ACYR00-ESMV-MVC-R0  
Bore Cymcap Results </t>
        </r>
      </text>
    </comment>
    <comment ref="L320" authorId="0" shapeId="0" xr:uid="{6899593E-12F0-4540-983D-E03D5BE6CFB7}">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M320" authorId="0" shapeId="0" xr:uid="{BA728E83-F77E-42F4-BC17-D86C972AC5B8}">
      <text>
        <r>
          <rPr>
            <b/>
            <sz val="9"/>
            <color indexed="81"/>
            <rFont val="Tahoma"/>
            <family val="2"/>
          </rPr>
          <t>Author:</t>
        </r>
        <r>
          <rPr>
            <sz val="9"/>
            <color indexed="81"/>
            <rFont val="Tahoma"/>
            <family val="2"/>
          </rPr>
          <t xml:space="preserve">
Reference:
DCYR01-ESMV-E0E001 
SH. 1
ACYR00-SIMD-E01005.pdf</t>
        </r>
      </text>
    </comment>
    <comment ref="N320" authorId="0" shapeId="0" xr:uid="{9EDFD3E1-1E09-433D-9197-97E2B0149807}">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K321" authorId="0" shapeId="0" xr:uid="{9953429A-733A-4ACE-915D-4B0AD47A976C}">
      <text>
        <r>
          <rPr>
            <b/>
            <sz val="9"/>
            <color indexed="81"/>
            <rFont val="Tahoma"/>
            <family val="2"/>
          </rPr>
          <t>Author:</t>
        </r>
        <r>
          <rPr>
            <sz val="9"/>
            <color indexed="81"/>
            <rFont val="Tahoma"/>
            <family val="2"/>
          </rPr>
          <t xml:space="preserve">
Reference:
1250 MCM MV Cable ampacity from ACYR00-ESMV-MVC-R0
Bore Cymcap Results</t>
        </r>
      </text>
    </comment>
    <comment ref="L321" authorId="0" shapeId="0" xr:uid="{84948729-C393-4D7D-BC42-9476D545FCC7}">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M321" authorId="0" shapeId="0" xr:uid="{FD8E012B-1D19-4BD5-AB7E-585C815B950E}">
      <text>
        <r>
          <rPr>
            <b/>
            <sz val="9"/>
            <color indexed="81"/>
            <rFont val="Tahoma"/>
            <family val="2"/>
          </rPr>
          <t>Author:</t>
        </r>
        <r>
          <rPr>
            <sz val="9"/>
            <color indexed="81"/>
            <rFont val="Tahoma"/>
            <family val="2"/>
          </rPr>
          <t xml:space="preserve">
Reference:
DCYR01-ESMV-E0E001 
SH. 1
ACYR00-SIMD-E01005.pdf</t>
        </r>
      </text>
    </comment>
    <comment ref="N321" authorId="0" shapeId="0" xr:uid="{CC744E36-1F62-4AE2-B780-D8C0D6E7E22A}">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K322" authorId="0" shapeId="0" xr:uid="{457A6A24-F901-413B-8BF4-F264FF443359}">
      <text>
        <r>
          <rPr>
            <b/>
            <sz val="9"/>
            <color indexed="81"/>
            <rFont val="Tahoma"/>
            <family val="2"/>
          </rPr>
          <t>Author:</t>
        </r>
        <r>
          <rPr>
            <sz val="9"/>
            <color indexed="81"/>
            <rFont val="Tahoma"/>
            <family val="2"/>
          </rPr>
          <t xml:space="preserve">
Reference:
1250 MCM MV Cable ampacity from ACYR00-ESMV-MVC-R0
Bore Cymcap Results</t>
        </r>
      </text>
    </comment>
    <comment ref="L322" authorId="0" shapeId="0" xr:uid="{1569C463-1A7E-4293-A9E4-9295FE6DACB2}">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M322" authorId="0" shapeId="0" xr:uid="{8497F8BE-E3A9-4609-8E2E-B30D835AA94F}">
      <text>
        <r>
          <rPr>
            <b/>
            <sz val="9"/>
            <color indexed="81"/>
            <rFont val="Tahoma"/>
            <family val="2"/>
          </rPr>
          <t>Author:</t>
        </r>
        <r>
          <rPr>
            <sz val="9"/>
            <color indexed="81"/>
            <rFont val="Tahoma"/>
            <family val="2"/>
          </rPr>
          <t xml:space="preserve">
Reference:
DCYR01-ESMV-E0E001 
SH. 1
ACYR00-SIMD-E01005.pdf</t>
        </r>
      </text>
    </comment>
    <comment ref="N322" authorId="0" shapeId="0" xr:uid="{A609D2DB-6BE6-48CF-917F-04D463FB91D2}">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
DCYR01-ESMV-E0E001 SH. 1</t>
        </r>
      </text>
    </comment>
    <comment ref="K323" authorId="0" shapeId="0" xr:uid="{E03931F0-E87A-45BE-8C81-CD9057F673AE}">
      <text>
        <r>
          <rPr>
            <b/>
            <sz val="9"/>
            <color indexed="81"/>
            <rFont val="Tahoma"/>
            <family val="2"/>
          </rPr>
          <t>Author:</t>
        </r>
        <r>
          <rPr>
            <sz val="9"/>
            <color indexed="81"/>
            <rFont val="Tahoma"/>
            <family val="2"/>
          </rPr>
          <t xml:space="preserve">
Reference:
1250 MCM MV Cable ampacity from ACYR00-ESMV-MVC-R0
Direct Buried Cymcap Results</t>
        </r>
      </text>
    </comment>
    <comment ref="L323" authorId="0" shapeId="0" xr:uid="{7FDE1428-AD8B-4E8B-BB8B-455FA9EE2C61}">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M323" authorId="0" shapeId="0" xr:uid="{C087A08C-2A19-4D0D-9C7C-881D3FE867E2}">
      <text>
        <r>
          <rPr>
            <b/>
            <sz val="9"/>
            <color indexed="81"/>
            <rFont val="Tahoma"/>
            <family val="2"/>
          </rPr>
          <t>Author:</t>
        </r>
        <r>
          <rPr>
            <sz val="9"/>
            <color indexed="81"/>
            <rFont val="Tahoma"/>
            <family val="2"/>
          </rPr>
          <t xml:space="preserve">
Reference:
DCYR01-ESMV-E0W001
SH. 1
ACYR00-SIMD-E01005.pdf</t>
        </r>
      </text>
    </comment>
    <comment ref="N323" authorId="0" shapeId="0" xr:uid="{08A327D2-B6E1-45AB-9865-715D0910C231}">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K324" authorId="0" shapeId="0" xr:uid="{3DE5AFC2-58CD-48BF-8995-63157FF80A9A}">
      <text>
        <r>
          <rPr>
            <b/>
            <sz val="9"/>
            <color indexed="81"/>
            <rFont val="Tahoma"/>
            <family val="2"/>
          </rPr>
          <t>Author:</t>
        </r>
        <r>
          <rPr>
            <sz val="9"/>
            <color indexed="81"/>
            <rFont val="Tahoma"/>
            <family val="2"/>
          </rPr>
          <t xml:space="preserve">
Reference:
1250 MCM MV Cable ampacity from ACYR00-ESMV-MVC-R0
Direct Buried Cymcap Results</t>
        </r>
      </text>
    </comment>
    <comment ref="L324" authorId="0" shapeId="0" xr:uid="{A9830D78-38FE-455B-A8A4-8CC3EF418D79}">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M324" authorId="0" shapeId="0" xr:uid="{EF0C7CBD-39B3-4232-A7E6-35C7A4FCE3FB}">
      <text>
        <r>
          <rPr>
            <b/>
            <sz val="9"/>
            <color indexed="81"/>
            <rFont val="Tahoma"/>
            <family val="2"/>
          </rPr>
          <t>Author:</t>
        </r>
        <r>
          <rPr>
            <sz val="9"/>
            <color indexed="81"/>
            <rFont val="Tahoma"/>
            <family val="2"/>
          </rPr>
          <t xml:space="preserve">
Reference:
DCYR01-ESMV-E0W001
SH. 1
ACYR00-SIMD-E01005.pdf</t>
        </r>
      </text>
    </comment>
    <comment ref="N324" authorId="0" shapeId="0" xr:uid="{1B079447-8FA9-4CD0-B1F8-685EC2303872}">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K325" authorId="0" shapeId="0" xr:uid="{2DF0397B-E556-4C90-BBEF-66D2C9641322}">
      <text>
        <r>
          <rPr>
            <b/>
            <sz val="9"/>
            <color indexed="81"/>
            <rFont val="Tahoma"/>
            <family val="2"/>
          </rPr>
          <t>Author:</t>
        </r>
        <r>
          <rPr>
            <sz val="9"/>
            <color indexed="81"/>
            <rFont val="Tahoma"/>
            <family val="2"/>
          </rPr>
          <t xml:space="preserve">
Reference:
1250 MCM MV Cable ampacity from ACYR00-ESMV-MVC-R0
Direct Buried Cymcap Results</t>
        </r>
      </text>
    </comment>
    <comment ref="L325" authorId="0" shapeId="0" xr:uid="{576FA80F-8D9F-4DD7-8D42-5E118C7C8FB6}">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M325" authorId="0" shapeId="0" xr:uid="{6A925FFA-6E71-45DE-923D-FC119672CD35}">
      <text>
        <r>
          <rPr>
            <b/>
            <sz val="9"/>
            <color indexed="81"/>
            <rFont val="Tahoma"/>
            <family val="2"/>
          </rPr>
          <t>Author:</t>
        </r>
        <r>
          <rPr>
            <sz val="9"/>
            <color indexed="81"/>
            <rFont val="Tahoma"/>
            <family val="2"/>
          </rPr>
          <t xml:space="preserve">
Reference:
DCYR01-ESMV-E0W001
SH. 1
ACYR00-SIMD-E01005.pdf</t>
        </r>
      </text>
    </comment>
    <comment ref="N325" authorId="0" shapeId="0" xr:uid="{BA8B91E8-3CFD-4785-9E24-51A72070A9B3}">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K326" authorId="0" shapeId="0" xr:uid="{8101FEF2-5664-4839-90EC-0DE45F8FB2F6}">
      <text>
        <r>
          <rPr>
            <b/>
            <sz val="9"/>
            <color indexed="81"/>
            <rFont val="Tahoma"/>
            <family val="2"/>
          </rPr>
          <t>Author:</t>
        </r>
        <r>
          <rPr>
            <sz val="9"/>
            <color indexed="81"/>
            <rFont val="Tahoma"/>
            <family val="2"/>
          </rPr>
          <t xml:space="preserve">
Reference:
1250 MCM MV Cable ampacity from ACYR00-ESMV-MVC-R0
Direct Buried Cymcap Results</t>
        </r>
      </text>
    </comment>
    <comment ref="L326" authorId="0" shapeId="0" xr:uid="{14D2E6EB-9FEE-4DFC-886D-637C2B7E3E13}">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M326" authorId="0" shapeId="0" xr:uid="{080A13B9-50DB-4E44-A36B-0CCBC6571DCF}">
      <text>
        <r>
          <rPr>
            <b/>
            <sz val="9"/>
            <color indexed="81"/>
            <rFont val="Tahoma"/>
            <family val="2"/>
          </rPr>
          <t>Author:</t>
        </r>
        <r>
          <rPr>
            <sz val="9"/>
            <color indexed="81"/>
            <rFont val="Tahoma"/>
            <family val="2"/>
          </rPr>
          <t xml:space="preserve">
Reference:
DCYR01-ESMV-E0W001
SH. 1
ACYR00-SIMD-E01005.pdf</t>
        </r>
      </text>
    </comment>
    <comment ref="N326" authorId="0" shapeId="0" xr:uid="{D19E185E-F937-4154-9597-4EF60FE062DE}">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K327" authorId="0" shapeId="0" xr:uid="{DCE2F393-A3B2-4A17-A54C-CDB6E97B04BF}">
      <text>
        <r>
          <rPr>
            <b/>
            <sz val="9"/>
            <color indexed="81"/>
            <rFont val="Tahoma"/>
            <family val="2"/>
          </rPr>
          <t>Author:</t>
        </r>
        <r>
          <rPr>
            <sz val="9"/>
            <color indexed="81"/>
            <rFont val="Tahoma"/>
            <family val="2"/>
          </rPr>
          <t xml:space="preserve">
Reference:
1250 MCM MV Cable ampacity from ACYR00-ESMV-MVC-R0</t>
        </r>
      </text>
    </comment>
    <comment ref="L327" authorId="0" shapeId="0" xr:uid="{6F4E852A-28D3-475D-B493-A25A70B52B01}">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M327" authorId="0" shapeId="0" xr:uid="{D7BEA9A6-8FEA-4B3F-8D01-7AFD37176F60}">
      <text>
        <r>
          <rPr>
            <b/>
            <sz val="9"/>
            <color indexed="81"/>
            <rFont val="Tahoma"/>
            <family val="2"/>
          </rPr>
          <t>Author:</t>
        </r>
        <r>
          <rPr>
            <sz val="9"/>
            <color indexed="81"/>
            <rFont val="Tahoma"/>
            <family val="2"/>
          </rPr>
          <t xml:space="preserve">
Reference:
DCYR01-ESMV-E0W001
SH. 1
ACYR00-SIMD-E01005.pdf</t>
        </r>
      </text>
    </comment>
    <comment ref="N327" authorId="0" shapeId="0" xr:uid="{7642BC06-6041-4262-916B-B74F5043FCD7}">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K328" authorId="0" shapeId="0" xr:uid="{4E2B748B-785C-4CDA-90FE-3045444C286A}">
      <text>
        <r>
          <rPr>
            <b/>
            <sz val="9"/>
            <color indexed="81"/>
            <rFont val="Tahoma"/>
            <family val="2"/>
          </rPr>
          <t>Author:</t>
        </r>
        <r>
          <rPr>
            <sz val="9"/>
            <color indexed="81"/>
            <rFont val="Tahoma"/>
            <family val="2"/>
          </rPr>
          <t xml:space="preserve">
Reference:
1250 MCM MV Cable ampacity from ACYR00-ESMV-MVC-R0
Direct Buried Cymcap Results</t>
        </r>
      </text>
    </comment>
    <comment ref="L328" authorId="0" shapeId="0" xr:uid="{9D93BE37-9F53-4D24-8CC3-DE13CFE25A1C}">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M328" authorId="0" shapeId="0" xr:uid="{A66AE85A-6515-4E4C-9256-360B33AF6EF5}">
      <text>
        <r>
          <rPr>
            <b/>
            <sz val="9"/>
            <color indexed="81"/>
            <rFont val="Tahoma"/>
            <family val="2"/>
          </rPr>
          <t>Author:</t>
        </r>
        <r>
          <rPr>
            <sz val="9"/>
            <color indexed="81"/>
            <rFont val="Tahoma"/>
            <family val="2"/>
          </rPr>
          <t xml:space="preserve">
Reference:
DCYR01-ESMV-E0W001
SH. 1
ACYR00-SIMD-E01005.pdf</t>
        </r>
      </text>
    </comment>
    <comment ref="N328" authorId="0" shapeId="0" xr:uid="{EA58F9ED-9231-4D07-B802-4B45E783BD78}">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K329" authorId="0" shapeId="0" xr:uid="{4287DE68-915C-4B57-91A6-F99729E0B30A}">
      <text>
        <r>
          <rPr>
            <b/>
            <sz val="9"/>
            <color indexed="81"/>
            <rFont val="Tahoma"/>
            <family val="2"/>
          </rPr>
          <t>Author:</t>
        </r>
        <r>
          <rPr>
            <sz val="9"/>
            <color indexed="81"/>
            <rFont val="Tahoma"/>
            <family val="2"/>
          </rPr>
          <t xml:space="preserve">
Reference:
1250 MCM MV Cable ampacity from ACYR00-ESMV-MVC-R0
Direct Buried Cymcap Results</t>
        </r>
      </text>
    </comment>
    <comment ref="L329" authorId="0" shapeId="0" xr:uid="{6D98E2F4-7961-46E6-A870-2EAD1D6A1B52}">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M329" authorId="0" shapeId="0" xr:uid="{2DBC1732-283D-48E7-8083-0FA478A08000}">
      <text>
        <r>
          <rPr>
            <b/>
            <sz val="9"/>
            <color indexed="81"/>
            <rFont val="Tahoma"/>
            <family val="2"/>
          </rPr>
          <t>Author:</t>
        </r>
        <r>
          <rPr>
            <sz val="9"/>
            <color indexed="81"/>
            <rFont val="Tahoma"/>
            <family val="2"/>
          </rPr>
          <t xml:space="preserve">
Reference:
DCYR01-ESMV-E0W001
SH. 1
ACYR00-SIMD-E01005.pdf</t>
        </r>
      </text>
    </comment>
    <comment ref="N329" authorId="0" shapeId="0" xr:uid="{82091110-FD47-4719-90D0-C18012B9E5F1}">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K330" authorId="0" shapeId="0" xr:uid="{5690A20D-6F97-4FCE-A4AE-FA70FC5B8539}">
      <text>
        <r>
          <rPr>
            <b/>
            <sz val="9"/>
            <color indexed="81"/>
            <rFont val="Tahoma"/>
            <family val="2"/>
          </rPr>
          <t>Author:</t>
        </r>
        <r>
          <rPr>
            <sz val="9"/>
            <color indexed="81"/>
            <rFont val="Tahoma"/>
            <family val="2"/>
          </rPr>
          <t xml:space="preserve">
Reference:
1250 MCM MV Cable ampacity from ACYR00-ESMV-MVC-R0
Bore Cymcap Results</t>
        </r>
      </text>
    </comment>
    <comment ref="L330" authorId="0" shapeId="0" xr:uid="{95909448-1622-4223-BF65-243138EC4356}">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M330" authorId="0" shapeId="0" xr:uid="{4A4530BA-3262-48D2-8B37-E013C194D5C9}">
      <text>
        <r>
          <rPr>
            <b/>
            <sz val="9"/>
            <color indexed="81"/>
            <rFont val="Tahoma"/>
            <family val="2"/>
          </rPr>
          <t>Author:</t>
        </r>
        <r>
          <rPr>
            <sz val="9"/>
            <color indexed="81"/>
            <rFont val="Tahoma"/>
            <family val="2"/>
          </rPr>
          <t xml:space="preserve">
Reference:
DCYR01-ESMV-E0W001
SH. 1
ACYR00-SIMD-E01005.pdf</t>
        </r>
      </text>
    </comment>
    <comment ref="N330" authorId="0" shapeId="0" xr:uid="{77D15D91-8E0F-44B7-B15F-F9CE69FE79EB}">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K331" authorId="0" shapeId="0" xr:uid="{77804A59-D7F5-4AE8-8C33-8C578C9E3D6F}">
      <text>
        <r>
          <rPr>
            <b/>
            <sz val="9"/>
            <color indexed="81"/>
            <rFont val="Tahoma"/>
            <family val="2"/>
          </rPr>
          <t>Author:</t>
        </r>
        <r>
          <rPr>
            <sz val="9"/>
            <color indexed="81"/>
            <rFont val="Tahoma"/>
            <family val="2"/>
          </rPr>
          <t xml:space="preserve">
Reference:
1250 MCM MV Cable ampacity from ACYR00-ESMV-MVC-R0
Bore Cymcap Results</t>
        </r>
      </text>
    </comment>
    <comment ref="L331" authorId="0" shapeId="0" xr:uid="{5320AF70-978E-4E5F-A7C5-7A923190DA59}">
      <text>
        <r>
          <rPr>
            <b/>
            <sz val="9"/>
            <color indexed="81"/>
            <rFont val="Tahoma"/>
            <family val="2"/>
          </rPr>
          <t>Author:</t>
        </r>
        <r>
          <rPr>
            <sz val="9"/>
            <color indexed="81"/>
            <rFont val="Tahoma"/>
            <family val="2"/>
          </rPr>
          <t xml:space="preserve">
1272 MCM Narcissus 
Summer (normall) @ 2 ft/sec
XEL-EVD-Facility-Rating-Supplement---Table---Bare-Overhead-Conductor.xls
DCYR01-ESMV-E0W001
SH. 1
ACYR00-SIMD-E01005.pdf</t>
        </r>
      </text>
    </comment>
    <comment ref="M331" authorId="0" shapeId="0" xr:uid="{6BC5C88E-336D-4221-B47E-29255B3AB25A}">
      <text>
        <r>
          <rPr>
            <b/>
            <sz val="9"/>
            <color indexed="81"/>
            <rFont val="Tahoma"/>
            <family val="2"/>
          </rPr>
          <t>Author:</t>
        </r>
        <r>
          <rPr>
            <sz val="9"/>
            <color indexed="81"/>
            <rFont val="Tahoma"/>
            <family val="2"/>
          </rPr>
          <t xml:space="preserve">
Reference:
DCYR01-ESMV-E0W001
SH. 1
ACYR00-SIMD-E01005.pdf</t>
        </r>
      </text>
    </comment>
    <comment ref="N331" authorId="0" shapeId="0" xr:uid="{910E2A8D-53A8-43B7-BC7B-F520EC6FCC0F}">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K332" authorId="0" shapeId="0" xr:uid="{229D451B-7B64-4C29-9F18-64F9793288C4}">
      <text>
        <r>
          <rPr>
            <b/>
            <sz val="9"/>
            <color indexed="81"/>
            <rFont val="Tahoma"/>
            <family val="2"/>
          </rPr>
          <t>Author:</t>
        </r>
        <r>
          <rPr>
            <sz val="9"/>
            <color indexed="81"/>
            <rFont val="Tahoma"/>
            <family val="2"/>
          </rPr>
          <t xml:space="preserve">
Reference:
1250 MCM MV Cable ampacity from ACYR00-ESMV-MVC-R0
Bore Cymcap Results
Bore Cymcap Results</t>
        </r>
      </text>
    </comment>
    <comment ref="L332" authorId="0" shapeId="0" xr:uid="{ACCE875B-A467-416C-9287-481FECEC2907}">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M332" authorId="0" shapeId="0" xr:uid="{9CCAE3B3-641C-471F-B6C0-0519F4BAA1F9}">
      <text>
        <r>
          <rPr>
            <b/>
            <sz val="9"/>
            <color indexed="81"/>
            <rFont val="Tahoma"/>
            <family val="2"/>
          </rPr>
          <t>Author:</t>
        </r>
        <r>
          <rPr>
            <sz val="9"/>
            <color indexed="81"/>
            <rFont val="Tahoma"/>
            <family val="2"/>
          </rPr>
          <t xml:space="preserve">
Reference:
DCYR01-ESMV-E0W001
SH. 1
ACYR00-SIMD-E01005.pdf</t>
        </r>
      </text>
    </comment>
    <comment ref="N332" authorId="0" shapeId="0" xr:uid="{E31EF006-8A01-4DE9-A5DD-3E8D1E393EC6}">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K333" authorId="0" shapeId="0" xr:uid="{BFC574F1-AB7C-4E28-853E-D01D99AFC7D7}">
      <text>
        <r>
          <rPr>
            <b/>
            <sz val="9"/>
            <color indexed="81"/>
            <rFont val="Tahoma"/>
            <family val="2"/>
          </rPr>
          <t>Author:</t>
        </r>
        <r>
          <rPr>
            <sz val="9"/>
            <color indexed="81"/>
            <rFont val="Tahoma"/>
            <family val="2"/>
          </rPr>
          <t xml:space="preserve">
Reference:
1250 MCM MV Cable ampacity from ACYR00-ESMV-MVC-R0
Bore Cymcap Results</t>
        </r>
      </text>
    </comment>
    <comment ref="L333" authorId="0" shapeId="0" xr:uid="{E0D958CE-8C60-4856-98A6-59873D19E5B0}">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M333" authorId="0" shapeId="0" xr:uid="{6DC481FA-8506-44C5-8763-1A8C6F9D7CE2}">
      <text>
        <r>
          <rPr>
            <b/>
            <sz val="9"/>
            <color indexed="81"/>
            <rFont val="Tahoma"/>
            <family val="2"/>
          </rPr>
          <t>Author:</t>
        </r>
        <r>
          <rPr>
            <sz val="9"/>
            <color indexed="81"/>
            <rFont val="Tahoma"/>
            <family val="2"/>
          </rPr>
          <t xml:space="preserve">
Reference:
DCYR01-ESMV-E0W001
SH. 1
ACYR00-SIMD-E01005.pdf</t>
        </r>
      </text>
    </comment>
    <comment ref="N333" authorId="0" shapeId="0" xr:uid="{B1F12761-274C-431A-91D7-392007256558}">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K334" authorId="0" shapeId="0" xr:uid="{ADC2C158-CE62-426E-8E92-371B4837EB5A}">
      <text>
        <r>
          <rPr>
            <b/>
            <sz val="9"/>
            <color indexed="81"/>
            <rFont val="Tahoma"/>
            <family val="2"/>
          </rPr>
          <t>Author:</t>
        </r>
        <r>
          <rPr>
            <sz val="9"/>
            <color indexed="81"/>
            <rFont val="Tahoma"/>
            <family val="2"/>
          </rPr>
          <t xml:space="preserve">
Reference:
1250 MCM MV Cable ampacity from ACYR00-ESMV-MVC-R0
Bore Cymcap Results</t>
        </r>
      </text>
    </comment>
    <comment ref="L334" authorId="0" shapeId="0" xr:uid="{C9520B2B-6635-422F-8FAB-568524F2A143}">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M334" authorId="0" shapeId="0" xr:uid="{614054A7-2983-4FF8-A0B2-2C4EE0648768}">
      <text>
        <r>
          <rPr>
            <b/>
            <sz val="9"/>
            <color indexed="81"/>
            <rFont val="Tahoma"/>
            <family val="2"/>
          </rPr>
          <t>Author:</t>
        </r>
        <r>
          <rPr>
            <sz val="9"/>
            <color indexed="81"/>
            <rFont val="Tahoma"/>
            <family val="2"/>
          </rPr>
          <t xml:space="preserve">
Reference:
DCYR01-ESMV-E0W001
SH. 1
ACYR00-SIMD-E01005.pdf</t>
        </r>
      </text>
    </comment>
    <comment ref="N334" authorId="0" shapeId="0" xr:uid="{8D60BAC1-385A-40DA-87EB-6F00291B7A62}">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K335" authorId="0" shapeId="0" xr:uid="{D3F2B2BD-90C0-489E-A1AD-27EE8B22B86E}">
      <text>
        <r>
          <rPr>
            <b/>
            <sz val="9"/>
            <color indexed="81"/>
            <rFont val="Tahoma"/>
            <family val="2"/>
          </rPr>
          <t>Author:</t>
        </r>
        <r>
          <rPr>
            <sz val="9"/>
            <color indexed="81"/>
            <rFont val="Tahoma"/>
            <family val="2"/>
          </rPr>
          <t xml:space="preserve">
Reference:
1250 MCM MV Cable ampacity from ACYR00-ESMV-MVC-R0
Bore Cymcap Results</t>
        </r>
      </text>
    </comment>
    <comment ref="L335" authorId="0" shapeId="0" xr:uid="{C61D1305-CD24-4035-9696-F1F7EB3A397D}">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M335" authorId="0" shapeId="0" xr:uid="{2CCEBB46-7E93-4B83-B6C2-90630C2E6970}">
      <text>
        <r>
          <rPr>
            <b/>
            <sz val="9"/>
            <color indexed="81"/>
            <rFont val="Tahoma"/>
            <family val="2"/>
          </rPr>
          <t>Author:</t>
        </r>
        <r>
          <rPr>
            <sz val="9"/>
            <color indexed="81"/>
            <rFont val="Tahoma"/>
            <family val="2"/>
          </rPr>
          <t xml:space="preserve">
Reference:
DCYR01-ESMV-E0W001
SH. 1
ACYR00-SIMD-E01005.pdf</t>
        </r>
      </text>
    </comment>
    <comment ref="N335" authorId="0" shapeId="0" xr:uid="{8EA9E771-5938-45DD-A4F2-F765AE1BAB7D}">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K336" authorId="0" shapeId="0" xr:uid="{C70AC126-27B3-448A-9F5C-2927A73759D8}">
      <text>
        <r>
          <rPr>
            <b/>
            <sz val="9"/>
            <color indexed="81"/>
            <rFont val="Tahoma"/>
            <family val="2"/>
          </rPr>
          <t>Author:</t>
        </r>
        <r>
          <rPr>
            <sz val="9"/>
            <color indexed="81"/>
            <rFont val="Tahoma"/>
            <family val="2"/>
          </rPr>
          <t xml:space="preserve">
Reference:
1250 MCM MV Cable ampacity from ACYR00-ESMV-MVC-R0
Bore Cymcap Results</t>
        </r>
      </text>
    </comment>
    <comment ref="L336" authorId="0" shapeId="0" xr:uid="{ADFA2794-1CE9-430B-B9A1-02FC6B7396CE}">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M336" authorId="0" shapeId="0" xr:uid="{DC90DC77-7E78-4336-BBBE-E56DC3E9ED6A}">
      <text>
        <r>
          <rPr>
            <b/>
            <sz val="9"/>
            <color indexed="81"/>
            <rFont val="Tahoma"/>
            <family val="2"/>
          </rPr>
          <t>Author:</t>
        </r>
        <r>
          <rPr>
            <sz val="9"/>
            <color indexed="81"/>
            <rFont val="Tahoma"/>
            <family val="2"/>
          </rPr>
          <t xml:space="preserve">
Reference:
DCYR01-ESMV-E0W001
SH. 1
ACYR00-SIMD-E01005.pdf</t>
        </r>
      </text>
    </comment>
    <comment ref="N336" authorId="0" shapeId="0" xr:uid="{17BA40FB-8910-499D-A189-878BDEAC2F98}">
      <text>
        <r>
          <rPr>
            <b/>
            <sz val="9"/>
            <color indexed="81"/>
            <rFont val="Tahoma"/>
            <family val="2"/>
          </rPr>
          <t>Author:</t>
        </r>
        <r>
          <rPr>
            <sz val="9"/>
            <color indexed="81"/>
            <rFont val="Tahoma"/>
            <family val="2"/>
          </rPr>
          <t xml:space="preserve">
1272 MCM Narcissus 
Summer (normal) @ 2 ft/sec
XEL-EVD-Facility-Rating-Supplement---Table---Bare-Overhead-Conductor.xls
DCYR01-ESMV-E0W001
SH. 1
ACYR00-SIMD-E01005.pdf</t>
        </r>
      </text>
    </comment>
    <comment ref="F342" authorId="0" shapeId="0" xr:uid="{530BC232-ACBF-4DE1-ADA3-BAEBC63B5FC6}">
      <text>
        <r>
          <rPr>
            <b/>
            <sz val="9"/>
            <color indexed="81"/>
            <rFont val="Tahoma"/>
            <family val="2"/>
          </rPr>
          <t>Author:</t>
        </r>
        <r>
          <rPr>
            <sz val="9"/>
            <color indexed="81"/>
            <rFont val="Tahoma"/>
            <family val="2"/>
          </rPr>
          <t xml:space="preserve">
Reference: 
2" AL. Tube Summer (Normal) 2ft/sec.
ACYR00-SIMD-E01005.pdf
XEL-EVD-Facility-Rating-Supplement---Table---Tubular-and-Square-Conductor.xls
</t>
        </r>
      </text>
    </comment>
    <comment ref="G342" authorId="0" shapeId="0" xr:uid="{D8BC5A2E-FECC-443D-B85F-2F35CDAD16E6}">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t>
        </r>
      </text>
    </comment>
    <comment ref="K342" authorId="0" shapeId="0" xr:uid="{02E06A89-34D7-4A90-9648-BEB8FD8DD1CC}">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t>
        </r>
      </text>
    </comment>
    <comment ref="M342" authorId="0" shapeId="0" xr:uid="{7CC5B75F-1AD6-4C51-8266-75933A003081}">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t>
        </r>
      </text>
    </comment>
    <comment ref="C344" authorId="0" shapeId="0" xr:uid="{B7B88761-F389-4610-8246-18D188C24C85}">
      <text>
        <r>
          <rPr>
            <b/>
            <sz val="9"/>
            <color indexed="81"/>
            <rFont val="Tahoma"/>
            <family val="2"/>
          </rPr>
          <t>Author:</t>
        </r>
        <r>
          <rPr>
            <sz val="9"/>
            <color indexed="81"/>
            <rFont val="Tahoma"/>
            <family val="2"/>
          </rPr>
          <t xml:space="preserve">
Combined MVA of Feeders: 2101A and 2101B</t>
        </r>
      </text>
    </comment>
    <comment ref="F344" authorId="0" shapeId="0" xr:uid="{2AC80FC8-E573-4FD2-9366-1AC34B7F9C03}">
      <text>
        <r>
          <rPr>
            <b/>
            <sz val="9"/>
            <color indexed="81"/>
            <rFont val="Tahoma"/>
            <family val="2"/>
          </rPr>
          <t>Author:</t>
        </r>
        <r>
          <rPr>
            <sz val="9"/>
            <color indexed="81"/>
            <rFont val="Tahoma"/>
            <family val="2"/>
          </rPr>
          <t xml:space="preserve">
Reference:
DCYR01-ESMV-E0E001 Sh. 1
</t>
        </r>
      </text>
    </comment>
    <comment ref="G344" authorId="0" shapeId="0" xr:uid="{AEB56AE3-8937-498A-AAE5-19F4742F33EA}">
      <text>
        <r>
          <rPr>
            <b/>
            <sz val="9"/>
            <color indexed="81"/>
            <rFont val="Tahoma"/>
            <family val="2"/>
          </rPr>
          <t>Author:</t>
        </r>
        <r>
          <rPr>
            <sz val="9"/>
            <color indexed="81"/>
            <rFont val="Tahoma"/>
            <family val="2"/>
          </rPr>
          <t xml:space="preserve">
Reference:
DCYR01-ESMV-E0E001 Sh. 1
</t>
        </r>
      </text>
    </comment>
    <comment ref="H344" authorId="0" shapeId="0" xr:uid="{8A40F312-226A-454D-87F7-444B3D61BA9E}">
      <text>
        <r>
          <rPr>
            <b/>
            <sz val="9"/>
            <color indexed="81"/>
            <rFont val="Tahoma"/>
            <family val="2"/>
          </rPr>
          <t>Author:</t>
        </r>
        <r>
          <rPr>
            <sz val="9"/>
            <color indexed="81"/>
            <rFont val="Tahoma"/>
            <family val="2"/>
          </rPr>
          <t xml:space="preserve">
Reference:
DCYR01-ESPT-E8E001 SH. 2
3007854009-100 .pdf
2000:5A MR (2000:5A TAP)
TRF: 2
</t>
        </r>
      </text>
    </comment>
    <comment ref="I344" authorId="0" shapeId="0" xr:uid="{609AD50B-1F69-4A4C-8B20-5D31EE38E023}">
      <text>
        <r>
          <rPr>
            <b/>
            <sz val="9"/>
            <color indexed="81"/>
            <rFont val="Tahoma"/>
            <family val="2"/>
          </rPr>
          <t>Author:</t>
        </r>
        <r>
          <rPr>
            <sz val="9"/>
            <color indexed="81"/>
            <rFont val="Tahoma"/>
            <family val="2"/>
          </rPr>
          <t xml:space="preserve">
Reference:
3007854009-100 .pdf
DCYR01-ESMV-E0E001 Sh. 1
</t>
        </r>
      </text>
    </comment>
    <comment ref="J344" authorId="0" shapeId="0" xr:uid="{919FDA05-1FC9-48B2-ACF2-01DBE28D8D09}">
      <text>
        <r>
          <rPr>
            <b/>
            <sz val="9"/>
            <color indexed="81"/>
            <rFont val="Tahoma"/>
            <family val="2"/>
          </rPr>
          <t>Author:</t>
        </r>
        <r>
          <rPr>
            <sz val="9"/>
            <color indexed="81"/>
            <rFont val="Tahoma"/>
            <family val="2"/>
          </rPr>
          <t xml:space="preserve">
Reference:
DCYR01-ESPT-E8E001 SH. 2
3007854009-100 .pdf
2000:5A MR (2000:5A TAP)
TRF: 2
</t>
        </r>
      </text>
    </comment>
    <comment ref="K344" authorId="0" shapeId="0" xr:uid="{EF870764-6FA3-495C-B24A-F644ED8842CD}">
      <text>
        <r>
          <rPr>
            <b/>
            <sz val="9"/>
            <color indexed="81"/>
            <rFont val="Tahoma"/>
            <family val="2"/>
          </rPr>
          <t>Author:</t>
        </r>
        <r>
          <rPr>
            <sz val="9"/>
            <color indexed="81"/>
            <rFont val="Tahoma"/>
            <family val="2"/>
          </rPr>
          <t xml:space="preserve">
Reference:
DCYR01-ESMV-E0E001 Sh. 1
</t>
        </r>
      </text>
    </comment>
    <comment ref="L344" authorId="0" shapeId="0" xr:uid="{30C25E70-4BD4-42A5-9738-EEA7784F29B8}">
      <text>
        <r>
          <rPr>
            <b/>
            <sz val="9"/>
            <color indexed="81"/>
            <rFont val="Tahoma"/>
            <family val="2"/>
          </rPr>
          <t>Author:</t>
        </r>
        <r>
          <rPr>
            <sz val="9"/>
            <color indexed="81"/>
            <rFont val="Tahoma"/>
            <family val="2"/>
          </rPr>
          <t xml:space="preserve">
Reference:
DCYR01-ESMV-E0E001 Sh. 1
</t>
        </r>
      </text>
    </comment>
    <comment ref="M344" authorId="0" shapeId="0" xr:uid="{4981479E-3477-4D4C-A38A-FE967028A47F}">
      <text>
        <r>
          <rPr>
            <b/>
            <sz val="9"/>
            <color indexed="81"/>
            <rFont val="Tahoma"/>
            <family val="2"/>
          </rPr>
          <t>Author:</t>
        </r>
        <r>
          <rPr>
            <sz val="9"/>
            <color indexed="81"/>
            <rFont val="Tahoma"/>
            <family val="2"/>
          </rPr>
          <t xml:space="preserve">
Reference:
DCYR01-ESMV-E0E001 Sh. 1
</t>
        </r>
      </text>
    </comment>
    <comment ref="N344" authorId="0" shapeId="0" xr:uid="{FDDF7EA7-0293-4DDB-8888-A4484EBC46E7}">
      <text>
        <r>
          <rPr>
            <b/>
            <sz val="9"/>
            <color indexed="81"/>
            <rFont val="Tahoma"/>
            <family val="2"/>
          </rPr>
          <t>Author:</t>
        </r>
        <r>
          <rPr>
            <sz val="9"/>
            <color indexed="81"/>
            <rFont val="Tahoma"/>
            <family val="2"/>
          </rPr>
          <t xml:space="preserve">
Reference Cheyenne Ridge PRC-025-2
Limiting Relay Element:
50P1P = 508 A - Directional, doesn't apply
50P2P = 1128 A
50P3P = 3640 A</t>
        </r>
      </text>
    </comment>
    <comment ref="C345" authorId="0" shapeId="0" xr:uid="{759B363C-E2DC-43F4-A08B-6FAC0B733145}">
      <text>
        <r>
          <rPr>
            <b/>
            <sz val="9"/>
            <color indexed="81"/>
            <rFont val="Tahoma"/>
            <family val="2"/>
          </rPr>
          <t>Author:</t>
        </r>
        <r>
          <rPr>
            <sz val="9"/>
            <color indexed="81"/>
            <rFont val="Tahoma"/>
            <family val="2"/>
          </rPr>
          <t xml:space="preserve">
Combined MVA of Feeders: 
2102A and 2102B</t>
        </r>
      </text>
    </comment>
    <comment ref="F345" authorId="0" shapeId="0" xr:uid="{F2426D89-C3E3-4839-A32D-5AB43CB1659B}">
      <text>
        <r>
          <rPr>
            <b/>
            <sz val="9"/>
            <color indexed="81"/>
            <rFont val="Tahoma"/>
            <family val="2"/>
          </rPr>
          <t>Author:</t>
        </r>
        <r>
          <rPr>
            <sz val="9"/>
            <color indexed="81"/>
            <rFont val="Tahoma"/>
            <family val="2"/>
          </rPr>
          <t xml:space="preserve">
Reference:
DCYR01-ESMV-E0E001 Sh. 1
</t>
        </r>
      </text>
    </comment>
    <comment ref="G345" authorId="0" shapeId="0" xr:uid="{AB364BA2-4241-47D1-9AF3-0142CE8EC97C}">
      <text>
        <r>
          <rPr>
            <b/>
            <sz val="9"/>
            <color indexed="81"/>
            <rFont val="Tahoma"/>
            <family val="2"/>
          </rPr>
          <t>Author:</t>
        </r>
        <r>
          <rPr>
            <sz val="9"/>
            <color indexed="81"/>
            <rFont val="Tahoma"/>
            <family val="2"/>
          </rPr>
          <t xml:space="preserve">
Reference:
DCYR01-ESMV-E0E001 Sh. 1
</t>
        </r>
      </text>
    </comment>
    <comment ref="H345" authorId="0" shapeId="0" xr:uid="{D63D42F5-3440-49C8-9BC1-279158ACB42F}">
      <text>
        <r>
          <rPr>
            <b/>
            <sz val="9"/>
            <color indexed="81"/>
            <rFont val="Tahoma"/>
            <family val="2"/>
          </rPr>
          <t>Author:</t>
        </r>
        <r>
          <rPr>
            <sz val="9"/>
            <color indexed="81"/>
            <rFont val="Tahoma"/>
            <family val="2"/>
          </rPr>
          <t xml:space="preserve">
Reference:
DCYR01-ESPT-E8E001 SH.2
3007854009-100 .pdf
2000:5A MR (2000:5A TAP)
TRF: 2
</t>
        </r>
      </text>
    </comment>
    <comment ref="I345" authorId="0" shapeId="0" xr:uid="{FFA04B90-2F29-46C9-8EF9-D673EBF4CFC8}">
      <text>
        <r>
          <rPr>
            <b/>
            <sz val="9"/>
            <color indexed="81"/>
            <rFont val="Tahoma"/>
            <family val="2"/>
          </rPr>
          <t>Author:</t>
        </r>
        <r>
          <rPr>
            <sz val="9"/>
            <color indexed="81"/>
            <rFont val="Tahoma"/>
            <family val="2"/>
          </rPr>
          <t xml:space="preserve">
Reference:
3007854009-100 .pdf
DCYR01-ESMV-E0E001 Sh. 1
</t>
        </r>
      </text>
    </comment>
    <comment ref="J345" authorId="0" shapeId="0" xr:uid="{FF1BAC00-10B9-49B3-9F26-F53312739D3E}">
      <text>
        <r>
          <rPr>
            <b/>
            <sz val="9"/>
            <color indexed="81"/>
            <rFont val="Tahoma"/>
            <family val="2"/>
          </rPr>
          <t>Author:</t>
        </r>
        <r>
          <rPr>
            <sz val="9"/>
            <color indexed="81"/>
            <rFont val="Tahoma"/>
            <family val="2"/>
          </rPr>
          <t xml:space="preserve">
Reference:
DCYR01-ESPT-E8E001 SH.2
3007854009-100 .pdf
2000:5A MR (2000:5A TAP)
TRF: 2
</t>
        </r>
      </text>
    </comment>
    <comment ref="K345" authorId="0" shapeId="0" xr:uid="{F5D5E19B-3762-47DF-8AFF-154C98B027B6}">
      <text>
        <r>
          <rPr>
            <b/>
            <sz val="9"/>
            <color indexed="81"/>
            <rFont val="Tahoma"/>
            <family val="2"/>
          </rPr>
          <t>Author:</t>
        </r>
        <r>
          <rPr>
            <sz val="9"/>
            <color indexed="81"/>
            <rFont val="Tahoma"/>
            <family val="2"/>
          </rPr>
          <t xml:space="preserve">
Reference:
DCYR01-ESMV-E0E001 Sh. 1
</t>
        </r>
      </text>
    </comment>
    <comment ref="L345" authorId="0" shapeId="0" xr:uid="{E5BBF0BE-5841-4493-920B-FA64AD894A54}">
      <text>
        <r>
          <rPr>
            <b/>
            <sz val="9"/>
            <color indexed="81"/>
            <rFont val="Tahoma"/>
            <family val="2"/>
          </rPr>
          <t>Author:</t>
        </r>
        <r>
          <rPr>
            <sz val="9"/>
            <color indexed="81"/>
            <rFont val="Tahoma"/>
            <family val="2"/>
          </rPr>
          <t xml:space="preserve">
Reference:
DCYR01-ESMV-E0E001 Sh. 1
</t>
        </r>
      </text>
    </comment>
    <comment ref="M345" authorId="0" shapeId="0" xr:uid="{C2AA8AE8-4463-44D7-8D45-369CE121E638}">
      <text>
        <r>
          <rPr>
            <b/>
            <sz val="9"/>
            <color indexed="81"/>
            <rFont val="Tahoma"/>
            <family val="2"/>
          </rPr>
          <t>Author:</t>
        </r>
        <r>
          <rPr>
            <sz val="9"/>
            <color indexed="81"/>
            <rFont val="Tahoma"/>
            <family val="2"/>
          </rPr>
          <t xml:space="preserve">
Reference:
DCYR01-ESMV-E0E001 Sh. 1
</t>
        </r>
      </text>
    </comment>
    <comment ref="N345" authorId="0" shapeId="0" xr:uid="{60914C6F-50E4-4A5B-95C3-037A1A0B90C3}">
      <text>
        <r>
          <rPr>
            <b/>
            <sz val="9"/>
            <color indexed="81"/>
            <rFont val="Tahoma"/>
            <family val="2"/>
          </rPr>
          <t>Author:</t>
        </r>
        <r>
          <rPr>
            <sz val="9"/>
            <color indexed="81"/>
            <rFont val="Tahoma"/>
            <family val="2"/>
          </rPr>
          <t xml:space="preserve">
Reference Cheyenne Ridge PRC-025-2
Limiting Relay Element:
50P1P = 508 A Directional, doesn't apply
50P2P = 1128 A
50P3P = 3640 A</t>
        </r>
      </text>
    </comment>
    <comment ref="C346" authorId="0" shapeId="0" xr:uid="{1202576F-72D7-4208-9103-0146E8872B50}">
      <text>
        <r>
          <rPr>
            <b/>
            <sz val="9"/>
            <color indexed="81"/>
            <rFont val="Tahoma"/>
            <family val="2"/>
          </rPr>
          <t>Author:</t>
        </r>
        <r>
          <rPr>
            <sz val="9"/>
            <color indexed="81"/>
            <rFont val="Tahoma"/>
            <family val="2"/>
          </rPr>
          <t xml:space="preserve">
Combined MVA of Feeders: 
2103A and 2103B</t>
        </r>
      </text>
    </comment>
    <comment ref="F346" authorId="0" shapeId="0" xr:uid="{6FF9A829-98B6-40F1-882E-A6E3A0DAF598}">
      <text>
        <r>
          <rPr>
            <b/>
            <sz val="9"/>
            <color indexed="81"/>
            <rFont val="Tahoma"/>
            <family val="2"/>
          </rPr>
          <t>Author:</t>
        </r>
        <r>
          <rPr>
            <sz val="9"/>
            <color indexed="81"/>
            <rFont val="Tahoma"/>
            <family val="2"/>
          </rPr>
          <t xml:space="preserve">
Reference:
DCYR01-ESMV-E0E001 Sh. 1
</t>
        </r>
      </text>
    </comment>
    <comment ref="G346" authorId="0" shapeId="0" xr:uid="{A5FF5CEE-2D94-4DC2-A29A-447F1F20DE0D}">
      <text>
        <r>
          <rPr>
            <b/>
            <sz val="9"/>
            <color indexed="81"/>
            <rFont val="Tahoma"/>
            <family val="2"/>
          </rPr>
          <t>Author:</t>
        </r>
        <r>
          <rPr>
            <sz val="9"/>
            <color indexed="81"/>
            <rFont val="Tahoma"/>
            <family val="2"/>
          </rPr>
          <t xml:space="preserve">
Reference:
DCYR01-ESMV-E0E001 Sh. 1
</t>
        </r>
      </text>
    </comment>
    <comment ref="H346" authorId="0" shapeId="0" xr:uid="{4C9EBE70-0CF5-481D-8B4D-7A3B98E10A15}">
      <text>
        <r>
          <rPr>
            <b/>
            <sz val="9"/>
            <color indexed="81"/>
            <rFont val="Tahoma"/>
            <family val="2"/>
          </rPr>
          <t>Author:</t>
        </r>
        <r>
          <rPr>
            <sz val="9"/>
            <color indexed="81"/>
            <rFont val="Tahoma"/>
            <family val="2"/>
          </rPr>
          <t xml:space="preserve">
Reference:
DCYR01-ESPT-E8E001 SH. 2
3007854009-100 .pdf
2000:5A MR (2000:5A TAP)
TRF: 2
</t>
        </r>
      </text>
    </comment>
    <comment ref="I346" authorId="0" shapeId="0" xr:uid="{F66B5D30-8BDB-4153-81FA-A6A234D7A01E}">
      <text>
        <r>
          <rPr>
            <b/>
            <sz val="9"/>
            <color indexed="81"/>
            <rFont val="Tahoma"/>
            <family val="2"/>
          </rPr>
          <t>Author:</t>
        </r>
        <r>
          <rPr>
            <sz val="9"/>
            <color indexed="81"/>
            <rFont val="Tahoma"/>
            <family val="2"/>
          </rPr>
          <t xml:space="preserve">
Reference:
3007854009-100 .pdf
DCYR01-ESMV-E0E001 Sh. 1
</t>
        </r>
      </text>
    </comment>
    <comment ref="J346" authorId="0" shapeId="0" xr:uid="{D771764B-98CC-4A41-9063-B7561B6C3248}">
      <text>
        <r>
          <rPr>
            <b/>
            <sz val="9"/>
            <color indexed="81"/>
            <rFont val="Tahoma"/>
            <family val="2"/>
          </rPr>
          <t>Author:</t>
        </r>
        <r>
          <rPr>
            <sz val="9"/>
            <color indexed="81"/>
            <rFont val="Tahoma"/>
            <family val="2"/>
          </rPr>
          <t xml:space="preserve">
Reference:
DCYR01-ESPT-E8E001 SH. 2
3007854009-100 .pdf
2000:5A MR (2000:5A TAP)
TRF: 2
</t>
        </r>
      </text>
    </comment>
    <comment ref="K346" authorId="0" shapeId="0" xr:uid="{2B35DFE1-2B2D-414C-BBFE-741609BA1571}">
      <text>
        <r>
          <rPr>
            <b/>
            <sz val="9"/>
            <color indexed="81"/>
            <rFont val="Tahoma"/>
            <family val="2"/>
          </rPr>
          <t>Author:</t>
        </r>
        <r>
          <rPr>
            <sz val="9"/>
            <color indexed="81"/>
            <rFont val="Tahoma"/>
            <family val="2"/>
          </rPr>
          <t xml:space="preserve">
Reference:
DCYR01-ESMV-E0E001 Sh. 1
</t>
        </r>
      </text>
    </comment>
    <comment ref="L346" authorId="0" shapeId="0" xr:uid="{EB63AEFC-E69B-4D27-8DDA-6286675E254B}">
      <text>
        <r>
          <rPr>
            <b/>
            <sz val="9"/>
            <color indexed="81"/>
            <rFont val="Tahoma"/>
            <family val="2"/>
          </rPr>
          <t>Author:</t>
        </r>
        <r>
          <rPr>
            <sz val="9"/>
            <color indexed="81"/>
            <rFont val="Tahoma"/>
            <family val="2"/>
          </rPr>
          <t xml:space="preserve">
Reference:
DCYR01-ESMV-E0E001 Sh. 1
</t>
        </r>
      </text>
    </comment>
    <comment ref="M346" authorId="0" shapeId="0" xr:uid="{49C43584-7334-44A3-AB47-0EBA97F5B084}">
      <text>
        <r>
          <rPr>
            <b/>
            <sz val="9"/>
            <color indexed="81"/>
            <rFont val="Tahoma"/>
            <family val="2"/>
          </rPr>
          <t>Author:</t>
        </r>
        <r>
          <rPr>
            <sz val="9"/>
            <color indexed="81"/>
            <rFont val="Tahoma"/>
            <family val="2"/>
          </rPr>
          <t xml:space="preserve">
Reference:
DCYR01-ESMV-E0E001 Sh. 1
</t>
        </r>
      </text>
    </comment>
    <comment ref="N346" authorId="0" shapeId="0" xr:uid="{397C9EC3-1F42-413D-9DBA-9EC60FE9CB7E}">
      <text>
        <r>
          <rPr>
            <b/>
            <sz val="9"/>
            <color indexed="81"/>
            <rFont val="Tahoma"/>
            <family val="2"/>
          </rPr>
          <t>Author:</t>
        </r>
        <r>
          <rPr>
            <sz val="9"/>
            <color indexed="81"/>
            <rFont val="Tahoma"/>
            <family val="2"/>
          </rPr>
          <t xml:space="preserve">
Reference Cheyenne Ridge PRC-025-2
Limiting Relay Element:
50P1P = 508 A
Directional, doesn't apply
50P2P = 1128 A
50P3P = 3640 A</t>
        </r>
      </text>
    </comment>
    <comment ref="C347" authorId="0" shapeId="0" xr:uid="{4E1F6F37-E935-492C-BB36-A530E7921B82}">
      <text>
        <r>
          <rPr>
            <b/>
            <sz val="9"/>
            <color indexed="81"/>
            <rFont val="Tahoma"/>
            <family val="2"/>
          </rPr>
          <t>Author:</t>
        </r>
        <r>
          <rPr>
            <sz val="9"/>
            <color indexed="81"/>
            <rFont val="Tahoma"/>
            <family val="2"/>
          </rPr>
          <t xml:space="preserve">
Combined MVA of Feeders: 
2201A and 2201B</t>
        </r>
      </text>
    </comment>
    <comment ref="F347" authorId="0" shapeId="0" xr:uid="{B1047762-09B7-466D-BE32-AC6D47F7DFD0}">
      <text>
        <r>
          <rPr>
            <b/>
            <sz val="9"/>
            <color indexed="81"/>
            <rFont val="Tahoma"/>
            <family val="2"/>
          </rPr>
          <t>Author:</t>
        </r>
        <r>
          <rPr>
            <sz val="9"/>
            <color indexed="81"/>
            <rFont val="Tahoma"/>
            <family val="2"/>
          </rPr>
          <t xml:space="preserve">
Reference:
DCYR01-ESMV-E0E001 Sh. 1
</t>
        </r>
      </text>
    </comment>
    <comment ref="G347" authorId="0" shapeId="0" xr:uid="{130A0ACD-2D34-4608-A01F-69E6F1708BAC}">
      <text>
        <r>
          <rPr>
            <b/>
            <sz val="9"/>
            <color indexed="81"/>
            <rFont val="Tahoma"/>
            <family val="2"/>
          </rPr>
          <t>Author:</t>
        </r>
        <r>
          <rPr>
            <sz val="9"/>
            <color indexed="81"/>
            <rFont val="Tahoma"/>
            <family val="2"/>
          </rPr>
          <t xml:space="preserve">
Reference:
DCYR01-ESMV-E0E001 Sh. 1
</t>
        </r>
      </text>
    </comment>
    <comment ref="H347" authorId="0" shapeId="0" xr:uid="{5CB73F5D-17A8-49C6-917A-4E59B86AEF5E}">
      <text>
        <r>
          <rPr>
            <b/>
            <sz val="9"/>
            <color indexed="81"/>
            <rFont val="Tahoma"/>
            <family val="2"/>
          </rPr>
          <t>Author:</t>
        </r>
        <r>
          <rPr>
            <sz val="9"/>
            <color indexed="81"/>
            <rFont val="Tahoma"/>
            <family val="2"/>
          </rPr>
          <t xml:space="preserve">
Reference:
DCYR01-ESPT-E8E001 SH. 3
3007854009-100 .pdf
2000:5A MR (2000:5A TAP)
TRF: 2
</t>
        </r>
      </text>
    </comment>
    <comment ref="I347" authorId="0" shapeId="0" xr:uid="{82269B6F-3BEA-4DF4-87B0-A1BB527C215C}">
      <text>
        <r>
          <rPr>
            <b/>
            <sz val="9"/>
            <color indexed="81"/>
            <rFont val="Tahoma"/>
            <family val="2"/>
          </rPr>
          <t>Author:</t>
        </r>
        <r>
          <rPr>
            <sz val="9"/>
            <color indexed="81"/>
            <rFont val="Tahoma"/>
            <family val="2"/>
          </rPr>
          <t xml:space="preserve">
Reference:
3007854009-100 .pdf
DCYR01-ESMV-E0E001 Sh. 1
</t>
        </r>
      </text>
    </comment>
    <comment ref="J347" authorId="0" shapeId="0" xr:uid="{8C9EF955-BFCA-4654-8A13-AB87848370F2}">
      <text>
        <r>
          <rPr>
            <b/>
            <sz val="9"/>
            <color indexed="81"/>
            <rFont val="Tahoma"/>
            <family val="2"/>
          </rPr>
          <t>Author:</t>
        </r>
        <r>
          <rPr>
            <sz val="9"/>
            <color indexed="81"/>
            <rFont val="Tahoma"/>
            <family val="2"/>
          </rPr>
          <t xml:space="preserve">
Reference:
DCYR01-ESPT-E8E001 SH. 3
3007854009-100 .pdf
2000:5A MR (2000:5A TAP)
TRF: 2
</t>
        </r>
      </text>
    </comment>
    <comment ref="K347" authorId="0" shapeId="0" xr:uid="{1DEEFC6E-5526-4934-98DF-F829E5B32923}">
      <text>
        <r>
          <rPr>
            <b/>
            <sz val="9"/>
            <color indexed="81"/>
            <rFont val="Tahoma"/>
            <family val="2"/>
          </rPr>
          <t>Author:</t>
        </r>
        <r>
          <rPr>
            <sz val="9"/>
            <color indexed="81"/>
            <rFont val="Tahoma"/>
            <family val="2"/>
          </rPr>
          <t xml:space="preserve">
Reference:
DCYR01-ESMV-E0E001 Sh. 1
</t>
        </r>
      </text>
    </comment>
    <comment ref="L347" authorId="0" shapeId="0" xr:uid="{9A8CF0BE-92E1-47D8-B870-BEF9852EEF48}">
      <text>
        <r>
          <rPr>
            <b/>
            <sz val="9"/>
            <color indexed="81"/>
            <rFont val="Tahoma"/>
            <family val="2"/>
          </rPr>
          <t>Author:</t>
        </r>
        <r>
          <rPr>
            <sz val="9"/>
            <color indexed="81"/>
            <rFont val="Tahoma"/>
            <family val="2"/>
          </rPr>
          <t xml:space="preserve">
Reference:
DCYR01-ESMV-E0E001 Sh. 1
</t>
        </r>
      </text>
    </comment>
    <comment ref="M347" authorId="0" shapeId="0" xr:uid="{0EBAB9A4-782D-4333-8BB8-47B5119DC1A4}">
      <text>
        <r>
          <rPr>
            <b/>
            <sz val="9"/>
            <color indexed="81"/>
            <rFont val="Tahoma"/>
            <family val="2"/>
          </rPr>
          <t>Author:</t>
        </r>
        <r>
          <rPr>
            <sz val="9"/>
            <color indexed="81"/>
            <rFont val="Tahoma"/>
            <family val="2"/>
          </rPr>
          <t xml:space="preserve">
Reference:
DCYR01-ESMV-E0E001 Sh. 1
</t>
        </r>
      </text>
    </comment>
    <comment ref="N347" authorId="0" shapeId="0" xr:uid="{03E566FE-FA28-49AD-9849-13B51877B28E}">
      <text>
        <r>
          <rPr>
            <b/>
            <sz val="9"/>
            <color indexed="81"/>
            <rFont val="Tahoma"/>
            <family val="2"/>
          </rPr>
          <t>Author:</t>
        </r>
        <r>
          <rPr>
            <sz val="9"/>
            <color indexed="81"/>
            <rFont val="Tahoma"/>
            <family val="2"/>
          </rPr>
          <t xml:space="preserve">
Reference Cheyenne Ridge PRC-025-2
Limiting Relay Element:
50P1P = 508 A
Directional, doesn't apply
50P2P = 1128 A
50P3P = 3640 A</t>
        </r>
      </text>
    </comment>
    <comment ref="C348" authorId="0" shapeId="0" xr:uid="{B9DBDF9F-63B6-4D97-8A10-3FB3C2B61009}">
      <text>
        <r>
          <rPr>
            <b/>
            <sz val="9"/>
            <color indexed="81"/>
            <rFont val="Tahoma"/>
            <family val="2"/>
          </rPr>
          <t>Author:</t>
        </r>
        <r>
          <rPr>
            <sz val="9"/>
            <color indexed="81"/>
            <rFont val="Tahoma"/>
            <family val="2"/>
          </rPr>
          <t xml:space="preserve">
Combined MVA of Feeder: 
2202
</t>
        </r>
      </text>
    </comment>
    <comment ref="F348" authorId="0" shapeId="0" xr:uid="{B76DAB43-0F0F-4930-A002-AC659E93E53C}">
      <text>
        <r>
          <rPr>
            <b/>
            <sz val="9"/>
            <color indexed="81"/>
            <rFont val="Tahoma"/>
            <family val="2"/>
          </rPr>
          <t>Author:</t>
        </r>
        <r>
          <rPr>
            <sz val="9"/>
            <color indexed="81"/>
            <rFont val="Tahoma"/>
            <family val="2"/>
          </rPr>
          <t xml:space="preserve">
Reference:
DCYR01-ESMV-E0E001 Sh. 1
</t>
        </r>
      </text>
    </comment>
    <comment ref="G348" authorId="0" shapeId="0" xr:uid="{82D225DC-5A90-417B-BF96-1E8FAB5AB4C7}">
      <text>
        <r>
          <rPr>
            <b/>
            <sz val="9"/>
            <color indexed="81"/>
            <rFont val="Tahoma"/>
            <family val="2"/>
          </rPr>
          <t>Author:</t>
        </r>
        <r>
          <rPr>
            <sz val="9"/>
            <color indexed="81"/>
            <rFont val="Tahoma"/>
            <family val="2"/>
          </rPr>
          <t xml:space="preserve">
Reference:
DCYR01-ESMV-E0E001 Sh. 1
</t>
        </r>
      </text>
    </comment>
    <comment ref="H348" authorId="0" shapeId="0" xr:uid="{78FDD5C5-7D46-4882-85E4-719E83BB349B}">
      <text>
        <r>
          <rPr>
            <b/>
            <sz val="9"/>
            <color indexed="81"/>
            <rFont val="Tahoma"/>
            <family val="2"/>
          </rPr>
          <t>Author:</t>
        </r>
        <r>
          <rPr>
            <sz val="9"/>
            <color indexed="81"/>
            <rFont val="Tahoma"/>
            <family val="2"/>
          </rPr>
          <t xml:space="preserve">
Reference:
DCYR01-ESPT-E8E001 SH. 3
3007854009-100 .pdf
2000:5A MR (2000:5A TAP)
TRF: 2
</t>
        </r>
      </text>
    </comment>
    <comment ref="I348" authorId="0" shapeId="0" xr:uid="{043C1256-E45A-49F9-9911-40F8D297F07F}">
      <text>
        <r>
          <rPr>
            <b/>
            <sz val="9"/>
            <color indexed="81"/>
            <rFont val="Tahoma"/>
            <family val="2"/>
          </rPr>
          <t>Author:</t>
        </r>
        <r>
          <rPr>
            <sz val="9"/>
            <color indexed="81"/>
            <rFont val="Tahoma"/>
            <family val="2"/>
          </rPr>
          <t xml:space="preserve">
Reference:
3007854009-100 .pdf
DCYR01-ESMV-E0E001 Sh. 1
</t>
        </r>
      </text>
    </comment>
    <comment ref="J348" authorId="0" shapeId="0" xr:uid="{8868D901-B09D-4C69-8300-2A23BB24E777}">
      <text>
        <r>
          <rPr>
            <b/>
            <sz val="9"/>
            <color indexed="81"/>
            <rFont val="Tahoma"/>
            <family val="2"/>
          </rPr>
          <t>Author:</t>
        </r>
        <r>
          <rPr>
            <sz val="9"/>
            <color indexed="81"/>
            <rFont val="Tahoma"/>
            <family val="2"/>
          </rPr>
          <t xml:space="preserve">
Reference:
DCYR01-ESPT-E8E001 SH. 3
3007854009-100 .pdf
2000:5A MR (2000:5A TAP)
TRF: 2
</t>
        </r>
      </text>
    </comment>
    <comment ref="K348" authorId="0" shapeId="0" xr:uid="{7DA4D983-272D-4F14-B04C-09E90AE82905}">
      <text>
        <r>
          <rPr>
            <b/>
            <sz val="9"/>
            <color indexed="81"/>
            <rFont val="Tahoma"/>
            <family val="2"/>
          </rPr>
          <t>Author:</t>
        </r>
        <r>
          <rPr>
            <sz val="9"/>
            <color indexed="81"/>
            <rFont val="Tahoma"/>
            <family val="2"/>
          </rPr>
          <t xml:space="preserve">
Reference:
DCYR01-ESMV-E0E001 Sh. 1
</t>
        </r>
      </text>
    </comment>
    <comment ref="L348" authorId="0" shapeId="0" xr:uid="{E206D96D-3891-4D37-8730-A649579F5912}">
      <text>
        <r>
          <rPr>
            <b/>
            <sz val="9"/>
            <color indexed="81"/>
            <rFont val="Tahoma"/>
            <family val="2"/>
          </rPr>
          <t>Author:</t>
        </r>
        <r>
          <rPr>
            <sz val="9"/>
            <color indexed="81"/>
            <rFont val="Tahoma"/>
            <family val="2"/>
          </rPr>
          <t xml:space="preserve">
Reference:
DCYR01-ESMV-E0E001 Sh. 1
</t>
        </r>
      </text>
    </comment>
    <comment ref="M348" authorId="0" shapeId="0" xr:uid="{97F29328-601C-49F0-8B1C-B392376AC1BB}">
      <text>
        <r>
          <rPr>
            <b/>
            <sz val="9"/>
            <color indexed="81"/>
            <rFont val="Tahoma"/>
            <family val="2"/>
          </rPr>
          <t>Author:</t>
        </r>
        <r>
          <rPr>
            <sz val="9"/>
            <color indexed="81"/>
            <rFont val="Tahoma"/>
            <family val="2"/>
          </rPr>
          <t xml:space="preserve">
Reference:
DCYR01-ESMV-E0E001 Sh. 1
</t>
        </r>
      </text>
    </comment>
    <comment ref="N348" authorId="0" shapeId="0" xr:uid="{15FD0D88-2F06-46E3-94DF-4520920E6E44}">
      <text>
        <r>
          <rPr>
            <b/>
            <sz val="9"/>
            <color indexed="81"/>
            <rFont val="Tahoma"/>
            <family val="2"/>
          </rPr>
          <t>Author:</t>
        </r>
        <r>
          <rPr>
            <sz val="9"/>
            <color indexed="81"/>
            <rFont val="Tahoma"/>
            <family val="2"/>
          </rPr>
          <t xml:space="preserve">
Reference Cheyenne Ridge PRC-025-2
Limiting Relay Element:
50P1P = 508 A
Directional, doesn't apply
50P2P = 1128 A
50P3P = 3640 A</t>
        </r>
      </text>
    </comment>
    <comment ref="C349" authorId="0" shapeId="0" xr:uid="{C6A7FDA6-0A11-49F4-9E01-59B00CB578BF}">
      <text>
        <r>
          <rPr>
            <b/>
            <sz val="9"/>
            <color indexed="81"/>
            <rFont val="Tahoma"/>
            <family val="2"/>
          </rPr>
          <t>Author:</t>
        </r>
        <r>
          <rPr>
            <sz val="9"/>
            <color indexed="81"/>
            <rFont val="Tahoma"/>
            <family val="2"/>
          </rPr>
          <t xml:space="preserve">
Combined MVA of Feeders: 
2203A and 2203B</t>
        </r>
      </text>
    </comment>
    <comment ref="F349" authorId="0" shapeId="0" xr:uid="{55A7B68E-8406-4297-9F66-9B41C0875B25}">
      <text>
        <r>
          <rPr>
            <b/>
            <sz val="9"/>
            <color indexed="81"/>
            <rFont val="Tahoma"/>
            <family val="2"/>
          </rPr>
          <t>Author:</t>
        </r>
        <r>
          <rPr>
            <sz val="9"/>
            <color indexed="81"/>
            <rFont val="Tahoma"/>
            <family val="2"/>
          </rPr>
          <t xml:space="preserve">
Reference:
DCYR01-ESMV-E0E001 Sh. 1
</t>
        </r>
      </text>
    </comment>
    <comment ref="G349" authorId="0" shapeId="0" xr:uid="{24DEBF21-B649-485F-A943-2CF0FF666BDF}">
      <text>
        <r>
          <rPr>
            <b/>
            <sz val="9"/>
            <color indexed="81"/>
            <rFont val="Tahoma"/>
            <family val="2"/>
          </rPr>
          <t>Author:</t>
        </r>
        <r>
          <rPr>
            <sz val="9"/>
            <color indexed="81"/>
            <rFont val="Tahoma"/>
            <family val="2"/>
          </rPr>
          <t xml:space="preserve">
Reference:
DCYR01-ESMV-E0E001 Sh. 1
</t>
        </r>
      </text>
    </comment>
    <comment ref="H349" authorId="0" shapeId="0" xr:uid="{4B891D9B-619A-4792-92C1-86908AC22394}">
      <text>
        <r>
          <rPr>
            <b/>
            <sz val="9"/>
            <color indexed="81"/>
            <rFont val="Tahoma"/>
            <family val="2"/>
          </rPr>
          <t>Author:</t>
        </r>
        <r>
          <rPr>
            <sz val="9"/>
            <color indexed="81"/>
            <rFont val="Tahoma"/>
            <family val="2"/>
          </rPr>
          <t xml:space="preserve">
Reference:
DCYR01-ESPT-E8E001 SH. 3
3007854009-100 .pdf
2000:5A MR (2000:5A TAP)
TRF: 2
</t>
        </r>
      </text>
    </comment>
    <comment ref="I349" authorId="0" shapeId="0" xr:uid="{BA3C5A82-D116-47B8-B489-C7B8B1D958D7}">
      <text>
        <r>
          <rPr>
            <b/>
            <sz val="9"/>
            <color indexed="81"/>
            <rFont val="Tahoma"/>
            <family val="2"/>
          </rPr>
          <t>Author:</t>
        </r>
        <r>
          <rPr>
            <sz val="9"/>
            <color indexed="81"/>
            <rFont val="Tahoma"/>
            <family val="2"/>
          </rPr>
          <t xml:space="preserve">
Reference:
3007854009-100 .pdf
DCYR01-ESMV-E0E001 Sh. 1
</t>
        </r>
      </text>
    </comment>
    <comment ref="J349" authorId="0" shapeId="0" xr:uid="{636511DD-EA1D-49E5-B777-76C54C03729A}">
      <text>
        <r>
          <rPr>
            <b/>
            <sz val="9"/>
            <color indexed="81"/>
            <rFont val="Tahoma"/>
            <family val="2"/>
          </rPr>
          <t>Author:</t>
        </r>
        <r>
          <rPr>
            <sz val="9"/>
            <color indexed="81"/>
            <rFont val="Tahoma"/>
            <family val="2"/>
          </rPr>
          <t xml:space="preserve">
Reference:
DCYR01-ESPT-E8E001 SH. 3
3007854009-100 .pdf
2000:5A MR (2000:5A TAP)
TRF: 2
</t>
        </r>
      </text>
    </comment>
    <comment ref="K349" authorId="0" shapeId="0" xr:uid="{FBEF8443-81C0-4F53-BB49-A0801BF1AFA3}">
      <text>
        <r>
          <rPr>
            <b/>
            <sz val="9"/>
            <color indexed="81"/>
            <rFont val="Tahoma"/>
            <family val="2"/>
          </rPr>
          <t>Author:</t>
        </r>
        <r>
          <rPr>
            <sz val="9"/>
            <color indexed="81"/>
            <rFont val="Tahoma"/>
            <family val="2"/>
          </rPr>
          <t xml:space="preserve">
Reference:
DCYR01-ESMV-E0E001 Sh. 1
</t>
        </r>
      </text>
    </comment>
    <comment ref="L349" authorId="0" shapeId="0" xr:uid="{499A19C0-8564-47FB-820E-E21DE854CB9C}">
      <text>
        <r>
          <rPr>
            <b/>
            <sz val="9"/>
            <color indexed="81"/>
            <rFont val="Tahoma"/>
            <family val="2"/>
          </rPr>
          <t>Author:</t>
        </r>
        <r>
          <rPr>
            <sz val="9"/>
            <color indexed="81"/>
            <rFont val="Tahoma"/>
            <family val="2"/>
          </rPr>
          <t xml:space="preserve">
Reference:
DCYR01-ESMV-E0E001 Sh. 1
</t>
        </r>
      </text>
    </comment>
    <comment ref="M349" authorId="0" shapeId="0" xr:uid="{A7F43050-4A7B-45D7-A0D0-E0C2015D7BDD}">
      <text>
        <r>
          <rPr>
            <b/>
            <sz val="9"/>
            <color indexed="81"/>
            <rFont val="Tahoma"/>
            <family val="2"/>
          </rPr>
          <t>Author:</t>
        </r>
        <r>
          <rPr>
            <sz val="9"/>
            <color indexed="81"/>
            <rFont val="Tahoma"/>
            <family val="2"/>
          </rPr>
          <t xml:space="preserve">
Reference:
DCYR01-ESMV-E0E001 Sh. 1
</t>
        </r>
      </text>
    </comment>
    <comment ref="N349" authorId="0" shapeId="0" xr:uid="{D1443160-0260-4BF9-B3A9-379EB4F6A12A}">
      <text>
        <r>
          <rPr>
            <b/>
            <sz val="9"/>
            <color indexed="81"/>
            <rFont val="Tahoma"/>
            <family val="2"/>
          </rPr>
          <t>Author:</t>
        </r>
        <r>
          <rPr>
            <sz val="9"/>
            <color indexed="81"/>
            <rFont val="Tahoma"/>
            <family val="2"/>
          </rPr>
          <t xml:space="preserve">
Reference Cheyenne Ridge PRC-025-2
Limiting Relay Element:
50P1P = 508 A
Directional, doesn't apply
50P2P = 1128 A
50P3P = 3640 A</t>
        </r>
      </text>
    </comment>
    <comment ref="C350" authorId="0" shapeId="0" xr:uid="{76DE0C6D-37F3-4CF9-B0A6-051DBA46FC39}">
      <text>
        <r>
          <rPr>
            <b/>
            <sz val="9"/>
            <color indexed="81"/>
            <rFont val="Tahoma"/>
            <family val="2"/>
          </rPr>
          <t>Author:</t>
        </r>
        <r>
          <rPr>
            <sz val="9"/>
            <color indexed="81"/>
            <rFont val="Tahoma"/>
            <family val="2"/>
          </rPr>
          <t xml:space="preserve">
Combined MVA of Feeders: 
1101A, 1101B and 1101C</t>
        </r>
      </text>
    </comment>
    <comment ref="F350" authorId="0" shapeId="0" xr:uid="{EA8BBF6B-DA12-4D34-86BE-84E1C8993DE2}">
      <text>
        <r>
          <rPr>
            <b/>
            <sz val="9"/>
            <color indexed="81"/>
            <rFont val="Tahoma"/>
            <family val="2"/>
          </rPr>
          <t>Author:</t>
        </r>
        <r>
          <rPr>
            <sz val="9"/>
            <color indexed="81"/>
            <rFont val="Tahoma"/>
            <family val="2"/>
          </rPr>
          <t xml:space="preserve">
Reference:
DCYR01-ESMV-E0W001 Sh. 1</t>
        </r>
      </text>
    </comment>
    <comment ref="G350" authorId="0" shapeId="0" xr:uid="{E7B1B85A-371D-4840-995F-5BB01B675AE1}">
      <text>
        <r>
          <rPr>
            <b/>
            <sz val="9"/>
            <color indexed="81"/>
            <rFont val="Tahoma"/>
            <family val="2"/>
          </rPr>
          <t>Author:</t>
        </r>
        <r>
          <rPr>
            <sz val="9"/>
            <color indexed="81"/>
            <rFont val="Tahoma"/>
            <family val="2"/>
          </rPr>
          <t xml:space="preserve">
Reference:
DCYR01-ESMV-E0W001 Sh. 1</t>
        </r>
      </text>
    </comment>
    <comment ref="H350" authorId="0" shapeId="0" xr:uid="{843814F5-91B5-43D5-84BE-5233FD868BFD}">
      <text>
        <r>
          <rPr>
            <b/>
            <sz val="9"/>
            <color indexed="81"/>
            <rFont val="Tahoma"/>
            <family val="2"/>
          </rPr>
          <t>Author:</t>
        </r>
        <r>
          <rPr>
            <sz val="9"/>
            <color indexed="81"/>
            <rFont val="Tahoma"/>
            <family val="2"/>
          </rPr>
          <t xml:space="preserve">
Reference:
DCYR01-ESPT-E8W001 SH.2
3007854009-100 .pdf
2000:5A MR (2000:5A TAP)
TRF: 2
</t>
        </r>
      </text>
    </comment>
    <comment ref="I350" authorId="0" shapeId="0" xr:uid="{887664B3-C580-4BCD-A400-C089ACB6BDE3}">
      <text>
        <r>
          <rPr>
            <b/>
            <sz val="9"/>
            <color indexed="81"/>
            <rFont val="Tahoma"/>
            <family val="2"/>
          </rPr>
          <t>Author:</t>
        </r>
        <r>
          <rPr>
            <sz val="9"/>
            <color indexed="81"/>
            <rFont val="Tahoma"/>
            <family val="2"/>
          </rPr>
          <t xml:space="preserve">
Reference:
3007854009-100 .pdf
DCYR01-ESMV-E0W001 Sh. 1</t>
        </r>
      </text>
    </comment>
    <comment ref="J350" authorId="0" shapeId="0" xr:uid="{182EB43C-1E12-4C65-B04B-160E68C6DDAC}">
      <text>
        <r>
          <rPr>
            <b/>
            <sz val="9"/>
            <color indexed="81"/>
            <rFont val="Tahoma"/>
            <family val="2"/>
          </rPr>
          <t>Author:</t>
        </r>
        <r>
          <rPr>
            <sz val="9"/>
            <color indexed="81"/>
            <rFont val="Tahoma"/>
            <family val="2"/>
          </rPr>
          <t xml:space="preserve">
Reference:
DCYR01-ESPT-E8W001 SH.2
3007854009-100 .pdf
2000:5A MR (2000:5A TAP)
TRF: 2
</t>
        </r>
      </text>
    </comment>
    <comment ref="K350" authorId="0" shapeId="0" xr:uid="{4EB21EB3-34E1-41D0-9B05-5374108C3163}">
      <text>
        <r>
          <rPr>
            <b/>
            <sz val="9"/>
            <color indexed="81"/>
            <rFont val="Tahoma"/>
            <family val="2"/>
          </rPr>
          <t>Author:</t>
        </r>
        <r>
          <rPr>
            <sz val="9"/>
            <color indexed="81"/>
            <rFont val="Tahoma"/>
            <family val="2"/>
          </rPr>
          <t xml:space="preserve">
Reference:
DCYR01-ESMV-E0W001 Sh. 1</t>
        </r>
      </text>
    </comment>
    <comment ref="L350" authorId="0" shapeId="0" xr:uid="{5A86271D-46FD-4AB2-997A-297DFEA2BE72}">
      <text>
        <r>
          <rPr>
            <b/>
            <sz val="9"/>
            <color indexed="81"/>
            <rFont val="Tahoma"/>
            <family val="2"/>
          </rPr>
          <t>Author:</t>
        </r>
        <r>
          <rPr>
            <sz val="9"/>
            <color indexed="81"/>
            <rFont val="Tahoma"/>
            <family val="2"/>
          </rPr>
          <t xml:space="preserve">
Reference:
DCYR01-ESMV-E0W001 Sh. 1</t>
        </r>
      </text>
    </comment>
    <comment ref="M350" authorId="0" shapeId="0" xr:uid="{F04B2F9C-E6F3-458E-AD72-43FC25B0F6D4}">
      <text>
        <r>
          <rPr>
            <b/>
            <sz val="9"/>
            <color indexed="81"/>
            <rFont val="Tahoma"/>
            <family val="2"/>
          </rPr>
          <t>Author:</t>
        </r>
        <r>
          <rPr>
            <sz val="9"/>
            <color indexed="81"/>
            <rFont val="Tahoma"/>
            <family val="2"/>
          </rPr>
          <t xml:space="preserve">
Reference:
DCYR01-ESMV-E0W001 Sh. 1</t>
        </r>
      </text>
    </comment>
    <comment ref="N350" authorId="0" shapeId="0" xr:uid="{5376A43F-66B3-4C29-8358-08C1871ACC8C}">
      <text>
        <r>
          <rPr>
            <b/>
            <sz val="9"/>
            <color indexed="81"/>
            <rFont val="Tahoma"/>
            <family val="2"/>
          </rPr>
          <t>Author:</t>
        </r>
        <r>
          <rPr>
            <sz val="9"/>
            <color indexed="81"/>
            <rFont val="Tahoma"/>
            <family val="2"/>
          </rPr>
          <t xml:space="preserve">
Reference Cheyenne Ridge PRC-025-2
Limiting Relay Element:
50P1P = 652 A
Directional, doesn't apply
50P2P = 1284 A
50P3P = 4072 A</t>
        </r>
      </text>
    </comment>
    <comment ref="C351" authorId="0" shapeId="0" xr:uid="{9665402A-DC74-4B21-B155-ABF415F61024}">
      <text>
        <r>
          <rPr>
            <b/>
            <sz val="9"/>
            <color indexed="81"/>
            <rFont val="Tahoma"/>
            <family val="2"/>
          </rPr>
          <t>Author:</t>
        </r>
        <r>
          <rPr>
            <sz val="9"/>
            <color indexed="81"/>
            <rFont val="Tahoma"/>
            <family val="2"/>
          </rPr>
          <t xml:space="preserve">
Combined MVA of Feeders: 
1102A and 1102B</t>
        </r>
      </text>
    </comment>
    <comment ref="F351" authorId="0" shapeId="0" xr:uid="{904847D1-E2ED-4BBC-9179-F4A6AB3B8C8E}">
      <text>
        <r>
          <rPr>
            <b/>
            <sz val="9"/>
            <color indexed="81"/>
            <rFont val="Tahoma"/>
            <family val="2"/>
          </rPr>
          <t>Author:</t>
        </r>
        <r>
          <rPr>
            <sz val="9"/>
            <color indexed="81"/>
            <rFont val="Tahoma"/>
            <family val="2"/>
          </rPr>
          <t xml:space="preserve">
Reference:
DCYR01-ESMV-E0W001 Sh. 1</t>
        </r>
      </text>
    </comment>
    <comment ref="G351" authorId="0" shapeId="0" xr:uid="{DBEE46D3-3D76-46AD-84EF-C3A2555FEFA7}">
      <text>
        <r>
          <rPr>
            <b/>
            <sz val="9"/>
            <color indexed="81"/>
            <rFont val="Tahoma"/>
            <family val="2"/>
          </rPr>
          <t>Author:</t>
        </r>
        <r>
          <rPr>
            <sz val="9"/>
            <color indexed="81"/>
            <rFont val="Tahoma"/>
            <family val="2"/>
          </rPr>
          <t xml:space="preserve">
Reference:
DCYR01-ESMV-E0W001 Sh. 1</t>
        </r>
      </text>
    </comment>
    <comment ref="H351" authorId="0" shapeId="0" xr:uid="{011C8098-2D1D-4915-BF46-C4654697D4B8}">
      <text>
        <r>
          <rPr>
            <b/>
            <sz val="9"/>
            <color indexed="81"/>
            <rFont val="Tahoma"/>
            <family val="2"/>
          </rPr>
          <t>Author:</t>
        </r>
        <r>
          <rPr>
            <sz val="9"/>
            <color indexed="81"/>
            <rFont val="Tahoma"/>
            <family val="2"/>
          </rPr>
          <t xml:space="preserve">
Reference:
DCYR01-ESPT-E8W001 SH.2
3007854009-100 .pdf
2000:5A MR (2000:5A TAP)
TRF: 2
</t>
        </r>
      </text>
    </comment>
    <comment ref="I351" authorId="0" shapeId="0" xr:uid="{F184BAE7-015C-4557-BC04-FE3F71735647}">
      <text>
        <r>
          <rPr>
            <b/>
            <sz val="9"/>
            <color indexed="81"/>
            <rFont val="Tahoma"/>
            <family val="2"/>
          </rPr>
          <t>Author:</t>
        </r>
        <r>
          <rPr>
            <sz val="9"/>
            <color indexed="81"/>
            <rFont val="Tahoma"/>
            <family val="2"/>
          </rPr>
          <t xml:space="preserve">
Reference:
3007854009-100 .pdf
DCYR01-ESMV-E0W001 Sh. 1</t>
        </r>
      </text>
    </comment>
    <comment ref="J351" authorId="0" shapeId="0" xr:uid="{5286E320-288F-4130-979B-90344367ED22}">
      <text>
        <r>
          <rPr>
            <b/>
            <sz val="9"/>
            <color indexed="81"/>
            <rFont val="Tahoma"/>
            <family val="2"/>
          </rPr>
          <t>Author:</t>
        </r>
        <r>
          <rPr>
            <sz val="9"/>
            <color indexed="81"/>
            <rFont val="Tahoma"/>
            <family val="2"/>
          </rPr>
          <t xml:space="preserve">
Reference:
DCYR01-ESPT-E8W001 SH.2
3007854009-100 .pdf
2000:5A MR (2000:5A TAP)
TRF: 2
</t>
        </r>
      </text>
    </comment>
    <comment ref="K351" authorId="0" shapeId="0" xr:uid="{CD2834F9-6587-48CB-B112-AD6F9AF95E2D}">
      <text>
        <r>
          <rPr>
            <b/>
            <sz val="9"/>
            <color indexed="81"/>
            <rFont val="Tahoma"/>
            <family val="2"/>
          </rPr>
          <t>Author:</t>
        </r>
        <r>
          <rPr>
            <sz val="9"/>
            <color indexed="81"/>
            <rFont val="Tahoma"/>
            <family val="2"/>
          </rPr>
          <t xml:space="preserve">
Reference:
DCYR01-ESMV-E0W001 Sh. 1</t>
        </r>
      </text>
    </comment>
    <comment ref="L351" authorId="0" shapeId="0" xr:uid="{93D67F0D-0FA7-41B3-8B63-82D0C173E2D7}">
      <text>
        <r>
          <rPr>
            <b/>
            <sz val="9"/>
            <color indexed="81"/>
            <rFont val="Tahoma"/>
            <family val="2"/>
          </rPr>
          <t>Author:</t>
        </r>
        <r>
          <rPr>
            <sz val="9"/>
            <color indexed="81"/>
            <rFont val="Tahoma"/>
            <family val="2"/>
          </rPr>
          <t xml:space="preserve">
Reference:
DCYR01-ESMV-E0W001 Sh. 1</t>
        </r>
      </text>
    </comment>
    <comment ref="M351" authorId="0" shapeId="0" xr:uid="{02E0F467-9A9F-4A78-AF44-1BBE86F8D8D9}">
      <text>
        <r>
          <rPr>
            <b/>
            <sz val="9"/>
            <color indexed="81"/>
            <rFont val="Tahoma"/>
            <family val="2"/>
          </rPr>
          <t>Author:</t>
        </r>
        <r>
          <rPr>
            <sz val="9"/>
            <color indexed="81"/>
            <rFont val="Tahoma"/>
            <family val="2"/>
          </rPr>
          <t xml:space="preserve">
Reference:
DCYR01-ESMV-E0W001 Sh. 1</t>
        </r>
      </text>
    </comment>
    <comment ref="N351" authorId="0" shapeId="0" xr:uid="{A38205C7-2B93-4C02-B394-C3AB7AC91ABE}">
      <text>
        <r>
          <rPr>
            <b/>
            <sz val="9"/>
            <color indexed="81"/>
            <rFont val="Tahoma"/>
            <family val="2"/>
          </rPr>
          <t>Author:</t>
        </r>
        <r>
          <rPr>
            <sz val="9"/>
            <color indexed="81"/>
            <rFont val="Tahoma"/>
            <family val="2"/>
          </rPr>
          <t xml:space="preserve">
Reference Cheyenne Ridge PRC-025-2
Limiting Relay Element:
50P1P = 652 A
Directional, doesn't apply
50P2P = 1284 A
50P3P = 4072 A</t>
        </r>
      </text>
    </comment>
    <comment ref="C352" authorId="0" shapeId="0" xr:uid="{CED84B20-AC84-41A2-BE13-C91C44323924}">
      <text>
        <r>
          <rPr>
            <b/>
            <sz val="9"/>
            <color indexed="81"/>
            <rFont val="Tahoma"/>
            <family val="2"/>
          </rPr>
          <t>Author:</t>
        </r>
        <r>
          <rPr>
            <sz val="9"/>
            <color indexed="81"/>
            <rFont val="Tahoma"/>
            <family val="2"/>
          </rPr>
          <t xml:space="preserve">
Combined MVA of Feeders: 
1103A, 1103B and 1103C</t>
        </r>
      </text>
    </comment>
    <comment ref="F352" authorId="0" shapeId="0" xr:uid="{EC9A7D02-8B92-4DD2-832A-90BD1D5EDC97}">
      <text>
        <r>
          <rPr>
            <b/>
            <sz val="9"/>
            <color indexed="81"/>
            <rFont val="Tahoma"/>
            <family val="2"/>
          </rPr>
          <t>Author:</t>
        </r>
        <r>
          <rPr>
            <sz val="9"/>
            <color indexed="81"/>
            <rFont val="Tahoma"/>
            <family val="2"/>
          </rPr>
          <t xml:space="preserve">
Reference:
DCYR01-ESMV-E0W001 Sh. 1</t>
        </r>
      </text>
    </comment>
    <comment ref="G352" authorId="0" shapeId="0" xr:uid="{D03195DE-B257-4C46-A18B-BBF4837E7330}">
      <text>
        <r>
          <rPr>
            <b/>
            <sz val="9"/>
            <color indexed="81"/>
            <rFont val="Tahoma"/>
            <family val="2"/>
          </rPr>
          <t>Author:</t>
        </r>
        <r>
          <rPr>
            <sz val="9"/>
            <color indexed="81"/>
            <rFont val="Tahoma"/>
            <family val="2"/>
          </rPr>
          <t xml:space="preserve">
Reference:
DCYR01-ESMV-E0W001 Sh. 1</t>
        </r>
      </text>
    </comment>
    <comment ref="H352" authorId="0" shapeId="0" xr:uid="{C9D45B10-284B-4094-9DD1-0EA349737094}">
      <text>
        <r>
          <rPr>
            <b/>
            <sz val="9"/>
            <color indexed="81"/>
            <rFont val="Tahoma"/>
            <family val="2"/>
          </rPr>
          <t>Author:</t>
        </r>
        <r>
          <rPr>
            <sz val="9"/>
            <color indexed="81"/>
            <rFont val="Tahoma"/>
            <family val="2"/>
          </rPr>
          <t xml:space="preserve">
Reference:
DCYR01-ESPT-E8W001 SH.2
3007854009-100 .pdf
2000:5A MR (2000:5A TAP)
TRF: 2
</t>
        </r>
      </text>
    </comment>
    <comment ref="I352" authorId="0" shapeId="0" xr:uid="{6E5EBD97-C106-4D18-913D-FD949185B7E7}">
      <text>
        <r>
          <rPr>
            <b/>
            <sz val="9"/>
            <color indexed="81"/>
            <rFont val="Tahoma"/>
            <family val="2"/>
          </rPr>
          <t>Author:</t>
        </r>
        <r>
          <rPr>
            <sz val="9"/>
            <color indexed="81"/>
            <rFont val="Tahoma"/>
            <family val="2"/>
          </rPr>
          <t xml:space="preserve">
Reference:
3007854009-100 .pdf
DCYR01-ESMV-E0W001 Sh. 1</t>
        </r>
      </text>
    </comment>
    <comment ref="J352" authorId="0" shapeId="0" xr:uid="{9B8A85DA-95C1-4DD2-82B7-95A913F9376A}">
      <text>
        <r>
          <rPr>
            <b/>
            <sz val="9"/>
            <color indexed="81"/>
            <rFont val="Tahoma"/>
            <family val="2"/>
          </rPr>
          <t>Author:</t>
        </r>
        <r>
          <rPr>
            <sz val="9"/>
            <color indexed="81"/>
            <rFont val="Tahoma"/>
            <family val="2"/>
          </rPr>
          <t xml:space="preserve">
Reference:
DCYR01-ESPT-E8W001 SH.2
3007854009-100 .pdf
2000:5A MR (2000:5A TAP)
TRF: 2
</t>
        </r>
      </text>
    </comment>
    <comment ref="K352" authorId="0" shapeId="0" xr:uid="{46C6E9D2-A485-426E-9041-0D6307721281}">
      <text>
        <r>
          <rPr>
            <b/>
            <sz val="9"/>
            <color indexed="81"/>
            <rFont val="Tahoma"/>
            <family val="2"/>
          </rPr>
          <t>Author:</t>
        </r>
        <r>
          <rPr>
            <sz val="9"/>
            <color indexed="81"/>
            <rFont val="Tahoma"/>
            <family val="2"/>
          </rPr>
          <t xml:space="preserve">
Reference:
DCYR01-ESMV-E0W001 Sh. 1</t>
        </r>
      </text>
    </comment>
    <comment ref="L352" authorId="0" shapeId="0" xr:uid="{CEE065AD-0DA5-4DEC-B8B1-F9AE388863E5}">
      <text>
        <r>
          <rPr>
            <b/>
            <sz val="9"/>
            <color indexed="81"/>
            <rFont val="Tahoma"/>
            <family val="2"/>
          </rPr>
          <t>Author:</t>
        </r>
        <r>
          <rPr>
            <sz val="9"/>
            <color indexed="81"/>
            <rFont val="Tahoma"/>
            <family val="2"/>
          </rPr>
          <t xml:space="preserve">
Reference:
DCYR01-ESMV-E0W001 Sh. 1</t>
        </r>
      </text>
    </comment>
    <comment ref="M352" authorId="0" shapeId="0" xr:uid="{53421BCE-D067-47FA-BD8F-B0DB7EA01F34}">
      <text>
        <r>
          <rPr>
            <b/>
            <sz val="9"/>
            <color indexed="81"/>
            <rFont val="Tahoma"/>
            <family val="2"/>
          </rPr>
          <t>Author:</t>
        </r>
        <r>
          <rPr>
            <sz val="9"/>
            <color indexed="81"/>
            <rFont val="Tahoma"/>
            <family val="2"/>
          </rPr>
          <t xml:space="preserve">
Reference:
DCYR01-ESMV-E0W001 Sh. 1</t>
        </r>
      </text>
    </comment>
    <comment ref="N352" authorId="0" shapeId="0" xr:uid="{9715CA72-B98C-44EE-B95F-82FA0E0E2126}">
      <text>
        <r>
          <rPr>
            <b/>
            <sz val="9"/>
            <color indexed="81"/>
            <rFont val="Tahoma"/>
            <family val="2"/>
          </rPr>
          <t>Author:</t>
        </r>
        <r>
          <rPr>
            <sz val="9"/>
            <color indexed="81"/>
            <rFont val="Tahoma"/>
            <family val="2"/>
          </rPr>
          <t xml:space="preserve">
Reference Cheyenne Ridge PRC-025-2
Limiting Relay Element:
50P1P = 652 A
Directional, doesn't apply
50P2P = 1284 A
50P3P = 4072 A</t>
        </r>
      </text>
    </comment>
    <comment ref="C353" authorId="0" shapeId="0" xr:uid="{263FFABB-5B3D-4857-B260-A77197194269}">
      <text>
        <r>
          <rPr>
            <b/>
            <sz val="9"/>
            <color indexed="81"/>
            <rFont val="Tahoma"/>
            <family val="2"/>
          </rPr>
          <t>Author:</t>
        </r>
        <r>
          <rPr>
            <sz val="9"/>
            <color indexed="81"/>
            <rFont val="Tahoma"/>
            <family val="2"/>
          </rPr>
          <t xml:space="preserve">
Combined MVA of Feeders: 
1201A and 1201B </t>
        </r>
      </text>
    </comment>
    <comment ref="F353" authorId="0" shapeId="0" xr:uid="{E9BF5DF2-3C79-4C4A-A471-D49E203E30E1}">
      <text>
        <r>
          <rPr>
            <b/>
            <sz val="9"/>
            <color indexed="81"/>
            <rFont val="Tahoma"/>
            <family val="2"/>
          </rPr>
          <t>Author:</t>
        </r>
        <r>
          <rPr>
            <sz val="9"/>
            <color indexed="81"/>
            <rFont val="Tahoma"/>
            <family val="2"/>
          </rPr>
          <t xml:space="preserve">
Reference:
DCYR01-ESMV-E0W001 Sh. 1</t>
        </r>
      </text>
    </comment>
    <comment ref="G353" authorId="0" shapeId="0" xr:uid="{4AB2613B-B394-4ABB-8C38-028E183F7833}">
      <text>
        <r>
          <rPr>
            <b/>
            <sz val="9"/>
            <color indexed="81"/>
            <rFont val="Tahoma"/>
            <family val="2"/>
          </rPr>
          <t>Author:</t>
        </r>
        <r>
          <rPr>
            <sz val="9"/>
            <color indexed="81"/>
            <rFont val="Tahoma"/>
            <family val="2"/>
          </rPr>
          <t xml:space="preserve">
Reference:
DCYR01-ESMV-E0W001 Sh. 1</t>
        </r>
      </text>
    </comment>
    <comment ref="H353" authorId="0" shapeId="0" xr:uid="{E46FD6C7-7F80-4F5B-9B70-EDADBD2D805F}">
      <text>
        <r>
          <rPr>
            <b/>
            <sz val="9"/>
            <color indexed="81"/>
            <rFont val="Tahoma"/>
            <family val="2"/>
          </rPr>
          <t>Author:</t>
        </r>
        <r>
          <rPr>
            <sz val="9"/>
            <color indexed="81"/>
            <rFont val="Tahoma"/>
            <family val="2"/>
          </rPr>
          <t xml:space="preserve">
Reference:
DCYR01-ESPT-E8W001 SH.3
3007854009-100 .pdf
2000:5A MR (2000:5A TAP)
TRF: 2
</t>
        </r>
      </text>
    </comment>
    <comment ref="I353" authorId="0" shapeId="0" xr:uid="{42FD91C4-7481-48D8-86D1-E47A16FFCF8D}">
      <text>
        <r>
          <rPr>
            <b/>
            <sz val="9"/>
            <color indexed="81"/>
            <rFont val="Tahoma"/>
            <family val="2"/>
          </rPr>
          <t>Author:</t>
        </r>
        <r>
          <rPr>
            <sz val="9"/>
            <color indexed="81"/>
            <rFont val="Tahoma"/>
            <family val="2"/>
          </rPr>
          <t xml:space="preserve">
Reference:
3007854009-100 .pdf
DCYR01-ESMV-E0W001 Sh. 1</t>
        </r>
      </text>
    </comment>
    <comment ref="J353" authorId="0" shapeId="0" xr:uid="{3A048F77-27D7-43A9-8D87-3B9A036DAAC0}">
      <text>
        <r>
          <rPr>
            <b/>
            <sz val="9"/>
            <color indexed="81"/>
            <rFont val="Tahoma"/>
            <family val="2"/>
          </rPr>
          <t>Author:</t>
        </r>
        <r>
          <rPr>
            <sz val="9"/>
            <color indexed="81"/>
            <rFont val="Tahoma"/>
            <family val="2"/>
          </rPr>
          <t xml:space="preserve">
Reference:
DCYR01-ESPT-E8W001 SH.3
3007854009-100 .pdf
2000:5A MR (2000:5A TAP)
TRF: 2
</t>
        </r>
      </text>
    </comment>
    <comment ref="K353" authorId="0" shapeId="0" xr:uid="{058B46EE-D3C3-454B-A474-60339F96ECB3}">
      <text>
        <r>
          <rPr>
            <b/>
            <sz val="9"/>
            <color indexed="81"/>
            <rFont val="Tahoma"/>
            <family val="2"/>
          </rPr>
          <t>Author:</t>
        </r>
        <r>
          <rPr>
            <sz val="9"/>
            <color indexed="81"/>
            <rFont val="Tahoma"/>
            <family val="2"/>
          </rPr>
          <t xml:space="preserve">
Reference:
DCYR01-ESMV-E0W001 Sh. 1</t>
        </r>
      </text>
    </comment>
    <comment ref="L353" authorId="0" shapeId="0" xr:uid="{794C664E-2FB9-4B8C-99D3-BF2B1C189C11}">
      <text>
        <r>
          <rPr>
            <b/>
            <sz val="9"/>
            <color indexed="81"/>
            <rFont val="Tahoma"/>
            <family val="2"/>
          </rPr>
          <t>Author:</t>
        </r>
        <r>
          <rPr>
            <sz val="9"/>
            <color indexed="81"/>
            <rFont val="Tahoma"/>
            <family val="2"/>
          </rPr>
          <t xml:space="preserve">
Reference:
DCYR01-ESMV-E0W001 Sh. 1</t>
        </r>
      </text>
    </comment>
    <comment ref="M353" authorId="0" shapeId="0" xr:uid="{4FD55E29-8F7D-4E04-B3DF-4302017D85FA}">
      <text>
        <r>
          <rPr>
            <b/>
            <sz val="9"/>
            <color indexed="81"/>
            <rFont val="Tahoma"/>
            <family val="2"/>
          </rPr>
          <t>Author:</t>
        </r>
        <r>
          <rPr>
            <sz val="9"/>
            <color indexed="81"/>
            <rFont val="Tahoma"/>
            <family val="2"/>
          </rPr>
          <t xml:space="preserve">
Reference:
DCYR01-ESMV-E0W001 Sh. 1</t>
        </r>
      </text>
    </comment>
    <comment ref="N353" authorId="0" shapeId="0" xr:uid="{212DC71B-8187-4B63-AA0D-36436E0955DD}">
      <text>
        <r>
          <rPr>
            <b/>
            <sz val="9"/>
            <color indexed="81"/>
            <rFont val="Tahoma"/>
            <family val="2"/>
          </rPr>
          <t>Author:</t>
        </r>
        <r>
          <rPr>
            <sz val="9"/>
            <color indexed="81"/>
            <rFont val="Tahoma"/>
            <family val="2"/>
          </rPr>
          <t xml:space="preserve">
Reference Cheyenne Ridge PRC-025-2
Limiting Relay Element:
50P1P = 652 A
Directional, doesn't apply
50P2P = 1284 A
50P3P = 4072 A</t>
        </r>
      </text>
    </comment>
    <comment ref="C354" authorId="0" shapeId="0" xr:uid="{5F0B7185-EB2C-40C5-99CF-B0454D2747E2}">
      <text>
        <r>
          <rPr>
            <b/>
            <sz val="9"/>
            <color indexed="81"/>
            <rFont val="Tahoma"/>
            <family val="2"/>
          </rPr>
          <t>Author:</t>
        </r>
        <r>
          <rPr>
            <sz val="9"/>
            <color indexed="81"/>
            <rFont val="Tahoma"/>
            <family val="2"/>
          </rPr>
          <t xml:space="preserve">
Combined MVA of Feeders: 
1202A and 1202B</t>
        </r>
      </text>
    </comment>
    <comment ref="F354" authorId="0" shapeId="0" xr:uid="{58980762-F05C-474C-AFB8-C7486A1EB1B7}">
      <text>
        <r>
          <rPr>
            <b/>
            <sz val="9"/>
            <color indexed="81"/>
            <rFont val="Tahoma"/>
            <family val="2"/>
          </rPr>
          <t>Author:</t>
        </r>
        <r>
          <rPr>
            <sz val="9"/>
            <color indexed="81"/>
            <rFont val="Tahoma"/>
            <family val="2"/>
          </rPr>
          <t xml:space="preserve">
Reference:
DCYR01-ESMV-E0W001 Sh. 1</t>
        </r>
      </text>
    </comment>
    <comment ref="G354" authorId="0" shapeId="0" xr:uid="{7AF4CDF4-DA5D-4194-A7A7-BE075007492D}">
      <text>
        <r>
          <rPr>
            <b/>
            <sz val="9"/>
            <color indexed="81"/>
            <rFont val="Tahoma"/>
            <family val="2"/>
          </rPr>
          <t>Author:</t>
        </r>
        <r>
          <rPr>
            <sz val="9"/>
            <color indexed="81"/>
            <rFont val="Tahoma"/>
            <family val="2"/>
          </rPr>
          <t xml:space="preserve">
Reference:
DCYR01-ESMV-E0W001 Sh. 1</t>
        </r>
      </text>
    </comment>
    <comment ref="H354" authorId="0" shapeId="0" xr:uid="{683D0DAB-4A56-4F64-A7F6-F3ED65821745}">
      <text>
        <r>
          <rPr>
            <b/>
            <sz val="9"/>
            <color indexed="81"/>
            <rFont val="Tahoma"/>
            <family val="2"/>
          </rPr>
          <t>Author:</t>
        </r>
        <r>
          <rPr>
            <sz val="9"/>
            <color indexed="81"/>
            <rFont val="Tahoma"/>
            <family val="2"/>
          </rPr>
          <t xml:space="preserve">
Reference:
DCYR01-ESPT-E8W001 SH.3
3007854009-100 .pdf
2000:5A MR (2000:5A TAP)
TRF: 2
</t>
        </r>
      </text>
    </comment>
    <comment ref="I354" authorId="0" shapeId="0" xr:uid="{D30C29A7-330B-41A2-87CC-E6DEDF8C5799}">
      <text>
        <r>
          <rPr>
            <b/>
            <sz val="9"/>
            <color indexed="81"/>
            <rFont val="Tahoma"/>
            <family val="2"/>
          </rPr>
          <t>Author:</t>
        </r>
        <r>
          <rPr>
            <sz val="9"/>
            <color indexed="81"/>
            <rFont val="Tahoma"/>
            <family val="2"/>
          </rPr>
          <t xml:space="preserve">
Reference:
3007854009-100 .pdf
DCYR01-ESMV-E0W001 Sh. 1</t>
        </r>
      </text>
    </comment>
    <comment ref="J354" authorId="0" shapeId="0" xr:uid="{40519150-60F3-4E4B-9EA6-7EBA61806049}">
      <text>
        <r>
          <rPr>
            <b/>
            <sz val="9"/>
            <color indexed="81"/>
            <rFont val="Tahoma"/>
            <family val="2"/>
          </rPr>
          <t>Author:</t>
        </r>
        <r>
          <rPr>
            <sz val="9"/>
            <color indexed="81"/>
            <rFont val="Tahoma"/>
            <family val="2"/>
          </rPr>
          <t xml:space="preserve">
Reference:
DCYR01-ESPT-E8W001 SH.3
3007854009-100 .pdf
2000:5A MR (2000:5A TAP)
TRF: 2
</t>
        </r>
      </text>
    </comment>
    <comment ref="K354" authorId="0" shapeId="0" xr:uid="{6FDBEEC3-8566-4317-A33D-22281BEA7C38}">
      <text>
        <r>
          <rPr>
            <b/>
            <sz val="9"/>
            <color indexed="81"/>
            <rFont val="Tahoma"/>
            <family val="2"/>
          </rPr>
          <t>Author:</t>
        </r>
        <r>
          <rPr>
            <sz val="9"/>
            <color indexed="81"/>
            <rFont val="Tahoma"/>
            <family val="2"/>
          </rPr>
          <t xml:space="preserve">
Reference:
DCYR01-ESMV-E0W001 Sh. 1</t>
        </r>
      </text>
    </comment>
    <comment ref="L354" authorId="0" shapeId="0" xr:uid="{6169A28F-B5DE-4F3F-8834-51E3837DEA34}">
      <text>
        <r>
          <rPr>
            <b/>
            <sz val="9"/>
            <color indexed="81"/>
            <rFont val="Tahoma"/>
            <family val="2"/>
          </rPr>
          <t>Author:</t>
        </r>
        <r>
          <rPr>
            <sz val="9"/>
            <color indexed="81"/>
            <rFont val="Tahoma"/>
            <family val="2"/>
          </rPr>
          <t xml:space="preserve">
Reference:
DCYR01-ESMV-E0W001 Sh. 1</t>
        </r>
      </text>
    </comment>
    <comment ref="M354" authorId="0" shapeId="0" xr:uid="{D7E45B63-7D1A-4A5D-920D-E86E6B07A630}">
      <text>
        <r>
          <rPr>
            <b/>
            <sz val="9"/>
            <color indexed="81"/>
            <rFont val="Tahoma"/>
            <family val="2"/>
          </rPr>
          <t>Author:</t>
        </r>
        <r>
          <rPr>
            <sz val="9"/>
            <color indexed="81"/>
            <rFont val="Tahoma"/>
            <family val="2"/>
          </rPr>
          <t xml:space="preserve">
Reference:
DCYR01-ESMV-E0W001 Sh. 1</t>
        </r>
      </text>
    </comment>
    <comment ref="N354" authorId="0" shapeId="0" xr:uid="{A987C9E1-3BF7-4EEA-9207-8908AEAE8C61}">
      <text>
        <r>
          <rPr>
            <b/>
            <sz val="9"/>
            <color indexed="81"/>
            <rFont val="Tahoma"/>
            <family val="2"/>
          </rPr>
          <t>Author:</t>
        </r>
        <r>
          <rPr>
            <sz val="9"/>
            <color indexed="81"/>
            <rFont val="Tahoma"/>
            <family val="2"/>
          </rPr>
          <t xml:space="preserve">
Reference Cheyenne Ridge PRC-025-2
Limiting Relay Element:
50P1P = 652 A
Directional, doesn't apply
50P2P = 1284 A
50P3P = 4072 A</t>
        </r>
      </text>
    </comment>
    <comment ref="C355" authorId="0" shapeId="0" xr:uid="{7A54CF9A-8758-4FDC-AB56-CA12BF86C97C}">
      <text>
        <r>
          <rPr>
            <b/>
            <sz val="9"/>
            <color indexed="81"/>
            <rFont val="Tahoma"/>
            <family val="2"/>
          </rPr>
          <t>Author:</t>
        </r>
        <r>
          <rPr>
            <sz val="9"/>
            <color indexed="81"/>
            <rFont val="Tahoma"/>
            <family val="2"/>
          </rPr>
          <t xml:space="preserve">
Combined MVA of Feeders: 
1203A and 1203B</t>
        </r>
      </text>
    </comment>
    <comment ref="F355" authorId="0" shapeId="0" xr:uid="{A288304D-A949-454E-9CC5-95D3C6837608}">
      <text>
        <r>
          <rPr>
            <b/>
            <sz val="9"/>
            <color indexed="81"/>
            <rFont val="Tahoma"/>
            <family val="2"/>
          </rPr>
          <t>Author:</t>
        </r>
        <r>
          <rPr>
            <sz val="9"/>
            <color indexed="81"/>
            <rFont val="Tahoma"/>
            <family val="2"/>
          </rPr>
          <t xml:space="preserve">
Reference:
DCYR01-ESMV-E0W001 Sh. 1</t>
        </r>
      </text>
    </comment>
    <comment ref="G355" authorId="0" shapeId="0" xr:uid="{E5745F66-6F51-4520-8E4B-4BBC0685389F}">
      <text>
        <r>
          <rPr>
            <b/>
            <sz val="9"/>
            <color indexed="81"/>
            <rFont val="Tahoma"/>
            <family val="2"/>
          </rPr>
          <t>Author:</t>
        </r>
        <r>
          <rPr>
            <sz val="9"/>
            <color indexed="81"/>
            <rFont val="Tahoma"/>
            <family val="2"/>
          </rPr>
          <t xml:space="preserve">
Reference:
DCYR01-ESMV-E0W001 Sh. 1</t>
        </r>
      </text>
    </comment>
    <comment ref="H355" authorId="0" shapeId="0" xr:uid="{07820F12-D39A-47C6-8570-90C3A4CACAAA}">
      <text>
        <r>
          <rPr>
            <b/>
            <sz val="9"/>
            <color indexed="81"/>
            <rFont val="Tahoma"/>
            <family val="2"/>
          </rPr>
          <t>Author:</t>
        </r>
        <r>
          <rPr>
            <sz val="9"/>
            <color indexed="81"/>
            <rFont val="Tahoma"/>
            <family val="2"/>
          </rPr>
          <t xml:space="preserve">
Reference:
DCYR01-ESPT-E8W001 SH.3
3007854009-100 .pdf
2000:5A MR (2000:5A TAP)
TRF: 2
</t>
        </r>
      </text>
    </comment>
    <comment ref="I355" authorId="0" shapeId="0" xr:uid="{D58C4937-BF8A-491E-A433-50B5E100CC0B}">
      <text>
        <r>
          <rPr>
            <b/>
            <sz val="9"/>
            <color indexed="81"/>
            <rFont val="Tahoma"/>
            <family val="2"/>
          </rPr>
          <t>Author:</t>
        </r>
        <r>
          <rPr>
            <sz val="9"/>
            <color indexed="81"/>
            <rFont val="Tahoma"/>
            <family val="2"/>
          </rPr>
          <t xml:space="preserve">
Reference:
3007854009-100 .pdf
DCYR01-ESMV-E0W001 Sh. 1</t>
        </r>
      </text>
    </comment>
    <comment ref="J355" authorId="0" shapeId="0" xr:uid="{23FF870E-EE6F-4753-B4E0-72999155728D}">
      <text>
        <r>
          <rPr>
            <b/>
            <sz val="9"/>
            <color indexed="81"/>
            <rFont val="Tahoma"/>
            <family val="2"/>
          </rPr>
          <t>Author:</t>
        </r>
        <r>
          <rPr>
            <sz val="9"/>
            <color indexed="81"/>
            <rFont val="Tahoma"/>
            <family val="2"/>
          </rPr>
          <t xml:space="preserve">
Reference:
DCYR01-ESPT-E8W001 SH.3
3007854009-100 .pdf
2000:5A MR (2000:5A TAP)
TRF: 2
</t>
        </r>
      </text>
    </comment>
    <comment ref="K355" authorId="0" shapeId="0" xr:uid="{42810DC6-3193-465F-9EE5-60A14C235421}">
      <text>
        <r>
          <rPr>
            <b/>
            <sz val="9"/>
            <color indexed="81"/>
            <rFont val="Tahoma"/>
            <family val="2"/>
          </rPr>
          <t>Author:</t>
        </r>
        <r>
          <rPr>
            <sz val="9"/>
            <color indexed="81"/>
            <rFont val="Tahoma"/>
            <family val="2"/>
          </rPr>
          <t xml:space="preserve">
Reference:
DCYR01-ESMV-E0W001 Sh. 1</t>
        </r>
      </text>
    </comment>
    <comment ref="L355" authorId="0" shapeId="0" xr:uid="{06CEB5E6-2DF4-4E0F-BA2D-C346BAB95ED0}">
      <text>
        <r>
          <rPr>
            <b/>
            <sz val="9"/>
            <color indexed="81"/>
            <rFont val="Tahoma"/>
            <family val="2"/>
          </rPr>
          <t>Author:</t>
        </r>
        <r>
          <rPr>
            <sz val="9"/>
            <color indexed="81"/>
            <rFont val="Tahoma"/>
            <family val="2"/>
          </rPr>
          <t xml:space="preserve">
Reference:
DCYR01-ESMV-E0W001 Sh. 1</t>
        </r>
      </text>
    </comment>
    <comment ref="M355" authorId="0" shapeId="0" xr:uid="{86ED243B-5C7E-40A8-8C3E-71D3E1E4A52A}">
      <text>
        <r>
          <rPr>
            <b/>
            <sz val="9"/>
            <color indexed="81"/>
            <rFont val="Tahoma"/>
            <family val="2"/>
          </rPr>
          <t>Author:</t>
        </r>
        <r>
          <rPr>
            <sz val="9"/>
            <color indexed="81"/>
            <rFont val="Tahoma"/>
            <family val="2"/>
          </rPr>
          <t xml:space="preserve">
Reference:
DCYR01-ESMV-E0W001 Sh. 1</t>
        </r>
      </text>
    </comment>
    <comment ref="N355" authorId="0" shapeId="0" xr:uid="{2B02883A-D8C2-4E66-AF1E-BD5544DB2DAF}">
      <text>
        <r>
          <rPr>
            <b/>
            <sz val="9"/>
            <color indexed="81"/>
            <rFont val="Tahoma"/>
            <family val="2"/>
          </rPr>
          <t>Author:</t>
        </r>
        <r>
          <rPr>
            <sz val="9"/>
            <color indexed="81"/>
            <rFont val="Tahoma"/>
            <family val="2"/>
          </rPr>
          <t xml:space="preserve">
Reference Cheyenne Ridge PRC-025-2
Limiting Relay Element:
50P1P = 652 A
Directional, doesn't apply
50P2P = 1284 A
50P3P = 4072 A</t>
        </r>
      </text>
    </comment>
    <comment ref="H359" authorId="0" shapeId="0" xr:uid="{598654BD-A386-4050-9B2E-693091161F33}">
      <text>
        <r>
          <rPr>
            <b/>
            <sz val="9"/>
            <color indexed="81"/>
            <rFont val="Tahoma"/>
            <family val="2"/>
          </rPr>
          <t>Author:</t>
        </r>
        <r>
          <rPr>
            <sz val="9"/>
            <color indexed="81"/>
            <rFont val="Tahoma"/>
            <family val="2"/>
          </rPr>
          <t xml:space="preserve">
1272 MCM Narcissus 
Summer (normal) @ 2 ft/sec
XEL-EVD-Facility-Rating-Supplement---Table---Bare-Overhead-Conductor.xls
ACYR00-SIMD-E01005.pdf</t>
        </r>
      </text>
    </comment>
    <comment ref="C361" authorId="0" shapeId="0" xr:uid="{AB06A96A-84CE-4E55-8B97-0B8B02EC2DBF}">
      <text>
        <r>
          <rPr>
            <b/>
            <sz val="9"/>
            <color indexed="81"/>
            <rFont val="Tahoma"/>
            <family val="2"/>
          </rPr>
          <t>Author:</t>
        </r>
        <r>
          <rPr>
            <sz val="9"/>
            <color indexed="81"/>
            <rFont val="Tahoma"/>
            <family val="2"/>
          </rPr>
          <t xml:space="preserve">
Combined MVA of Capacitor Bank:
2152</t>
        </r>
      </text>
    </comment>
    <comment ref="F361" authorId="0" shapeId="0" xr:uid="{BF46AE0B-8DA5-4CF8-92DB-6CABF468AE85}">
      <text>
        <r>
          <rPr>
            <b/>
            <sz val="9"/>
            <color indexed="81"/>
            <rFont val="Tahoma"/>
            <family val="2"/>
          </rPr>
          <t>Author:</t>
        </r>
        <r>
          <rPr>
            <sz val="9"/>
            <color indexed="81"/>
            <rFont val="Tahoma"/>
            <family val="2"/>
          </rPr>
          <t xml:space="preserve">
DCYR01-ESMV-E0E001 SH. 3
Ratings not provided by Cap Bank Manufacuture, rating assumed to be same as generator. </t>
        </r>
      </text>
    </comment>
    <comment ref="G361" authorId="0" shapeId="0" xr:uid="{2776E8CB-1A48-4AA0-B630-36025856D97B}">
      <text>
        <r>
          <rPr>
            <b/>
            <sz val="9"/>
            <color indexed="81"/>
            <rFont val="Tahoma"/>
            <family val="2"/>
          </rPr>
          <t>Author:</t>
        </r>
        <r>
          <rPr>
            <sz val="9"/>
            <color indexed="81"/>
            <rFont val="Tahoma"/>
            <family val="2"/>
          </rPr>
          <t xml:space="preserve">
Reference:
DCYR01-ESMV-E0E001 SH. 3
Cheyenne-Ridge-Cap-Switcher-Approval-Drawings.pdf</t>
        </r>
      </text>
    </comment>
    <comment ref="H361" authorId="0" shapeId="0" xr:uid="{F87F39B0-2DE4-43DF-8609-187F18A9E479}">
      <text>
        <r>
          <rPr>
            <b/>
            <sz val="9"/>
            <color indexed="81"/>
            <rFont val="Tahoma"/>
            <family val="2"/>
          </rPr>
          <t>Author:</t>
        </r>
        <r>
          <rPr>
            <sz val="9"/>
            <color indexed="81"/>
            <rFont val="Tahoma"/>
            <family val="2"/>
          </rPr>
          <t xml:space="preserve">
Reference: 
DCYR01-ESMV-E0E001
SH. 3</t>
        </r>
      </text>
    </comment>
    <comment ref="I361" authorId="0" shapeId="0" xr:uid="{F1D7E2A0-245F-46E2-9481-63B10E8DA700}">
      <text>
        <r>
          <rPr>
            <b/>
            <sz val="9"/>
            <color indexed="81"/>
            <rFont val="Tahoma"/>
            <family val="2"/>
          </rPr>
          <t>Author:</t>
        </r>
        <r>
          <rPr>
            <sz val="9"/>
            <color indexed="81"/>
            <rFont val="Tahoma"/>
            <family val="2"/>
          </rPr>
          <t xml:space="preserve">
Reference: 
DCYR01-ESMV-E0E001
SH. 3</t>
        </r>
      </text>
    </comment>
    <comment ref="J361" authorId="0" shapeId="0" xr:uid="{CFC09FE2-260E-49E5-9248-D739AAD1252D}">
      <text>
        <r>
          <rPr>
            <b/>
            <sz val="9"/>
            <color indexed="81"/>
            <rFont val="Tahoma"/>
            <family val="2"/>
          </rPr>
          <t>Author:</t>
        </r>
        <r>
          <rPr>
            <sz val="9"/>
            <color indexed="81"/>
            <rFont val="Tahoma"/>
            <family val="2"/>
          </rPr>
          <t xml:space="preserve">
Reference:
5" AL TUBULAR BUS
DCYR01-ESMV-E0E001
XEL-EVD-Facility-Rating-Supplement---Table---Tubular-and-Square-Conductor.xls</t>
        </r>
      </text>
    </comment>
    <comment ref="K361" authorId="0" shapeId="0" xr:uid="{2BA02C30-B170-4D4D-8731-B928F2890AA3}">
      <text>
        <r>
          <rPr>
            <b/>
            <sz val="9"/>
            <color indexed="81"/>
            <rFont val="Tahoma"/>
            <family val="2"/>
          </rPr>
          <t>Author:</t>
        </r>
        <r>
          <rPr>
            <sz val="9"/>
            <color indexed="81"/>
            <rFont val="Tahoma"/>
            <family val="2"/>
          </rPr>
          <t xml:space="preserve">
(2) 2.5" Al. Bus = 2 * 1628 = 3256 Amps
DCYR01-ESMV-E0E001
XEL-EVD-Facility-Rating-Supplement---Table---Tubular-and-Square-Conductor.xls
</t>
        </r>
      </text>
    </comment>
    <comment ref="C362" authorId="0" shapeId="0" xr:uid="{27CF3F24-3DC1-4D2D-97FA-B7F8B72F8F94}">
      <text>
        <r>
          <rPr>
            <b/>
            <sz val="9"/>
            <color indexed="81"/>
            <rFont val="Tahoma"/>
            <family val="2"/>
          </rPr>
          <t>Author:</t>
        </r>
        <r>
          <rPr>
            <sz val="9"/>
            <color indexed="81"/>
            <rFont val="Tahoma"/>
            <family val="2"/>
          </rPr>
          <t xml:space="preserve">
Combined MVA of Capacitor Bank:
2153</t>
        </r>
      </text>
    </comment>
    <comment ref="F362" authorId="0" shapeId="0" xr:uid="{5A64F36F-44E5-4CA8-ADBC-11D91372D393}">
      <text>
        <r>
          <rPr>
            <b/>
            <sz val="9"/>
            <color indexed="81"/>
            <rFont val="Tahoma"/>
            <family val="2"/>
          </rPr>
          <t>Author:</t>
        </r>
        <r>
          <rPr>
            <sz val="9"/>
            <color indexed="81"/>
            <rFont val="Tahoma"/>
            <family val="2"/>
          </rPr>
          <t xml:space="preserve">
DCYR01-ESMV-E0E001 SH. 3
Ratings not provided by Cap Bank Manufacuture, rating assumed to be same as generator. </t>
        </r>
      </text>
    </comment>
    <comment ref="G362" authorId="0" shapeId="0" xr:uid="{F2E6FB8C-5EE7-4013-AF87-489944AFF7A4}">
      <text>
        <r>
          <rPr>
            <b/>
            <sz val="9"/>
            <color indexed="81"/>
            <rFont val="Tahoma"/>
            <family val="2"/>
          </rPr>
          <t>Author:</t>
        </r>
        <r>
          <rPr>
            <sz val="9"/>
            <color indexed="81"/>
            <rFont val="Tahoma"/>
            <family val="2"/>
          </rPr>
          <t xml:space="preserve">
Reference:
DCYR01-ESMV-E0E001 SH. 3
Cheyenne-Ridge-Cap-Switcher-Approval-Drawings.pdf</t>
        </r>
      </text>
    </comment>
    <comment ref="H362" authorId="0" shapeId="0" xr:uid="{5AC67D56-ECEC-4410-8E74-747A07112CC4}">
      <text>
        <r>
          <rPr>
            <b/>
            <sz val="9"/>
            <color indexed="81"/>
            <rFont val="Tahoma"/>
            <family val="2"/>
          </rPr>
          <t>Author:</t>
        </r>
        <r>
          <rPr>
            <sz val="9"/>
            <color indexed="81"/>
            <rFont val="Tahoma"/>
            <family val="2"/>
          </rPr>
          <t xml:space="preserve">
Reference: 
DCYR01-ESMV-E0E001
SH. 3</t>
        </r>
      </text>
    </comment>
    <comment ref="I362" authorId="0" shapeId="0" xr:uid="{16097B2C-1715-49A8-904F-7D886E0E3329}">
      <text>
        <r>
          <rPr>
            <b/>
            <sz val="9"/>
            <color indexed="81"/>
            <rFont val="Tahoma"/>
            <family val="2"/>
          </rPr>
          <t>Author:</t>
        </r>
        <r>
          <rPr>
            <sz val="9"/>
            <color indexed="81"/>
            <rFont val="Tahoma"/>
            <family val="2"/>
          </rPr>
          <t xml:space="preserve">
Reference: 
DCYR01-ESMV-E0E001
SH. 3</t>
        </r>
      </text>
    </comment>
    <comment ref="J362" authorId="0" shapeId="0" xr:uid="{B568EB64-AD0A-44EA-BC79-FA253E2CB35B}">
      <text>
        <r>
          <rPr>
            <b/>
            <sz val="9"/>
            <color indexed="81"/>
            <rFont val="Tahoma"/>
            <family val="2"/>
          </rPr>
          <t>Author:</t>
        </r>
        <r>
          <rPr>
            <sz val="9"/>
            <color indexed="81"/>
            <rFont val="Tahoma"/>
            <family val="2"/>
          </rPr>
          <t xml:space="preserve">
Reference:
5" AL TUBULAR BUS
DCYR01-ESMV-E0E001
XEL-EVD-Facility-Rating-Supplement---Table---Tubular-and-Square-Conductor.xls</t>
        </r>
      </text>
    </comment>
    <comment ref="K362" authorId="0" shapeId="0" xr:uid="{85D73172-7DEF-4998-A1BB-6141795F6CDF}">
      <text>
        <r>
          <rPr>
            <b/>
            <sz val="9"/>
            <color indexed="81"/>
            <rFont val="Tahoma"/>
            <family val="2"/>
          </rPr>
          <t>Author:</t>
        </r>
        <r>
          <rPr>
            <sz val="9"/>
            <color indexed="81"/>
            <rFont val="Tahoma"/>
            <family val="2"/>
          </rPr>
          <t xml:space="preserve">
(2) 2.5" Al. Bus = 2 * 1628 = 3256 Amps
DCYR01-ESMV-E0E001
XEL-EVD-Facility-Rating-Supplement---Table---Tubular-and-Square-Conductor.xls
</t>
        </r>
      </text>
    </comment>
    <comment ref="C363" authorId="0" shapeId="0" xr:uid="{0994529D-0B26-4DF3-84D4-0ECB96D42CB3}">
      <text>
        <r>
          <rPr>
            <b/>
            <sz val="9"/>
            <color indexed="81"/>
            <rFont val="Tahoma"/>
            <family val="2"/>
          </rPr>
          <t>Author:</t>
        </r>
        <r>
          <rPr>
            <sz val="9"/>
            <color indexed="81"/>
            <rFont val="Tahoma"/>
            <family val="2"/>
          </rPr>
          <t xml:space="preserve">
Combined MVA of Capacitor Bank:
2252</t>
        </r>
      </text>
    </comment>
    <comment ref="F363" authorId="0" shapeId="0" xr:uid="{EAA5BC1D-2657-4CE0-BA33-A843722233B1}">
      <text>
        <r>
          <rPr>
            <b/>
            <sz val="9"/>
            <color indexed="81"/>
            <rFont val="Tahoma"/>
            <family val="2"/>
          </rPr>
          <t>Author:</t>
        </r>
        <r>
          <rPr>
            <sz val="9"/>
            <color indexed="81"/>
            <rFont val="Tahoma"/>
            <family val="2"/>
          </rPr>
          <t xml:space="preserve">
DCYR01-ESMV-E0E001 SH. 3
Ratings not provided by Cap Bank Manufacuture, rating assumed to be same as generator. </t>
        </r>
      </text>
    </comment>
    <comment ref="G363" authorId="0" shapeId="0" xr:uid="{06DFEB6C-D874-4829-9567-48DB82CD1EDA}">
      <text>
        <r>
          <rPr>
            <b/>
            <sz val="9"/>
            <color indexed="81"/>
            <rFont val="Tahoma"/>
            <family val="2"/>
          </rPr>
          <t>Author:</t>
        </r>
        <r>
          <rPr>
            <sz val="9"/>
            <color indexed="81"/>
            <rFont val="Tahoma"/>
            <family val="2"/>
          </rPr>
          <t xml:space="preserve">
Reference:
DCYR01-ESMV-E0E001 SH. 3
Cheyenne-Ridge-Cap-Switcher-Approval-Drawings.pdf</t>
        </r>
      </text>
    </comment>
    <comment ref="H363" authorId="0" shapeId="0" xr:uid="{38FEF86E-E3F5-4A06-BD80-3DEA3A2EB032}">
      <text>
        <r>
          <rPr>
            <b/>
            <sz val="9"/>
            <color indexed="81"/>
            <rFont val="Tahoma"/>
            <family val="2"/>
          </rPr>
          <t>Author:</t>
        </r>
        <r>
          <rPr>
            <sz val="9"/>
            <color indexed="81"/>
            <rFont val="Tahoma"/>
            <family val="2"/>
          </rPr>
          <t xml:space="preserve">
Reference: 
DCYR01-ESMV-E0E001
SH. 3</t>
        </r>
      </text>
    </comment>
    <comment ref="I363" authorId="0" shapeId="0" xr:uid="{368725A4-44D4-4827-BAAE-3AFA01528745}">
      <text>
        <r>
          <rPr>
            <b/>
            <sz val="9"/>
            <color indexed="81"/>
            <rFont val="Tahoma"/>
            <family val="2"/>
          </rPr>
          <t>Author:</t>
        </r>
        <r>
          <rPr>
            <sz val="9"/>
            <color indexed="81"/>
            <rFont val="Tahoma"/>
            <family val="2"/>
          </rPr>
          <t xml:space="preserve">
Reference: 
DCYR01-ESMV-E0E001
SH. 3</t>
        </r>
      </text>
    </comment>
    <comment ref="J363" authorId="0" shapeId="0" xr:uid="{1C1E6952-F0AD-4B69-B2E0-FC654A5E3ADE}">
      <text>
        <r>
          <rPr>
            <b/>
            <sz val="9"/>
            <color indexed="81"/>
            <rFont val="Tahoma"/>
            <family val="2"/>
          </rPr>
          <t>Author:</t>
        </r>
        <r>
          <rPr>
            <sz val="9"/>
            <color indexed="81"/>
            <rFont val="Tahoma"/>
            <family val="2"/>
          </rPr>
          <t xml:space="preserve">
Reference:
5" AL TUBULAR BUS
DCYR01-ESMV-E0E001
XEL-EVD-Facility-Rating-Supplement---Table---Tubular-and-Square-Conductor.xls</t>
        </r>
      </text>
    </comment>
    <comment ref="K363" authorId="0" shapeId="0" xr:uid="{5994BAA9-353D-4B5F-883B-4CDB410950D9}">
      <text>
        <r>
          <rPr>
            <b/>
            <sz val="9"/>
            <color indexed="81"/>
            <rFont val="Tahoma"/>
            <family val="2"/>
          </rPr>
          <t>Author:</t>
        </r>
        <r>
          <rPr>
            <sz val="9"/>
            <color indexed="81"/>
            <rFont val="Tahoma"/>
            <family val="2"/>
          </rPr>
          <t xml:space="preserve">
(2) 2.5" Al. Bus = 2 * 1628 = 3256 Amps
DCYR01-ESMV-E0E001
XEL-EVD-Facility-Rating-Supplement---Table---Tubular-and-Square-Conductor.xls
</t>
        </r>
      </text>
    </comment>
    <comment ref="C364" authorId="0" shapeId="0" xr:uid="{E5E4A81D-57E8-4C95-B401-4911AF3F2895}">
      <text>
        <r>
          <rPr>
            <b/>
            <sz val="9"/>
            <color indexed="81"/>
            <rFont val="Tahoma"/>
            <family val="2"/>
          </rPr>
          <t>Author:</t>
        </r>
        <r>
          <rPr>
            <sz val="9"/>
            <color indexed="81"/>
            <rFont val="Tahoma"/>
            <family val="2"/>
          </rPr>
          <t xml:space="preserve">
Combined MVA of Capacitor Bank:
2253</t>
        </r>
      </text>
    </comment>
    <comment ref="F364" authorId="0" shapeId="0" xr:uid="{3C9EA092-A518-4FF6-A561-32D9025105EA}">
      <text>
        <r>
          <rPr>
            <b/>
            <sz val="9"/>
            <color indexed="81"/>
            <rFont val="Tahoma"/>
            <family val="2"/>
          </rPr>
          <t>Author:</t>
        </r>
        <r>
          <rPr>
            <sz val="9"/>
            <color indexed="81"/>
            <rFont val="Tahoma"/>
            <family val="2"/>
          </rPr>
          <t xml:space="preserve">
DCYR01-ESMV-E0E001 SH. 3
Ratings not provided by Cap Bank Manufacuture, rating assumed to be same as generator. </t>
        </r>
      </text>
    </comment>
    <comment ref="G364" authorId="0" shapeId="0" xr:uid="{AE3A1AEB-F107-4C21-9CC8-A668608FAD95}">
      <text>
        <r>
          <rPr>
            <b/>
            <sz val="9"/>
            <color indexed="81"/>
            <rFont val="Tahoma"/>
            <family val="2"/>
          </rPr>
          <t>Author:</t>
        </r>
        <r>
          <rPr>
            <sz val="9"/>
            <color indexed="81"/>
            <rFont val="Tahoma"/>
            <family val="2"/>
          </rPr>
          <t xml:space="preserve">
Reference:
DCYR01-ESMV-E0E001 SH. 3
Cheyenne-Ridge-Cap-Switcher-Approval-Drawings.pdf</t>
        </r>
      </text>
    </comment>
    <comment ref="H364" authorId="0" shapeId="0" xr:uid="{75921D5C-DFC3-4EA9-BABF-F87D07849F85}">
      <text>
        <r>
          <rPr>
            <b/>
            <sz val="9"/>
            <color indexed="81"/>
            <rFont val="Tahoma"/>
            <family val="2"/>
          </rPr>
          <t>Author:</t>
        </r>
        <r>
          <rPr>
            <sz val="9"/>
            <color indexed="81"/>
            <rFont val="Tahoma"/>
            <family val="2"/>
          </rPr>
          <t xml:space="preserve">
Reference: 
DCYR01-ESMV-E0E001
SH. 3</t>
        </r>
      </text>
    </comment>
    <comment ref="I364" authorId="0" shapeId="0" xr:uid="{F6027CEC-8294-494D-8713-A884CD8AEB52}">
      <text>
        <r>
          <rPr>
            <b/>
            <sz val="9"/>
            <color indexed="81"/>
            <rFont val="Tahoma"/>
            <family val="2"/>
          </rPr>
          <t>Author:</t>
        </r>
        <r>
          <rPr>
            <sz val="9"/>
            <color indexed="81"/>
            <rFont val="Tahoma"/>
            <family val="2"/>
          </rPr>
          <t xml:space="preserve">
Reference: 
DCYR01-ESMV-E0E001
SH. 3</t>
        </r>
      </text>
    </comment>
    <comment ref="J364" authorId="0" shapeId="0" xr:uid="{B683ACA5-1AF7-49F8-813F-54EFF09F5151}">
      <text>
        <r>
          <rPr>
            <b/>
            <sz val="9"/>
            <color indexed="81"/>
            <rFont val="Tahoma"/>
            <family val="2"/>
          </rPr>
          <t>Author:</t>
        </r>
        <r>
          <rPr>
            <sz val="9"/>
            <color indexed="81"/>
            <rFont val="Tahoma"/>
            <family val="2"/>
          </rPr>
          <t xml:space="preserve">
Reference:
5" AL TUBULAR BUS
DCYR01-ESMV-E0E001
XEL-EVD-Facility-Rating-Supplement---Table---Tubular-and-Square-Conductor.xls</t>
        </r>
      </text>
    </comment>
    <comment ref="K364" authorId="0" shapeId="0" xr:uid="{D7E88DB2-3A53-4D9D-AD8E-5FC22134102C}">
      <text>
        <r>
          <rPr>
            <b/>
            <sz val="9"/>
            <color indexed="81"/>
            <rFont val="Tahoma"/>
            <family val="2"/>
          </rPr>
          <t>Author:</t>
        </r>
        <r>
          <rPr>
            <sz val="9"/>
            <color indexed="81"/>
            <rFont val="Tahoma"/>
            <family val="2"/>
          </rPr>
          <t xml:space="preserve">
(2) 2.5" Al. Bus = 2 * 1628 = 3256 Amps
DCYR01-ESMV-E0E001
XEL-EVD-Facility-Rating-Supplement---Table---Tubular-and-Square-Conductor.xls
</t>
        </r>
      </text>
    </comment>
    <comment ref="C365" authorId="0" shapeId="0" xr:uid="{07F29358-FD5E-494A-89F1-EB996A81A188}">
      <text>
        <r>
          <rPr>
            <b/>
            <sz val="9"/>
            <color indexed="81"/>
            <rFont val="Tahoma"/>
            <family val="2"/>
          </rPr>
          <t>Author:</t>
        </r>
        <r>
          <rPr>
            <sz val="9"/>
            <color indexed="81"/>
            <rFont val="Tahoma"/>
            <family val="2"/>
          </rPr>
          <t xml:space="preserve">
Combined MVA of Capacitor Bank:
1152</t>
        </r>
      </text>
    </comment>
    <comment ref="F365" authorId="0" shapeId="0" xr:uid="{9CAA8872-D56D-49A4-8265-7F38B2C38FFE}">
      <text>
        <r>
          <rPr>
            <b/>
            <sz val="9"/>
            <color indexed="81"/>
            <rFont val="Tahoma"/>
            <family val="2"/>
          </rPr>
          <t>Author:</t>
        </r>
        <r>
          <rPr>
            <sz val="9"/>
            <color indexed="81"/>
            <rFont val="Tahoma"/>
            <family val="2"/>
          </rPr>
          <t xml:space="preserve">
DCYR01-ESMV-E0W001 SH. 3
Ratings not provided by Cap Bank Manufacuture, rating assumed to be same as generator. </t>
        </r>
      </text>
    </comment>
    <comment ref="G365" authorId="0" shapeId="0" xr:uid="{0200A8B2-E91F-42EF-A6F9-3B9757E06FE3}">
      <text>
        <r>
          <rPr>
            <b/>
            <sz val="9"/>
            <color indexed="81"/>
            <rFont val="Tahoma"/>
            <family val="2"/>
          </rPr>
          <t>Author:</t>
        </r>
        <r>
          <rPr>
            <sz val="9"/>
            <color indexed="81"/>
            <rFont val="Tahoma"/>
            <family val="2"/>
          </rPr>
          <t xml:space="preserve">
Reference:
DCYR01-ESMV-E0W001 SH. 3
Cheyenne-Ridge-Cap-Switcher-Approval-Drawings.pdf</t>
        </r>
      </text>
    </comment>
    <comment ref="H365" authorId="0" shapeId="0" xr:uid="{CC71C335-789F-450D-91C8-2A7314606879}">
      <text>
        <r>
          <rPr>
            <b/>
            <sz val="9"/>
            <color indexed="81"/>
            <rFont val="Tahoma"/>
            <family val="2"/>
          </rPr>
          <t>Author:</t>
        </r>
        <r>
          <rPr>
            <sz val="9"/>
            <color indexed="81"/>
            <rFont val="Tahoma"/>
            <family val="2"/>
          </rPr>
          <t xml:space="preserve">
Reference: 
DCYR01-ESMV-E0W001
SH. 3</t>
        </r>
      </text>
    </comment>
    <comment ref="I365" authorId="0" shapeId="0" xr:uid="{FB0FFD2B-3E30-4F2F-8C56-970BEDF68D2E}">
      <text>
        <r>
          <rPr>
            <b/>
            <sz val="9"/>
            <color indexed="81"/>
            <rFont val="Tahoma"/>
            <family val="2"/>
          </rPr>
          <t>Author:</t>
        </r>
        <r>
          <rPr>
            <sz val="9"/>
            <color indexed="81"/>
            <rFont val="Tahoma"/>
            <family val="2"/>
          </rPr>
          <t xml:space="preserve">
Reference: 
DCYR01-ESMV-E0W001
SH. 3</t>
        </r>
      </text>
    </comment>
    <comment ref="J365" authorId="0" shapeId="0" xr:uid="{4B021774-36CE-4CB0-BEA8-F256531C3423}">
      <text>
        <r>
          <rPr>
            <b/>
            <sz val="9"/>
            <color indexed="81"/>
            <rFont val="Tahoma"/>
            <family val="2"/>
          </rPr>
          <t>Author:</t>
        </r>
        <r>
          <rPr>
            <sz val="9"/>
            <color indexed="81"/>
            <rFont val="Tahoma"/>
            <family val="2"/>
          </rPr>
          <t xml:space="preserve">
Reference:
5" AL TUBULAR BUS
DCYR01-ESMV-E0W001
XEL-EVD-Facility-Rating-Supplement---Table---Tubular-and-Square-Conductor.xls</t>
        </r>
      </text>
    </comment>
    <comment ref="K365" authorId="0" shapeId="0" xr:uid="{9635B517-9550-465C-8486-00FBD493D3E7}">
      <text>
        <r>
          <rPr>
            <b/>
            <sz val="9"/>
            <color indexed="81"/>
            <rFont val="Tahoma"/>
            <family val="2"/>
          </rPr>
          <t>Author:</t>
        </r>
        <r>
          <rPr>
            <sz val="9"/>
            <color indexed="81"/>
            <rFont val="Tahoma"/>
            <family val="2"/>
          </rPr>
          <t xml:space="preserve">
(2) 2.5" Al. Bus = 2 * 1628 = 3256 Amps
DCYR01-ESMV-E0W001
XEL-EVD-Facility-Rating-Supplement---Table---Tubular-and-Square-Conductor.xls
</t>
        </r>
      </text>
    </comment>
    <comment ref="C366" authorId="0" shapeId="0" xr:uid="{F37E2FAA-D2B0-4D63-A39F-FA08D4CEA25E}">
      <text>
        <r>
          <rPr>
            <b/>
            <sz val="9"/>
            <color indexed="81"/>
            <rFont val="Tahoma"/>
            <family val="2"/>
          </rPr>
          <t>Author:</t>
        </r>
        <r>
          <rPr>
            <sz val="9"/>
            <color indexed="81"/>
            <rFont val="Tahoma"/>
            <family val="2"/>
          </rPr>
          <t xml:space="preserve">
Combined MVA of Capacitor Bank:
1153</t>
        </r>
      </text>
    </comment>
    <comment ref="F366" authorId="0" shapeId="0" xr:uid="{CBC43944-D3FA-4A30-B909-427A10D25A08}">
      <text>
        <r>
          <rPr>
            <b/>
            <sz val="9"/>
            <color indexed="81"/>
            <rFont val="Tahoma"/>
            <family val="2"/>
          </rPr>
          <t>Author:</t>
        </r>
        <r>
          <rPr>
            <sz val="9"/>
            <color indexed="81"/>
            <rFont val="Tahoma"/>
            <family val="2"/>
          </rPr>
          <t xml:space="preserve">
DCYR01-ESMV-E0W001 SH. 3
Ratings not provided by Cap Bank Manufacuture, rating assumed to be same as generator. </t>
        </r>
      </text>
    </comment>
    <comment ref="G366" authorId="0" shapeId="0" xr:uid="{97E2CCE7-790F-46E4-873E-226CE10D92EB}">
      <text>
        <r>
          <rPr>
            <b/>
            <sz val="9"/>
            <color indexed="81"/>
            <rFont val="Tahoma"/>
            <family val="2"/>
          </rPr>
          <t>Author:</t>
        </r>
        <r>
          <rPr>
            <sz val="9"/>
            <color indexed="81"/>
            <rFont val="Tahoma"/>
            <family val="2"/>
          </rPr>
          <t xml:space="preserve">
Reference:
DCYR01-ESMV-E0W001 SH. 3
Cheyenne-Ridge-Cap-Switcher-Approval-Drawings.pdf</t>
        </r>
      </text>
    </comment>
    <comment ref="H366" authorId="0" shapeId="0" xr:uid="{3D9B72FD-C79C-4A59-AD64-AD7533A49D6B}">
      <text>
        <r>
          <rPr>
            <b/>
            <sz val="9"/>
            <color indexed="81"/>
            <rFont val="Tahoma"/>
            <family val="2"/>
          </rPr>
          <t>Author:</t>
        </r>
        <r>
          <rPr>
            <sz val="9"/>
            <color indexed="81"/>
            <rFont val="Tahoma"/>
            <family val="2"/>
          </rPr>
          <t xml:space="preserve">
Reference: 
DCYR01-ESMV-E0W001
SH. 3</t>
        </r>
      </text>
    </comment>
    <comment ref="I366" authorId="0" shapeId="0" xr:uid="{338C406C-634C-43FD-875C-073837A36286}">
      <text>
        <r>
          <rPr>
            <b/>
            <sz val="9"/>
            <color indexed="81"/>
            <rFont val="Tahoma"/>
            <family val="2"/>
          </rPr>
          <t>Author:</t>
        </r>
        <r>
          <rPr>
            <sz val="9"/>
            <color indexed="81"/>
            <rFont val="Tahoma"/>
            <family val="2"/>
          </rPr>
          <t xml:space="preserve">
Reference: 
DCYR01-ESMV-E0W001
SH. 3</t>
        </r>
      </text>
    </comment>
    <comment ref="J366" authorId="0" shapeId="0" xr:uid="{79FC7CA0-787F-4ED6-A171-5CEC12A45468}">
      <text>
        <r>
          <rPr>
            <b/>
            <sz val="9"/>
            <color indexed="81"/>
            <rFont val="Tahoma"/>
            <family val="2"/>
          </rPr>
          <t>Author:</t>
        </r>
        <r>
          <rPr>
            <sz val="9"/>
            <color indexed="81"/>
            <rFont val="Tahoma"/>
            <family val="2"/>
          </rPr>
          <t xml:space="preserve">
Reference:
5" AL TUBULAR BUS
DCYR01-ESMV-E0W001
XEL-EVD-Facility-Rating-Supplement---Table---Tubular-and-Square-Conductor.xls</t>
        </r>
      </text>
    </comment>
    <comment ref="K366" authorId="0" shapeId="0" xr:uid="{F7D04421-98FE-4A14-A00B-A98D6342BC25}">
      <text>
        <r>
          <rPr>
            <b/>
            <sz val="9"/>
            <color indexed="81"/>
            <rFont val="Tahoma"/>
            <family val="2"/>
          </rPr>
          <t>Author:</t>
        </r>
        <r>
          <rPr>
            <sz val="9"/>
            <color indexed="81"/>
            <rFont val="Tahoma"/>
            <family val="2"/>
          </rPr>
          <t xml:space="preserve">
(2) 2.5" Al. Bus = 2 * 1628 = 3256 Amps
DCYR01-ESMV-E0W001
XEL-EVD-Facility-Rating-Supplement---Table---Tubular-and-Square-Conductor.xls
</t>
        </r>
      </text>
    </comment>
    <comment ref="C367" authorId="0" shapeId="0" xr:uid="{559AD4F4-8B14-4CB5-95D9-4877A9CAF28D}">
      <text>
        <r>
          <rPr>
            <b/>
            <sz val="9"/>
            <color indexed="81"/>
            <rFont val="Tahoma"/>
            <family val="2"/>
          </rPr>
          <t>Author:</t>
        </r>
        <r>
          <rPr>
            <sz val="9"/>
            <color indexed="81"/>
            <rFont val="Tahoma"/>
            <family val="2"/>
          </rPr>
          <t xml:space="preserve">
Combined MVA of Capacitor Bank:
1252</t>
        </r>
      </text>
    </comment>
    <comment ref="F367" authorId="0" shapeId="0" xr:uid="{BC5F4A19-9990-420C-89F3-6C9C933C5B31}">
      <text>
        <r>
          <rPr>
            <b/>
            <sz val="9"/>
            <color indexed="81"/>
            <rFont val="Tahoma"/>
            <family val="2"/>
          </rPr>
          <t>Author:</t>
        </r>
        <r>
          <rPr>
            <sz val="9"/>
            <color indexed="81"/>
            <rFont val="Tahoma"/>
            <family val="2"/>
          </rPr>
          <t xml:space="preserve">
DCYR01-ESMV-E0W001 SH. 3
Ratings not provided by Cap Bank Manufacuture, rating assumed to be same as generator. </t>
        </r>
      </text>
    </comment>
    <comment ref="G367" authorId="0" shapeId="0" xr:uid="{160F3D84-6A22-4768-A772-224EFBC1646E}">
      <text>
        <r>
          <rPr>
            <b/>
            <sz val="9"/>
            <color indexed="81"/>
            <rFont val="Tahoma"/>
            <family val="2"/>
          </rPr>
          <t>Author:</t>
        </r>
        <r>
          <rPr>
            <sz val="9"/>
            <color indexed="81"/>
            <rFont val="Tahoma"/>
            <family val="2"/>
          </rPr>
          <t xml:space="preserve">
Reference:
DCYR01-ESMV-E0W001 SH. 3
Cheyenne-Ridge-Cap-Switcher-Approval-Drawings.pdf</t>
        </r>
      </text>
    </comment>
    <comment ref="H367" authorId="0" shapeId="0" xr:uid="{24372FCB-6455-4BEB-A6BB-F4D167A79876}">
      <text>
        <r>
          <rPr>
            <b/>
            <sz val="9"/>
            <color indexed="81"/>
            <rFont val="Tahoma"/>
            <family val="2"/>
          </rPr>
          <t>Author:</t>
        </r>
        <r>
          <rPr>
            <sz val="9"/>
            <color indexed="81"/>
            <rFont val="Tahoma"/>
            <family val="2"/>
          </rPr>
          <t xml:space="preserve">
Reference: 
DCYR01-ESMV-E0W001
SH. 3</t>
        </r>
      </text>
    </comment>
    <comment ref="I367" authorId="0" shapeId="0" xr:uid="{2006B4BB-4631-4224-8CB8-56B8617ACBDD}">
      <text>
        <r>
          <rPr>
            <b/>
            <sz val="9"/>
            <color indexed="81"/>
            <rFont val="Tahoma"/>
            <family val="2"/>
          </rPr>
          <t>Author:</t>
        </r>
        <r>
          <rPr>
            <sz val="9"/>
            <color indexed="81"/>
            <rFont val="Tahoma"/>
            <family val="2"/>
          </rPr>
          <t xml:space="preserve">
Reference: 
DCYR01-ESMV-E0W001
SH. 3</t>
        </r>
      </text>
    </comment>
    <comment ref="J367" authorId="0" shapeId="0" xr:uid="{8CA4F485-EAEF-4E39-9B8F-629656615D23}">
      <text>
        <r>
          <rPr>
            <b/>
            <sz val="9"/>
            <color indexed="81"/>
            <rFont val="Tahoma"/>
            <family val="2"/>
          </rPr>
          <t>Author:</t>
        </r>
        <r>
          <rPr>
            <sz val="9"/>
            <color indexed="81"/>
            <rFont val="Tahoma"/>
            <family val="2"/>
          </rPr>
          <t xml:space="preserve">
Reference:
5" AL TUBULAR BUS
DCYR01-ESMV-E0W001
XEL-EVD-Facility-Rating-Supplement---Table---Tubular-and-Square-Conductor.xls</t>
        </r>
      </text>
    </comment>
    <comment ref="K367" authorId="0" shapeId="0" xr:uid="{F5DED075-48A5-4CA3-AACE-0DF7D3C15E96}">
      <text>
        <r>
          <rPr>
            <b/>
            <sz val="9"/>
            <color indexed="81"/>
            <rFont val="Tahoma"/>
            <family val="2"/>
          </rPr>
          <t>Author:</t>
        </r>
        <r>
          <rPr>
            <sz val="9"/>
            <color indexed="81"/>
            <rFont val="Tahoma"/>
            <family val="2"/>
          </rPr>
          <t xml:space="preserve">
(2) 2.5" Al. Bus = 2 * 1628 = 3256 Amps
DCYR01-ESMV-E0W001
XEL-EVD-Facility-Rating-Supplement---Table---Tubular-and-Square-Conductor.xls
</t>
        </r>
      </text>
    </comment>
    <comment ref="C368" authorId="0" shapeId="0" xr:uid="{261BA8ED-AD1B-434C-AC1E-519B173F27D5}">
      <text>
        <r>
          <rPr>
            <b/>
            <sz val="9"/>
            <color indexed="81"/>
            <rFont val="Tahoma"/>
            <family val="2"/>
          </rPr>
          <t>Author:</t>
        </r>
        <r>
          <rPr>
            <sz val="9"/>
            <color indexed="81"/>
            <rFont val="Tahoma"/>
            <family val="2"/>
          </rPr>
          <t xml:space="preserve">
Combined MVA of Capacitor Bank:
1253</t>
        </r>
      </text>
    </comment>
    <comment ref="F368" authorId="0" shapeId="0" xr:uid="{EB39DD2A-5C73-4688-8EF5-7C4BD3E82E72}">
      <text>
        <r>
          <rPr>
            <b/>
            <sz val="9"/>
            <color indexed="81"/>
            <rFont val="Tahoma"/>
            <family val="2"/>
          </rPr>
          <t>Author:</t>
        </r>
        <r>
          <rPr>
            <sz val="9"/>
            <color indexed="81"/>
            <rFont val="Tahoma"/>
            <family val="2"/>
          </rPr>
          <t xml:space="preserve">
DCYR01-ESMV-E0W001 SH. 3
Ratings not provided by Cap Bank Manufacuture, rating assumed to be same as generator. </t>
        </r>
      </text>
    </comment>
    <comment ref="G368" authorId="0" shapeId="0" xr:uid="{3D77CA26-FC98-4319-99C8-59EB480F9F49}">
      <text>
        <r>
          <rPr>
            <b/>
            <sz val="9"/>
            <color indexed="81"/>
            <rFont val="Tahoma"/>
            <family val="2"/>
          </rPr>
          <t>Author:</t>
        </r>
        <r>
          <rPr>
            <sz val="9"/>
            <color indexed="81"/>
            <rFont val="Tahoma"/>
            <family val="2"/>
          </rPr>
          <t xml:space="preserve">
Reference:
DCYR01-ESMV-E0W001 SH. 3
Cheyenne-Ridge-Cap-Switcher-Approval-Drawings.pdf</t>
        </r>
      </text>
    </comment>
    <comment ref="H368" authorId="0" shapeId="0" xr:uid="{071963DD-4089-4076-9ABE-163241408326}">
      <text>
        <r>
          <rPr>
            <b/>
            <sz val="9"/>
            <color indexed="81"/>
            <rFont val="Tahoma"/>
            <family val="2"/>
          </rPr>
          <t>Author:</t>
        </r>
        <r>
          <rPr>
            <sz val="9"/>
            <color indexed="81"/>
            <rFont val="Tahoma"/>
            <family val="2"/>
          </rPr>
          <t xml:space="preserve">
Reference: 
DCYR01-ESMV-E0W001
SH. 3</t>
        </r>
      </text>
    </comment>
    <comment ref="I368" authorId="0" shapeId="0" xr:uid="{0353C222-D488-43EB-A0B4-975CF37419B1}">
      <text>
        <r>
          <rPr>
            <b/>
            <sz val="9"/>
            <color indexed="81"/>
            <rFont val="Tahoma"/>
            <family val="2"/>
          </rPr>
          <t>Author:</t>
        </r>
        <r>
          <rPr>
            <sz val="9"/>
            <color indexed="81"/>
            <rFont val="Tahoma"/>
            <family val="2"/>
          </rPr>
          <t xml:space="preserve">
Reference: 
DCYR01-ESMV-E0W001
SH. 3</t>
        </r>
      </text>
    </comment>
    <comment ref="J368" authorId="0" shapeId="0" xr:uid="{571BA797-1DDE-4D07-9824-61EA12E01583}">
      <text>
        <r>
          <rPr>
            <b/>
            <sz val="9"/>
            <color indexed="81"/>
            <rFont val="Tahoma"/>
            <family val="2"/>
          </rPr>
          <t>Author:</t>
        </r>
        <r>
          <rPr>
            <sz val="9"/>
            <color indexed="81"/>
            <rFont val="Tahoma"/>
            <family val="2"/>
          </rPr>
          <t xml:space="preserve">
Reference:
5" AL TUBULAR BUS
DCYR01-ESMV-E0W001
XEL-EVD-Facility-Rating-Supplement---Table---Tubular-and-Square-Conductor.xls</t>
        </r>
      </text>
    </comment>
    <comment ref="K368" authorId="0" shapeId="0" xr:uid="{E3B18B3A-2EBE-4FC7-9B0E-C26D580A3F86}">
      <text>
        <r>
          <rPr>
            <b/>
            <sz val="9"/>
            <color indexed="81"/>
            <rFont val="Tahoma"/>
            <family val="2"/>
          </rPr>
          <t>Author:</t>
        </r>
        <r>
          <rPr>
            <sz val="9"/>
            <color indexed="81"/>
            <rFont val="Tahoma"/>
            <family val="2"/>
          </rPr>
          <t xml:space="preserve">
(2) 2.5" Al. Bus = 2 * 1628 = 3256 Amps
DCYR01-ESMV-E0W001
XEL-EVD-Facility-Rating-Supplement---Table---Tubular-and-Square-Conductor.xls
</t>
        </r>
      </text>
    </comment>
    <comment ref="F372" authorId="0" shapeId="0" xr:uid="{8A81D035-D5FC-4730-B4FB-9117FDDDD918}">
      <text>
        <r>
          <rPr>
            <b/>
            <sz val="9"/>
            <color indexed="81"/>
            <rFont val="Tahoma"/>
            <family val="2"/>
          </rPr>
          <t>Author:</t>
        </r>
        <r>
          <rPr>
            <sz val="9"/>
            <color indexed="81"/>
            <rFont val="Tahoma"/>
            <family val="2"/>
          </rPr>
          <t xml:space="preserve">
1272 MCM Narcissus 
Summer (normarl) @ 2 ft/sec
XEL-EVD-Facility-Rating-Supplement---Table---Bare-Overhead-Conductor.xls
ACYR00-SIMD-E01005.pdf</t>
        </r>
      </text>
    </comment>
    <comment ref="H372" authorId="0" shapeId="0" xr:uid="{F1F549B8-D15F-4BAC-BC50-D475AE2742AF}">
      <text>
        <r>
          <rPr>
            <b/>
            <sz val="9"/>
            <color indexed="81"/>
            <rFont val="Tahoma"/>
            <family val="2"/>
          </rPr>
          <t>Author:</t>
        </r>
        <r>
          <rPr>
            <sz val="9"/>
            <color indexed="81"/>
            <rFont val="Tahoma"/>
            <family val="2"/>
          </rPr>
          <t xml:space="preserve">
1272 MCM Narcissus 
Summer (normarl) @ 2 ft/sec
XEL-EVD-Facility-Rating-Supplement---Table---Bare-Overhead-Conductor.xls
ACYR00-SIMD-E01005.pdf</t>
        </r>
      </text>
    </comment>
    <comment ref="J372" authorId="0" shapeId="0" xr:uid="{2AC5874C-5EDF-4A82-A538-F7792956B77A}">
      <text>
        <r>
          <rPr>
            <b/>
            <sz val="9"/>
            <color indexed="81"/>
            <rFont val="Tahoma"/>
            <family val="2"/>
          </rPr>
          <t>Author:</t>
        </r>
        <r>
          <rPr>
            <sz val="9"/>
            <color indexed="81"/>
            <rFont val="Tahoma"/>
            <family val="2"/>
          </rPr>
          <t xml:space="preserve">
1272 MCM Narcissus 
Summer (normarl) @ 2 ft/sec
XEL-EVD-Facility-Rating-Supplement---Table---Bare-Overhead-Conductor.xls
ACYR00-SIMD-E01005.pdf</t>
        </r>
      </text>
    </comment>
    <comment ref="C374" authorId="0" shapeId="0" xr:uid="{E3C109CA-4BDC-4D1C-A9F1-D80492DCD2A0}">
      <text>
        <r>
          <rPr>
            <b/>
            <sz val="9"/>
            <color indexed="81"/>
            <rFont val="Tahoma"/>
            <family val="2"/>
          </rPr>
          <t>Author:</t>
        </r>
        <r>
          <rPr>
            <sz val="9"/>
            <color indexed="81"/>
            <rFont val="Tahoma"/>
            <family val="2"/>
          </rPr>
          <t xml:space="preserve">
Combined MVA of Reactor Bank:
2151
</t>
        </r>
      </text>
    </comment>
    <comment ref="F374" authorId="0" shapeId="0" xr:uid="{3C93B385-0B03-4CE4-83E9-D856F05F2C46}">
      <text>
        <r>
          <rPr>
            <b/>
            <sz val="9"/>
            <color indexed="81"/>
            <rFont val="Tahoma"/>
            <family val="2"/>
          </rPr>
          <t>Author:</t>
        </r>
        <r>
          <rPr>
            <sz val="9"/>
            <color indexed="81"/>
            <rFont val="Tahoma"/>
            <family val="2"/>
          </rPr>
          <t xml:space="preserve">
Reference: 
DCYR01-ESMV-E0E001
SH. 3</t>
        </r>
      </text>
    </comment>
    <comment ref="G374" authorId="0" shapeId="0" xr:uid="{0B4EB0A6-D96A-4649-AC1C-73C1D086A1C4}">
      <text>
        <r>
          <rPr>
            <b/>
            <sz val="9"/>
            <color indexed="81"/>
            <rFont val="Tahoma"/>
            <family val="2"/>
          </rPr>
          <t>Author:</t>
        </r>
        <r>
          <rPr>
            <sz val="9"/>
            <color indexed="81"/>
            <rFont val="Tahoma"/>
            <family val="2"/>
          </rPr>
          <t xml:space="preserve">
Reference:
2" AL TUBULAR BUS
DCYR01-ESMV-E0E001
XEL-EVD-Facility-Rating-Supplement---Table---Tubular-and-Square-Conductor.xls</t>
        </r>
      </text>
    </comment>
    <comment ref="H374" authorId="0" shapeId="0" xr:uid="{F9097DD7-86F0-413A-928E-B92B6746CB6B}">
      <text>
        <r>
          <rPr>
            <b/>
            <sz val="9"/>
            <color indexed="81"/>
            <rFont val="Tahoma"/>
            <family val="2"/>
          </rPr>
          <t>Author:</t>
        </r>
        <r>
          <rPr>
            <sz val="9"/>
            <color indexed="81"/>
            <rFont val="Tahoma"/>
            <family val="2"/>
          </rPr>
          <t xml:space="preserve">
Reference: 
DCYR01-ESMV-E0E001
SH. 3</t>
        </r>
      </text>
    </comment>
    <comment ref="I374" authorId="0" shapeId="0" xr:uid="{00764468-8A99-42B5-BB7F-75E5ED7AB7B6}">
      <text>
        <r>
          <rPr>
            <b/>
            <sz val="9"/>
            <color indexed="81"/>
            <rFont val="Tahoma"/>
            <family val="2"/>
          </rPr>
          <t>Author:</t>
        </r>
        <r>
          <rPr>
            <sz val="9"/>
            <color indexed="81"/>
            <rFont val="Tahoma"/>
            <family val="2"/>
          </rPr>
          <t xml:space="preserve">
Reference:
DCYR01-ESMV-E0E001 SH. 3
83210007.pdf</t>
        </r>
      </text>
    </comment>
    <comment ref="J374" authorId="0" shapeId="0" xr:uid="{BA4E65F7-01B5-48AF-BFCB-EAA25491E131}">
      <text>
        <r>
          <rPr>
            <b/>
            <sz val="9"/>
            <color indexed="81"/>
            <rFont val="Tahoma"/>
            <family val="2"/>
          </rPr>
          <t>Author:</t>
        </r>
        <r>
          <rPr>
            <sz val="9"/>
            <color indexed="81"/>
            <rFont val="Tahoma"/>
            <family val="2"/>
          </rPr>
          <t xml:space="preserve">
Reference: 
DCYR01-ESMV-E0E001
SH. 3</t>
        </r>
      </text>
    </comment>
    <comment ref="K374" authorId="0" shapeId="0" xr:uid="{A780CFF4-7E90-4729-A024-A5878FBB63B6}">
      <text>
        <r>
          <rPr>
            <b/>
            <sz val="9"/>
            <color indexed="81"/>
            <rFont val="Tahoma"/>
            <family val="2"/>
          </rPr>
          <t>Author:</t>
        </r>
        <r>
          <rPr>
            <sz val="9"/>
            <color indexed="81"/>
            <rFont val="Tahoma"/>
            <family val="2"/>
          </rPr>
          <t xml:space="preserve">
Reference: 
DCYR01-ESMV-E0E001
SH. 3</t>
        </r>
      </text>
    </comment>
    <comment ref="L374" authorId="0" shapeId="0" xr:uid="{F22034DB-D128-43A8-94D8-1FC20C3977A6}">
      <text>
        <r>
          <rPr>
            <b/>
            <sz val="9"/>
            <color indexed="81"/>
            <rFont val="Tahoma"/>
            <family val="2"/>
          </rPr>
          <t>Author:</t>
        </r>
        <r>
          <rPr>
            <sz val="9"/>
            <color indexed="81"/>
            <rFont val="Tahoma"/>
            <family val="2"/>
          </rPr>
          <t xml:space="preserve">
Reference:
5" AL TUBULAR BUS
DCYR01-ESMV-E0E001
XEL-EVD-Facility-Rating-Supplement---Table---Tubular-and-Square-Conductor.xls</t>
        </r>
      </text>
    </comment>
    <comment ref="M374" authorId="0" shapeId="0" xr:uid="{DE165155-E4B3-40FD-8057-06726FE564B4}">
      <text>
        <r>
          <rPr>
            <b/>
            <sz val="9"/>
            <color indexed="81"/>
            <rFont val="Tahoma"/>
            <family val="2"/>
          </rPr>
          <t>Author:</t>
        </r>
        <r>
          <rPr>
            <sz val="9"/>
            <color indexed="81"/>
            <rFont val="Tahoma"/>
            <family val="2"/>
          </rPr>
          <t xml:space="preserve">
(2) 2.5" Al. Bus = 2 * 1628 = 3256 Amps
DCYR01-ESMV-E0E001
XEL-EVD-Facility-Rating-Supplement---Table---Tubular-and-Square-Conductor.xls
</t>
        </r>
      </text>
    </comment>
    <comment ref="C375" authorId="0" shapeId="0" xr:uid="{B37B7541-A873-475D-826C-19886F758CA6}">
      <text>
        <r>
          <rPr>
            <b/>
            <sz val="9"/>
            <color indexed="81"/>
            <rFont val="Tahoma"/>
            <family val="2"/>
          </rPr>
          <t>Author:</t>
        </r>
        <r>
          <rPr>
            <sz val="9"/>
            <color indexed="81"/>
            <rFont val="Tahoma"/>
            <family val="2"/>
          </rPr>
          <t xml:space="preserve">
Combined MVA of Reactor Bank:
2251
</t>
        </r>
      </text>
    </comment>
    <comment ref="F375" authorId="0" shapeId="0" xr:uid="{D481D0CD-9C7D-4D66-990D-B40FFFEB0CE1}">
      <text>
        <r>
          <rPr>
            <b/>
            <sz val="9"/>
            <color indexed="81"/>
            <rFont val="Tahoma"/>
            <family val="2"/>
          </rPr>
          <t>Author:</t>
        </r>
        <r>
          <rPr>
            <sz val="9"/>
            <color indexed="81"/>
            <rFont val="Tahoma"/>
            <family val="2"/>
          </rPr>
          <t xml:space="preserve">
Reference: 
DCYR01-ESMV-E0E001
SH. 3</t>
        </r>
      </text>
    </comment>
    <comment ref="G375" authorId="0" shapeId="0" xr:uid="{31ACC1D8-46DC-48D8-9613-9D5B7115D43F}">
      <text>
        <r>
          <rPr>
            <b/>
            <sz val="9"/>
            <color indexed="81"/>
            <rFont val="Tahoma"/>
            <family val="2"/>
          </rPr>
          <t>Author:</t>
        </r>
        <r>
          <rPr>
            <sz val="9"/>
            <color indexed="81"/>
            <rFont val="Tahoma"/>
            <family val="2"/>
          </rPr>
          <t xml:space="preserve">
Reference:
2" AL TUBULAR BUS
DCYR01-ESMV-E0E001
XEL-EVD-Facility-Rating-Supplement---Table---Tubular-and-Square-Conductor.xls</t>
        </r>
      </text>
    </comment>
    <comment ref="H375" authorId="0" shapeId="0" xr:uid="{4336600A-32BD-4352-BD56-00DFDCBB96F6}">
      <text>
        <r>
          <rPr>
            <b/>
            <sz val="9"/>
            <color indexed="81"/>
            <rFont val="Tahoma"/>
            <family val="2"/>
          </rPr>
          <t>Author:</t>
        </r>
        <r>
          <rPr>
            <sz val="9"/>
            <color indexed="81"/>
            <rFont val="Tahoma"/>
            <family val="2"/>
          </rPr>
          <t xml:space="preserve">
Reference: 
DCYR01-ESMV-E0E001
SH. 3</t>
        </r>
      </text>
    </comment>
    <comment ref="I375" authorId="0" shapeId="0" xr:uid="{DE1D2B31-D2F6-4E86-A92C-3EC30B01A25C}">
      <text>
        <r>
          <rPr>
            <b/>
            <sz val="9"/>
            <color indexed="81"/>
            <rFont val="Tahoma"/>
            <family val="2"/>
          </rPr>
          <t>Author:</t>
        </r>
        <r>
          <rPr>
            <sz val="9"/>
            <color indexed="81"/>
            <rFont val="Tahoma"/>
            <family val="2"/>
          </rPr>
          <t xml:space="preserve">
Reference:
DCYR01-ESMV-E0E001 SH. 3
83210007.pdf</t>
        </r>
      </text>
    </comment>
    <comment ref="J375" authorId="0" shapeId="0" xr:uid="{DA1BB1E0-1008-44A0-AB5E-0FA08BF0F944}">
      <text>
        <r>
          <rPr>
            <b/>
            <sz val="9"/>
            <color indexed="81"/>
            <rFont val="Tahoma"/>
            <family val="2"/>
          </rPr>
          <t>Author:</t>
        </r>
        <r>
          <rPr>
            <sz val="9"/>
            <color indexed="81"/>
            <rFont val="Tahoma"/>
            <family val="2"/>
          </rPr>
          <t xml:space="preserve">
Reference: 
DCYR01-ESMV-E0E001
SH. 3</t>
        </r>
      </text>
    </comment>
    <comment ref="K375" authorId="0" shapeId="0" xr:uid="{B8E809F7-A62F-411F-9C7D-060C1C917FE3}">
      <text>
        <r>
          <rPr>
            <b/>
            <sz val="9"/>
            <color indexed="81"/>
            <rFont val="Tahoma"/>
            <family val="2"/>
          </rPr>
          <t>Author:</t>
        </r>
        <r>
          <rPr>
            <sz val="9"/>
            <color indexed="81"/>
            <rFont val="Tahoma"/>
            <family val="2"/>
          </rPr>
          <t xml:space="preserve">
Reference: 
DCYR01-ESMV-E0E001
SH. 3</t>
        </r>
      </text>
    </comment>
    <comment ref="L375" authorId="0" shapeId="0" xr:uid="{B9E974AB-BDAC-4ED0-B0BE-810A660DB497}">
      <text>
        <r>
          <rPr>
            <b/>
            <sz val="9"/>
            <color indexed="81"/>
            <rFont val="Tahoma"/>
            <family val="2"/>
          </rPr>
          <t>Author:</t>
        </r>
        <r>
          <rPr>
            <sz val="9"/>
            <color indexed="81"/>
            <rFont val="Tahoma"/>
            <family val="2"/>
          </rPr>
          <t xml:space="preserve">
Reference:
5" AL TUBULAR BUS
DCYR01-ESMV-E0E001
XEL-EVD-Facility-Rating-Supplement---Table---Tubular-and-Square-Conductor.xls</t>
        </r>
      </text>
    </comment>
    <comment ref="M375" authorId="0" shapeId="0" xr:uid="{F12DBDD3-6912-41E2-8B2A-98DB27D088E2}">
      <text>
        <r>
          <rPr>
            <b/>
            <sz val="9"/>
            <color indexed="81"/>
            <rFont val="Tahoma"/>
            <family val="2"/>
          </rPr>
          <t>Author:</t>
        </r>
        <r>
          <rPr>
            <sz val="9"/>
            <color indexed="81"/>
            <rFont val="Tahoma"/>
            <family val="2"/>
          </rPr>
          <t xml:space="preserve">
(2) 2.5" Al. Bus = 2 * 1628 = 3256 Amps
DCYR01-ESMV-E0E001
XEL-EVD-Facility-Rating-Supplement---Table---Tubular-and-Square-Conductor.xls
</t>
        </r>
      </text>
    </comment>
    <comment ref="C376" authorId="0" shapeId="0" xr:uid="{331571AC-EAF6-4C0C-9A8F-C25656DDAD31}">
      <text>
        <r>
          <rPr>
            <b/>
            <sz val="9"/>
            <color indexed="81"/>
            <rFont val="Tahoma"/>
            <family val="2"/>
          </rPr>
          <t>Author:</t>
        </r>
        <r>
          <rPr>
            <sz val="9"/>
            <color indexed="81"/>
            <rFont val="Tahoma"/>
            <family val="2"/>
          </rPr>
          <t xml:space="preserve">
Combined MVA of Reactor Bank:
1151
</t>
        </r>
      </text>
    </comment>
    <comment ref="F376" authorId="0" shapeId="0" xr:uid="{C3465235-E62C-4F2E-8D14-E96710938286}">
      <text>
        <r>
          <rPr>
            <b/>
            <sz val="9"/>
            <color indexed="81"/>
            <rFont val="Tahoma"/>
            <family val="2"/>
          </rPr>
          <t>Author:</t>
        </r>
        <r>
          <rPr>
            <sz val="9"/>
            <color indexed="81"/>
            <rFont val="Tahoma"/>
            <family val="2"/>
          </rPr>
          <t xml:space="preserve">
Reference: 
DCYR01-ESMV-E0W001
SH. 3</t>
        </r>
      </text>
    </comment>
    <comment ref="G376" authorId="0" shapeId="0" xr:uid="{A389E78A-B4A1-4EC4-9C51-CFE024FB18C8}">
      <text>
        <r>
          <rPr>
            <b/>
            <sz val="9"/>
            <color indexed="81"/>
            <rFont val="Tahoma"/>
            <family val="2"/>
          </rPr>
          <t>Author:</t>
        </r>
        <r>
          <rPr>
            <sz val="9"/>
            <color indexed="81"/>
            <rFont val="Tahoma"/>
            <family val="2"/>
          </rPr>
          <t xml:space="preserve">
Reference:
2" AL TUBULAR BUS
DCYR01-ESMV-E0W001
XEL-EVD-Facility-Rating-Supplement---Table---Tubular-and-Square-Conductor.xls</t>
        </r>
      </text>
    </comment>
    <comment ref="H376" authorId="0" shapeId="0" xr:uid="{99ED012B-8928-4252-8B33-61807B82CC27}">
      <text>
        <r>
          <rPr>
            <b/>
            <sz val="9"/>
            <color indexed="81"/>
            <rFont val="Tahoma"/>
            <family val="2"/>
          </rPr>
          <t>Author:</t>
        </r>
        <r>
          <rPr>
            <sz val="9"/>
            <color indexed="81"/>
            <rFont val="Tahoma"/>
            <family val="2"/>
          </rPr>
          <t xml:space="preserve">
Reference: 
DCYR01-ESMV-E0W001
SH. 3</t>
        </r>
      </text>
    </comment>
    <comment ref="I376" authorId="0" shapeId="0" xr:uid="{BC366B2F-F8FE-4DAF-8AC4-AF3DAF60907F}">
      <text>
        <r>
          <rPr>
            <b/>
            <sz val="9"/>
            <color indexed="81"/>
            <rFont val="Tahoma"/>
            <family val="2"/>
          </rPr>
          <t>Author:</t>
        </r>
        <r>
          <rPr>
            <sz val="9"/>
            <color indexed="81"/>
            <rFont val="Tahoma"/>
            <family val="2"/>
          </rPr>
          <t xml:space="preserve">
Reference:
DCYR01-ESMV-E0W001 SH. 3
83210007.pdf</t>
        </r>
      </text>
    </comment>
    <comment ref="J376" authorId="0" shapeId="0" xr:uid="{1FBC9964-32C9-4CCC-A7A2-1E8C54056420}">
      <text>
        <r>
          <rPr>
            <b/>
            <sz val="9"/>
            <color indexed="81"/>
            <rFont val="Tahoma"/>
            <family val="2"/>
          </rPr>
          <t>Author:</t>
        </r>
        <r>
          <rPr>
            <sz val="9"/>
            <color indexed="81"/>
            <rFont val="Tahoma"/>
            <family val="2"/>
          </rPr>
          <t xml:space="preserve">
Reference: 
DCYR01-ESMV-E0W001
SH. 3</t>
        </r>
      </text>
    </comment>
    <comment ref="K376" authorId="0" shapeId="0" xr:uid="{C87A34FE-DF1B-428C-BC27-71432093566A}">
      <text>
        <r>
          <rPr>
            <b/>
            <sz val="9"/>
            <color indexed="81"/>
            <rFont val="Tahoma"/>
            <family val="2"/>
          </rPr>
          <t>Author:</t>
        </r>
        <r>
          <rPr>
            <sz val="9"/>
            <color indexed="81"/>
            <rFont val="Tahoma"/>
            <family val="2"/>
          </rPr>
          <t xml:space="preserve">
Reference: 
DCYR01-ESMV-E0W001
SH. 3</t>
        </r>
      </text>
    </comment>
    <comment ref="L376" authorId="0" shapeId="0" xr:uid="{2E2CA9E5-2049-4B91-81C9-5140FFB7A71D}">
      <text>
        <r>
          <rPr>
            <b/>
            <sz val="9"/>
            <color indexed="81"/>
            <rFont val="Tahoma"/>
            <family val="2"/>
          </rPr>
          <t>Author:</t>
        </r>
        <r>
          <rPr>
            <sz val="9"/>
            <color indexed="81"/>
            <rFont val="Tahoma"/>
            <family val="2"/>
          </rPr>
          <t xml:space="preserve">
Reference:
5" AL TUBULAR BUS
DCYR01-ESMV-E0W001
XEL-EVD-Facility-Rating-Supplement---Table---Tubular-and-Square-Conductor.xls</t>
        </r>
      </text>
    </comment>
    <comment ref="M376" authorId="0" shapeId="0" xr:uid="{724FF90D-C241-43F0-9CE1-18C35F726952}">
      <text>
        <r>
          <rPr>
            <b/>
            <sz val="9"/>
            <color indexed="81"/>
            <rFont val="Tahoma"/>
            <family val="2"/>
          </rPr>
          <t>Author:</t>
        </r>
        <r>
          <rPr>
            <sz val="9"/>
            <color indexed="81"/>
            <rFont val="Tahoma"/>
            <family val="2"/>
          </rPr>
          <t xml:space="preserve">
(2) 2.5" Al. Bus = 2 * 1628 = 3256 Amps
DCYR01-ESMV-E0W001
XEL-EVD-Facility-Rating-Supplement---Table---Tubular-and-Square-Conductor.xls
</t>
        </r>
      </text>
    </comment>
    <comment ref="C377" authorId="0" shapeId="0" xr:uid="{6B67AC91-B217-45D8-92DB-1E96A65023F6}">
      <text>
        <r>
          <rPr>
            <b/>
            <sz val="9"/>
            <color indexed="81"/>
            <rFont val="Tahoma"/>
            <family val="2"/>
          </rPr>
          <t>Author:</t>
        </r>
        <r>
          <rPr>
            <sz val="9"/>
            <color indexed="81"/>
            <rFont val="Tahoma"/>
            <family val="2"/>
          </rPr>
          <t xml:space="preserve">
Combined MVA of Reactor Bank:
1251
</t>
        </r>
      </text>
    </comment>
    <comment ref="F377" authorId="0" shapeId="0" xr:uid="{8C91C01D-BA9B-422C-AD40-07B11239FA15}">
      <text>
        <r>
          <rPr>
            <b/>
            <sz val="9"/>
            <color indexed="81"/>
            <rFont val="Tahoma"/>
            <family val="2"/>
          </rPr>
          <t>Author:</t>
        </r>
        <r>
          <rPr>
            <sz val="9"/>
            <color indexed="81"/>
            <rFont val="Tahoma"/>
            <family val="2"/>
          </rPr>
          <t xml:space="preserve">
Reference: 
DCYR01-ESMV-E0W001
SH. 3</t>
        </r>
      </text>
    </comment>
    <comment ref="G377" authorId="0" shapeId="0" xr:uid="{646BA298-C9BE-42E7-A2B5-D51C1761B907}">
      <text>
        <r>
          <rPr>
            <b/>
            <sz val="9"/>
            <color indexed="81"/>
            <rFont val="Tahoma"/>
            <family val="2"/>
          </rPr>
          <t>Author:</t>
        </r>
        <r>
          <rPr>
            <sz val="9"/>
            <color indexed="81"/>
            <rFont val="Tahoma"/>
            <family val="2"/>
          </rPr>
          <t xml:space="preserve">
Reference:
2" AL TUBULAR BUS
DCYR01-ESMV-E0W001
XEL-EVD-Facility-Rating-Supplement---Table---Tubular-and-Square-Conductor.xls</t>
        </r>
      </text>
    </comment>
    <comment ref="H377" authorId="0" shapeId="0" xr:uid="{2E95FE5E-B711-44D2-B2F5-FD4349577DF6}">
      <text>
        <r>
          <rPr>
            <b/>
            <sz val="9"/>
            <color indexed="81"/>
            <rFont val="Tahoma"/>
            <family val="2"/>
          </rPr>
          <t>Author:</t>
        </r>
        <r>
          <rPr>
            <sz val="9"/>
            <color indexed="81"/>
            <rFont val="Tahoma"/>
            <family val="2"/>
          </rPr>
          <t xml:space="preserve">
Reference: 
DCYR01-ESMV-E0W001
SH. 3</t>
        </r>
      </text>
    </comment>
    <comment ref="I377" authorId="0" shapeId="0" xr:uid="{A9841807-91A4-44CE-9B2B-612697CCC51F}">
      <text>
        <r>
          <rPr>
            <b/>
            <sz val="9"/>
            <color indexed="81"/>
            <rFont val="Tahoma"/>
            <family val="2"/>
          </rPr>
          <t>Author:</t>
        </r>
        <r>
          <rPr>
            <sz val="9"/>
            <color indexed="81"/>
            <rFont val="Tahoma"/>
            <family val="2"/>
          </rPr>
          <t xml:space="preserve">
Reference:
DCYR01-ESMV-E0W001 SH. 3
83210007.pdf</t>
        </r>
      </text>
    </comment>
    <comment ref="J377" authorId="0" shapeId="0" xr:uid="{10C8F3AC-857A-45BD-ACAE-DE7EF49EA4B5}">
      <text>
        <r>
          <rPr>
            <b/>
            <sz val="9"/>
            <color indexed="81"/>
            <rFont val="Tahoma"/>
            <family val="2"/>
          </rPr>
          <t>Author:</t>
        </r>
        <r>
          <rPr>
            <sz val="9"/>
            <color indexed="81"/>
            <rFont val="Tahoma"/>
            <family val="2"/>
          </rPr>
          <t xml:space="preserve">
Reference: 
DCYR01-ESMV-E0W001
SH. 3</t>
        </r>
      </text>
    </comment>
    <comment ref="K377" authorId="0" shapeId="0" xr:uid="{750D4AC6-DFF4-4C04-9545-EE5EEE52FEA2}">
      <text>
        <r>
          <rPr>
            <b/>
            <sz val="9"/>
            <color indexed="81"/>
            <rFont val="Tahoma"/>
            <family val="2"/>
          </rPr>
          <t>Author:</t>
        </r>
        <r>
          <rPr>
            <sz val="9"/>
            <color indexed="81"/>
            <rFont val="Tahoma"/>
            <family val="2"/>
          </rPr>
          <t xml:space="preserve">
Reference: 
DCYR01-ESMV-E0W001
SH. 3</t>
        </r>
      </text>
    </comment>
    <comment ref="L377" authorId="0" shapeId="0" xr:uid="{BDF3253F-65CF-4EAD-93DE-CE8D6FFC291D}">
      <text>
        <r>
          <rPr>
            <b/>
            <sz val="9"/>
            <color indexed="81"/>
            <rFont val="Tahoma"/>
            <family val="2"/>
          </rPr>
          <t>Author:</t>
        </r>
        <r>
          <rPr>
            <sz val="9"/>
            <color indexed="81"/>
            <rFont val="Tahoma"/>
            <family val="2"/>
          </rPr>
          <t xml:space="preserve">
Reference:
5" AL TUBULAR BUS
DCYR01-ESMV-E0W001
XEL-EVD-Facility-Rating-Supplement---Table---Tubular-and-Square-Conductor.xls</t>
        </r>
      </text>
    </comment>
    <comment ref="M377" authorId="0" shapeId="0" xr:uid="{3281A430-0322-4996-B724-003A9BEAC497}">
      <text>
        <r>
          <rPr>
            <b/>
            <sz val="9"/>
            <color indexed="81"/>
            <rFont val="Tahoma"/>
            <family val="2"/>
          </rPr>
          <t>Author:</t>
        </r>
        <r>
          <rPr>
            <sz val="9"/>
            <color indexed="81"/>
            <rFont val="Tahoma"/>
            <family val="2"/>
          </rPr>
          <t xml:space="preserve">
(2) 2.5" Al. Bus = 2 * 1628 = 3256 Amps
DCYR01-ESMV-E0W001
XEL-EVD-Facility-Rating-Supplement---Table---Tubular-and-Square-Conductor.xls
</t>
        </r>
      </text>
    </comment>
    <comment ref="G381" authorId="0" shapeId="0" xr:uid="{AEC909EB-344F-4D0E-8CF7-6D05284E80A1}">
      <text>
        <r>
          <rPr>
            <b/>
            <sz val="9"/>
            <color indexed="81"/>
            <rFont val="Tahoma"/>
            <family val="2"/>
          </rPr>
          <t>Author:</t>
        </r>
        <r>
          <rPr>
            <sz val="9"/>
            <color indexed="81"/>
            <rFont val="Tahoma"/>
            <family val="2"/>
          </rPr>
          <t xml:space="preserve">
1272 MCM Narcissus 
Summer (normarl) @ 2 ft/sec
XEL-EVD-Facility-Rating-Supplement---Table---Bare-Overhead-Conductor.xls
ACYR00-SIMD-E01005.pdf</t>
        </r>
      </text>
    </comment>
    <comment ref="C383" authorId="0" shapeId="0" xr:uid="{D983B739-5FFE-45CB-84BA-7FA5BE6730A8}">
      <text>
        <r>
          <rPr>
            <b/>
            <sz val="9"/>
            <color indexed="81"/>
            <rFont val="Tahoma"/>
            <family val="2"/>
          </rPr>
          <t>Author:</t>
        </r>
        <r>
          <rPr>
            <sz val="9"/>
            <color indexed="81"/>
            <rFont val="Tahoma"/>
            <family val="2"/>
          </rPr>
          <t xml:space="preserve">
Combined MVA of Capacitor Banks:
2152 and 2153</t>
        </r>
      </text>
    </comment>
    <comment ref="F383" authorId="0" shapeId="0" xr:uid="{C7CC28C3-7AFE-4655-A775-2B94992E9068}">
      <text>
        <r>
          <rPr>
            <b/>
            <sz val="9"/>
            <color indexed="81"/>
            <rFont val="Tahoma"/>
            <family val="2"/>
          </rPr>
          <t>Author:</t>
        </r>
        <r>
          <rPr>
            <sz val="9"/>
            <color indexed="81"/>
            <rFont val="Tahoma"/>
            <family val="2"/>
          </rPr>
          <t xml:space="preserve">
Reference:
5" AL TUBULAR BUS
DCYR01-ESMV-E0E001
XEL-EVD-Facility-Rating-Supplement---Table---Tubular-and-Square-Conductor.xls</t>
        </r>
      </text>
    </comment>
    <comment ref="G383" authorId="0" shapeId="0" xr:uid="{A8C194F1-20DC-4FA4-988D-8FED36E9F376}">
      <text>
        <r>
          <rPr>
            <b/>
            <sz val="9"/>
            <color indexed="81"/>
            <rFont val="Tahoma"/>
            <family val="2"/>
          </rPr>
          <t>Author:</t>
        </r>
        <r>
          <rPr>
            <sz val="9"/>
            <color indexed="81"/>
            <rFont val="Tahoma"/>
            <family val="2"/>
          </rPr>
          <t xml:space="preserve">
Reference: 
DCYR01-ESMV-E0E001
SH. 2</t>
        </r>
      </text>
    </comment>
    <comment ref="C384" authorId="0" shapeId="0" xr:uid="{C098FED3-25A6-4817-BABA-470470A70733}">
      <text>
        <r>
          <rPr>
            <b/>
            <sz val="9"/>
            <color indexed="81"/>
            <rFont val="Tahoma"/>
            <family val="2"/>
          </rPr>
          <t>Author:</t>
        </r>
        <r>
          <rPr>
            <sz val="9"/>
            <color indexed="81"/>
            <rFont val="Tahoma"/>
            <family val="2"/>
          </rPr>
          <t xml:space="preserve">
MVA of Reactor Bank:
2151</t>
        </r>
      </text>
    </comment>
    <comment ref="F384" authorId="0" shapeId="0" xr:uid="{2946DC2F-A65A-40C2-9579-9C6DF80A80FE}">
      <text>
        <r>
          <rPr>
            <b/>
            <sz val="9"/>
            <color indexed="81"/>
            <rFont val="Tahoma"/>
            <family val="2"/>
          </rPr>
          <t>Author:</t>
        </r>
        <r>
          <rPr>
            <sz val="9"/>
            <color indexed="81"/>
            <rFont val="Tahoma"/>
            <family val="2"/>
          </rPr>
          <t xml:space="preserve">
Reference:
5" AL TUBULAR BUS
DCYR01-ESMV-E0E001
XEL-EVD-Facility-Rating-Supplement---Table---Tubular-and-Square-Conductor.xls</t>
        </r>
      </text>
    </comment>
    <comment ref="G384" authorId="0" shapeId="0" xr:uid="{922A52AB-C732-4F3E-8069-3943D1A4A203}">
      <text>
        <r>
          <rPr>
            <b/>
            <sz val="9"/>
            <color indexed="81"/>
            <rFont val="Tahoma"/>
            <family val="2"/>
          </rPr>
          <t>Author:</t>
        </r>
        <r>
          <rPr>
            <sz val="9"/>
            <color indexed="81"/>
            <rFont val="Tahoma"/>
            <family val="2"/>
          </rPr>
          <t xml:space="preserve">
Reference: 
DCYR01-ESMV-E0E001
SH. 2</t>
        </r>
      </text>
    </comment>
    <comment ref="C385" authorId="0" shapeId="0" xr:uid="{60463D78-37A0-4148-93E0-7D01F4554CC0}">
      <text>
        <r>
          <rPr>
            <b/>
            <sz val="9"/>
            <color indexed="81"/>
            <rFont val="Tahoma"/>
            <family val="2"/>
          </rPr>
          <t>Author:</t>
        </r>
        <r>
          <rPr>
            <sz val="9"/>
            <color indexed="81"/>
            <rFont val="Tahoma"/>
            <family val="2"/>
          </rPr>
          <t xml:space="preserve">
Combined MVA of Capacitor Banks:
2252 and 2253</t>
        </r>
      </text>
    </comment>
    <comment ref="F385" authorId="0" shapeId="0" xr:uid="{1554739D-3838-490A-BAC2-AC493CCA8AF9}">
      <text>
        <r>
          <rPr>
            <b/>
            <sz val="9"/>
            <color indexed="81"/>
            <rFont val="Tahoma"/>
            <family val="2"/>
          </rPr>
          <t>Author:</t>
        </r>
        <r>
          <rPr>
            <sz val="9"/>
            <color indexed="81"/>
            <rFont val="Tahoma"/>
            <family val="2"/>
          </rPr>
          <t xml:space="preserve">
Reference:
5" AL TUBULAR BUS
DCYR01-ESMV-E0E001
XEL-EVD-Facility-Rating-Supplement---Table---Tubular-and-Square-Conductor.xls</t>
        </r>
      </text>
    </comment>
    <comment ref="G385" authorId="0" shapeId="0" xr:uid="{F622F4FE-9E9C-4616-94D0-8C916D2BBE72}">
      <text>
        <r>
          <rPr>
            <b/>
            <sz val="9"/>
            <color indexed="81"/>
            <rFont val="Tahoma"/>
            <family val="2"/>
          </rPr>
          <t>Author:</t>
        </r>
        <r>
          <rPr>
            <sz val="9"/>
            <color indexed="81"/>
            <rFont val="Tahoma"/>
            <family val="2"/>
          </rPr>
          <t xml:space="preserve">
Reference: 
DCYR01-ESMV-E0E001
SH. 2</t>
        </r>
      </text>
    </comment>
    <comment ref="C386" authorId="0" shapeId="0" xr:uid="{82518481-1AC5-47B0-88D2-4F371B202ACA}">
      <text>
        <r>
          <rPr>
            <b/>
            <sz val="9"/>
            <color indexed="81"/>
            <rFont val="Tahoma"/>
            <family val="2"/>
          </rPr>
          <t>Author:</t>
        </r>
        <r>
          <rPr>
            <sz val="9"/>
            <color indexed="81"/>
            <rFont val="Tahoma"/>
            <family val="2"/>
          </rPr>
          <t xml:space="preserve">
MVA of Reactor Bank:
2251</t>
        </r>
      </text>
    </comment>
    <comment ref="F386" authorId="0" shapeId="0" xr:uid="{362B9DD9-1220-48A1-B980-B1B9143F928B}">
      <text>
        <r>
          <rPr>
            <b/>
            <sz val="9"/>
            <color indexed="81"/>
            <rFont val="Tahoma"/>
            <family val="2"/>
          </rPr>
          <t>Author:</t>
        </r>
        <r>
          <rPr>
            <sz val="9"/>
            <color indexed="81"/>
            <rFont val="Tahoma"/>
            <family val="2"/>
          </rPr>
          <t xml:space="preserve">
Reference:
5" AL TUBULAR BUS
DCYR01-ESMV-E0E001
XEL-EVD-Facility-Rating-Supplement---Table---Tubular-and-Square-Conductor.xls</t>
        </r>
      </text>
    </comment>
    <comment ref="G386" authorId="0" shapeId="0" xr:uid="{8124B27B-7D03-4183-8497-C7220CB64C3C}">
      <text>
        <r>
          <rPr>
            <b/>
            <sz val="9"/>
            <color indexed="81"/>
            <rFont val="Tahoma"/>
            <family val="2"/>
          </rPr>
          <t>Author:</t>
        </r>
        <r>
          <rPr>
            <sz val="9"/>
            <color indexed="81"/>
            <rFont val="Tahoma"/>
            <family val="2"/>
          </rPr>
          <t xml:space="preserve">
Reference: 
DCYR01-ESMV-E0E001
SH. 2</t>
        </r>
      </text>
    </comment>
    <comment ref="C387" authorId="0" shapeId="0" xr:uid="{27A98924-06E7-4518-AF71-EE9A9FBF1458}">
      <text>
        <r>
          <rPr>
            <b/>
            <sz val="9"/>
            <color indexed="81"/>
            <rFont val="Tahoma"/>
            <family val="2"/>
          </rPr>
          <t>Author:</t>
        </r>
        <r>
          <rPr>
            <sz val="9"/>
            <color indexed="81"/>
            <rFont val="Tahoma"/>
            <family val="2"/>
          </rPr>
          <t xml:space="preserve">
Combined MVA of Capacitor Banks:
1152 and 1153</t>
        </r>
      </text>
    </comment>
    <comment ref="F387" authorId="0" shapeId="0" xr:uid="{54F01C3D-925D-4376-A3CB-8CB2C6123854}">
      <text>
        <r>
          <rPr>
            <b/>
            <sz val="9"/>
            <color indexed="81"/>
            <rFont val="Tahoma"/>
            <family val="2"/>
          </rPr>
          <t>Author:</t>
        </r>
        <r>
          <rPr>
            <sz val="9"/>
            <color indexed="81"/>
            <rFont val="Tahoma"/>
            <family val="2"/>
          </rPr>
          <t xml:space="preserve">
Reference:
5" AL TUBULAR BUS
DCYR01-ESMV-E0W001
XEL-EVD-Facility-Rating-Supplement---Table---Tubular-and-Square-Conductor.xls</t>
        </r>
      </text>
    </comment>
    <comment ref="G387" authorId="0" shapeId="0" xr:uid="{CA639C85-1511-4877-B46A-E5CCD5D20312}">
      <text>
        <r>
          <rPr>
            <b/>
            <sz val="9"/>
            <color indexed="81"/>
            <rFont val="Tahoma"/>
            <family val="2"/>
          </rPr>
          <t>Author:</t>
        </r>
        <r>
          <rPr>
            <sz val="9"/>
            <color indexed="81"/>
            <rFont val="Tahoma"/>
            <family val="2"/>
          </rPr>
          <t xml:space="preserve">
Reference: 
DCYR01-ESMV-E0W001
SH. 2</t>
        </r>
      </text>
    </comment>
    <comment ref="C388" authorId="0" shapeId="0" xr:uid="{25C5F8C7-3C72-4AFB-9F01-16E4AD8E41C4}">
      <text>
        <r>
          <rPr>
            <b/>
            <sz val="9"/>
            <color indexed="81"/>
            <rFont val="Tahoma"/>
            <family val="2"/>
          </rPr>
          <t>Author:</t>
        </r>
        <r>
          <rPr>
            <sz val="9"/>
            <color indexed="81"/>
            <rFont val="Tahoma"/>
            <family val="2"/>
          </rPr>
          <t xml:space="preserve">
MVA of Reactor Bank:
1151</t>
        </r>
      </text>
    </comment>
    <comment ref="F388" authorId="0" shapeId="0" xr:uid="{57AF047C-F6D9-44EE-8585-D99C40C55E6D}">
      <text>
        <r>
          <rPr>
            <b/>
            <sz val="9"/>
            <color indexed="81"/>
            <rFont val="Tahoma"/>
            <family val="2"/>
          </rPr>
          <t>Author:</t>
        </r>
        <r>
          <rPr>
            <sz val="9"/>
            <color indexed="81"/>
            <rFont val="Tahoma"/>
            <family val="2"/>
          </rPr>
          <t xml:space="preserve">
Reference:
5" AL TUBULAR BUS
DCYR01-ESMV-E0W001
XEL-EVD-Facility-Rating-Supplement---Table---Tubular-and-Square-Conductor.xls</t>
        </r>
      </text>
    </comment>
    <comment ref="G388" authorId="0" shapeId="0" xr:uid="{8FB8BA94-065C-4491-BD82-C397C055AAF6}">
      <text>
        <r>
          <rPr>
            <b/>
            <sz val="9"/>
            <color indexed="81"/>
            <rFont val="Tahoma"/>
            <family val="2"/>
          </rPr>
          <t>Author:</t>
        </r>
        <r>
          <rPr>
            <sz val="9"/>
            <color indexed="81"/>
            <rFont val="Tahoma"/>
            <family val="2"/>
          </rPr>
          <t xml:space="preserve">
Reference: 
DCYR01-ESMV-E0W001
SH. 2</t>
        </r>
      </text>
    </comment>
    <comment ref="C389" authorId="0" shapeId="0" xr:uid="{C53CE700-93EE-4BDB-AC19-AA242988F853}">
      <text>
        <r>
          <rPr>
            <b/>
            <sz val="9"/>
            <color indexed="81"/>
            <rFont val="Tahoma"/>
            <family val="2"/>
          </rPr>
          <t>Author:</t>
        </r>
        <r>
          <rPr>
            <sz val="9"/>
            <color indexed="81"/>
            <rFont val="Tahoma"/>
            <family val="2"/>
          </rPr>
          <t xml:space="preserve">
Combined MVA of Capacitor Banks:
1252 and 1253</t>
        </r>
      </text>
    </comment>
    <comment ref="F389" authorId="0" shapeId="0" xr:uid="{99F54C43-C0CB-483A-99B2-7278F02E7FCA}">
      <text>
        <r>
          <rPr>
            <b/>
            <sz val="9"/>
            <color indexed="81"/>
            <rFont val="Tahoma"/>
            <family val="2"/>
          </rPr>
          <t>Author:</t>
        </r>
        <r>
          <rPr>
            <sz val="9"/>
            <color indexed="81"/>
            <rFont val="Tahoma"/>
            <family val="2"/>
          </rPr>
          <t xml:space="preserve">
Reference:
5" AL TUBULAR BUS
DCYR01-ESMV-E0W001
XEL-EVD-Facility-Rating-Supplement---Table---Tubular-and-Square-Conductor.xls</t>
        </r>
      </text>
    </comment>
    <comment ref="G389" authorId="0" shapeId="0" xr:uid="{D70088A7-718E-4AEE-93EB-15DEF46DAEA0}">
      <text>
        <r>
          <rPr>
            <b/>
            <sz val="9"/>
            <color indexed="81"/>
            <rFont val="Tahoma"/>
            <family val="2"/>
          </rPr>
          <t>Author:</t>
        </r>
        <r>
          <rPr>
            <sz val="9"/>
            <color indexed="81"/>
            <rFont val="Tahoma"/>
            <family val="2"/>
          </rPr>
          <t xml:space="preserve">
Reference: 
DCYR01-ESMV-E0W001
SH. 2</t>
        </r>
      </text>
    </comment>
    <comment ref="C390" authorId="0" shapeId="0" xr:uid="{B40E6047-E989-4C80-B68D-FF6BA12B49F3}">
      <text>
        <r>
          <rPr>
            <b/>
            <sz val="9"/>
            <color indexed="81"/>
            <rFont val="Tahoma"/>
            <family val="2"/>
          </rPr>
          <t>Author:</t>
        </r>
        <r>
          <rPr>
            <sz val="9"/>
            <color indexed="81"/>
            <rFont val="Tahoma"/>
            <family val="2"/>
          </rPr>
          <t xml:space="preserve">
MVA of Reactor Bank:
1251</t>
        </r>
      </text>
    </comment>
    <comment ref="F390" authorId="0" shapeId="0" xr:uid="{60B9A701-14FD-4F62-9A48-6B2095C1F0F4}">
      <text>
        <r>
          <rPr>
            <b/>
            <sz val="9"/>
            <color indexed="81"/>
            <rFont val="Tahoma"/>
            <family val="2"/>
          </rPr>
          <t>Author:</t>
        </r>
        <r>
          <rPr>
            <sz val="9"/>
            <color indexed="81"/>
            <rFont val="Tahoma"/>
            <family val="2"/>
          </rPr>
          <t xml:space="preserve">
Reference:
5" AL TUBULAR BUS
DCYR01-ESMV-E0W001
XEL-EVD-Facility-Rating-Supplement---Table---Tubular-and-Square-Conductor.xls</t>
        </r>
      </text>
    </comment>
    <comment ref="G390" authorId="0" shapeId="0" xr:uid="{3DA3717E-9F89-42B3-AFE1-7A24B591F367}">
      <text>
        <r>
          <rPr>
            <b/>
            <sz val="9"/>
            <color indexed="81"/>
            <rFont val="Tahoma"/>
            <family val="2"/>
          </rPr>
          <t>Author:</t>
        </r>
        <r>
          <rPr>
            <sz val="9"/>
            <color indexed="81"/>
            <rFont val="Tahoma"/>
            <family val="2"/>
          </rPr>
          <t xml:space="preserve">
Reference: 
DCYR01-ESMV-E0W001
SH. 2</t>
        </r>
      </text>
    </comment>
    <comment ref="G394" authorId="0" shapeId="0" xr:uid="{8D174F71-426C-4991-8866-7AF502A223E9}">
      <text>
        <r>
          <rPr>
            <b/>
            <sz val="9"/>
            <color indexed="81"/>
            <rFont val="Tahoma"/>
            <family val="2"/>
          </rPr>
          <t>Author:</t>
        </r>
        <r>
          <rPr>
            <sz val="9"/>
            <color indexed="81"/>
            <rFont val="Tahoma"/>
            <family val="2"/>
          </rPr>
          <t xml:space="preserve">
1272 MCM Narcissus 
Summer (normarl) @ 2 ft/sec
XEL-EVD-Facility-Rating-Supplement---Table---Bare-Overhead-Conductor.xls
ACYR00-SIMD-E01005.pdf</t>
        </r>
      </text>
    </comment>
    <comment ref="K394" authorId="0" shapeId="0" xr:uid="{72D06436-0C85-4EE0-B083-2086A1A1762D}">
      <text>
        <r>
          <rPr>
            <b/>
            <sz val="9"/>
            <color indexed="81"/>
            <rFont val="Tahoma"/>
            <family val="2"/>
          </rPr>
          <t>Author:</t>
        </r>
        <r>
          <rPr>
            <sz val="9"/>
            <color indexed="81"/>
            <rFont val="Tahoma"/>
            <family val="2"/>
          </rPr>
          <t xml:space="preserve">
1272 MCM Narcissus 
Summer (normarl) @ 2 ft/sec
XEL-EVD-Facility-Rating-Supplement---Table---Bare-Overhead-Conductor.xls
ACYR00-SIMD-E01005.pdf</t>
        </r>
      </text>
    </comment>
    <comment ref="M394" authorId="0" shapeId="0" xr:uid="{DD60925D-A750-4624-A66E-F0421FE659F0}">
      <text>
        <r>
          <rPr>
            <b/>
            <sz val="9"/>
            <color indexed="81"/>
            <rFont val="Tahoma"/>
            <family val="2"/>
          </rPr>
          <t>Author:</t>
        </r>
        <r>
          <rPr>
            <sz val="9"/>
            <color indexed="81"/>
            <rFont val="Tahoma"/>
            <family val="2"/>
          </rPr>
          <t xml:space="preserve">
1272 MCM Narcissus 
Summer (normarl) @ 2 ft/sec
XEL-EVD-Facility-Rating-Supplement---Table---Bare-Overhead-Conductor.xls
ACYR00-SIMD-E01005.pdf</t>
        </r>
      </text>
    </comment>
    <comment ref="C396" authorId="0" shapeId="0" xr:uid="{6FAF0201-0729-4636-A1B8-A85AFE8F8F4C}">
      <text>
        <r>
          <rPr>
            <b/>
            <sz val="9"/>
            <color indexed="81"/>
            <rFont val="Tahoma"/>
            <family val="2"/>
          </rPr>
          <t>Author:</t>
        </r>
        <r>
          <rPr>
            <sz val="9"/>
            <color indexed="81"/>
            <rFont val="Tahoma"/>
            <family val="2"/>
          </rPr>
          <t xml:space="preserve">
Combined MVA of Capacitor Banks:
2152 and 2153</t>
        </r>
      </text>
    </comment>
    <comment ref="F396" authorId="0" shapeId="0" xr:uid="{2CE2ECBC-6636-4F95-9AF3-461BD404AE2E}">
      <text>
        <r>
          <rPr>
            <b/>
            <sz val="9"/>
            <color indexed="81"/>
            <rFont val="Tahoma"/>
            <family val="2"/>
          </rPr>
          <t>Author:</t>
        </r>
        <r>
          <rPr>
            <sz val="9"/>
            <color indexed="81"/>
            <rFont val="Tahoma"/>
            <family val="2"/>
          </rPr>
          <t xml:space="preserve">
Reference:
5" AL TUBULAR BUS
DCYR01-ESMV-E0E001
SH. 2
XEL-EVD-Facility-Rating-Supplement---Table---Tubular-and-Square-Conductor.xls</t>
        </r>
      </text>
    </comment>
    <comment ref="G396" authorId="0" shapeId="0" xr:uid="{DDA4B266-07EF-49FC-BEAF-9D82AB2BEFF8}">
      <text>
        <r>
          <rPr>
            <b/>
            <sz val="9"/>
            <color indexed="81"/>
            <rFont val="Tahoma"/>
            <family val="2"/>
          </rPr>
          <t>Author:</t>
        </r>
        <r>
          <rPr>
            <sz val="9"/>
            <color indexed="81"/>
            <rFont val="Tahoma"/>
            <family val="2"/>
          </rPr>
          <t xml:space="preserve">
Reference: 
DCYR01-ESMV-E0E001
SH. 2</t>
        </r>
      </text>
    </comment>
    <comment ref="H396" authorId="0" shapeId="0" xr:uid="{DA1E49D8-05DF-4A98-9BB2-2F88BAB9664E}">
      <text>
        <r>
          <rPr>
            <b/>
            <sz val="9"/>
            <color indexed="81"/>
            <rFont val="Tahoma"/>
            <family val="2"/>
          </rPr>
          <t>Author:</t>
        </r>
        <r>
          <rPr>
            <sz val="9"/>
            <color indexed="81"/>
            <rFont val="Tahoma"/>
            <family val="2"/>
          </rPr>
          <t xml:space="preserve">
Reference:
DCYR01-ESPT-E8E001 SH. 2
3007854009-100 .pdf
2000:5A MR (2000:5A TAP)
TRF: 2
</t>
        </r>
      </text>
    </comment>
    <comment ref="I396" authorId="0" shapeId="0" xr:uid="{E95FF05F-661E-43A1-AA6B-5B828142AA93}">
      <text>
        <r>
          <rPr>
            <b/>
            <sz val="9"/>
            <color indexed="81"/>
            <rFont val="Tahoma"/>
            <family val="2"/>
          </rPr>
          <t>Author:</t>
        </r>
        <r>
          <rPr>
            <sz val="9"/>
            <color indexed="81"/>
            <rFont val="Tahoma"/>
            <family val="2"/>
          </rPr>
          <t xml:space="preserve">
Reference:
3007854009-100 .pdf
DCYR01-ESMV-E0E001 Sh. 2
</t>
        </r>
      </text>
    </comment>
    <comment ref="J396" authorId="0" shapeId="0" xr:uid="{A30D3DF6-5A4F-4107-BEAA-03B4A2768F3C}">
      <text>
        <r>
          <rPr>
            <b/>
            <sz val="9"/>
            <color indexed="81"/>
            <rFont val="Tahoma"/>
            <family val="2"/>
          </rPr>
          <t>Author:</t>
        </r>
        <r>
          <rPr>
            <sz val="9"/>
            <color indexed="81"/>
            <rFont val="Tahoma"/>
            <family val="2"/>
          </rPr>
          <t xml:space="preserve">
Reference:
DCYR01-ESPT-E8E001 SH. 2
3007854009-100 .pdf
2000:5A MR (2000:5A TAP)
TRF: 2
</t>
        </r>
      </text>
    </comment>
    <comment ref="K396" authorId="0" shapeId="0" xr:uid="{7476BB66-D890-47E0-B351-F41ECFCA8D4F}">
      <text>
        <r>
          <rPr>
            <b/>
            <sz val="9"/>
            <color indexed="81"/>
            <rFont val="Tahoma"/>
            <family val="2"/>
          </rPr>
          <t>Author:</t>
        </r>
        <r>
          <rPr>
            <sz val="9"/>
            <color indexed="81"/>
            <rFont val="Tahoma"/>
            <family val="2"/>
          </rPr>
          <t xml:space="preserve">
Reference: 
DCYR01-ESMV-E0E001
SH. 2</t>
        </r>
      </text>
    </comment>
    <comment ref="L396" authorId="0" shapeId="0" xr:uid="{6ED60478-29AE-4C61-BC89-93A0CD44DC26}">
      <text>
        <r>
          <rPr>
            <b/>
            <sz val="9"/>
            <color indexed="81"/>
            <rFont val="Tahoma"/>
            <family val="2"/>
          </rPr>
          <t>Author:</t>
        </r>
        <r>
          <rPr>
            <sz val="9"/>
            <color indexed="81"/>
            <rFont val="Tahoma"/>
            <family val="2"/>
          </rPr>
          <t xml:space="preserve">
Reference: 
DCYR01-ESMV-E0E001
SH. 2</t>
        </r>
      </text>
    </comment>
    <comment ref="M396" authorId="0" shapeId="0" xr:uid="{26F236C7-B548-4B0D-B3E7-9F552BB7BAD3}">
      <text>
        <r>
          <rPr>
            <b/>
            <sz val="9"/>
            <color indexed="81"/>
            <rFont val="Tahoma"/>
            <family val="2"/>
          </rPr>
          <t>Author:</t>
        </r>
        <r>
          <rPr>
            <sz val="9"/>
            <color indexed="81"/>
            <rFont val="Tahoma"/>
            <family val="2"/>
          </rPr>
          <t xml:space="preserve">
Reference: 
DCYR01-ESMV-E0E001
SH. 2</t>
        </r>
      </text>
    </comment>
    <comment ref="N396" authorId="0" shapeId="0" xr:uid="{7754D13A-BDFE-455C-9591-823FDBC78C8D}">
      <text>
        <r>
          <rPr>
            <b/>
            <sz val="9"/>
            <color indexed="81"/>
            <rFont val="Tahoma"/>
            <family val="2"/>
          </rPr>
          <t>Author:</t>
        </r>
        <r>
          <rPr>
            <sz val="9"/>
            <color indexed="81"/>
            <rFont val="Tahoma"/>
            <family val="2"/>
          </rPr>
          <t xml:space="preserve">
Reference Cheyenne Ridge PRC-025-2
Limiting Relay Element:
50WP1P = 1324 A
50WP2P = 636 A</t>
        </r>
      </text>
    </comment>
    <comment ref="C397" authorId="0" shapeId="0" xr:uid="{D412A1AE-129D-4EAD-8929-FABF89DB1A52}">
      <text>
        <r>
          <rPr>
            <b/>
            <sz val="9"/>
            <color indexed="81"/>
            <rFont val="Tahoma"/>
            <family val="2"/>
          </rPr>
          <t>Author:</t>
        </r>
        <r>
          <rPr>
            <sz val="9"/>
            <color indexed="81"/>
            <rFont val="Tahoma"/>
            <family val="2"/>
          </rPr>
          <t xml:space="preserve">
Combined MVA of Capacitor Banks:
2252 and 2253</t>
        </r>
      </text>
    </comment>
    <comment ref="F397" authorId="0" shapeId="0" xr:uid="{0162354B-B365-4195-916F-BB53072AD90E}">
      <text>
        <r>
          <rPr>
            <b/>
            <sz val="9"/>
            <color indexed="81"/>
            <rFont val="Tahoma"/>
            <family val="2"/>
          </rPr>
          <t>Author:</t>
        </r>
        <r>
          <rPr>
            <sz val="9"/>
            <color indexed="81"/>
            <rFont val="Tahoma"/>
            <family val="2"/>
          </rPr>
          <t xml:space="preserve">
Reference:
5" AL TUBULAR BUS
DCYR01-ESMV-E0E001
SH. 2
XEL-EVD-Facility-Rating-Supplement---Table---Tubular-and-Square-Conductor.xls</t>
        </r>
      </text>
    </comment>
    <comment ref="G397" authorId="0" shapeId="0" xr:uid="{17CF8B8A-3472-4ADF-9B45-8CB93E02D3C3}">
      <text>
        <r>
          <rPr>
            <b/>
            <sz val="9"/>
            <color indexed="81"/>
            <rFont val="Tahoma"/>
            <family val="2"/>
          </rPr>
          <t>Author:</t>
        </r>
        <r>
          <rPr>
            <sz val="9"/>
            <color indexed="81"/>
            <rFont val="Tahoma"/>
            <family val="2"/>
          </rPr>
          <t xml:space="preserve">
Reference: 
DCYR01-ESMV-E0E001
SH. 2</t>
        </r>
      </text>
    </comment>
    <comment ref="H397" authorId="0" shapeId="0" xr:uid="{F2EB82E5-F282-4B34-A9F9-54309619A8C3}">
      <text>
        <r>
          <rPr>
            <b/>
            <sz val="9"/>
            <color indexed="81"/>
            <rFont val="Tahoma"/>
            <family val="2"/>
          </rPr>
          <t>Author:</t>
        </r>
        <r>
          <rPr>
            <sz val="9"/>
            <color indexed="81"/>
            <rFont val="Tahoma"/>
            <family val="2"/>
          </rPr>
          <t xml:space="preserve">
Reference:
DCYR01-ESPT-E8E001 SH. 3
3007854009-100 .pdf
2000:5A MR (2000:5A TAP)
TRF: 2
</t>
        </r>
      </text>
    </comment>
    <comment ref="I397" authorId="0" shapeId="0" xr:uid="{33AF4E44-99A3-4787-B704-09F8D6D386B7}">
      <text>
        <r>
          <rPr>
            <b/>
            <sz val="9"/>
            <color indexed="81"/>
            <rFont val="Tahoma"/>
            <family val="2"/>
          </rPr>
          <t>Author:</t>
        </r>
        <r>
          <rPr>
            <sz val="9"/>
            <color indexed="81"/>
            <rFont val="Tahoma"/>
            <family val="2"/>
          </rPr>
          <t xml:space="preserve">
Reference:
3007854009-100 .pdf
DCYR01-ESMV-E0E001 Sh. 2
</t>
        </r>
      </text>
    </comment>
    <comment ref="J397" authorId="0" shapeId="0" xr:uid="{9801D66B-7D8C-47A3-9435-16ED9A068861}">
      <text>
        <r>
          <rPr>
            <b/>
            <sz val="9"/>
            <color indexed="81"/>
            <rFont val="Tahoma"/>
            <family val="2"/>
          </rPr>
          <t>Author:</t>
        </r>
        <r>
          <rPr>
            <sz val="9"/>
            <color indexed="81"/>
            <rFont val="Tahoma"/>
            <family val="2"/>
          </rPr>
          <t xml:space="preserve">
Reference:
DCYR01-ESPT-E8E001 SH. 3
3007854009-100 .pdf
2000:5A MR (2000:5A TAP)
TRF: 2
</t>
        </r>
      </text>
    </comment>
    <comment ref="K397" authorId="0" shapeId="0" xr:uid="{302670D7-D715-4605-85BD-F6920F0D8253}">
      <text>
        <r>
          <rPr>
            <b/>
            <sz val="9"/>
            <color indexed="81"/>
            <rFont val="Tahoma"/>
            <family val="2"/>
          </rPr>
          <t>Author:</t>
        </r>
        <r>
          <rPr>
            <sz val="9"/>
            <color indexed="81"/>
            <rFont val="Tahoma"/>
            <family val="2"/>
          </rPr>
          <t xml:space="preserve">
Reference: 
DCYR01-ESMV-E0E001
SH. 2</t>
        </r>
      </text>
    </comment>
    <comment ref="L397" authorId="0" shapeId="0" xr:uid="{A925DBF9-D46C-4D4E-B68A-12AC56DD74FC}">
      <text>
        <r>
          <rPr>
            <b/>
            <sz val="9"/>
            <color indexed="81"/>
            <rFont val="Tahoma"/>
            <family val="2"/>
          </rPr>
          <t>Author:</t>
        </r>
        <r>
          <rPr>
            <sz val="9"/>
            <color indexed="81"/>
            <rFont val="Tahoma"/>
            <family val="2"/>
          </rPr>
          <t xml:space="preserve">
Reference: 
DCYR01-ESMV-E0E001
SH. 2</t>
        </r>
      </text>
    </comment>
    <comment ref="M397" authorId="0" shapeId="0" xr:uid="{B8272720-7EF4-4DD5-B650-4D4EE3A68ED2}">
      <text>
        <r>
          <rPr>
            <b/>
            <sz val="9"/>
            <color indexed="81"/>
            <rFont val="Tahoma"/>
            <family val="2"/>
          </rPr>
          <t>Author:</t>
        </r>
        <r>
          <rPr>
            <sz val="9"/>
            <color indexed="81"/>
            <rFont val="Tahoma"/>
            <family val="2"/>
          </rPr>
          <t xml:space="preserve">
Reference: 
DCYR01-ESMV-E0E001
SH. 2</t>
        </r>
      </text>
    </comment>
    <comment ref="N397" authorId="0" shapeId="0" xr:uid="{9AA6C422-71C6-4D36-AF11-51790BAEF617}">
      <text>
        <r>
          <rPr>
            <b/>
            <sz val="9"/>
            <color indexed="81"/>
            <rFont val="Tahoma"/>
            <family val="2"/>
          </rPr>
          <t>Author:</t>
        </r>
        <r>
          <rPr>
            <sz val="9"/>
            <color indexed="81"/>
            <rFont val="Tahoma"/>
            <family val="2"/>
          </rPr>
          <t xml:space="preserve">
Reference Cheyenne Ridge PRC-025-2
Limiting Relay Element:
50WP1P = 1324 A
50WP2P = 636 A</t>
        </r>
      </text>
    </comment>
    <comment ref="C398" authorId="0" shapeId="0" xr:uid="{4426D6CC-C24D-45C4-A8D5-32A18FB9A68F}">
      <text>
        <r>
          <rPr>
            <b/>
            <sz val="9"/>
            <color indexed="81"/>
            <rFont val="Tahoma"/>
            <family val="2"/>
          </rPr>
          <t>Author:</t>
        </r>
        <r>
          <rPr>
            <sz val="9"/>
            <color indexed="81"/>
            <rFont val="Tahoma"/>
            <family val="2"/>
          </rPr>
          <t xml:space="preserve">
Combined MVA of Capacitor Banks:
1152 and 1153</t>
        </r>
      </text>
    </comment>
    <comment ref="F398" authorId="0" shapeId="0" xr:uid="{742242C3-59D7-4F24-8659-C92E48C8BED7}">
      <text>
        <r>
          <rPr>
            <b/>
            <sz val="9"/>
            <color indexed="81"/>
            <rFont val="Tahoma"/>
            <family val="2"/>
          </rPr>
          <t>Author:</t>
        </r>
        <r>
          <rPr>
            <sz val="9"/>
            <color indexed="81"/>
            <rFont val="Tahoma"/>
            <family val="2"/>
          </rPr>
          <t xml:space="preserve">
Reference:
5" AL TUBULAR BUS
DCYR01-ESMV-E0W001
SH. 2
XEL-EVD-Facility-Rating-Supplement---Table---Tubular-and-Square-Conductor.xls</t>
        </r>
      </text>
    </comment>
    <comment ref="G398" authorId="0" shapeId="0" xr:uid="{1240B6A9-FA11-4FE6-9166-D99A8EC95FE7}">
      <text>
        <r>
          <rPr>
            <b/>
            <sz val="9"/>
            <color indexed="81"/>
            <rFont val="Tahoma"/>
            <family val="2"/>
          </rPr>
          <t>Author:</t>
        </r>
        <r>
          <rPr>
            <sz val="9"/>
            <color indexed="81"/>
            <rFont val="Tahoma"/>
            <family val="2"/>
          </rPr>
          <t xml:space="preserve">
Reference: 
DCYR01-ESMV-E0W001
SH. 2</t>
        </r>
      </text>
    </comment>
    <comment ref="H398" authorId="0" shapeId="0" xr:uid="{293A304A-1701-4E06-BE8D-36547D77BBD5}">
      <text>
        <r>
          <rPr>
            <b/>
            <sz val="9"/>
            <color indexed="81"/>
            <rFont val="Tahoma"/>
            <family val="2"/>
          </rPr>
          <t>Author:</t>
        </r>
        <r>
          <rPr>
            <sz val="9"/>
            <color indexed="81"/>
            <rFont val="Tahoma"/>
            <family val="2"/>
          </rPr>
          <t xml:space="preserve">
Reference:
DCYR01-ESPT-E8W001 SH.2
3007854009-100 .pdf
2000:5A MR (2000:5A TAP)
TRF: 2
</t>
        </r>
      </text>
    </comment>
    <comment ref="I398" authorId="0" shapeId="0" xr:uid="{635A92C7-8961-4086-83F2-A517B72578DB}">
      <text>
        <r>
          <rPr>
            <b/>
            <sz val="9"/>
            <color indexed="81"/>
            <rFont val="Tahoma"/>
            <family val="2"/>
          </rPr>
          <t>Author:</t>
        </r>
        <r>
          <rPr>
            <sz val="9"/>
            <color indexed="81"/>
            <rFont val="Tahoma"/>
            <family val="2"/>
          </rPr>
          <t xml:space="preserve">
Reference:
3007854009-100 .pdf
DCYR01-ESMV-E0W001 Sh. 2</t>
        </r>
      </text>
    </comment>
    <comment ref="J398" authorId="0" shapeId="0" xr:uid="{AC57F9DD-22B7-4B33-A38B-DA0A1ECF41AA}">
      <text>
        <r>
          <rPr>
            <b/>
            <sz val="9"/>
            <color indexed="81"/>
            <rFont val="Tahoma"/>
            <family val="2"/>
          </rPr>
          <t>Author:</t>
        </r>
        <r>
          <rPr>
            <sz val="9"/>
            <color indexed="81"/>
            <rFont val="Tahoma"/>
            <family val="2"/>
          </rPr>
          <t xml:space="preserve">
Reference:
DCYR01-ESPT-E8W001 SH.2
3007854009-100 .pdf
2000:5A MR (2000:5A TAP)
TRF: 2
</t>
        </r>
      </text>
    </comment>
    <comment ref="K398" authorId="0" shapeId="0" xr:uid="{4252ADCE-1126-45EC-A92C-FCA3C146A523}">
      <text>
        <r>
          <rPr>
            <b/>
            <sz val="9"/>
            <color indexed="81"/>
            <rFont val="Tahoma"/>
            <family val="2"/>
          </rPr>
          <t>Author:</t>
        </r>
        <r>
          <rPr>
            <sz val="9"/>
            <color indexed="81"/>
            <rFont val="Tahoma"/>
            <family val="2"/>
          </rPr>
          <t xml:space="preserve">
Reference: 
DCYR01-ESMV-E0W001
SH. 2</t>
        </r>
      </text>
    </comment>
    <comment ref="L398" authorId="0" shapeId="0" xr:uid="{D9BFCF34-CC14-4BA4-B7A6-9F3A01DFDE84}">
      <text>
        <r>
          <rPr>
            <b/>
            <sz val="9"/>
            <color indexed="81"/>
            <rFont val="Tahoma"/>
            <family val="2"/>
          </rPr>
          <t>Author:</t>
        </r>
        <r>
          <rPr>
            <sz val="9"/>
            <color indexed="81"/>
            <rFont val="Tahoma"/>
            <family val="2"/>
          </rPr>
          <t xml:space="preserve">
Reference: 
DCYR01-ESMV-E0W001
SH. 2</t>
        </r>
      </text>
    </comment>
    <comment ref="M398" authorId="0" shapeId="0" xr:uid="{86434D51-E3FC-41F9-A631-68076EF33DB1}">
      <text>
        <r>
          <rPr>
            <b/>
            <sz val="9"/>
            <color indexed="81"/>
            <rFont val="Tahoma"/>
            <family val="2"/>
          </rPr>
          <t>Author:</t>
        </r>
        <r>
          <rPr>
            <sz val="9"/>
            <color indexed="81"/>
            <rFont val="Tahoma"/>
            <family val="2"/>
          </rPr>
          <t xml:space="preserve">
Reference: 
DCYR01-ESMV-E0W001
SH. 2</t>
        </r>
      </text>
    </comment>
    <comment ref="N398" authorId="0" shapeId="0" xr:uid="{C5423B28-AF01-4055-A4C8-9126DBADD1E6}">
      <text>
        <r>
          <rPr>
            <b/>
            <sz val="9"/>
            <color indexed="81"/>
            <rFont val="Tahoma"/>
            <family val="2"/>
          </rPr>
          <t>Author:</t>
        </r>
        <r>
          <rPr>
            <sz val="9"/>
            <color indexed="81"/>
            <rFont val="Tahoma"/>
            <family val="2"/>
          </rPr>
          <t xml:space="preserve">
Reference Cheyenne Ridge PRC-025-2
Limiting Relay Element:
50WP1P = 1656 A
50WP2P = 796 A</t>
        </r>
      </text>
    </comment>
    <comment ref="C399" authorId="0" shapeId="0" xr:uid="{0A67439E-22E0-46D8-A373-67E1ADFABE3C}">
      <text>
        <r>
          <rPr>
            <b/>
            <sz val="9"/>
            <color indexed="81"/>
            <rFont val="Tahoma"/>
            <family val="2"/>
          </rPr>
          <t>Author:</t>
        </r>
        <r>
          <rPr>
            <sz val="9"/>
            <color indexed="81"/>
            <rFont val="Tahoma"/>
            <family val="2"/>
          </rPr>
          <t xml:space="preserve">
Combined MVA of Capacitor Banks:
1252 and 1253</t>
        </r>
      </text>
    </comment>
    <comment ref="F399" authorId="0" shapeId="0" xr:uid="{1F7FFE23-8F80-4A01-B62C-9EF8E7956054}">
      <text>
        <r>
          <rPr>
            <b/>
            <sz val="9"/>
            <color indexed="81"/>
            <rFont val="Tahoma"/>
            <family val="2"/>
          </rPr>
          <t>Author:</t>
        </r>
        <r>
          <rPr>
            <sz val="9"/>
            <color indexed="81"/>
            <rFont val="Tahoma"/>
            <family val="2"/>
          </rPr>
          <t xml:space="preserve">
Reference:
5" AL TUBULAR BUS
DCYR01-ESMV-E0W001
SH. 2
XEL-EVD-Facility-Rating-Supplement---Table---Tubular-and-Square-Conductor.xls</t>
        </r>
      </text>
    </comment>
    <comment ref="G399" authorId="0" shapeId="0" xr:uid="{10F438D2-58F9-46CC-AC46-842D9CB978EC}">
      <text>
        <r>
          <rPr>
            <b/>
            <sz val="9"/>
            <color indexed="81"/>
            <rFont val="Tahoma"/>
            <family val="2"/>
          </rPr>
          <t>Author:</t>
        </r>
        <r>
          <rPr>
            <sz val="9"/>
            <color indexed="81"/>
            <rFont val="Tahoma"/>
            <family val="2"/>
          </rPr>
          <t xml:space="preserve">
Reference: 
DCYR01-ESMV-E0W001
SH. 2</t>
        </r>
      </text>
    </comment>
    <comment ref="H399" authorId="0" shapeId="0" xr:uid="{8933E943-9DE3-4A30-A747-97DBA072E0F6}">
      <text>
        <r>
          <rPr>
            <b/>
            <sz val="9"/>
            <color indexed="81"/>
            <rFont val="Tahoma"/>
            <family val="2"/>
          </rPr>
          <t>Author:</t>
        </r>
        <r>
          <rPr>
            <sz val="9"/>
            <color indexed="81"/>
            <rFont val="Tahoma"/>
            <family val="2"/>
          </rPr>
          <t xml:space="preserve">
Reference:
DCYR01-ESPT-E8W001 SH.3
3007854009-100 .pdf
2000:5A MR (2000:5A TAP)
TRF: 2
</t>
        </r>
      </text>
    </comment>
    <comment ref="I399" authorId="0" shapeId="0" xr:uid="{0250539F-7D19-41AE-AAF8-3E99CB2E3618}">
      <text>
        <r>
          <rPr>
            <b/>
            <sz val="9"/>
            <color indexed="81"/>
            <rFont val="Tahoma"/>
            <family val="2"/>
          </rPr>
          <t>Author:</t>
        </r>
        <r>
          <rPr>
            <sz val="9"/>
            <color indexed="81"/>
            <rFont val="Tahoma"/>
            <family val="2"/>
          </rPr>
          <t xml:space="preserve">
Reference:
3007854009-100 .pdf
DCYR01-ESMV-E0W001 Sh. 2</t>
        </r>
      </text>
    </comment>
    <comment ref="J399" authorId="0" shapeId="0" xr:uid="{075468C7-2EE1-4DC9-8E91-A8E288E1A829}">
      <text>
        <r>
          <rPr>
            <b/>
            <sz val="9"/>
            <color indexed="81"/>
            <rFont val="Tahoma"/>
            <family val="2"/>
          </rPr>
          <t>Author:</t>
        </r>
        <r>
          <rPr>
            <sz val="9"/>
            <color indexed="81"/>
            <rFont val="Tahoma"/>
            <family val="2"/>
          </rPr>
          <t xml:space="preserve">
Reference:
DCYR01-ESPT-E8W001 SH.3
3007854009-100 .pdf
2000:5A MR (2000:5A TAP)
TRF: 2
</t>
        </r>
      </text>
    </comment>
    <comment ref="K399" authorId="0" shapeId="0" xr:uid="{84C5FE1F-FA53-4068-9640-55C58674B9A9}">
      <text>
        <r>
          <rPr>
            <b/>
            <sz val="9"/>
            <color indexed="81"/>
            <rFont val="Tahoma"/>
            <family val="2"/>
          </rPr>
          <t>Author:</t>
        </r>
        <r>
          <rPr>
            <sz val="9"/>
            <color indexed="81"/>
            <rFont val="Tahoma"/>
            <family val="2"/>
          </rPr>
          <t xml:space="preserve">
Reference: 
DCYR01-ESMV-E0W001
SH. 2</t>
        </r>
      </text>
    </comment>
    <comment ref="L399" authorId="0" shapeId="0" xr:uid="{C60924E8-FF33-44A0-9F16-F3D596FE35FE}">
      <text>
        <r>
          <rPr>
            <b/>
            <sz val="9"/>
            <color indexed="81"/>
            <rFont val="Tahoma"/>
            <family val="2"/>
          </rPr>
          <t>Author:</t>
        </r>
        <r>
          <rPr>
            <sz val="9"/>
            <color indexed="81"/>
            <rFont val="Tahoma"/>
            <family val="2"/>
          </rPr>
          <t xml:space="preserve">
Reference: 
DCYR01-ESMV-E0W001
SH. 2</t>
        </r>
      </text>
    </comment>
    <comment ref="M399" authorId="0" shapeId="0" xr:uid="{8B24E9DD-C3D5-40FD-89CD-C893B87F8C62}">
      <text>
        <r>
          <rPr>
            <b/>
            <sz val="9"/>
            <color indexed="81"/>
            <rFont val="Tahoma"/>
            <family val="2"/>
          </rPr>
          <t>Author:</t>
        </r>
        <r>
          <rPr>
            <sz val="9"/>
            <color indexed="81"/>
            <rFont val="Tahoma"/>
            <family val="2"/>
          </rPr>
          <t xml:space="preserve">
Reference: 
DCYR01-ESMV-E0W001
SH. 2</t>
        </r>
      </text>
    </comment>
    <comment ref="N399" authorId="0" shapeId="0" xr:uid="{BCDD5417-AE3F-43E7-B449-CEA706484068}">
      <text>
        <r>
          <rPr>
            <b/>
            <sz val="9"/>
            <color indexed="81"/>
            <rFont val="Tahoma"/>
            <family val="2"/>
          </rPr>
          <t>Author:</t>
        </r>
        <r>
          <rPr>
            <sz val="9"/>
            <color indexed="81"/>
            <rFont val="Tahoma"/>
            <family val="2"/>
          </rPr>
          <t xml:space="preserve">
Reference Cheyenne Ridge PRC-025-2
Limiting Relay Element:
50WP1P = 1656 A
50WP2P = 796 A</t>
        </r>
      </text>
    </comment>
    <comment ref="C405" authorId="0" shapeId="0" xr:uid="{8EB321A9-1254-419D-855F-5371A080C90E}">
      <text>
        <r>
          <rPr>
            <b/>
            <sz val="9"/>
            <color indexed="81"/>
            <rFont val="Tahoma"/>
            <family val="2"/>
          </rPr>
          <t>Author:</t>
        </r>
        <r>
          <rPr>
            <sz val="9"/>
            <color indexed="81"/>
            <rFont val="Tahoma"/>
            <family val="2"/>
          </rPr>
          <t xml:space="preserve">
Total Combined MVA of Turbines and Capacitor Banks Connected to Bus 1.
Bus-Tie breaker is in the open position.</t>
        </r>
      </text>
    </comment>
    <comment ref="F405" authorId="0" shapeId="0" xr:uid="{66F54D0A-2B24-4E10-9CE9-6FB900F87ED8}">
      <text>
        <r>
          <rPr>
            <b/>
            <sz val="9"/>
            <color indexed="81"/>
            <rFont val="Tahoma"/>
            <family val="2"/>
          </rPr>
          <t>Author:</t>
        </r>
        <r>
          <rPr>
            <sz val="9"/>
            <color indexed="81"/>
            <rFont val="Tahoma"/>
            <family val="2"/>
          </rPr>
          <t xml:space="preserve">
Reference:
5" AL TUBULAR BUS
DCYR01-ESMV-E0E001
SH. 1
XEL-EVD-Facility-Rating-Supplement---Table---Tubular-and-Square-Conductor.xls</t>
        </r>
      </text>
    </comment>
    <comment ref="G405" authorId="0" shapeId="0" xr:uid="{C088ED99-90E5-49B9-BD95-92D36B64C9E0}">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DCYR01-ESEQ-E7E002</t>
        </r>
      </text>
    </comment>
    <comment ref="H405" authorId="0" shapeId="0" xr:uid="{DEF5B1BB-1EC9-4AC9-B365-5D20A00DC580}">
      <text>
        <r>
          <rPr>
            <b/>
            <sz val="9"/>
            <color indexed="81"/>
            <rFont val="Tahoma"/>
            <family val="2"/>
          </rPr>
          <t>Author:</t>
        </r>
        <r>
          <rPr>
            <sz val="9"/>
            <color indexed="81"/>
            <rFont val="Tahoma"/>
            <family val="2"/>
          </rPr>
          <t xml:space="preserve">
Reference:
5" AL TUBULAR BUS
DCYR01-ESMV-E0E001
SH. 1
XEL-EVD-Facility-Rating-Supplement---Table---Tubular-and-Square-Conductor.xls</t>
        </r>
      </text>
    </comment>
    <comment ref="I405" authorId="0" shapeId="0" xr:uid="{FFE1F900-9E32-4D0D-AECF-6D8D05238311}">
      <text>
        <r>
          <rPr>
            <b/>
            <sz val="9"/>
            <color indexed="81"/>
            <rFont val="Tahoma"/>
            <family val="2"/>
          </rPr>
          <t>Author:</t>
        </r>
        <r>
          <rPr>
            <sz val="9"/>
            <color indexed="81"/>
            <rFont val="Tahoma"/>
            <family val="2"/>
          </rPr>
          <t xml:space="preserve">
DCYR01-ESPT-E8E001
SH. 2
GIFD36-13.00.pdf
1500:5A SR  TRF: 3</t>
        </r>
      </text>
    </comment>
    <comment ref="J405" authorId="0" shapeId="0" xr:uid="{C89DD25A-EFBF-43D2-8CEF-E3C1B940D16F}">
      <text>
        <r>
          <rPr>
            <b/>
            <sz val="9"/>
            <color indexed="81"/>
            <rFont val="Tahoma"/>
            <family val="2"/>
          </rPr>
          <t>Author:</t>
        </r>
        <r>
          <rPr>
            <sz val="9"/>
            <color indexed="81"/>
            <rFont val="Tahoma"/>
            <family val="2"/>
          </rPr>
          <t xml:space="preserve">
Reference:
5" AL TUBULAR BUS
DCYR01-ESMV-E0E001
SH. 1
XEL-EVD-Facility-Rating-Supplement---Table---Tubular-and-Square-Conductor.xls</t>
        </r>
      </text>
    </comment>
    <comment ref="K405" authorId="0" shapeId="0" xr:uid="{96CC6B3A-831F-4065-823D-4053B4F41265}">
      <text>
        <r>
          <rPr>
            <b/>
            <sz val="9"/>
            <color indexed="81"/>
            <rFont val="Tahoma"/>
            <family val="2"/>
          </rPr>
          <t>Author:</t>
        </r>
        <r>
          <rPr>
            <sz val="9"/>
            <color indexed="81"/>
            <rFont val="Tahoma"/>
            <family val="2"/>
          </rPr>
          <t xml:space="preserve">
Reference: 
DCYR01-ESMV-E0E001
SH. 1</t>
        </r>
      </text>
    </comment>
    <comment ref="L405" authorId="0" shapeId="0" xr:uid="{D39F98A5-4115-4D2B-B0A8-1E3EFC46B94B}">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DCYR01-ESEQ-E7E002</t>
        </r>
      </text>
    </comment>
    <comment ref="M405" authorId="0" shapeId="0" xr:uid="{7A84C1DF-8203-4697-BF7F-BCD023B4C196}">
      <text>
        <r>
          <rPr>
            <b/>
            <sz val="9"/>
            <color indexed="81"/>
            <rFont val="Tahoma"/>
            <family val="2"/>
          </rPr>
          <t>Author:</t>
        </r>
        <r>
          <rPr>
            <sz val="9"/>
            <color indexed="81"/>
            <rFont val="Tahoma"/>
            <family val="2"/>
          </rPr>
          <t xml:space="preserve">
Reference:
DCYR01-ESPT-E8E001 SH. 1
3007854009-100 .pdf
2000:5A MR (2000:5A TAP)
TRF: 2
</t>
        </r>
      </text>
    </comment>
    <comment ref="N405" authorId="0" shapeId="0" xr:uid="{0CCFF240-FB17-446C-B1C5-3A6CEDBC9684}">
      <text>
        <r>
          <rPr>
            <b/>
            <sz val="9"/>
            <color indexed="81"/>
            <rFont val="Tahoma"/>
            <family val="2"/>
          </rPr>
          <t>Author:</t>
        </r>
        <r>
          <rPr>
            <sz val="9"/>
            <color indexed="81"/>
            <rFont val="Tahoma"/>
            <family val="2"/>
          </rPr>
          <t xml:space="preserve">
Reference: 
DCYR01-ESMV-E0E001
SH. 1</t>
        </r>
      </text>
    </comment>
    <comment ref="O405" authorId="0" shapeId="0" xr:uid="{8AF1F4BE-ED8D-436B-81DC-C4A2DEA9DACA}">
      <text>
        <r>
          <rPr>
            <b/>
            <sz val="9"/>
            <color indexed="81"/>
            <rFont val="Tahoma"/>
            <family val="2"/>
          </rPr>
          <t>Author:</t>
        </r>
        <r>
          <rPr>
            <sz val="9"/>
            <color indexed="81"/>
            <rFont val="Tahoma"/>
            <family val="2"/>
          </rPr>
          <t xml:space="preserve">
Reference:
DCYR01-ESPT-E8E001 SH. 1
3007854009-100 .pdf
2000:5A MR (2000:5A TAP)
TRF: 2
</t>
        </r>
      </text>
    </comment>
    <comment ref="P405" authorId="0" shapeId="0" xr:uid="{958F1C37-0E77-4E39-B494-2685E2CBE408}">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DCYR01-ESEQ-E7E002</t>
        </r>
      </text>
    </comment>
    <comment ref="Q405" authorId="0" shapeId="0" xr:uid="{481E8757-D97E-4A3F-B3F1-66B99C1C6F6A}">
      <text>
        <r>
          <rPr>
            <b/>
            <sz val="9"/>
            <color indexed="81"/>
            <rFont val="Tahoma"/>
            <family val="2"/>
          </rPr>
          <t>Author:</t>
        </r>
        <r>
          <rPr>
            <sz val="9"/>
            <color indexed="81"/>
            <rFont val="Tahoma"/>
            <family val="2"/>
          </rPr>
          <t xml:space="preserve">
Reference: 
DCYR01-ESMV-E0E001
SH. 1</t>
        </r>
      </text>
    </comment>
    <comment ref="R405" authorId="0" shapeId="0" xr:uid="{ECD490FD-D0C3-4A5C-B37A-963FF3F5E7FC}">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DCYR01-ESEQ-E7E002</t>
        </r>
      </text>
    </comment>
    <comment ref="S405" authorId="0" shapeId="0" xr:uid="{5064633A-2828-47AA-88EB-A04F44C54061}">
      <text>
        <r>
          <rPr>
            <b/>
            <sz val="9"/>
            <color indexed="81"/>
            <rFont val="Tahoma"/>
            <family val="2"/>
          </rPr>
          <t>Author:</t>
        </r>
        <r>
          <rPr>
            <sz val="9"/>
            <color indexed="81"/>
            <rFont val="Tahoma"/>
            <family val="2"/>
          </rPr>
          <t xml:space="preserve">
Reference:
DCYR01-ESPT-E8E001 SH. 1
D-18618_NAMEPLATE_1528.01-04_Rev 0.pdf
2620:5A SR
TRF: 2
</t>
        </r>
      </text>
    </comment>
    <comment ref="T405" authorId="0" shapeId="0" xr:uid="{956B54EE-4733-4611-BD73-9CFAB22D9E04}">
      <text>
        <r>
          <rPr>
            <b/>
            <sz val="9"/>
            <color indexed="81"/>
            <rFont val="Tahoma"/>
            <family val="2"/>
          </rPr>
          <t>Author:</t>
        </r>
        <r>
          <rPr>
            <sz val="9"/>
            <color indexed="81"/>
            <rFont val="Tahoma"/>
            <family val="2"/>
          </rPr>
          <t xml:space="preserve">
Reference:
DCYR01-ESPT-E8E001 SH. 1
D-18618_NAMEPLATE_1528.01-04_Rev 0.pdf
300:5A SR
TRF: 2
</t>
        </r>
      </text>
    </comment>
    <comment ref="U405" authorId="0" shapeId="0" xr:uid="{69A3C55D-308E-4E49-B7DE-150BC757531C}">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DCYR01-ESHV-E0E001
SH. 1</t>
        </r>
      </text>
    </comment>
    <comment ref="V405" authorId="0" shapeId="0" xr:uid="{FEE6C833-009C-45D8-8950-137F64520440}">
      <text>
        <r>
          <rPr>
            <b/>
            <sz val="9"/>
            <color indexed="81"/>
            <rFont val="Tahoma"/>
            <family val="2"/>
          </rPr>
          <t>Author:</t>
        </r>
        <r>
          <rPr>
            <sz val="9"/>
            <color indexed="81"/>
            <rFont val="Tahoma"/>
            <family val="2"/>
          </rPr>
          <t xml:space="preserve">
Reference:
5" AL TUBULAR BUS
DCYR01-ESMV-E0E001
SH. 1
XEL-EVD-Facility-Rating-Supplement---Table---Tubular-and-Square-Conductor.xls</t>
        </r>
      </text>
    </comment>
    <comment ref="W405" authorId="0" shapeId="0" xr:uid="{557B4823-69E3-4E9A-AA6D-4EB41595AA5C}">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DCYR01-ESHV-E0E001
SH. 1</t>
        </r>
      </text>
    </comment>
    <comment ref="X405" authorId="0" shapeId="0" xr:uid="{90A82393-8C70-4F62-BA84-9E591E254500}">
      <text>
        <r>
          <rPr>
            <b/>
            <sz val="9"/>
            <color indexed="81"/>
            <rFont val="Tahoma"/>
            <family val="2"/>
          </rPr>
          <t>Author:</t>
        </r>
        <r>
          <rPr>
            <sz val="9"/>
            <color indexed="81"/>
            <rFont val="Tahoma"/>
            <family val="2"/>
          </rPr>
          <t xml:space="preserve">
Reference:
DCYR01-ESPT-E8E001 SH. 1
280622-010_rev_00 .pdf
2000:5A MR (2000:5A TAP)
TRF: 2
</t>
        </r>
      </text>
    </comment>
    <comment ref="Y405" authorId="0" shapeId="0" xr:uid="{A4650FE4-08C3-4D31-B4A3-BC44A9C844C8}">
      <text>
        <r>
          <rPr>
            <b/>
            <sz val="9"/>
            <color indexed="81"/>
            <rFont val="Tahoma"/>
            <family val="2"/>
          </rPr>
          <t>Author:</t>
        </r>
        <r>
          <rPr>
            <sz val="9"/>
            <color indexed="81"/>
            <rFont val="Tahoma"/>
            <family val="2"/>
          </rPr>
          <t xml:space="preserve">
280622-010_rev_00 .pdf
DCYR01-ESHV-E0E001 SH.1</t>
        </r>
      </text>
    </comment>
    <comment ref="Z405" authorId="0" shapeId="0" xr:uid="{C12AEDB9-6304-446F-B4D0-75C8CF4AAFC9}">
      <text>
        <r>
          <rPr>
            <b/>
            <sz val="9"/>
            <color indexed="81"/>
            <rFont val="Tahoma"/>
            <family val="2"/>
          </rPr>
          <t>Author:</t>
        </r>
        <r>
          <rPr>
            <sz val="9"/>
            <color indexed="81"/>
            <rFont val="Tahoma"/>
            <family val="2"/>
          </rPr>
          <t xml:space="preserve">
Reference:
DCYR01-ESPT-E8E001 SH. 1
280622-010_rev_00 .pdf
2000:5A MR (2000:5A TAP)
TRF: 2
</t>
        </r>
      </text>
    </comment>
    <comment ref="AA405" authorId="0" shapeId="0" xr:uid="{032651A5-AF4D-469D-BCF2-EF5E18A52CC2}">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DCYR01-ESHV-E0E001
SH. 1</t>
        </r>
      </text>
    </comment>
    <comment ref="AB405" authorId="0" shapeId="0" xr:uid="{E0BC21F9-C45B-4CEA-89C3-AF2E6401264E}">
      <text>
        <r>
          <rPr>
            <b/>
            <sz val="9"/>
            <color indexed="81"/>
            <rFont val="Tahoma"/>
            <family val="2"/>
          </rPr>
          <t>Author:</t>
        </r>
        <r>
          <rPr>
            <sz val="9"/>
            <color indexed="81"/>
            <rFont val="Tahoma"/>
            <family val="2"/>
          </rPr>
          <t xml:space="preserve">
DCYR01-ESHV-E0E001 SH. 1</t>
        </r>
      </text>
    </comment>
    <comment ref="AC405" authorId="0" shapeId="0" xr:uid="{F77E4631-2574-4D8E-A3E6-19A283F5D2AC}">
      <text>
        <r>
          <rPr>
            <b/>
            <sz val="9"/>
            <color indexed="81"/>
            <rFont val="Tahoma"/>
            <family val="2"/>
          </rPr>
          <t>Author:</t>
        </r>
        <r>
          <rPr>
            <sz val="9"/>
            <color indexed="81"/>
            <rFont val="Tahoma"/>
            <family val="2"/>
          </rPr>
          <t xml:space="preserve">
Reference:
5" AL TUBULAR BUS
DCYR01-ESMV-E0E001
SH. 1
XEL-EVD-Facility-Rating-Supplement---Table---Tubular-and-Square-Conductor.xls</t>
        </r>
      </text>
    </comment>
    <comment ref="AD405" authorId="0" shapeId="0" xr:uid="{D4F8D314-7578-4289-AC3E-6D85F2C32E77}">
      <text>
        <r>
          <rPr>
            <b/>
            <sz val="9"/>
            <color indexed="81"/>
            <rFont val="Tahoma"/>
            <family val="2"/>
          </rPr>
          <t>Author:</t>
        </r>
        <r>
          <rPr>
            <sz val="9"/>
            <color indexed="81"/>
            <rFont val="Tahoma"/>
            <family val="2"/>
          </rPr>
          <t xml:space="preserve">
(2) 2.5" Al. Bus = 2 * 1628 = 3256 Amps
XEL-EVD-Facility-Rating-Supplement---Table---Tubular-and-Square-Conductor.xls</t>
        </r>
      </text>
    </comment>
    <comment ref="C406" authorId="0" shapeId="0" xr:uid="{7369B12F-1D04-4BA4-BA8A-1787FCD49BAD}">
      <text>
        <r>
          <rPr>
            <b/>
            <sz val="9"/>
            <color indexed="81"/>
            <rFont val="Tahoma"/>
            <family val="2"/>
          </rPr>
          <t>Author:</t>
        </r>
        <r>
          <rPr>
            <sz val="9"/>
            <color indexed="81"/>
            <rFont val="Tahoma"/>
            <family val="2"/>
          </rPr>
          <t xml:space="preserve">
Total Combined MVA of Turbines and Capacitor Banks Connected to Bus 2.
Bus-Tie breaker is in the open position.</t>
        </r>
      </text>
    </comment>
    <comment ref="F406" authorId="0" shapeId="0" xr:uid="{734CC0C7-8C6E-4F21-A03B-854B829642A7}">
      <text>
        <r>
          <rPr>
            <b/>
            <sz val="9"/>
            <color indexed="81"/>
            <rFont val="Tahoma"/>
            <family val="2"/>
          </rPr>
          <t>Author:</t>
        </r>
        <r>
          <rPr>
            <sz val="9"/>
            <color indexed="81"/>
            <rFont val="Tahoma"/>
            <family val="2"/>
          </rPr>
          <t xml:space="preserve">
Reference:
5" AL TUBULAR BUS
DCYR01-ESMV-E0E001
SH. 1
XEL-EVD-Facility-Rating-Supplement---Table---Tubular-and-Square-Conductor.xls</t>
        </r>
      </text>
    </comment>
    <comment ref="G406" authorId="0" shapeId="0" xr:uid="{D61DB866-53A2-47A0-9DD2-1287E384D90F}">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DCYR01-ESEQ-E7E002</t>
        </r>
      </text>
    </comment>
    <comment ref="H406" authorId="0" shapeId="0" xr:uid="{6F0C9CB3-CFCC-45EA-9D87-D8EA378BD6A9}">
      <text>
        <r>
          <rPr>
            <b/>
            <sz val="9"/>
            <color indexed="81"/>
            <rFont val="Tahoma"/>
            <family val="2"/>
          </rPr>
          <t>Author:</t>
        </r>
        <r>
          <rPr>
            <sz val="9"/>
            <color indexed="81"/>
            <rFont val="Tahoma"/>
            <family val="2"/>
          </rPr>
          <t xml:space="preserve">
Reference:
5" AL TUBULAR BUS
DCYR01-ESMV-E0E001
SH. 1
XEL-EVD-Facility-Rating-Supplement---Table---Tubular-and-Square-Conductor.xls</t>
        </r>
      </text>
    </comment>
    <comment ref="I406" authorId="0" shapeId="0" xr:uid="{0FA3452A-275E-4824-BC03-DC21E19C9C91}">
      <text>
        <r>
          <rPr>
            <b/>
            <sz val="9"/>
            <color indexed="81"/>
            <rFont val="Tahoma"/>
            <family val="2"/>
          </rPr>
          <t>Author:</t>
        </r>
        <r>
          <rPr>
            <sz val="9"/>
            <color indexed="81"/>
            <rFont val="Tahoma"/>
            <family val="2"/>
          </rPr>
          <t xml:space="preserve">
DCYR01-ESPT-E8E001
SH. 3
GIFD36-13.00.pdf
1500:5A SR  TRF: 3</t>
        </r>
      </text>
    </comment>
    <comment ref="J406" authorId="0" shapeId="0" xr:uid="{BE7B2F44-AB2A-422F-AA52-D2C37E10D202}">
      <text>
        <r>
          <rPr>
            <b/>
            <sz val="9"/>
            <color indexed="81"/>
            <rFont val="Tahoma"/>
            <family val="2"/>
          </rPr>
          <t>Author:</t>
        </r>
        <r>
          <rPr>
            <sz val="9"/>
            <color indexed="81"/>
            <rFont val="Tahoma"/>
            <family val="2"/>
          </rPr>
          <t xml:space="preserve">
Reference:
5" AL TUBULAR BUS
DCYR01-ESMV-E0E001
SH. 1
XEL-EVD-Facility-Rating-Supplement---Table---Tubular-and-Square-Conductor.xls</t>
        </r>
      </text>
    </comment>
    <comment ref="K406" authorId="0" shapeId="0" xr:uid="{374BB123-4CF5-4EC5-BF42-08ECEE2DDC42}">
      <text>
        <r>
          <rPr>
            <b/>
            <sz val="9"/>
            <color indexed="81"/>
            <rFont val="Tahoma"/>
            <family val="2"/>
          </rPr>
          <t>Author:</t>
        </r>
        <r>
          <rPr>
            <sz val="9"/>
            <color indexed="81"/>
            <rFont val="Tahoma"/>
            <family val="2"/>
          </rPr>
          <t xml:space="preserve">
Reference: 
DCYR01-ESMV-E0E001
SH. 1</t>
        </r>
      </text>
    </comment>
    <comment ref="L406" authorId="0" shapeId="0" xr:uid="{69FEFDF6-619F-4133-A572-CB6A4005B172}">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DCYR01-ESEQ-E7E002</t>
        </r>
      </text>
    </comment>
    <comment ref="M406" authorId="0" shapeId="0" xr:uid="{AE8260D2-6EF6-4E2A-94CB-6972D9B8D2B0}">
      <text>
        <r>
          <rPr>
            <b/>
            <sz val="9"/>
            <color indexed="81"/>
            <rFont val="Tahoma"/>
            <family val="2"/>
          </rPr>
          <t>Author:</t>
        </r>
        <r>
          <rPr>
            <sz val="9"/>
            <color indexed="81"/>
            <rFont val="Tahoma"/>
            <family val="2"/>
          </rPr>
          <t xml:space="preserve">
Reference:
DCYR01-ESPT-E8E001 SH. 1
3007854009-100 .pdf
2000:5A MR (2000:5A TAP)
TRF: 2
</t>
        </r>
      </text>
    </comment>
    <comment ref="N406" authorId="0" shapeId="0" xr:uid="{B20BB15A-AB8A-47DF-AAD2-1F48651B6E50}">
      <text>
        <r>
          <rPr>
            <b/>
            <sz val="9"/>
            <color indexed="81"/>
            <rFont val="Tahoma"/>
            <family val="2"/>
          </rPr>
          <t>Author:</t>
        </r>
        <r>
          <rPr>
            <sz val="9"/>
            <color indexed="81"/>
            <rFont val="Tahoma"/>
            <family val="2"/>
          </rPr>
          <t xml:space="preserve">
Reference: 
DCYR01-ESMV-E0E001
SH. 1</t>
        </r>
      </text>
    </comment>
    <comment ref="O406" authorId="0" shapeId="0" xr:uid="{FCEFE9C4-CAAD-4EB8-8F9F-D8043DA09DDF}">
      <text>
        <r>
          <rPr>
            <b/>
            <sz val="9"/>
            <color indexed="81"/>
            <rFont val="Tahoma"/>
            <family val="2"/>
          </rPr>
          <t>Author:</t>
        </r>
        <r>
          <rPr>
            <sz val="9"/>
            <color indexed="81"/>
            <rFont val="Tahoma"/>
            <family val="2"/>
          </rPr>
          <t xml:space="preserve">
Reference:
DCYR01-ESPT-E8E001 SH. 1
3007854009-100 .pdf
2000:5A MR (2000:5A TAP)
TRF: 2
</t>
        </r>
      </text>
    </comment>
    <comment ref="P406" authorId="0" shapeId="0" xr:uid="{8CCC9BF1-2B91-4D58-BD2B-172015443E47}">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DCYR01-ESEQ-E7E002</t>
        </r>
      </text>
    </comment>
    <comment ref="Q406" authorId="0" shapeId="0" xr:uid="{2B6F9272-2D02-4F7C-94C8-3174B970FD84}">
      <text>
        <r>
          <rPr>
            <b/>
            <sz val="9"/>
            <color indexed="81"/>
            <rFont val="Tahoma"/>
            <family val="2"/>
          </rPr>
          <t>Author:</t>
        </r>
        <r>
          <rPr>
            <sz val="9"/>
            <color indexed="81"/>
            <rFont val="Tahoma"/>
            <family val="2"/>
          </rPr>
          <t xml:space="preserve">
Reference: 
DCYR01-ESMV-E0E001
SH. 1</t>
        </r>
      </text>
    </comment>
    <comment ref="R406" authorId="0" shapeId="0" xr:uid="{35C61488-9522-4BBC-939C-FB968CDBACBA}">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DCYR01-ESEQ-E7E002</t>
        </r>
      </text>
    </comment>
    <comment ref="S406" authorId="0" shapeId="0" xr:uid="{132E6220-24D7-4A61-9B8E-7865287302A9}">
      <text>
        <r>
          <rPr>
            <b/>
            <sz val="9"/>
            <color indexed="81"/>
            <rFont val="Tahoma"/>
            <family val="2"/>
          </rPr>
          <t>Author:</t>
        </r>
        <r>
          <rPr>
            <sz val="9"/>
            <color indexed="81"/>
            <rFont val="Tahoma"/>
            <family val="2"/>
          </rPr>
          <t xml:space="preserve">
Reference:
DCYR01-ESPT-E8E001 SH. 1
D-18618_NAMEPLATE_1528.01-04_Rev 0.pdf
2620:5A SR
TRF: 2
</t>
        </r>
      </text>
    </comment>
    <comment ref="T406" authorId="0" shapeId="0" xr:uid="{FED714E4-C29C-4E0A-B969-C72C346F02B2}">
      <text>
        <r>
          <rPr>
            <b/>
            <sz val="9"/>
            <color indexed="81"/>
            <rFont val="Tahoma"/>
            <family val="2"/>
          </rPr>
          <t>Author:</t>
        </r>
        <r>
          <rPr>
            <sz val="9"/>
            <color indexed="81"/>
            <rFont val="Tahoma"/>
            <family val="2"/>
          </rPr>
          <t xml:space="preserve">
Reference:
DCYR01-ESPT-E8E001 SH. 1
D-18618_NAMEPLATE_1528.01-04_Rev 0.pdf
300:5A SR
TRF: 2
</t>
        </r>
      </text>
    </comment>
    <comment ref="U406" authorId="0" shapeId="0" xr:uid="{55C6E700-FFF0-44C9-A90C-68334AEC7FDD}">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DCYR01-ESHV-E0E001
SH. 1</t>
        </r>
      </text>
    </comment>
    <comment ref="V406" authorId="0" shapeId="0" xr:uid="{135038C3-06A0-4A1C-A272-47B1AB692D75}">
      <text>
        <r>
          <rPr>
            <b/>
            <sz val="9"/>
            <color indexed="81"/>
            <rFont val="Tahoma"/>
            <family val="2"/>
          </rPr>
          <t>Author:</t>
        </r>
        <r>
          <rPr>
            <sz val="9"/>
            <color indexed="81"/>
            <rFont val="Tahoma"/>
            <family val="2"/>
          </rPr>
          <t xml:space="preserve">
Reference:
5" AL TUBULAR BUS
DCYR01-ESMV-E0E001
SH. 1
XEL-EVD-Facility-Rating-Supplement---Table---Tubular-and-Square-Conductor.xls</t>
        </r>
      </text>
    </comment>
    <comment ref="W406" authorId="0" shapeId="0" xr:uid="{8FAD5D1B-9838-469D-8E98-FB0798B6519C}">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DCYR01-ESHV-E0E001
SH. 1</t>
        </r>
      </text>
    </comment>
    <comment ref="X406" authorId="0" shapeId="0" xr:uid="{51BB5B45-AA7F-4997-A3E4-8A62C681E7A5}">
      <text>
        <r>
          <rPr>
            <b/>
            <sz val="9"/>
            <color indexed="81"/>
            <rFont val="Tahoma"/>
            <family val="2"/>
          </rPr>
          <t>Author:</t>
        </r>
        <r>
          <rPr>
            <sz val="9"/>
            <color indexed="81"/>
            <rFont val="Tahoma"/>
            <family val="2"/>
          </rPr>
          <t xml:space="preserve">
Reference:
DCYR01-ESPT-E8E001 SH. 1
280622-010_rev_00 .pdf
2000:5A MR (2000:5A TAP)
TRF: 2
</t>
        </r>
      </text>
    </comment>
    <comment ref="Y406" authorId="0" shapeId="0" xr:uid="{35E50493-B9F7-42B5-BA06-6B255BEEEAA6}">
      <text>
        <r>
          <rPr>
            <b/>
            <sz val="9"/>
            <color indexed="81"/>
            <rFont val="Tahoma"/>
            <family val="2"/>
          </rPr>
          <t>Author:</t>
        </r>
        <r>
          <rPr>
            <sz val="9"/>
            <color indexed="81"/>
            <rFont val="Tahoma"/>
            <family val="2"/>
          </rPr>
          <t xml:space="preserve">
280622-010_rev_00 .pdf
DCYR01-ESHV-E0E001 SH.1</t>
        </r>
      </text>
    </comment>
    <comment ref="Z406" authorId="0" shapeId="0" xr:uid="{1C835B99-4F37-409D-AD52-7C919380D9E1}">
      <text>
        <r>
          <rPr>
            <b/>
            <sz val="9"/>
            <color indexed="81"/>
            <rFont val="Tahoma"/>
            <family val="2"/>
          </rPr>
          <t>Author:</t>
        </r>
        <r>
          <rPr>
            <sz val="9"/>
            <color indexed="81"/>
            <rFont val="Tahoma"/>
            <family val="2"/>
          </rPr>
          <t xml:space="preserve">
Reference:
DCYR01-ESPT-E8E001 SH. 1
280622-010_rev_00 .pdf
2000:5A MR (2000:5A TAP)
TRF: 2
</t>
        </r>
      </text>
    </comment>
    <comment ref="AA406" authorId="0" shapeId="0" xr:uid="{C5C83EE0-1767-4E60-B077-726FA347D1A9}">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DCYR01-ESHV-E0E001
SH. 1</t>
        </r>
      </text>
    </comment>
    <comment ref="AB406" authorId="0" shapeId="0" xr:uid="{73139E0B-5C0C-4333-904D-021561F8D03B}">
      <text>
        <r>
          <rPr>
            <b/>
            <sz val="9"/>
            <color indexed="81"/>
            <rFont val="Tahoma"/>
            <family val="2"/>
          </rPr>
          <t>Author:</t>
        </r>
        <r>
          <rPr>
            <sz val="9"/>
            <color indexed="81"/>
            <rFont val="Tahoma"/>
            <family val="2"/>
          </rPr>
          <t xml:space="preserve">
DCYR01-ESHV-E0E001 SH. 1</t>
        </r>
      </text>
    </comment>
    <comment ref="AC406" authorId="0" shapeId="0" xr:uid="{EADD09EA-A496-4817-B67A-C2D3148FDD96}">
      <text>
        <r>
          <rPr>
            <b/>
            <sz val="9"/>
            <color indexed="81"/>
            <rFont val="Tahoma"/>
            <family val="2"/>
          </rPr>
          <t>Author:</t>
        </r>
        <r>
          <rPr>
            <sz val="9"/>
            <color indexed="81"/>
            <rFont val="Tahoma"/>
            <family val="2"/>
          </rPr>
          <t xml:space="preserve">
Reference:
5" AL TUBULAR BUS
DCYR01-ESMV-E0E001
SH. 1
XEL-EVD-Facility-Rating-Supplement---Table---Tubular-and-Square-Conductor.xls</t>
        </r>
      </text>
    </comment>
    <comment ref="AD406" authorId="0" shapeId="0" xr:uid="{86AA6269-E737-4F24-8842-23EBF316FE9C}">
      <text>
        <r>
          <rPr>
            <b/>
            <sz val="9"/>
            <color indexed="81"/>
            <rFont val="Tahoma"/>
            <family val="2"/>
          </rPr>
          <t>Author:</t>
        </r>
        <r>
          <rPr>
            <sz val="9"/>
            <color indexed="81"/>
            <rFont val="Tahoma"/>
            <family val="2"/>
          </rPr>
          <t xml:space="preserve">
(2) 2.5" Al. Bus = 2 * 1628 = 3256 Amps
XEL-EVD-Facility-Rating-Supplement---Table---Tubular-and-Square-Conductor.xls</t>
        </r>
      </text>
    </comment>
    <comment ref="C407" authorId="0" shapeId="0" xr:uid="{4DF1DC7F-2584-41D3-98C4-12E525971F96}">
      <text>
        <r>
          <rPr>
            <b/>
            <sz val="9"/>
            <color indexed="81"/>
            <rFont val="Tahoma"/>
            <family val="2"/>
          </rPr>
          <t>Author:</t>
        </r>
        <r>
          <rPr>
            <sz val="9"/>
            <color indexed="81"/>
            <rFont val="Tahoma"/>
            <family val="2"/>
          </rPr>
          <t xml:space="preserve">
Total Combined MVA of Turbines and Capacitor Banks Connected to Bus 1.
Bus-Tie breaker is in the open position.</t>
        </r>
      </text>
    </comment>
    <comment ref="F407" authorId="0" shapeId="0" xr:uid="{80BD2B86-22D3-45EB-BD2D-8D6E20EAF338}">
      <text>
        <r>
          <rPr>
            <b/>
            <sz val="9"/>
            <color indexed="81"/>
            <rFont val="Tahoma"/>
            <family val="2"/>
          </rPr>
          <t>Author:</t>
        </r>
        <r>
          <rPr>
            <sz val="9"/>
            <color indexed="81"/>
            <rFont val="Tahoma"/>
            <family val="2"/>
          </rPr>
          <t xml:space="preserve">
Reference:
5" AL TUBULAR BUS
DCYR01-ESMV-E0W001
SH. 1
XEL-EVD-Facility-Rating-Supplement---Table---Tubular-and-Square-Conductor.xls</t>
        </r>
      </text>
    </comment>
    <comment ref="G407" authorId="0" shapeId="0" xr:uid="{2EBF5AAC-8616-422F-A178-4E08CC7725B9}">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DCYR01-ESEQ-E7W002</t>
        </r>
      </text>
    </comment>
    <comment ref="H407" authorId="0" shapeId="0" xr:uid="{EA18DFC9-AE21-4D3A-95A6-8AC7F435E842}">
      <text>
        <r>
          <rPr>
            <b/>
            <sz val="9"/>
            <color indexed="81"/>
            <rFont val="Tahoma"/>
            <family val="2"/>
          </rPr>
          <t>Author:</t>
        </r>
        <r>
          <rPr>
            <sz val="9"/>
            <color indexed="81"/>
            <rFont val="Tahoma"/>
            <family val="2"/>
          </rPr>
          <t xml:space="preserve">
Reference:
5" AL TUBULAR BUS
DCYR01-ESMV-E0W001
SH. 1
XEL-EVD-Facility-Rating-Supplement---Table---Tubular-and-Square-Conductor.xls</t>
        </r>
      </text>
    </comment>
    <comment ref="I407" authorId="0" shapeId="0" xr:uid="{91AB043A-D466-4F25-A3E1-31025625D428}">
      <text>
        <r>
          <rPr>
            <b/>
            <sz val="9"/>
            <color indexed="81"/>
            <rFont val="Tahoma"/>
            <family val="2"/>
          </rPr>
          <t>Author:</t>
        </r>
        <r>
          <rPr>
            <sz val="9"/>
            <color indexed="81"/>
            <rFont val="Tahoma"/>
            <family val="2"/>
          </rPr>
          <t xml:space="preserve">
DCYR01-ESPT-E8W001
SH. 2
GIFD36-13.00.pdf
1500:5A SR  TRF: 3</t>
        </r>
      </text>
    </comment>
    <comment ref="J407" authorId="0" shapeId="0" xr:uid="{048C7453-25B0-4CD2-A4D2-01B07FD40592}">
      <text>
        <r>
          <rPr>
            <b/>
            <sz val="9"/>
            <color indexed="81"/>
            <rFont val="Tahoma"/>
            <family val="2"/>
          </rPr>
          <t>Author:</t>
        </r>
        <r>
          <rPr>
            <sz val="9"/>
            <color indexed="81"/>
            <rFont val="Tahoma"/>
            <family val="2"/>
          </rPr>
          <t xml:space="preserve">
Reference:
5" AL TUBULAR BUS
DCYR01-ESMV-E0W001
SH. 1
XEL-EVD-Facility-Rating-Supplement---Table---Tubular-and-Square-Conductor.xls</t>
        </r>
      </text>
    </comment>
    <comment ref="K407" authorId="0" shapeId="0" xr:uid="{7CDEDB55-2625-4D28-87ED-16CBB57C1F3A}">
      <text>
        <r>
          <rPr>
            <b/>
            <sz val="9"/>
            <color indexed="81"/>
            <rFont val="Tahoma"/>
            <family val="2"/>
          </rPr>
          <t>Author:</t>
        </r>
        <r>
          <rPr>
            <sz val="9"/>
            <color indexed="81"/>
            <rFont val="Tahoma"/>
            <family val="2"/>
          </rPr>
          <t xml:space="preserve">
Reference: 
DCYR01-ESMV-E0W001
SH. 1</t>
        </r>
      </text>
    </comment>
    <comment ref="L407" authorId="0" shapeId="0" xr:uid="{B5F755C9-5CE2-4929-AD91-1A5690077C4F}">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DCYR01-ESEQ-E7W002</t>
        </r>
      </text>
    </comment>
    <comment ref="M407" authorId="0" shapeId="0" xr:uid="{4D09A74A-8B8E-4605-9460-D0733E7C3E84}">
      <text>
        <r>
          <rPr>
            <b/>
            <sz val="9"/>
            <color indexed="81"/>
            <rFont val="Tahoma"/>
            <family val="2"/>
          </rPr>
          <t>Author:</t>
        </r>
        <r>
          <rPr>
            <sz val="9"/>
            <color indexed="81"/>
            <rFont val="Tahoma"/>
            <family val="2"/>
          </rPr>
          <t xml:space="preserve">
Reference:
DCYR01-ESPT-E8W001 SH.1
3007854009-100 .pdf
2000:5A MR (2000:5A TAP)
TRF: 2
</t>
        </r>
      </text>
    </comment>
    <comment ref="N407" authorId="0" shapeId="0" xr:uid="{26CB0E5E-46FA-4C84-A80C-34DE0E70209F}">
      <text>
        <r>
          <rPr>
            <b/>
            <sz val="9"/>
            <color indexed="81"/>
            <rFont val="Tahoma"/>
            <family val="2"/>
          </rPr>
          <t>Author:</t>
        </r>
        <r>
          <rPr>
            <sz val="9"/>
            <color indexed="81"/>
            <rFont val="Tahoma"/>
            <family val="2"/>
          </rPr>
          <t xml:space="preserve">
Reference: 
DCYR01-ESMV-E0W001
SH. 1</t>
        </r>
      </text>
    </comment>
    <comment ref="O407" authorId="0" shapeId="0" xr:uid="{3CDB6468-B4E8-4410-9E84-06D88CE20F18}">
      <text>
        <r>
          <rPr>
            <b/>
            <sz val="9"/>
            <color indexed="81"/>
            <rFont val="Tahoma"/>
            <family val="2"/>
          </rPr>
          <t>Author:</t>
        </r>
        <r>
          <rPr>
            <sz val="9"/>
            <color indexed="81"/>
            <rFont val="Tahoma"/>
            <family val="2"/>
          </rPr>
          <t xml:space="preserve">
Reference:
DCYR01-ESPT-E8W001 SH.1
3007854009-100 .pdf
2000:5A MR (2000:5A TAP)
TRF: 2
</t>
        </r>
      </text>
    </comment>
    <comment ref="P407" authorId="0" shapeId="0" xr:uid="{347A7754-AF7B-4EDE-B108-96A081E4E691}">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DCYR01-ESEQ-E7W002</t>
        </r>
      </text>
    </comment>
    <comment ref="Q407" authorId="0" shapeId="0" xr:uid="{C5800592-DA56-4479-8555-E76B421E1DDB}">
      <text>
        <r>
          <rPr>
            <b/>
            <sz val="9"/>
            <color indexed="81"/>
            <rFont val="Tahoma"/>
            <family val="2"/>
          </rPr>
          <t>Author:</t>
        </r>
        <r>
          <rPr>
            <sz val="9"/>
            <color indexed="81"/>
            <rFont val="Tahoma"/>
            <family val="2"/>
          </rPr>
          <t xml:space="preserve">
Reference: 
DCYR01-ESMV-E0W001
SH. 1</t>
        </r>
      </text>
    </comment>
    <comment ref="R407" authorId="0" shapeId="0" xr:uid="{7B41A5BF-969B-4AC3-98AF-78335F6217AB}">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DCYR01-ESEQ-E7W002</t>
        </r>
      </text>
    </comment>
    <comment ref="S407" authorId="0" shapeId="0" xr:uid="{FFA6A437-160E-4A99-82CB-354C9C22EF8D}">
      <text>
        <r>
          <rPr>
            <b/>
            <sz val="9"/>
            <color indexed="81"/>
            <rFont val="Tahoma"/>
            <family val="2"/>
          </rPr>
          <t>Author:</t>
        </r>
        <r>
          <rPr>
            <sz val="9"/>
            <color indexed="81"/>
            <rFont val="Tahoma"/>
            <family val="2"/>
          </rPr>
          <t xml:space="preserve">
Reference:
DCYR01-ESPT-E8W001 SH. 1
D-18618_NAMEPLATE_1528.01-04_Rev 0.pdf
2620:5A SR
TRF: 2
</t>
        </r>
      </text>
    </comment>
    <comment ref="T407" authorId="0" shapeId="0" xr:uid="{6DD08EC6-60AD-463E-9C71-0FE4D53CB9BB}">
      <text>
        <r>
          <rPr>
            <b/>
            <sz val="9"/>
            <color indexed="81"/>
            <rFont val="Tahoma"/>
            <family val="2"/>
          </rPr>
          <t>Author:</t>
        </r>
        <r>
          <rPr>
            <sz val="9"/>
            <color indexed="81"/>
            <rFont val="Tahoma"/>
            <family val="2"/>
          </rPr>
          <t xml:space="preserve">
Reference:
DCYR01-ESPT-E8W001 SH. 1
D-18618_NAMEPLATE_1528.01-04_Rev 0.pdf
300:5A SR
TRF: 2
</t>
        </r>
      </text>
    </comment>
    <comment ref="U407" authorId="0" shapeId="0" xr:uid="{29CE334B-21DD-4957-AAED-48F9821CFBA5}">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DCYR01-ESHV-E0W001
SH. 1</t>
        </r>
      </text>
    </comment>
    <comment ref="V407" authorId="0" shapeId="0" xr:uid="{09CBCE45-61BE-4131-B8A1-D02818755F30}">
      <text>
        <r>
          <rPr>
            <b/>
            <sz val="9"/>
            <color indexed="81"/>
            <rFont val="Tahoma"/>
            <family val="2"/>
          </rPr>
          <t>Author:</t>
        </r>
        <r>
          <rPr>
            <sz val="9"/>
            <color indexed="81"/>
            <rFont val="Tahoma"/>
            <family val="2"/>
          </rPr>
          <t xml:space="preserve">
Reference:
5" AL TUBULAR BUS
DCYR01-ESMV-E0W001
SH. 1
XEL-EVD-Facility-Rating-Supplement---Table---Tubular-and-Square-Conductor.xls</t>
        </r>
      </text>
    </comment>
    <comment ref="W407" authorId="0" shapeId="0" xr:uid="{AD181C2D-5A69-4D24-9D96-152A0F54B38D}">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DCYR01-ESHV-E0W001
SH. 1</t>
        </r>
      </text>
    </comment>
    <comment ref="X407" authorId="0" shapeId="0" xr:uid="{30938926-4EF5-498D-B823-B006BE9A8AD1}">
      <text>
        <r>
          <rPr>
            <b/>
            <sz val="9"/>
            <color indexed="81"/>
            <rFont val="Tahoma"/>
            <family val="2"/>
          </rPr>
          <t>Author:</t>
        </r>
        <r>
          <rPr>
            <sz val="9"/>
            <color indexed="81"/>
            <rFont val="Tahoma"/>
            <family val="2"/>
          </rPr>
          <t xml:space="preserve">
Reference:
DCYR01-ESPT-E8W001 SH. 1
280622-010_rev_00 .pdf
2000:5A MR (2000:5A TAP)
TRF: 2
</t>
        </r>
      </text>
    </comment>
    <comment ref="Y407" authorId="0" shapeId="0" xr:uid="{607D69FF-72C4-42BF-BDF4-378BFA192D08}">
      <text>
        <r>
          <rPr>
            <b/>
            <sz val="9"/>
            <color indexed="81"/>
            <rFont val="Tahoma"/>
            <family val="2"/>
          </rPr>
          <t>Author:</t>
        </r>
        <r>
          <rPr>
            <sz val="9"/>
            <color indexed="81"/>
            <rFont val="Tahoma"/>
            <family val="2"/>
          </rPr>
          <t xml:space="preserve">
280622-010_rev_00 .pdf
DCYR01-ESHV-E0W001 SH.1</t>
        </r>
      </text>
    </comment>
    <comment ref="Z407" authorId="0" shapeId="0" xr:uid="{85C78D75-F550-46FF-B8A3-3FA929825C5D}">
      <text>
        <r>
          <rPr>
            <b/>
            <sz val="9"/>
            <color indexed="81"/>
            <rFont val="Tahoma"/>
            <family val="2"/>
          </rPr>
          <t>Author:</t>
        </r>
        <r>
          <rPr>
            <sz val="9"/>
            <color indexed="81"/>
            <rFont val="Tahoma"/>
            <family val="2"/>
          </rPr>
          <t xml:space="preserve">
Reference:
DCYR01-ESPT-E8W001 SH. 1
280622-010_rev_00 .pdf
2000:5A MR (2000:5A TAP)
TRF: 2
</t>
        </r>
      </text>
    </comment>
    <comment ref="AA407" authorId="0" shapeId="0" xr:uid="{2138B8EA-2574-4FDA-BD0A-A3F11D570594}">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DCYR01-ESHV-E0W001
SH. 1</t>
        </r>
      </text>
    </comment>
    <comment ref="AB407" authorId="0" shapeId="0" xr:uid="{A5E04391-BC2F-4953-8D90-F97CE7B1D2E7}">
      <text>
        <r>
          <rPr>
            <b/>
            <sz val="9"/>
            <color indexed="81"/>
            <rFont val="Tahoma"/>
            <family val="2"/>
          </rPr>
          <t>Author:</t>
        </r>
        <r>
          <rPr>
            <sz val="9"/>
            <color indexed="81"/>
            <rFont val="Tahoma"/>
            <family val="2"/>
          </rPr>
          <t xml:space="preserve">
DCYR01-ESHV-E0W001 SH. 1</t>
        </r>
      </text>
    </comment>
    <comment ref="AC407" authorId="0" shapeId="0" xr:uid="{1010DE7D-EFD2-414E-817B-848A20F91E67}">
      <text>
        <r>
          <rPr>
            <b/>
            <sz val="9"/>
            <color indexed="81"/>
            <rFont val="Tahoma"/>
            <family val="2"/>
          </rPr>
          <t>Author:</t>
        </r>
        <r>
          <rPr>
            <sz val="9"/>
            <color indexed="81"/>
            <rFont val="Tahoma"/>
            <family val="2"/>
          </rPr>
          <t xml:space="preserve">
Reference:
5" AL TUBULAR BUS
DCYR01-ESMV-E0W001
SH. 1
XEL-EVD-Facility-Rating-Supplement---Table---Tubular-and-Square-Conductor.xls</t>
        </r>
      </text>
    </comment>
    <comment ref="AD407" authorId="0" shapeId="0" xr:uid="{A54F2178-E740-4CFB-962C-E7A1BD4382CD}">
      <text>
        <r>
          <rPr>
            <b/>
            <sz val="9"/>
            <color indexed="81"/>
            <rFont val="Tahoma"/>
            <family val="2"/>
          </rPr>
          <t>Author:</t>
        </r>
        <r>
          <rPr>
            <sz val="9"/>
            <color indexed="81"/>
            <rFont val="Tahoma"/>
            <family val="2"/>
          </rPr>
          <t xml:space="preserve">
(2) 2.5" Al. Bus = 2 * 1628 = 3256 Amps
XEL-EVD-Facility-Rating-Supplement---Table---Tubular-and-Square-Conductor.xls</t>
        </r>
      </text>
    </comment>
    <comment ref="C408" authorId="0" shapeId="0" xr:uid="{BEED9F39-8F22-4130-B883-AE3C900ABBE6}">
      <text>
        <r>
          <rPr>
            <b/>
            <sz val="9"/>
            <color indexed="81"/>
            <rFont val="Tahoma"/>
            <family val="2"/>
          </rPr>
          <t>Author:</t>
        </r>
        <r>
          <rPr>
            <sz val="9"/>
            <color indexed="81"/>
            <rFont val="Tahoma"/>
            <family val="2"/>
          </rPr>
          <t xml:space="preserve">
Total Combined MVA of Turbines and Capacitor Banks Connected to Bus 2.
Bus-Tie breaker is in the open position.</t>
        </r>
      </text>
    </comment>
    <comment ref="F408" authorId="0" shapeId="0" xr:uid="{436115B6-0C54-44DC-B6DF-79667080E105}">
      <text>
        <r>
          <rPr>
            <b/>
            <sz val="9"/>
            <color indexed="81"/>
            <rFont val="Tahoma"/>
            <family val="2"/>
          </rPr>
          <t>Author:</t>
        </r>
        <r>
          <rPr>
            <sz val="9"/>
            <color indexed="81"/>
            <rFont val="Tahoma"/>
            <family val="2"/>
          </rPr>
          <t xml:space="preserve">
Reference:
5" AL TUBULAR BUS
DCYR01-ESMV-E0W001
SH. 1
XEL-EVD-Facility-Rating-Supplement---Table---Tubular-and-Square-Conductor.xls</t>
        </r>
      </text>
    </comment>
    <comment ref="G408" authorId="0" shapeId="0" xr:uid="{DC5169D4-E248-4B6C-8F28-52AFE9BE9C69}">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DCYR01-ESEQ-E7W02</t>
        </r>
      </text>
    </comment>
    <comment ref="H408" authorId="0" shapeId="0" xr:uid="{EC9D53DD-F5E9-40B3-848C-5B15FC43934C}">
      <text>
        <r>
          <rPr>
            <b/>
            <sz val="9"/>
            <color indexed="81"/>
            <rFont val="Tahoma"/>
            <family val="2"/>
          </rPr>
          <t>Author:</t>
        </r>
        <r>
          <rPr>
            <sz val="9"/>
            <color indexed="81"/>
            <rFont val="Tahoma"/>
            <family val="2"/>
          </rPr>
          <t xml:space="preserve">
Reference:
5" AL TUBULAR BUS
DCYR01-ESMV-E0W001
SH. 1
XEL-EVD-Facility-Rating-Supplement---Table---Tubular-and-Square-Conductor.xls</t>
        </r>
      </text>
    </comment>
    <comment ref="I408" authorId="0" shapeId="0" xr:uid="{838FD9A7-84E7-41BD-A8D0-A32FA3DF57B2}">
      <text>
        <r>
          <rPr>
            <b/>
            <sz val="9"/>
            <color indexed="81"/>
            <rFont val="Tahoma"/>
            <family val="2"/>
          </rPr>
          <t>Author:</t>
        </r>
        <r>
          <rPr>
            <sz val="9"/>
            <color indexed="81"/>
            <rFont val="Tahoma"/>
            <family val="2"/>
          </rPr>
          <t xml:space="preserve">
DCYR01-ESPT-E8W001
SH. 3
GIFD36-13.00.pdf
1500:5A SR  TRF: 3</t>
        </r>
      </text>
    </comment>
    <comment ref="J408" authorId="0" shapeId="0" xr:uid="{D6ADCADA-2484-4296-8EBD-60320D09B85C}">
      <text>
        <r>
          <rPr>
            <b/>
            <sz val="9"/>
            <color indexed="81"/>
            <rFont val="Tahoma"/>
            <family val="2"/>
          </rPr>
          <t>Author:</t>
        </r>
        <r>
          <rPr>
            <sz val="9"/>
            <color indexed="81"/>
            <rFont val="Tahoma"/>
            <family val="2"/>
          </rPr>
          <t xml:space="preserve">
Reference:
5" AL TUBULAR BUS
DCYR01-ESMV-E0W001
SH. 1
XEL-EVD-Facility-Rating-Supplement---Table---Tubular-and-Square-Conductor.xls</t>
        </r>
      </text>
    </comment>
    <comment ref="K408" authorId="0" shapeId="0" xr:uid="{4374F92B-E7C2-4214-97D4-492498A93276}">
      <text>
        <r>
          <rPr>
            <b/>
            <sz val="9"/>
            <color indexed="81"/>
            <rFont val="Tahoma"/>
            <family val="2"/>
          </rPr>
          <t>Author:</t>
        </r>
        <r>
          <rPr>
            <sz val="9"/>
            <color indexed="81"/>
            <rFont val="Tahoma"/>
            <family val="2"/>
          </rPr>
          <t xml:space="preserve">
Reference: 
DCYR01-ESMV-E0W001
SH. 1</t>
        </r>
      </text>
    </comment>
    <comment ref="L408" authorId="0" shapeId="0" xr:uid="{550154C0-A8CC-4C75-B6E6-80E75725678E}">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DCYR01-ESEQ-E7W02</t>
        </r>
      </text>
    </comment>
    <comment ref="M408" authorId="0" shapeId="0" xr:uid="{027F6742-3754-4F6A-9D5E-32183D8965EC}">
      <text>
        <r>
          <rPr>
            <b/>
            <sz val="9"/>
            <color indexed="81"/>
            <rFont val="Tahoma"/>
            <family val="2"/>
          </rPr>
          <t>Author:</t>
        </r>
        <r>
          <rPr>
            <sz val="9"/>
            <color indexed="81"/>
            <rFont val="Tahoma"/>
            <family val="2"/>
          </rPr>
          <t xml:space="preserve">
Reference:
DCYR01-ESPT-E8W001 SH.1
3007854009-100 .pdf
2000:5A MR (2000:5A TAP)
TRF: 2
</t>
        </r>
      </text>
    </comment>
    <comment ref="N408" authorId="0" shapeId="0" xr:uid="{698B89D3-7BF2-4E74-BBB1-9064638BDD8A}">
      <text>
        <r>
          <rPr>
            <b/>
            <sz val="9"/>
            <color indexed="81"/>
            <rFont val="Tahoma"/>
            <family val="2"/>
          </rPr>
          <t>Author:</t>
        </r>
        <r>
          <rPr>
            <sz val="9"/>
            <color indexed="81"/>
            <rFont val="Tahoma"/>
            <family val="2"/>
          </rPr>
          <t xml:space="preserve">
Reference: 
DCYR01-ESMV-E0W001
SH. 1</t>
        </r>
      </text>
    </comment>
    <comment ref="O408" authorId="0" shapeId="0" xr:uid="{E0048868-6389-4527-A768-D8236F860900}">
      <text>
        <r>
          <rPr>
            <b/>
            <sz val="9"/>
            <color indexed="81"/>
            <rFont val="Tahoma"/>
            <family val="2"/>
          </rPr>
          <t>Author:</t>
        </r>
        <r>
          <rPr>
            <sz val="9"/>
            <color indexed="81"/>
            <rFont val="Tahoma"/>
            <family val="2"/>
          </rPr>
          <t xml:space="preserve">
Reference:
DCYR01-ESPT-E8W001 SH.1
3007854009-100 .pdf
2000:5A MR (2000:5A TAP)
TRF: 2
</t>
        </r>
      </text>
    </comment>
    <comment ref="P408" authorId="0" shapeId="0" xr:uid="{F87595A0-A380-4578-B6D8-862030FA0F06}">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DCYR01-ESEQ-E7W02</t>
        </r>
      </text>
    </comment>
    <comment ref="Q408" authorId="0" shapeId="0" xr:uid="{E7878A52-A81D-4A40-8644-84CD4B432D48}">
      <text>
        <r>
          <rPr>
            <b/>
            <sz val="9"/>
            <color indexed="81"/>
            <rFont val="Tahoma"/>
            <family val="2"/>
          </rPr>
          <t>Author:</t>
        </r>
        <r>
          <rPr>
            <sz val="9"/>
            <color indexed="81"/>
            <rFont val="Tahoma"/>
            <family val="2"/>
          </rPr>
          <t xml:space="preserve">
Reference: 
DCYR01-ESMV-E0W001
SH. 1</t>
        </r>
      </text>
    </comment>
    <comment ref="R408" authorId="0" shapeId="0" xr:uid="{2A13094D-6BB5-4E8C-9D15-84A3B14B0D06}">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DCYR01-ESEQ-E7W02</t>
        </r>
      </text>
    </comment>
    <comment ref="S408" authorId="0" shapeId="0" xr:uid="{6D9A4FFE-97B0-4BA4-9A85-0CB2630504CB}">
      <text>
        <r>
          <rPr>
            <b/>
            <sz val="9"/>
            <color indexed="81"/>
            <rFont val="Tahoma"/>
            <family val="2"/>
          </rPr>
          <t>Author:</t>
        </r>
        <r>
          <rPr>
            <sz val="9"/>
            <color indexed="81"/>
            <rFont val="Tahoma"/>
            <family val="2"/>
          </rPr>
          <t xml:space="preserve">
Reference:
DCYR01-ESPT-E8W001 SH. 1
D-18618_NAMEPLATE_1528.01-04_Rev 0.pdf
2620:5A SR
TRF: 2
</t>
        </r>
      </text>
    </comment>
    <comment ref="T408" authorId="0" shapeId="0" xr:uid="{E2305DDC-B47E-40B1-959B-F346C0E8F72A}">
      <text>
        <r>
          <rPr>
            <b/>
            <sz val="9"/>
            <color indexed="81"/>
            <rFont val="Tahoma"/>
            <family val="2"/>
          </rPr>
          <t>Author:</t>
        </r>
        <r>
          <rPr>
            <sz val="9"/>
            <color indexed="81"/>
            <rFont val="Tahoma"/>
            <family val="2"/>
          </rPr>
          <t xml:space="preserve">
Reference:
DCYR01-ESPT-E8W001 SH. 1
D-18618_NAMEPLATE_1528.01-04_Rev 0.pdf
300:5A SR
TRF: 2
</t>
        </r>
      </text>
    </comment>
    <comment ref="U408" authorId="0" shapeId="0" xr:uid="{43A71462-1104-489F-90CB-3E68DD801E1C}">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DCYR01-ESHV-E0W001
SH. 1</t>
        </r>
      </text>
    </comment>
    <comment ref="V408" authorId="0" shapeId="0" xr:uid="{E775BE27-517E-495C-A0BC-FF9BBC040EB8}">
      <text>
        <r>
          <rPr>
            <b/>
            <sz val="9"/>
            <color indexed="81"/>
            <rFont val="Tahoma"/>
            <family val="2"/>
          </rPr>
          <t>Author:</t>
        </r>
        <r>
          <rPr>
            <sz val="9"/>
            <color indexed="81"/>
            <rFont val="Tahoma"/>
            <family val="2"/>
          </rPr>
          <t xml:space="preserve">
Reference:
5" AL TUBULAR BUS
DCYR01-ESMV-E0W001
SH. 1
XEL-EVD-Facility-Rating-Supplement---Table---Tubular-and-Square-Conductor.xls</t>
        </r>
      </text>
    </comment>
    <comment ref="W408" authorId="0" shapeId="0" xr:uid="{F4828C72-061E-4429-BDF6-54270012FA3A}">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DCYR01-ESHV-E0W001
SH. 1</t>
        </r>
      </text>
    </comment>
    <comment ref="X408" authorId="0" shapeId="0" xr:uid="{A79C3A1F-FF97-436A-900A-76F83E68EE9C}">
      <text>
        <r>
          <rPr>
            <b/>
            <sz val="9"/>
            <color indexed="81"/>
            <rFont val="Tahoma"/>
            <family val="2"/>
          </rPr>
          <t>Author:</t>
        </r>
        <r>
          <rPr>
            <sz val="9"/>
            <color indexed="81"/>
            <rFont val="Tahoma"/>
            <family val="2"/>
          </rPr>
          <t xml:space="preserve">
Reference:
DCYR01-ESPT-E8W001 SH. 1
280622-010_rev_00 .pdf
2000:5A MR (2000:5A TAP)
TRF: 2
</t>
        </r>
      </text>
    </comment>
    <comment ref="Y408" authorId="0" shapeId="0" xr:uid="{1560918A-B475-4DFD-8A5E-6DC60BE6AE37}">
      <text>
        <r>
          <rPr>
            <b/>
            <sz val="9"/>
            <color indexed="81"/>
            <rFont val="Tahoma"/>
            <family val="2"/>
          </rPr>
          <t>Author:</t>
        </r>
        <r>
          <rPr>
            <sz val="9"/>
            <color indexed="81"/>
            <rFont val="Tahoma"/>
            <family val="2"/>
          </rPr>
          <t xml:space="preserve">
280622-010_rev_00 .pdf
DCYR01-ESHV-E0W001 SH.1</t>
        </r>
      </text>
    </comment>
    <comment ref="Z408" authorId="0" shapeId="0" xr:uid="{2CB0C560-709C-417C-9671-5FCA06778575}">
      <text>
        <r>
          <rPr>
            <b/>
            <sz val="9"/>
            <color indexed="81"/>
            <rFont val="Tahoma"/>
            <family val="2"/>
          </rPr>
          <t>Author:</t>
        </r>
        <r>
          <rPr>
            <sz val="9"/>
            <color indexed="81"/>
            <rFont val="Tahoma"/>
            <family val="2"/>
          </rPr>
          <t xml:space="preserve">
Reference:
DCYR01-ESPT-E8W001 SH. 1
280622-010_rev_00 .pdf
2000:5A MR (2000:5A TAP)
TRF: 2
</t>
        </r>
      </text>
    </comment>
    <comment ref="AA408" authorId="0" shapeId="0" xr:uid="{8377DC1E-B048-4B29-A0FD-5781EC182F11}">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DCYR01-ESHV-E0W001
SH. 1</t>
        </r>
      </text>
    </comment>
    <comment ref="AB408" authorId="0" shapeId="0" xr:uid="{C436EC68-C371-44B8-8A88-AA429E51E9EC}">
      <text>
        <r>
          <rPr>
            <b/>
            <sz val="9"/>
            <color indexed="81"/>
            <rFont val="Tahoma"/>
            <family val="2"/>
          </rPr>
          <t>Author:</t>
        </r>
        <r>
          <rPr>
            <sz val="9"/>
            <color indexed="81"/>
            <rFont val="Tahoma"/>
            <family val="2"/>
          </rPr>
          <t xml:space="preserve">
DCYR01-ESHV-E0W001 SH. 1</t>
        </r>
      </text>
    </comment>
    <comment ref="AC408" authorId="0" shapeId="0" xr:uid="{C64ACBD2-CFA3-4A81-B45D-0968D3E137BE}">
      <text>
        <r>
          <rPr>
            <b/>
            <sz val="9"/>
            <color indexed="81"/>
            <rFont val="Tahoma"/>
            <family val="2"/>
          </rPr>
          <t>Author:</t>
        </r>
        <r>
          <rPr>
            <sz val="9"/>
            <color indexed="81"/>
            <rFont val="Tahoma"/>
            <family val="2"/>
          </rPr>
          <t xml:space="preserve">
Reference:
5" AL TUBULAR BUS
DCYR01-ESMV-E0W001
SH. 1
XEL-EVD-Facility-Rating-Supplement---Table---Tubular-and-Square-Conductor.xls</t>
        </r>
      </text>
    </comment>
    <comment ref="AD408" authorId="0" shapeId="0" xr:uid="{E5037501-8AD5-4315-8E18-B98B7E6593F9}">
      <text>
        <r>
          <rPr>
            <b/>
            <sz val="9"/>
            <color indexed="81"/>
            <rFont val="Tahoma"/>
            <family val="2"/>
          </rPr>
          <t>Author:</t>
        </r>
        <r>
          <rPr>
            <sz val="9"/>
            <color indexed="81"/>
            <rFont val="Tahoma"/>
            <family val="2"/>
          </rPr>
          <t xml:space="preserve">
(2) 2.5" Al. Bus = 2 * 1628 = 3256 Amps
XEL-EVD-Facility-Rating-Supplement---Table---Tubular-and-Square-Conductor.xls</t>
        </r>
      </text>
    </comment>
    <comment ref="C414" authorId="0" shapeId="0" xr:uid="{259883A7-34AB-4FD7-8FFE-48D783A80181}">
      <text>
        <r>
          <rPr>
            <b/>
            <sz val="9"/>
            <color indexed="81"/>
            <rFont val="Tahoma"/>
            <family val="2"/>
          </rPr>
          <t>Author:</t>
        </r>
        <r>
          <rPr>
            <sz val="9"/>
            <color indexed="81"/>
            <rFont val="Tahoma"/>
            <family val="2"/>
          </rPr>
          <t xml:space="preserve">
Total Combined MVA of Turbines and Capacitor Banks Connected to Bus 1.
Bus-Tie breaker is in the closed position.</t>
        </r>
      </text>
    </comment>
    <comment ref="F414" authorId="0" shapeId="0" xr:uid="{C9F9462F-3FAC-463F-AD96-7E2326407452}">
      <text>
        <r>
          <rPr>
            <b/>
            <sz val="9"/>
            <color indexed="81"/>
            <rFont val="Tahoma"/>
            <family val="2"/>
          </rPr>
          <t>Author:</t>
        </r>
        <r>
          <rPr>
            <sz val="9"/>
            <color indexed="81"/>
            <rFont val="Tahoma"/>
            <family val="2"/>
          </rPr>
          <t xml:space="preserve">
Reference:
5" AL TUBULAR BUS
DCYR01-ESMV-E0E001
SH. 2
XEL-EVD-Facility-Rating-Supplement---Table---Tubular-and-Square-Conductor.xls</t>
        </r>
      </text>
    </comment>
    <comment ref="G414" authorId="0" shapeId="0" xr:uid="{9AC5385E-0ED0-4CDB-8F14-306FBB8AA402}">
      <text>
        <r>
          <rPr>
            <b/>
            <sz val="9"/>
            <color indexed="81"/>
            <rFont val="Tahoma"/>
            <family val="2"/>
          </rPr>
          <t>Author:</t>
        </r>
        <r>
          <rPr>
            <sz val="9"/>
            <color indexed="81"/>
            <rFont val="Tahoma"/>
            <family val="2"/>
          </rPr>
          <t xml:space="preserve">
Reference: 
DCYR01-ESMV-E0E001
SH. 2</t>
        </r>
      </text>
    </comment>
    <comment ref="H414" authorId="0" shapeId="0" xr:uid="{5B6BEBCC-5528-4587-A577-80EFF2ADC248}">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DCYR01-ESEQ-E7E002</t>
        </r>
      </text>
    </comment>
    <comment ref="I414" authorId="0" shapeId="0" xr:uid="{DF0A6E88-6AC9-4BCC-BA45-4B70284B24FA}">
      <text>
        <r>
          <rPr>
            <b/>
            <sz val="9"/>
            <color indexed="81"/>
            <rFont val="Tahoma"/>
            <family val="2"/>
          </rPr>
          <t>Author:</t>
        </r>
        <r>
          <rPr>
            <sz val="9"/>
            <color indexed="81"/>
            <rFont val="Tahoma"/>
            <family val="2"/>
          </rPr>
          <t xml:space="preserve">
Reference:
DCYR01-ESPT-E8E001 SH. 2
3007854009-100 .pdf
2000:5A MR (2000:5A TAP)
TRF: 2
</t>
        </r>
      </text>
    </comment>
    <comment ref="J414" authorId="0" shapeId="0" xr:uid="{D9EF00C4-047D-4AA1-9065-DD8CB3449A7B}">
      <text>
        <r>
          <rPr>
            <b/>
            <sz val="9"/>
            <color indexed="81"/>
            <rFont val="Tahoma"/>
            <family val="2"/>
          </rPr>
          <t>Author:</t>
        </r>
        <r>
          <rPr>
            <sz val="9"/>
            <color indexed="81"/>
            <rFont val="Tahoma"/>
            <family val="2"/>
          </rPr>
          <t xml:space="preserve">
Reference:
DCYR01-ESMV-E0E001 Sh.2</t>
        </r>
      </text>
    </comment>
    <comment ref="K414" authorId="0" shapeId="0" xr:uid="{70FEE310-39A5-4017-A15A-DD94A08D7CF4}">
      <text>
        <r>
          <rPr>
            <b/>
            <sz val="9"/>
            <color indexed="81"/>
            <rFont val="Tahoma"/>
            <family val="2"/>
          </rPr>
          <t>Author:</t>
        </r>
        <r>
          <rPr>
            <sz val="9"/>
            <color indexed="81"/>
            <rFont val="Tahoma"/>
            <family val="2"/>
          </rPr>
          <t xml:space="preserve">
Reference:
DCYR01-ESPT-E8E001 SH. 2
3007854009-100 .pdf
2000:5A MR (2000:5A TAP)
TRF: 2
</t>
        </r>
      </text>
    </comment>
    <comment ref="L414" authorId="0" shapeId="0" xr:uid="{A6C20283-D0D6-43C9-9C34-B29DC091C43A}">
      <text>
        <r>
          <rPr>
            <b/>
            <sz val="9"/>
            <color indexed="81"/>
            <rFont val="Tahoma"/>
            <family val="2"/>
          </rPr>
          <t>Author:</t>
        </r>
        <r>
          <rPr>
            <sz val="9"/>
            <color indexed="81"/>
            <rFont val="Tahoma"/>
            <family val="2"/>
          </rPr>
          <t xml:space="preserve">
Reference:
DCYR01-ESPT-E8E001 SH. 2
3007854009-100 .pdf
2000:5A MR (2000:5A TAP)
TRF: 2
</t>
        </r>
      </text>
    </comment>
    <comment ref="M414" authorId="0" shapeId="0" xr:uid="{C6B93C86-0657-40B8-A50D-3E45BBAEF45C}">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DCYR01-ESEQ-E7E002</t>
        </r>
      </text>
    </comment>
    <comment ref="N414" authorId="0" shapeId="0" xr:uid="{30801F86-66F7-4CB9-8A02-8CA0F42926B3}">
      <text>
        <r>
          <rPr>
            <b/>
            <sz val="9"/>
            <color indexed="81"/>
            <rFont val="Tahoma"/>
            <family val="2"/>
          </rPr>
          <t>Author:</t>
        </r>
        <r>
          <rPr>
            <sz val="9"/>
            <color indexed="81"/>
            <rFont val="Tahoma"/>
            <family val="2"/>
          </rPr>
          <t xml:space="preserve">
Reference: 
DCYR01-ESMV-E0E001
SH. 2</t>
        </r>
      </text>
    </comment>
    <comment ref="O414" authorId="0" shapeId="0" xr:uid="{89DE5DE0-AB63-4323-96A1-228ACE6E2AB7}">
      <text>
        <r>
          <rPr>
            <b/>
            <sz val="9"/>
            <color indexed="81"/>
            <rFont val="Tahoma"/>
            <family val="2"/>
          </rPr>
          <t>Author:</t>
        </r>
        <r>
          <rPr>
            <sz val="9"/>
            <color indexed="81"/>
            <rFont val="Tahoma"/>
            <family val="2"/>
          </rPr>
          <t xml:space="preserve">
Reference:
5" AL TUBULAR BUS
DCYR01-ESMV-E0E001
SH. 2
XEL-EVD-Facility-Rating-Supplement---Table---Tubular-and-Square-Conductor.xls</t>
        </r>
      </text>
    </comment>
    <comment ref="C415" authorId="0" shapeId="0" xr:uid="{8DB13691-A5D4-48B9-B044-305AD21AB3C0}">
      <text>
        <r>
          <rPr>
            <b/>
            <sz val="9"/>
            <color indexed="81"/>
            <rFont val="Tahoma"/>
            <family val="2"/>
          </rPr>
          <t>Author:</t>
        </r>
        <r>
          <rPr>
            <sz val="9"/>
            <color indexed="81"/>
            <rFont val="Tahoma"/>
            <family val="2"/>
          </rPr>
          <t xml:space="preserve">
Total Combined MVA of Turbines and Capacitor Banks Connected to Bus 1.
Bus-Tie breaker is in the closed position.</t>
        </r>
      </text>
    </comment>
    <comment ref="F415" authorId="0" shapeId="0" xr:uid="{FF07DF89-C6F1-46B6-BDFC-FB51888AE349}">
      <text>
        <r>
          <rPr>
            <b/>
            <sz val="9"/>
            <color indexed="81"/>
            <rFont val="Tahoma"/>
            <family val="2"/>
          </rPr>
          <t>Author:</t>
        </r>
        <r>
          <rPr>
            <sz val="9"/>
            <color indexed="81"/>
            <rFont val="Tahoma"/>
            <family val="2"/>
          </rPr>
          <t xml:space="preserve">
Reference:
5" AL TUBULAR BUS
DCYR01-ESMV-E0W001
SH. 2
XEL-EVD-Facility-Rating-Supplement---Table---Tubular-and-Square-Conductor.xls</t>
        </r>
      </text>
    </comment>
    <comment ref="G415" authorId="0" shapeId="0" xr:uid="{E028DD56-832E-43AA-B5AB-55393242D91A}">
      <text>
        <r>
          <rPr>
            <b/>
            <sz val="9"/>
            <color indexed="81"/>
            <rFont val="Tahoma"/>
            <family val="2"/>
          </rPr>
          <t>Author:</t>
        </r>
        <r>
          <rPr>
            <sz val="9"/>
            <color indexed="81"/>
            <rFont val="Tahoma"/>
            <family val="2"/>
          </rPr>
          <t xml:space="preserve">
Reference: 
DCYR01-ESMV-E0W001
SH. 2</t>
        </r>
      </text>
    </comment>
    <comment ref="H415" authorId="0" shapeId="0" xr:uid="{43C34F11-7694-496A-BBCC-5F8DB30C0E24}">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DCYR01-ESEQ-E7W02</t>
        </r>
      </text>
    </comment>
    <comment ref="I415" authorId="0" shapeId="0" xr:uid="{5427A4AD-B78F-46AB-BD9E-3766FAB2E48A}">
      <text>
        <r>
          <rPr>
            <b/>
            <sz val="9"/>
            <color indexed="81"/>
            <rFont val="Tahoma"/>
            <family val="2"/>
          </rPr>
          <t>Author:</t>
        </r>
        <r>
          <rPr>
            <sz val="9"/>
            <color indexed="81"/>
            <rFont val="Tahoma"/>
            <family val="2"/>
          </rPr>
          <t xml:space="preserve">
Reference:
DCYR01-ESPT-E8W001 SH. 2
3007854009-100 .pdf
2000:5A MR (2000:5A TAP)
TRF: 2
</t>
        </r>
      </text>
    </comment>
    <comment ref="J415" authorId="0" shapeId="0" xr:uid="{0AD1B86E-E7AF-4C1D-B93B-F27F3BD0C048}">
      <text>
        <r>
          <rPr>
            <b/>
            <sz val="9"/>
            <color indexed="81"/>
            <rFont val="Tahoma"/>
            <family val="2"/>
          </rPr>
          <t>Author:</t>
        </r>
        <r>
          <rPr>
            <sz val="9"/>
            <color indexed="81"/>
            <rFont val="Tahoma"/>
            <family val="2"/>
          </rPr>
          <t xml:space="preserve">
Reference:
DCYR01-ESMV-E0W001 Sh.2</t>
        </r>
      </text>
    </comment>
    <comment ref="K415" authorId="0" shapeId="0" xr:uid="{E2B84FA4-48EF-46E2-8B32-DBAED451CA49}">
      <text>
        <r>
          <rPr>
            <b/>
            <sz val="9"/>
            <color indexed="81"/>
            <rFont val="Tahoma"/>
            <family val="2"/>
          </rPr>
          <t>Author:</t>
        </r>
        <r>
          <rPr>
            <sz val="9"/>
            <color indexed="81"/>
            <rFont val="Tahoma"/>
            <family val="2"/>
          </rPr>
          <t xml:space="preserve">
Reference:
DCYR01-ESPT-E8W001 SH. 2
3007854009-100 .pdf
2000:5A MR (2000:5A TAP)
TRF: 2
</t>
        </r>
      </text>
    </comment>
    <comment ref="L415" authorId="0" shapeId="0" xr:uid="{D1880CB8-5051-4978-8A7D-68E11ADB6C71}">
      <text>
        <r>
          <rPr>
            <b/>
            <sz val="9"/>
            <color indexed="81"/>
            <rFont val="Tahoma"/>
            <family val="2"/>
          </rPr>
          <t>Author:</t>
        </r>
        <r>
          <rPr>
            <sz val="9"/>
            <color indexed="81"/>
            <rFont val="Tahoma"/>
            <family val="2"/>
          </rPr>
          <t xml:space="preserve">
Reference:
DCYR01-ESPT-E8W001 SH. 2
3007854009-100 .pdf
2000:5A MR (2000:5A TAP)
TRF: 2
</t>
        </r>
      </text>
    </comment>
    <comment ref="M415" authorId="0" shapeId="0" xr:uid="{B2D62F08-0643-4C1A-97F6-C195D593CB79}">
      <text>
        <r>
          <rPr>
            <b/>
            <sz val="9"/>
            <color indexed="81"/>
            <rFont val="Tahoma"/>
            <family val="2"/>
          </rPr>
          <t>Author:</t>
        </r>
        <r>
          <rPr>
            <sz val="9"/>
            <color indexed="81"/>
            <rFont val="Tahoma"/>
            <family val="2"/>
          </rPr>
          <t xml:space="preserve">
3-1272 MCM Narcissus 
Summer (normarl) @ 2 ft/sec, 6" or Greater Spacing.
XEL-EVD-Facility-Rating-Supplement---Table---Bare-Overhead-Conductor.xls
DCYR01-ESEQ-E7W02</t>
        </r>
      </text>
    </comment>
    <comment ref="N415" authorId="0" shapeId="0" xr:uid="{73722DB3-1BE8-4ECD-A76C-0A139C76AC04}">
      <text>
        <r>
          <rPr>
            <b/>
            <sz val="9"/>
            <color indexed="81"/>
            <rFont val="Tahoma"/>
            <family val="2"/>
          </rPr>
          <t>Author:</t>
        </r>
        <r>
          <rPr>
            <sz val="9"/>
            <color indexed="81"/>
            <rFont val="Tahoma"/>
            <family val="2"/>
          </rPr>
          <t xml:space="preserve">
Reference: 
DCYR01-ESMV-E0W001
SH. 2</t>
        </r>
      </text>
    </comment>
    <comment ref="O415" authorId="0" shapeId="0" xr:uid="{0AE135F4-83DA-493B-B475-53BECA9727CD}">
      <text>
        <r>
          <rPr>
            <b/>
            <sz val="9"/>
            <color indexed="81"/>
            <rFont val="Tahoma"/>
            <family val="2"/>
          </rPr>
          <t>Author:</t>
        </r>
        <r>
          <rPr>
            <sz val="9"/>
            <color indexed="81"/>
            <rFont val="Tahoma"/>
            <family val="2"/>
          </rPr>
          <t xml:space="preserve">
Reference:
5" AL TUBULAR BUS
DCYR01-ESMV-E0W001
SH. 2
XEL-EVD-Facility-Rating-Supplement---Table---Tubular-and-Square-Conductor.xls</t>
        </r>
      </text>
    </comment>
    <comment ref="C421" authorId="0" shapeId="0" xr:uid="{536386FC-4FD3-4A44-BE42-2FBB4D0E63CF}">
      <text>
        <r>
          <rPr>
            <b/>
            <sz val="9"/>
            <color indexed="81"/>
            <rFont val="Tahoma"/>
            <family val="2"/>
          </rPr>
          <t>Author:</t>
        </r>
        <r>
          <rPr>
            <sz val="9"/>
            <color indexed="81"/>
            <rFont val="Tahoma"/>
            <family val="2"/>
          </rPr>
          <t xml:space="preserve">
Combined MVA of Cheyenne Ridge East</t>
        </r>
      </text>
    </comment>
    <comment ref="C422" authorId="0" shapeId="0" xr:uid="{0CA0E8C1-7739-4632-9469-E21A4C6A1F3C}">
      <text>
        <r>
          <rPr>
            <b/>
            <sz val="9"/>
            <color indexed="81"/>
            <rFont val="Tahoma"/>
            <family val="2"/>
          </rPr>
          <t>Author:</t>
        </r>
        <r>
          <rPr>
            <sz val="9"/>
            <color indexed="81"/>
            <rFont val="Tahoma"/>
            <family val="2"/>
          </rPr>
          <t xml:space="preserve">
Combined MVA of Cheyenne Ridge East</t>
        </r>
      </text>
    </comment>
    <comment ref="C423" authorId="0" shapeId="0" xr:uid="{12175CE5-9CCB-4405-99A4-0DE4B6CDB873}">
      <text>
        <r>
          <rPr>
            <b/>
            <sz val="9"/>
            <color indexed="81"/>
            <rFont val="Tahoma"/>
            <family val="2"/>
          </rPr>
          <t>Author:</t>
        </r>
        <r>
          <rPr>
            <sz val="9"/>
            <color indexed="81"/>
            <rFont val="Tahoma"/>
            <family val="2"/>
          </rPr>
          <t xml:space="preserve">
Combined MVA of Cheyenne Ridge West</t>
        </r>
      </text>
    </comment>
    <comment ref="C424" authorId="0" shapeId="0" xr:uid="{D04831EC-0FC8-41F5-AD2E-7C32716357B6}">
      <text>
        <r>
          <rPr>
            <b/>
            <sz val="9"/>
            <color indexed="81"/>
            <rFont val="Tahoma"/>
            <family val="2"/>
          </rPr>
          <t>Author:</t>
        </r>
        <r>
          <rPr>
            <sz val="9"/>
            <color indexed="81"/>
            <rFont val="Tahoma"/>
            <family val="2"/>
          </rPr>
          <t xml:space="preserve">
Combined MVA of Cheyenne Ridge West</t>
        </r>
      </text>
    </comment>
    <comment ref="C430" authorId="0" shapeId="0" xr:uid="{F5FE266A-9689-4BA1-B3EB-9F9847C2EA80}">
      <text>
        <r>
          <rPr>
            <b/>
            <sz val="9"/>
            <color indexed="81"/>
            <rFont val="Tahoma"/>
            <family val="2"/>
          </rPr>
          <t>Author:</t>
        </r>
        <r>
          <rPr>
            <sz val="9"/>
            <color indexed="81"/>
            <rFont val="Tahoma"/>
            <family val="2"/>
          </rPr>
          <t xml:space="preserve">
Combined MVA of Cheyenne Ridge East.</t>
        </r>
      </text>
    </comment>
    <comment ref="F430" authorId="0" shapeId="0" xr:uid="{84E9C4A6-0222-4AED-BDBB-016CF2223735}">
      <text>
        <r>
          <rPr>
            <b/>
            <sz val="9"/>
            <color indexed="81"/>
            <rFont val="Tahoma"/>
            <family val="2"/>
          </rPr>
          <t>Author:</t>
        </r>
        <r>
          <rPr>
            <sz val="9"/>
            <color indexed="81"/>
            <rFont val="Tahoma"/>
            <family val="2"/>
          </rPr>
          <t xml:space="preserve">
Reference:
5" AL TUBULAR BUS
DCYR01-ESHV-E0E001
SH. 1
XEL-EVD-Facility-Rating-Supplement---Table---Tubular-and-Square-Conductor.xls</t>
        </r>
      </text>
    </comment>
    <comment ref="G430" authorId="0" shapeId="0" xr:uid="{0216FC9E-A217-4E27-B29F-AEE4C3FD07FF}">
      <text>
        <r>
          <rPr>
            <b/>
            <sz val="9"/>
            <color indexed="81"/>
            <rFont val="Tahoma"/>
            <family val="2"/>
          </rPr>
          <t>Author:</t>
        </r>
        <r>
          <rPr>
            <sz val="9"/>
            <color indexed="81"/>
            <rFont val="Tahoma"/>
            <family val="2"/>
          </rPr>
          <t xml:space="preserve">
DCYR01-ESHV-E0E001 SH. 2</t>
        </r>
      </text>
    </comment>
    <comment ref="H430" authorId="0" shapeId="0" xr:uid="{54E01F1C-C898-4E28-875A-EB62684F88A6}">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DCYR01-ESHV-E0E001
SH. 2</t>
        </r>
      </text>
    </comment>
    <comment ref="I430" authorId="0" shapeId="0" xr:uid="{1005E9B8-0AF5-4B95-92B6-1E8ADB9A4F54}">
      <text>
        <r>
          <rPr>
            <b/>
            <sz val="9"/>
            <color indexed="81"/>
            <rFont val="Tahoma"/>
            <family val="2"/>
          </rPr>
          <t>Author:</t>
        </r>
        <r>
          <rPr>
            <sz val="9"/>
            <color indexed="81"/>
            <rFont val="Tahoma"/>
            <family val="2"/>
          </rPr>
          <t xml:space="preserve">
DCYR01-ESHV-E0E001 SH. 2
2868280010-001.pdf</t>
        </r>
      </text>
    </comment>
    <comment ref="J430" authorId="0" shapeId="0" xr:uid="{3C1502C7-3DA6-410A-9E19-B796E6119DBA}">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DCYR01-ESHV-E0E001
SH. 2</t>
        </r>
      </text>
    </comment>
    <comment ref="K430" authorId="0" shapeId="0" xr:uid="{CDDC4CBA-664F-4D3B-892B-D17F3EE835EB}">
      <text>
        <r>
          <rPr>
            <b/>
            <sz val="9"/>
            <color indexed="81"/>
            <rFont val="Tahoma"/>
            <family val="2"/>
          </rPr>
          <t>Author:</t>
        </r>
        <r>
          <rPr>
            <sz val="9"/>
            <color indexed="81"/>
            <rFont val="Tahoma"/>
            <family val="2"/>
          </rPr>
          <t xml:space="preserve">
2-954 MCM Cardinal
Summer (normarl) @ 2 ft/sec, 6" or Greater Spacing.
XEL-EVD-Facility-Rating-Supplement---Table---Bare-Overhead-Conductor.xls
DCYR01-ESHV-E0E001
SH. 2</t>
        </r>
      </text>
    </comment>
    <comment ref="L430" authorId="0" shapeId="0" xr:uid="{C4F6204B-4D84-4CEB-9776-29CF4B1A9EEB}">
      <text>
        <r>
          <rPr>
            <b/>
            <sz val="9"/>
            <color indexed="81"/>
            <rFont val="Tahoma"/>
            <family val="2"/>
          </rPr>
          <t>Author:</t>
        </r>
        <r>
          <rPr>
            <sz val="9"/>
            <color indexed="81"/>
            <rFont val="Tahoma"/>
            <family val="2"/>
          </rPr>
          <t xml:space="preserve">
Combined MVA of XFMR TR1 and TR2
</t>
        </r>
      </text>
    </comment>
    <comment ref="M430" authorId="0" shapeId="0" xr:uid="{37BAD91F-2DB0-42A5-999A-9F538D418001}">
      <text>
        <r>
          <rPr>
            <b/>
            <sz val="9"/>
            <color indexed="81"/>
            <rFont val="Tahoma"/>
            <family val="2"/>
          </rPr>
          <t>Author:</t>
        </r>
        <r>
          <rPr>
            <sz val="9"/>
            <color indexed="81"/>
            <rFont val="Tahoma"/>
            <family val="2"/>
          </rPr>
          <t xml:space="preserve">
Combined MVA of MPT
TR1 and TR2
</t>
        </r>
      </text>
    </comment>
    <comment ref="C433" authorId="0" shapeId="0" xr:uid="{3C37BB17-E03A-4940-B476-8CBED9AC4439}">
      <text>
        <r>
          <rPr>
            <b/>
            <sz val="9"/>
            <color indexed="81"/>
            <rFont val="Tahoma"/>
            <family val="2"/>
          </rPr>
          <t>Author:</t>
        </r>
        <r>
          <rPr>
            <sz val="9"/>
            <color indexed="81"/>
            <rFont val="Tahoma"/>
            <family val="2"/>
          </rPr>
          <t xml:space="preserve">
Combined MVA of Cheyenne Ridge East and West  MPT MVA.</t>
        </r>
      </text>
    </comment>
    <comment ref="F433" authorId="0" shapeId="0" xr:uid="{A65D6FFF-B070-4CDE-BBCD-CE736D818FD5}">
      <text>
        <r>
          <rPr>
            <b/>
            <sz val="9"/>
            <color indexed="81"/>
            <rFont val="Tahoma"/>
            <family val="2"/>
          </rPr>
          <t>Author:</t>
        </r>
        <r>
          <rPr>
            <sz val="9"/>
            <color indexed="81"/>
            <rFont val="Tahoma"/>
            <family val="2"/>
          </rPr>
          <t xml:space="preserve">
2-954 MCM Cardinal
Summer (normarl) @ 2 ft/sec, 6" or Greater Spacing.
XEL-EVD-Facility-Rating-Supplement---Table---Bare-Overhead-Conductor.xls
DCYR01-ESHV-E0E001
SH. 2</t>
        </r>
      </text>
    </comment>
    <comment ref="G433" authorId="0" shapeId="0" xr:uid="{99DDAB64-A759-44EC-A885-3E4D3800434F}">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DCYR01-ESHV-E0W001
SH. 2</t>
        </r>
      </text>
    </comment>
    <comment ref="H433" authorId="0" shapeId="0" xr:uid="{F6DC4321-F63B-4B4E-9A51-41D8D24B8645}">
      <text>
        <r>
          <rPr>
            <b/>
            <sz val="9"/>
            <color indexed="81"/>
            <rFont val="Tahoma"/>
            <family val="2"/>
          </rPr>
          <t>Author:</t>
        </r>
        <r>
          <rPr>
            <sz val="9"/>
            <color indexed="81"/>
            <rFont val="Tahoma"/>
            <family val="2"/>
          </rPr>
          <t xml:space="preserve">
DCYR01-ESHV-E0E001 SH. 2
2868280010-001.pdf</t>
        </r>
      </text>
    </comment>
    <comment ref="I433" authorId="0" shapeId="0" xr:uid="{39F8F814-9E2C-4B32-8E0D-5E24E81233A6}">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DCYR01-ESHV-E0W001
SH. 2</t>
        </r>
      </text>
    </comment>
    <comment ref="J433" authorId="0" shapeId="0" xr:uid="{A6A63651-D241-42FA-B2FB-DC36FFAF26F3}">
      <text>
        <r>
          <rPr>
            <b/>
            <sz val="9"/>
            <color indexed="81"/>
            <rFont val="Tahoma"/>
            <family val="2"/>
          </rPr>
          <t>Author:</t>
        </r>
        <r>
          <rPr>
            <sz val="9"/>
            <color indexed="81"/>
            <rFont val="Tahoma"/>
            <family val="2"/>
          </rPr>
          <t xml:space="preserve">
DCYR01-ESHV-E0W001 SH. 2</t>
        </r>
      </text>
    </comment>
    <comment ref="K433" authorId="0" shapeId="0" xr:uid="{65D91824-F25E-47FF-B7D7-67C78A8907E5}">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DCYR01-ESHV-E0W001
SH. 2</t>
        </r>
      </text>
    </comment>
    <comment ref="L433" authorId="0" shapeId="0" xr:uid="{E7AA4F9D-1F6F-4062-BCA0-79940293C7C3}">
      <text>
        <r>
          <rPr>
            <b/>
            <sz val="9"/>
            <color indexed="81"/>
            <rFont val="Tahoma"/>
            <family val="2"/>
          </rPr>
          <t>Author:</t>
        </r>
        <r>
          <rPr>
            <sz val="9"/>
            <color indexed="81"/>
            <rFont val="Tahoma"/>
            <family val="2"/>
          </rPr>
          <t xml:space="preserve">
Reference:
DCYR01-ESPT-E8W001 SH. 2
3007854009-100 .pdf
2000:5A MR (2000:5A TAP)
TRF: 2
</t>
        </r>
      </text>
    </comment>
    <comment ref="N433" authorId="0" shapeId="0" xr:uid="{9092F070-A09A-4204-A3FB-AA089C2D30E1}">
      <text>
        <r>
          <rPr>
            <b/>
            <sz val="9"/>
            <color indexed="81"/>
            <rFont val="Tahoma"/>
            <family val="2"/>
          </rPr>
          <t>Author:</t>
        </r>
        <r>
          <rPr>
            <sz val="9"/>
            <color indexed="81"/>
            <rFont val="Tahoma"/>
            <family val="2"/>
          </rPr>
          <t xml:space="preserve">
Reference:
DCYR01-ESPT-E8W001 SH. 2
3007854009-100 .pdf
2000:5A MR (2000:5A TAP)
TRF: 2
</t>
        </r>
      </text>
    </comment>
    <comment ref="O433" authorId="0" shapeId="0" xr:uid="{BDC5BF9F-13CC-46FD-AF5F-1633F066AF37}">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DCYR01-ESHV-E0W001
SH. 2</t>
        </r>
      </text>
    </comment>
    <comment ref="P433" authorId="0" shapeId="0" xr:uid="{18FCABEF-7D2B-4C97-804F-AD366D2257A1}">
      <text>
        <r>
          <rPr>
            <b/>
            <sz val="9"/>
            <color indexed="81"/>
            <rFont val="Tahoma"/>
            <family val="2"/>
          </rPr>
          <t>Author:</t>
        </r>
        <r>
          <rPr>
            <sz val="9"/>
            <color indexed="81"/>
            <rFont val="Tahoma"/>
            <family val="2"/>
          </rPr>
          <t xml:space="preserve">
DCYR01-ESHV-E0W001 SH. 2</t>
        </r>
      </text>
    </comment>
    <comment ref="Q433" authorId="0" shapeId="0" xr:uid="{4F0E2077-128E-4265-AE16-109C722B1852}">
      <text>
        <r>
          <rPr>
            <b/>
            <sz val="9"/>
            <color indexed="81"/>
            <rFont val="Tahoma"/>
            <family val="2"/>
          </rPr>
          <t>Author:</t>
        </r>
        <r>
          <rPr>
            <sz val="9"/>
            <color indexed="81"/>
            <rFont val="Tahoma"/>
            <family val="2"/>
          </rPr>
          <t xml:space="preserve">
Reference:
5" AL TUBULAR BUS
DCYR01-ESMV-E0W001
SH. 1
XEL-EVD-Facility-Rating-Supplement---Table---Tubular-and-Square-Conductor.xls</t>
        </r>
      </text>
    </comment>
    <comment ref="R433" authorId="0" shapeId="0" xr:uid="{6E7557B6-805B-47F5-8668-C41FCE7BCF13}">
      <text>
        <r>
          <rPr>
            <b/>
            <sz val="9"/>
            <color indexed="81"/>
            <rFont val="Tahoma"/>
            <family val="2"/>
          </rPr>
          <t>Author:</t>
        </r>
        <r>
          <rPr>
            <sz val="9"/>
            <color indexed="81"/>
            <rFont val="Tahoma"/>
            <family val="2"/>
          </rPr>
          <t xml:space="preserve">
DCYR01-ESHV-E0W001 SH. 2</t>
        </r>
      </text>
    </comment>
    <comment ref="S433" authorId="0" shapeId="0" xr:uid="{F64E4B71-2A34-4BA7-B4D3-7AE6A5F23BB3}">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DCYR01-ESHV-E0W001
SH. 2</t>
        </r>
      </text>
    </comment>
    <comment ref="T433" authorId="0" shapeId="0" xr:uid="{08AEF7C8-9A0D-4FEA-B97A-9C77C7AF63C2}">
      <text>
        <r>
          <rPr>
            <b/>
            <sz val="9"/>
            <color indexed="81"/>
            <rFont val="Tahoma"/>
            <family val="2"/>
          </rPr>
          <t>Author:</t>
        </r>
        <r>
          <rPr>
            <sz val="9"/>
            <color indexed="81"/>
            <rFont val="Tahoma"/>
            <family val="2"/>
          </rPr>
          <t xml:space="preserve">
DCYR01-ESHV-E0E001 SH. 2
2868280010-001.pdf</t>
        </r>
      </text>
    </comment>
    <comment ref="U433" authorId="0" shapeId="0" xr:uid="{A77F4538-1D23-4D1A-A187-C7C9526CF1FA}">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DCYR01-ESHV-E0W001
SH. 2</t>
        </r>
      </text>
    </comment>
    <comment ref="C436" authorId="0" shapeId="0" xr:uid="{F11E5103-4C9D-4BE1-A4B1-2A966DA4E78F}">
      <text>
        <r>
          <rPr>
            <b/>
            <sz val="9"/>
            <color indexed="81"/>
            <rFont val="Tahoma"/>
            <family val="2"/>
          </rPr>
          <t>Author:</t>
        </r>
        <r>
          <rPr>
            <sz val="9"/>
            <color indexed="81"/>
            <rFont val="Tahoma"/>
            <family val="2"/>
          </rPr>
          <t xml:space="preserve">
Combined MVA of MPT TR1 and TR2. Breaker 7215 is in the open position.</t>
        </r>
      </text>
    </comment>
    <comment ref="F436" authorId="0" shapeId="0" xr:uid="{2ECC4D0B-8B61-4FBD-A0C1-AA6387C1EC6F}">
      <text>
        <r>
          <rPr>
            <b/>
            <sz val="9"/>
            <color indexed="81"/>
            <rFont val="Tahoma"/>
            <family val="2"/>
          </rPr>
          <t>Author:</t>
        </r>
        <r>
          <rPr>
            <sz val="9"/>
            <color indexed="81"/>
            <rFont val="Tahoma"/>
            <family val="2"/>
          </rPr>
          <t xml:space="preserve">
Reference:
5" AL TUBULAR BUS
DCYR01-ESMV-E0W001
SH. 1
XEL-EVD-Facility-Rating-Supplement---Table---Tubular-and-Square-Conductor.xls</t>
        </r>
      </text>
    </comment>
    <comment ref="G436" authorId="0" shapeId="0" xr:uid="{2FF81FC9-48DE-4DE9-9DBE-68ADC94D7C36}">
      <text>
        <r>
          <rPr>
            <b/>
            <sz val="9"/>
            <color indexed="81"/>
            <rFont val="Tahoma"/>
            <family val="2"/>
          </rPr>
          <t>Author:</t>
        </r>
        <r>
          <rPr>
            <sz val="9"/>
            <color indexed="81"/>
            <rFont val="Tahoma"/>
            <family val="2"/>
          </rPr>
          <t xml:space="preserve">
DCYR01-ESHV-E0W001 SH. 2</t>
        </r>
      </text>
    </comment>
    <comment ref="H436" authorId="0" shapeId="0" xr:uid="{39B75657-4DE3-4B9D-9180-F9F6DA628CFF}">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DCYR01-ESHV-E0E001
SH. 2</t>
        </r>
      </text>
    </comment>
    <comment ref="I436" authorId="0" shapeId="0" xr:uid="{5F618B49-4A32-4EC0-B383-C8699E750C5F}">
      <text>
        <r>
          <rPr>
            <b/>
            <sz val="9"/>
            <color indexed="81"/>
            <rFont val="Tahoma"/>
            <family val="2"/>
          </rPr>
          <t>Author:</t>
        </r>
        <r>
          <rPr>
            <sz val="9"/>
            <color indexed="81"/>
            <rFont val="Tahoma"/>
            <family val="2"/>
          </rPr>
          <t xml:space="preserve">
DCYR01-ESHV-E0W001 SH. 2
2868280010-001.pdf</t>
        </r>
      </text>
    </comment>
    <comment ref="J436" authorId="0" shapeId="0" xr:uid="{1E3C627A-2CAD-41E3-A637-052FDE6284D5}">
      <text>
        <r>
          <rPr>
            <b/>
            <sz val="9"/>
            <color indexed="81"/>
            <rFont val="Tahoma"/>
            <family val="2"/>
          </rPr>
          <t>Author:</t>
        </r>
        <r>
          <rPr>
            <sz val="9"/>
            <color indexed="81"/>
            <rFont val="Tahoma"/>
            <family val="2"/>
          </rPr>
          <t xml:space="preserve">
2-954 MCM Magnolia 
Summer (normarl) @ 2 ft/sec, 6" or Greater Spacing.
XEL-EVD-Facility-Rating-Supplement---Table---Bare-Overhead-Conductor.xls
DCYR01-ESHV-E0W001
SH. 2</t>
        </r>
      </text>
    </comment>
    <comment ref="K436" authorId="0" shapeId="0" xr:uid="{5A893061-9025-4AF0-B614-743561671DE7}">
      <text>
        <r>
          <rPr>
            <b/>
            <sz val="9"/>
            <color indexed="81"/>
            <rFont val="Tahoma"/>
            <family val="2"/>
          </rPr>
          <t>Author:</t>
        </r>
        <r>
          <rPr>
            <sz val="9"/>
            <color indexed="81"/>
            <rFont val="Tahoma"/>
            <family val="2"/>
          </rPr>
          <t xml:space="preserve">
2-954 MCM Cardinal
Summer (normarl) @ 2 ft/sec, 6" or Greater Spacing.
XEL-EVD-Facility-Rating-Supplement---Table---Bare-Overhead-Conductor.xls
DCYR01-ESHV-E0W001
SH. 2</t>
        </r>
      </text>
    </comment>
    <comment ref="L436" authorId="0" shapeId="0" xr:uid="{0E0D6AE7-E25C-4E4A-A3FD-57E5CC6E27A4}">
      <text>
        <r>
          <rPr>
            <b/>
            <sz val="9"/>
            <color indexed="81"/>
            <rFont val="Tahoma"/>
            <family val="2"/>
          </rPr>
          <t>Author:</t>
        </r>
        <r>
          <rPr>
            <sz val="9"/>
            <color indexed="81"/>
            <rFont val="Tahoma"/>
            <family val="2"/>
          </rPr>
          <t xml:space="preserve">
Combined MVA of XFMR TR1 and TR2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<sst xmlns="http://schemas.openxmlformats.org/spreadsheetml/2006/main" count="27155" uniqueCount="2756">
  <si>
    <r>
      <t xml:space="preserve">OPCO: </t>
    </r>
    <r>
      <rPr>
        <sz val="10"/>
        <color indexed="8"/>
        <rFont val="Arial"/>
        <family val="2"/>
      </rPr>
      <t>PSC</t>
    </r>
  </si>
  <si>
    <r>
      <t xml:space="preserve">VALIDATION STATUS: </t>
    </r>
    <r>
      <rPr>
        <sz val="10"/>
        <color indexed="8"/>
        <rFont val="Arial"/>
        <family val="2"/>
      </rPr>
      <t>VALID</t>
    </r>
  </si>
  <si>
    <r>
      <t xml:space="preserve">OWNERSHIP: </t>
    </r>
    <r>
      <rPr>
        <sz val="10"/>
        <color indexed="8"/>
        <rFont val="Arial"/>
        <family val="2"/>
      </rPr>
      <t>Jointly Owned,Xcel Owned</t>
    </r>
  </si>
  <si>
    <r>
      <t xml:space="preserve">BES: </t>
    </r>
    <r>
      <rPr>
        <sz val="10"/>
        <color indexed="8"/>
        <rFont val="Arial"/>
        <family val="2"/>
      </rPr>
      <t>Y</t>
    </r>
  </si>
  <si>
    <r>
      <t xml:space="preserve">LIFE CYCLE STATUS: </t>
    </r>
    <r>
      <rPr>
        <sz val="10"/>
        <color indexed="8"/>
        <rFont val="Arial"/>
        <family val="2"/>
      </rPr>
      <t>AS BUILT</t>
    </r>
  </si>
  <si>
    <r>
      <t xml:space="preserve">SN
</t>
    </r>
    <r>
      <rPr>
        <b/>
        <sz val="8"/>
        <color indexed="8"/>
        <rFont val="Arial"/>
        <family val="2"/>
      </rPr>
      <t>(AMPS)</t>
    </r>
  </si>
  <si>
    <r>
      <t xml:space="preserve">SE
</t>
    </r>
    <r>
      <rPr>
        <b/>
        <sz val="8"/>
        <color indexed="8"/>
        <rFont val="Arial"/>
        <family val="2"/>
      </rPr>
      <t>(AMPS)</t>
    </r>
  </si>
  <si>
    <r>
      <t xml:space="preserve">WN
</t>
    </r>
    <r>
      <rPr>
        <b/>
        <sz val="8"/>
        <color indexed="8"/>
        <rFont val="Arial"/>
        <family val="2"/>
      </rPr>
      <t>(AMPS)</t>
    </r>
  </si>
  <si>
    <r>
      <t xml:space="preserve">WE
</t>
    </r>
    <r>
      <rPr>
        <b/>
        <sz val="8"/>
        <color indexed="8"/>
        <rFont val="Arial"/>
        <family val="2"/>
      </rPr>
      <t>(AMPS)</t>
    </r>
  </si>
  <si>
    <r>
      <t xml:space="preserve">SN
</t>
    </r>
    <r>
      <rPr>
        <b/>
        <sz val="8"/>
        <color indexed="8"/>
        <rFont val="Arial"/>
        <family val="2"/>
      </rPr>
      <t>(MVA)</t>
    </r>
  </si>
  <si>
    <r>
      <t xml:space="preserve">SE
</t>
    </r>
    <r>
      <rPr>
        <b/>
        <sz val="8"/>
        <color indexed="8"/>
        <rFont val="Arial"/>
        <family val="2"/>
      </rPr>
      <t>(MVA)</t>
    </r>
  </si>
  <si>
    <r>
      <t xml:space="preserve">WN
</t>
    </r>
    <r>
      <rPr>
        <b/>
        <sz val="8"/>
        <color indexed="8"/>
        <rFont val="Arial"/>
        <family val="2"/>
      </rPr>
      <t>(MVA)</t>
    </r>
  </si>
  <si>
    <r>
      <t xml:space="preserve">WE
</t>
    </r>
    <r>
      <rPr>
        <b/>
        <sz val="8"/>
        <color indexed="8"/>
        <rFont val="Arial"/>
        <family val="2"/>
      </rPr>
      <t>(MVA)</t>
    </r>
  </si>
  <si>
    <t>FAC-008-3
Transmission Lines</t>
  </si>
  <si>
    <t>FACILITY DESIGNATION</t>
  </si>
  <si>
    <t>LINE NAME</t>
  </si>
  <si>
    <t>FROM SUB</t>
  </si>
  <si>
    <t>FROM SUB OWNER</t>
  </si>
  <si>
    <t>TO SUB</t>
  </si>
  <si>
    <t>TO SUB OWNER</t>
  </si>
  <si>
    <t>FROM PSSE</t>
  </si>
  <si>
    <t>TO PSSE</t>
  </si>
  <si>
    <t>FACILITY  OWNERSHIP</t>
  </si>
  <si>
    <t>EQUIP NAME</t>
  </si>
  <si>
    <t>EQUIP TYPE</t>
  </si>
  <si>
    <t>EQUIP LOCATION</t>
  </si>
  <si>
    <t>COMMENTS</t>
  </si>
  <si>
    <t>XCEL</t>
  </si>
  <si>
    <t>Xcel Owned</t>
  </si>
  <si>
    <t>FACILITY</t>
  </si>
  <si>
    <t>Transmission Line</t>
  </si>
  <si>
    <t>BUSBAR_SECTION</t>
  </si>
  <si>
    <t>Hawk</t>
  </si>
  <si>
    <t>ARAPAHOE SUBSTATION</t>
  </si>
  <si>
    <t>SWITCH</t>
  </si>
  <si>
    <t>ARAP</t>
  </si>
  <si>
    <t>SECONDARY_CURRENT_LIMITATION</t>
  </si>
  <si>
    <t>9335</t>
  </si>
  <si>
    <t>SOUTH TAP</t>
  </si>
  <si>
    <t>CURRENT_TRANSFORMER</t>
  </si>
  <si>
    <t>FOREIGN</t>
  </si>
  <si>
    <t>Ortolan</t>
  </si>
  <si>
    <t>Jointly Owned</t>
  </si>
  <si>
    <t>BEAVER CREEK EAST SUBSTATION</t>
  </si>
  <si>
    <t>LAMAR 345KV SWITCHING STATION</t>
  </si>
  <si>
    <t>MIDWAY SUBSTATION</t>
  </si>
  <si>
    <t>MIDW</t>
  </si>
  <si>
    <t>BEAV</t>
  </si>
  <si>
    <t>9400</t>
  </si>
  <si>
    <t>BREAKER</t>
  </si>
  <si>
    <t>9257</t>
  </si>
  <si>
    <t>ROBINSON RACK</t>
  </si>
  <si>
    <t>9584</t>
  </si>
  <si>
    <t>WELD</t>
  </si>
  <si>
    <t>SOUTH SUBSTATION</t>
  </si>
  <si>
    <t>SOUT</t>
  </si>
  <si>
    <t>9794</t>
  </si>
  <si>
    <t>HOGBACK SUBSTATION</t>
  </si>
  <si>
    <t>HOPKINS SUBSTATION</t>
  </si>
  <si>
    <t>LASS</t>
  </si>
  <si>
    <t>LEYDEN SITE</t>
  </si>
  <si>
    <t>Linnet</t>
  </si>
  <si>
    <t>CONI_TP1-CONI-115.0-1</t>
  </si>
  <si>
    <t>CONI_TP2-CONI-115.0-1</t>
  </si>
  <si>
    <t>CONI_TP2-CONI-115.0-2</t>
  </si>
  <si>
    <t>GILM-ROBI-115.0-1</t>
  </si>
  <si>
    <t>ARAP-ENGL-115.0-1</t>
  </si>
  <si>
    <t>ARAP-SHER-115.0-1</t>
  </si>
  <si>
    <t>SOUT_TP-SOUT-115.0-1</t>
  </si>
  <si>
    <t>LYDS_TP-QUAK-115.0-1</t>
  </si>
  <si>
    <t>CARB-HOPK-115.0-1</t>
  </si>
  <si>
    <t>BERG-HOGB-115.0-1</t>
  </si>
  <si>
    <t>CONIFER SUBSTATION</t>
  </si>
  <si>
    <t>GILMAN SUBSTATION</t>
  </si>
  <si>
    <t>SHERIDAN SUBSTATION</t>
  </si>
  <si>
    <t>9333</t>
  </si>
  <si>
    <t>ENGLEWOOD SUBSTATION</t>
  </si>
  <si>
    <t>9334</t>
  </si>
  <si>
    <t>8026</t>
  </si>
  <si>
    <t>CONIFER</t>
  </si>
  <si>
    <t>QUAKER SUBSTATION</t>
  </si>
  <si>
    <t>BERGEN PARK SUBSTATION</t>
  </si>
  <si>
    <t>BERG</t>
  </si>
  <si>
    <t>9715</t>
  </si>
  <si>
    <t>CARBONDALE SUBSTATION</t>
  </si>
  <si>
    <t>9715 135Y</t>
  </si>
  <si>
    <t>HOPK</t>
  </si>
  <si>
    <t>FNSS-LASS-345.0-1</t>
  </si>
  <si>
    <t>J05, 7005</t>
  </si>
  <si>
    <t>FINNEY SWITCHING STATION</t>
  </si>
  <si>
    <t>7002 246X</t>
  </si>
  <si>
    <t>HOPK-SHOS-115.0-1</t>
  </si>
  <si>
    <t>9714</t>
  </si>
  <si>
    <t>SHOSHONE HYDRO SUBSTATION</t>
  </si>
  <si>
    <t>9714 135Y</t>
  </si>
  <si>
    <t>SHOS</t>
  </si>
  <si>
    <t>MTHR-HAYD-138.0-1</t>
  </si>
  <si>
    <t>3003</t>
  </si>
  <si>
    <t>HOPK-RIFL-230.0-1</t>
  </si>
  <si>
    <t>5207</t>
  </si>
  <si>
    <t>SRDG-LEMO-230.0-1</t>
  </si>
  <si>
    <t>5115</t>
  </si>
  <si>
    <t>5115-5</t>
  </si>
  <si>
    <t>UTER-RIFL-230.0-1</t>
  </si>
  <si>
    <t>3007</t>
  </si>
  <si>
    <t>BEAV-STOR-230.0-1</t>
  </si>
  <si>
    <t>5265</t>
  </si>
  <si>
    <t>5115-1</t>
  </si>
  <si>
    <t>ATLR-RIFL-230.0-1</t>
  </si>
  <si>
    <t>5203</t>
  </si>
  <si>
    <t>PLEN-PCOG-230.0-1</t>
  </si>
  <si>
    <t>5267</t>
  </si>
  <si>
    <t>SULP-LEMO-230.0-1</t>
  </si>
  <si>
    <t>5115-3</t>
  </si>
  <si>
    <t>WIND-WALT-230.0-1</t>
  </si>
  <si>
    <t>5313</t>
  </si>
  <si>
    <t>HOST-SULP-230.0-1</t>
  </si>
  <si>
    <t>5163</t>
  </si>
  <si>
    <t>5163-6</t>
  </si>
  <si>
    <t>WASH-JLGR-230.0-1</t>
  </si>
  <si>
    <t>5527</t>
  </si>
  <si>
    <t>PAWN-STOR-230.0-1</t>
  </si>
  <si>
    <t>5455</t>
  </si>
  <si>
    <t>SMOK-MURP-230.0-1</t>
  </si>
  <si>
    <t>5163-2</t>
  </si>
  <si>
    <t>FLUP-TCTI-230.0-1</t>
  </si>
  <si>
    <t>5529</t>
  </si>
  <si>
    <t>ADOB-UINT-230.0-1</t>
  </si>
  <si>
    <t>5555</t>
  </si>
  <si>
    <t>JORD-ORCH-230.0-1</t>
  </si>
  <si>
    <t>5169</t>
  </si>
  <si>
    <t>5169-7S</t>
  </si>
  <si>
    <t>PONC-PNCW-230.0-1</t>
  </si>
  <si>
    <t>5747</t>
  </si>
  <si>
    <t>CAME-UINT-230.0-1</t>
  </si>
  <si>
    <t>5607</t>
  </si>
  <si>
    <t>MEAD-ORCH-230.0-1</t>
  </si>
  <si>
    <t>5169-5N</t>
  </si>
  <si>
    <t>COOL-BASA-230.0-1</t>
  </si>
  <si>
    <t>5787</t>
  </si>
  <si>
    <t>SPCA-SDNY-230.0-1</t>
  </si>
  <si>
    <t>5925</t>
  </si>
  <si>
    <t>5169-2</t>
  </si>
  <si>
    <t>WOLC-FOID-230.0-1</t>
  </si>
  <si>
    <t>5813</t>
  </si>
  <si>
    <t>FLUP-PVAL-115.0-1</t>
  </si>
  <si>
    <t>9499</t>
  </si>
  <si>
    <t>MEAD-SMOK-230.0-1</t>
  </si>
  <si>
    <t>5169-1</t>
  </si>
  <si>
    <t>HAYD-FOID-230.0-1</t>
  </si>
  <si>
    <t>5815</t>
  </si>
  <si>
    <t>SMOK-POWH-230.0-1</t>
  </si>
  <si>
    <t>5171</t>
  </si>
  <si>
    <t>5171-1</t>
  </si>
  <si>
    <t>CRAT-CRAI-230.0-1</t>
  </si>
  <si>
    <t>5831</t>
  </si>
  <si>
    <t>SPRU-PICA-230.0-1</t>
  </si>
  <si>
    <t>5187</t>
  </si>
  <si>
    <t>5187-4</t>
  </si>
  <si>
    <t>SISA-REUN-230.0-1</t>
  </si>
  <si>
    <t>5877</t>
  </si>
  <si>
    <t>BUVI_TP-RAYL-115.0-1</t>
  </si>
  <si>
    <t>9255</t>
  </si>
  <si>
    <t>TOWE-CHAM-230.0-1</t>
  </si>
  <si>
    <t>5187-1</t>
  </si>
  <si>
    <t>NOYM-SPCA-230.0-1</t>
  </si>
  <si>
    <t>5921</t>
  </si>
  <si>
    <t>MALT-TWLA_TP-115.0-1</t>
  </si>
  <si>
    <t>TOWE-PICA-230.0-1</t>
  </si>
  <si>
    <t>5187-3</t>
  </si>
  <si>
    <t>BCRK-WOLC-115.0-1</t>
  </si>
  <si>
    <t>8415</t>
  </si>
  <si>
    <t>OTER_TP-BUVI_TP-115.0-1</t>
  </si>
  <si>
    <t>5187-2</t>
  </si>
  <si>
    <t>BRSS-BCP-115.0-1</t>
  </si>
  <si>
    <t>9153</t>
  </si>
  <si>
    <t>RAYL-PONC-115.0-1</t>
  </si>
  <si>
    <t>CHER-GLEN-230.0-1</t>
  </si>
  <si>
    <t>5527-2</t>
  </si>
  <si>
    <t>TWLA_TP-OTER_TP-115.0-1</t>
  </si>
  <si>
    <t>GLEN-WASH-230.0-1</t>
  </si>
  <si>
    <t>5527-4</t>
  </si>
  <si>
    <t>5527-1</t>
  </si>
  <si>
    <t>5527-3</t>
  </si>
  <si>
    <t>COMA-MIDW-230.0-1</t>
  </si>
  <si>
    <t>5411</t>
  </si>
  <si>
    <t>GJCT-HORI-230.0-1</t>
  </si>
  <si>
    <t>5555-1</t>
  </si>
  <si>
    <t>CLIF-GJCT-230.0-1</t>
  </si>
  <si>
    <t>5557</t>
  </si>
  <si>
    <t>5557-1</t>
  </si>
  <si>
    <t>DTER-WEST-230.0-1</t>
  </si>
  <si>
    <t>5629</t>
  </si>
  <si>
    <t>5629-1</t>
  </si>
  <si>
    <t>LEGG-NIWO-230.0-1</t>
  </si>
  <si>
    <t>5633</t>
  </si>
  <si>
    <t>5633-1</t>
  </si>
  <si>
    <t>LEGG-PLEN-230.0-1</t>
  </si>
  <si>
    <t>5633-2</t>
  </si>
  <si>
    <t>DANI-PRAI-230.0-2</t>
  </si>
  <si>
    <t>5707</t>
  </si>
  <si>
    <t>5707-1</t>
  </si>
  <si>
    <t>LOUI-VALM-115.0-1</t>
  </si>
  <si>
    <t>9052</t>
  </si>
  <si>
    <t>9052-1</t>
  </si>
  <si>
    <t>FULT-PKWY-115.0-1</t>
  </si>
  <si>
    <t>9053</t>
  </si>
  <si>
    <t>9053-11</t>
  </si>
  <si>
    <t>RIFLE 230KV SUBSTATION (PSCO)</t>
  </si>
  <si>
    <t>Relay Settings</t>
  </si>
  <si>
    <t>RIFL</t>
  </si>
  <si>
    <t>PLAINS END SWITCHING STATION</t>
  </si>
  <si>
    <t>PLAINS END COGENTRIX NUG</t>
  </si>
  <si>
    <t>Foreign Ratings</t>
  </si>
  <si>
    <t>PCOG</t>
  </si>
  <si>
    <t>WINDSOR SUBSTATION</t>
  </si>
  <si>
    <t>Ault WAPA</t>
  </si>
  <si>
    <t>ADOBE SUBSTATION</t>
  </si>
  <si>
    <t>UINTAH SUBSTATION</t>
  </si>
  <si>
    <t>Railroad Documentation</t>
  </si>
  <si>
    <t>CAMEO SUBSTATION</t>
  </si>
  <si>
    <t xml:space="preserve"> BUENA VISTA TAP</t>
  </si>
  <si>
    <t>RAY LEWIS</t>
  </si>
  <si>
    <t>MALTA SUBSTATION</t>
  </si>
  <si>
    <t>TWIN LAKES TAP</t>
  </si>
  <si>
    <t>OTERO PUMPING STATION</t>
  </si>
  <si>
    <t>PONCHA JUNCTION SUBSTATION</t>
  </si>
  <si>
    <t>ADKO_TP-GILC-115.0-1</t>
  </si>
  <si>
    <t>9494</t>
  </si>
  <si>
    <t>ANADARKO TAP</t>
  </si>
  <si>
    <t>GILCREST SUBSTATION</t>
  </si>
  <si>
    <t>ADKO_TP-VASQ-115.0-1</t>
  </si>
  <si>
    <t>VASQUEZ SUBSTATION</t>
  </si>
  <si>
    <t>ALLI-KEND-115.0-1</t>
  </si>
  <si>
    <t>8024</t>
  </si>
  <si>
    <t>ALLISON SUBSTATION</t>
  </si>
  <si>
    <t>KENDRICK SUBSTATION</t>
  </si>
  <si>
    <t>ALLI-SODA-115.0-1</t>
  </si>
  <si>
    <t>SODA LAKES SUBSTATION</t>
  </si>
  <si>
    <t>Arbutus</t>
  </si>
  <si>
    <t>ALLI</t>
  </si>
  <si>
    <t>SODA</t>
  </si>
  <si>
    <t>ALMA-BREC-230.0-1</t>
  </si>
  <si>
    <t>5487</t>
  </si>
  <si>
    <t>ALMA SUBSTATION</t>
  </si>
  <si>
    <t>BRECKENRIDGE SUBSTATION</t>
  </si>
  <si>
    <t>2½" (AL 40)</t>
  </si>
  <si>
    <t>ALMA</t>
  </si>
  <si>
    <t>ALMA-MALT-230.0-1</t>
  </si>
  <si>
    <t>Curlew</t>
  </si>
  <si>
    <t>MALT</t>
  </si>
  <si>
    <t>ARAP-ARLQ_TP-115.0-1</t>
  </si>
  <si>
    <t>9332</t>
  </si>
  <si>
    <t>AIR LIQUIDE TAP</t>
  </si>
  <si>
    <t>9332M</t>
  </si>
  <si>
    <t>ARAP-DAKO-230.0-1</t>
  </si>
  <si>
    <t>5623</t>
  </si>
  <si>
    <t>DAKOTA SUBSTATION</t>
  </si>
  <si>
    <t>ARAP-ENGL_TP-115.0-1</t>
  </si>
  <si>
    <t>9336</t>
  </si>
  <si>
    <t>ENGLEWOOD TAP</t>
  </si>
  <si>
    <t>ARAP-SANT_TP-230.0-1</t>
  </si>
  <si>
    <t>5107</t>
  </si>
  <si>
    <t>SANTA FE TAP</t>
  </si>
  <si>
    <t>ARAP-SOUT_TP-115.0-1</t>
  </si>
  <si>
    <t>ARAP-UNIV-115.0-1</t>
  </si>
  <si>
    <t>9338</t>
  </si>
  <si>
    <t>UNIVERSITY SUBSTATION</t>
  </si>
  <si>
    <t>ARGO-ARGO_TP-115.0-1</t>
  </si>
  <si>
    <t>9413</t>
  </si>
  <si>
    <t>ARGO SUBSTATION</t>
  </si>
  <si>
    <t>ARGO</t>
  </si>
  <si>
    <t>9413 135Y</t>
  </si>
  <si>
    <t>9413 PK</t>
  </si>
  <si>
    <t>9413 135X</t>
  </si>
  <si>
    <t>ARGO-DTER-115.0-1</t>
  </si>
  <si>
    <t>9004</t>
  </si>
  <si>
    <t>DENVER TERMINAL SUBSTATION</t>
  </si>
  <si>
    <t>9004 135Y</t>
  </si>
  <si>
    <t>DTER</t>
  </si>
  <si>
    <t>9004 135Y PK-2</t>
  </si>
  <si>
    <t>9004 246X PK</t>
  </si>
  <si>
    <t>9004 PK</t>
  </si>
  <si>
    <t>9004 135X</t>
  </si>
  <si>
    <t>ARGO_TP-CHER_TP-115.0-1</t>
  </si>
  <si>
    <t>CHEROKEE SW YARD</t>
  </si>
  <si>
    <t>ARSE-HAVA-115.0-1</t>
  </si>
  <si>
    <t>9543</t>
  </si>
  <si>
    <t>ARSENAL</t>
  </si>
  <si>
    <t>HAVANA SUBSTATION</t>
  </si>
  <si>
    <t>ARSE</t>
  </si>
  <si>
    <t>ARVA-CHER-230.0-1</t>
  </si>
  <si>
    <t>5067</t>
  </si>
  <si>
    <t>ARVADA SUBSTATION</t>
  </si>
  <si>
    <t>CHEROKEE SWITCHYARD SUBSTATION</t>
  </si>
  <si>
    <t>ATER-BLPK-115.0-1</t>
  </si>
  <si>
    <t>8004</t>
  </si>
  <si>
    <t>ALAMOSA TERMINAL SUBSTATION</t>
  </si>
  <si>
    <t>BLANCA PEAK SUBSTATION</t>
  </si>
  <si>
    <t>RIFLE GENERATION (TSGT)</t>
  </si>
  <si>
    <t>ATLR</t>
  </si>
  <si>
    <t>LINE_TRAP</t>
  </si>
  <si>
    <t>BANC-GRAY-115.0-1</t>
  </si>
  <si>
    <t>9448</t>
  </si>
  <si>
    <t>BANCROFT SUBSTATION</t>
  </si>
  <si>
    <t>GRAY STREET SUBSTATION</t>
  </si>
  <si>
    <t>BANC-KEND-115.0-1</t>
  </si>
  <si>
    <t>KEND</t>
  </si>
  <si>
    <t>BANC-SOUT_TP-115.0-1</t>
  </si>
  <si>
    <t>BARR-GRVL-230.0-1</t>
  </si>
  <si>
    <t>5759</t>
  </si>
  <si>
    <t>BARR LAKE SUBSTATION</t>
  </si>
  <si>
    <t>GREEN VALLEY SUBSTATION</t>
  </si>
  <si>
    <t>BARR-REUN-230.0-1</t>
  </si>
  <si>
    <t>5875</t>
  </si>
  <si>
    <t>Reunion (Tri State)</t>
  </si>
  <si>
    <t>BARR</t>
  </si>
  <si>
    <t>BCRK-AVON-115.0-1</t>
  </si>
  <si>
    <t>8424</t>
  </si>
  <si>
    <t>BEAVER CREEK WEST SUBSTATION</t>
  </si>
  <si>
    <t>AVON SUBSTATION</t>
  </si>
  <si>
    <t>BC551 135X</t>
  </si>
  <si>
    <t>BCRK</t>
  </si>
  <si>
    <t>BC551 METER VAR</t>
  </si>
  <si>
    <t>BC551 135Y</t>
  </si>
  <si>
    <t>WOLCOTT</t>
  </si>
  <si>
    <t>BC541 METER VAR</t>
  </si>
  <si>
    <t>BC541 135Y</t>
  </si>
  <si>
    <t>BC541 135X</t>
  </si>
  <si>
    <t>WOLC</t>
  </si>
  <si>
    <t>STORY SUBSTATION</t>
  </si>
  <si>
    <t>STOR</t>
  </si>
  <si>
    <t>BHYD-NCAR-115.0-1</t>
  </si>
  <si>
    <t>9205</t>
  </si>
  <si>
    <t>BOULDER CANYON SWYD</t>
  </si>
  <si>
    <t>NCAR SUBSTATION</t>
  </si>
  <si>
    <t>BHYD-SUNS-115.0-1</t>
  </si>
  <si>
    <t>9216</t>
  </si>
  <si>
    <t>SUNSHINE CANYON SUBSTATION</t>
  </si>
  <si>
    <t>Merlin</t>
  </si>
  <si>
    <t>SUNS</t>
  </si>
  <si>
    <t>BLUE-MILL-115.0-1</t>
  </si>
  <si>
    <t>8055</t>
  </si>
  <si>
    <t>BLUE RIVER SUBSTATION</t>
  </si>
  <si>
    <t>MILL SUBSTATION</t>
  </si>
  <si>
    <t>MILL</t>
  </si>
  <si>
    <t>BLUE</t>
  </si>
  <si>
    <t>BOON-COMA-230.0-1</t>
  </si>
  <si>
    <t>5415</t>
  </si>
  <si>
    <t>BOONE SUBSTATION</t>
  </si>
  <si>
    <t>COMANCHE SUBSTATION</t>
  </si>
  <si>
    <t>BOON-LASS-230.0-1</t>
  </si>
  <si>
    <t>5337</t>
  </si>
  <si>
    <t>230 5337 M A</t>
  </si>
  <si>
    <t>BOON</t>
  </si>
  <si>
    <t>230 5337 M C</t>
  </si>
  <si>
    <t>230 5337 M B</t>
  </si>
  <si>
    <t>TL5337METERVAR</t>
  </si>
  <si>
    <t>BOON-MIDW-230.0-1</t>
  </si>
  <si>
    <t>5335</t>
  </si>
  <si>
    <t>5335_W_230KV</t>
  </si>
  <si>
    <t>TL5335METERVAR</t>
  </si>
  <si>
    <t>5335_VAR_230KV</t>
  </si>
  <si>
    <t>BREC-DILL-230.0-1</t>
  </si>
  <si>
    <t>5355</t>
  </si>
  <si>
    <t>DILLON SUBSTATION</t>
  </si>
  <si>
    <t>DILL</t>
  </si>
  <si>
    <t>BROO-FEDE-115.0-1</t>
  </si>
  <si>
    <t>9558</t>
  </si>
  <si>
    <t>BROOMFIELD SUBSTATION</t>
  </si>
  <si>
    <t>FEDERAL HEIGHTS SUBSTATION</t>
  </si>
  <si>
    <t>BROO-LOUI-115.0-1</t>
  </si>
  <si>
    <t>LOUISVILLE SUBSTATION</t>
  </si>
  <si>
    <t>BROO</t>
  </si>
  <si>
    <t>BROO-SEMP-115.0-1</t>
  </si>
  <si>
    <t>9464</t>
  </si>
  <si>
    <t>SEMPER SUBSTATION</t>
  </si>
  <si>
    <t>9464 XDCR AMP</t>
  </si>
  <si>
    <t>SEMP</t>
  </si>
  <si>
    <t>BROO-VALM-115.0-1</t>
  </si>
  <si>
    <t>9068</t>
  </si>
  <si>
    <t>VALMONT SWITCHYARD SUBSTATION</t>
  </si>
  <si>
    <t>VALM</t>
  </si>
  <si>
    <t>BRUSH SWITCHING STATION</t>
  </si>
  <si>
    <t>Brush4</t>
  </si>
  <si>
    <t>BCP</t>
  </si>
  <si>
    <t>BRSS-BEAV-115.0-1</t>
  </si>
  <si>
    <t>9406</t>
  </si>
  <si>
    <t>Narcissus</t>
  </si>
  <si>
    <t>BRSS</t>
  </si>
  <si>
    <t>9406-C AMP</t>
  </si>
  <si>
    <t>BRSS-BEAV-115.0-2</t>
  </si>
  <si>
    <t>9407</t>
  </si>
  <si>
    <t>BRSS-BRNG-115.0-1</t>
  </si>
  <si>
    <t>9155</t>
  </si>
  <si>
    <t>BRUSH CO-GEN / CPP SW. YARD</t>
  </si>
  <si>
    <t>9155_PK-1-3_115KV</t>
  </si>
  <si>
    <t>BRNG</t>
  </si>
  <si>
    <t>9155_W/VAR_XDCR_115KV</t>
  </si>
  <si>
    <t>9155_PK-1-2_115KV</t>
  </si>
  <si>
    <t>9155_A_115KV</t>
  </si>
  <si>
    <t>9155 MU</t>
  </si>
  <si>
    <t>9155_PK-1-1_115KV</t>
  </si>
  <si>
    <t>BRSS-BRNG-115.0-2</t>
  </si>
  <si>
    <t>9156</t>
  </si>
  <si>
    <t>9156 MU</t>
  </si>
  <si>
    <t>BTER-SUNS-115.0-1</t>
  </si>
  <si>
    <t>BOULDER TERMINAL SUBSTATION</t>
  </si>
  <si>
    <t>BTER-VALM-115.0-1</t>
  </si>
  <si>
    <t>9065</t>
  </si>
  <si>
    <t>BTER</t>
  </si>
  <si>
    <t>9065 246X</t>
  </si>
  <si>
    <t>9065 135X</t>
  </si>
  <si>
    <t>BTER-VALM-115.0-2</t>
  </si>
  <si>
    <t>9067</t>
  </si>
  <si>
    <t>9067 135Y</t>
  </si>
  <si>
    <t>BUCK-JEWE-230.0-1</t>
  </si>
  <si>
    <t>5167</t>
  </si>
  <si>
    <t>JEWELL SUBSTATION</t>
  </si>
  <si>
    <t>BUCKLEY SUBSTATION</t>
  </si>
  <si>
    <t>BUCK-SMOK-230.0-1</t>
  </si>
  <si>
    <t>5285</t>
  </si>
  <si>
    <t>SMOKY HILL SUBSTATION</t>
  </si>
  <si>
    <t>TL5285 CNP11A 67GP</t>
  </si>
  <si>
    <t>SMOK</t>
  </si>
  <si>
    <t>BUCK-SMOK-230.0-2</t>
  </si>
  <si>
    <t>BUCK-TOLL-230.0-1</t>
  </si>
  <si>
    <t>TOLLGATE SUBSTATION</t>
  </si>
  <si>
    <t>TOLL</t>
  </si>
  <si>
    <t>CABI-DILL-230.0-1</t>
  </si>
  <si>
    <t>5007</t>
  </si>
  <si>
    <t>CABIN CREEK HYDRO SUBSTATION</t>
  </si>
  <si>
    <t>CABI-GEOR-115.0-1</t>
  </si>
  <si>
    <t>9665</t>
  </si>
  <si>
    <t>GEORGETOWN HYDRO SUBSTATION</t>
  </si>
  <si>
    <t>9665 METER VAR</t>
  </si>
  <si>
    <t>CABI</t>
  </si>
  <si>
    <t>9665-1</t>
  </si>
  <si>
    <t>GEOR</t>
  </si>
  <si>
    <t>CABI-IDAH-230.0-1</t>
  </si>
  <si>
    <t>5005</t>
  </si>
  <si>
    <t>IDAHO SPRINGS SUBSTATION</t>
  </si>
  <si>
    <t>IDAH</t>
  </si>
  <si>
    <t>CABI-LOOK-230.0-1</t>
  </si>
  <si>
    <t>5003</t>
  </si>
  <si>
    <t>LOOKOUT SUBSTATION</t>
  </si>
  <si>
    <t>5003 METER VAR</t>
  </si>
  <si>
    <t>LOOK</t>
  </si>
  <si>
    <t>5003 METER W</t>
  </si>
  <si>
    <t>CALI-CHER-115.0-1</t>
  </si>
  <si>
    <t>9542</t>
  </si>
  <si>
    <t>CALIFORNIA SUBSTATION</t>
  </si>
  <si>
    <t>CALI-HARR-115.0-1</t>
  </si>
  <si>
    <t>HARRISON SUBSTATION</t>
  </si>
  <si>
    <t>CAME-PARA-230.0-1</t>
  </si>
  <si>
    <t>5509</t>
  </si>
  <si>
    <t>PARACHUTE SUBSTATION</t>
  </si>
  <si>
    <t>PARA</t>
  </si>
  <si>
    <t>CAPI-CALI_TP-115.0-1</t>
  </si>
  <si>
    <t>9547</t>
  </si>
  <si>
    <t>CAPITOL HILL SUBSTATION</t>
  </si>
  <si>
    <t>CALIFORNIA TAP</t>
  </si>
  <si>
    <t>CAPI-DTER-115.0-1</t>
  </si>
  <si>
    <t>9007</t>
  </si>
  <si>
    <t>CAPI-HARR-115.0-1</t>
  </si>
  <si>
    <t>9956</t>
  </si>
  <si>
    <t>HARR</t>
  </si>
  <si>
    <t>CAST_TP1-CAST-115.0-1</t>
  </si>
  <si>
    <t>9603</t>
  </si>
  <si>
    <t>CASTLE ROCK TAP 1</t>
  </si>
  <si>
    <t>CASTLE ROCK SUBSTATION</t>
  </si>
  <si>
    <t>CAST_TP1-CAST_TP2-115.0-1</t>
  </si>
  <si>
    <t>9606</t>
  </si>
  <si>
    <t>CASTLE ROCK TAP 2</t>
  </si>
  <si>
    <t>CAST_TP1-PALM-115.0-1</t>
  </si>
  <si>
    <t>PALMER LAKE SUBSTATION</t>
  </si>
  <si>
    <t>CAST_TP2-CAST-115.0-1</t>
  </si>
  <si>
    <t>9606_A1_115KV</t>
  </si>
  <si>
    <t>CAST</t>
  </si>
  <si>
    <t>CAST_TP2-CROV-115.0-1</t>
  </si>
  <si>
    <t>CROWFOOT VALLEY</t>
  </si>
  <si>
    <t>CFIS-COMA-115.0-1</t>
  </si>
  <si>
    <t>9985</t>
  </si>
  <si>
    <t>CF&amp;I SOUTHEAST SUBSTATION</t>
  </si>
  <si>
    <t>CFIS_TP-CFIS-115.0-1</t>
  </si>
  <si>
    <t>9987</t>
  </si>
  <si>
    <t>CF&amp;I SOUTHEAST TAP</t>
  </si>
  <si>
    <t>CHAT-WATE-230.0-1</t>
  </si>
  <si>
    <t>5023</t>
  </si>
  <si>
    <t>CHATFIELD SUBSTATION</t>
  </si>
  <si>
    <t>WATERTON SUBSTATION</t>
  </si>
  <si>
    <t>CHAT</t>
  </si>
  <si>
    <t>CHER-CONS-115.0-1</t>
  </si>
  <si>
    <t>9549</t>
  </si>
  <si>
    <t>CONOCO SOUTH SUBSTATION</t>
  </si>
  <si>
    <t>CONS</t>
  </si>
  <si>
    <t>CHER-DERB-115.0-1</t>
  </si>
  <si>
    <t>9544</t>
  </si>
  <si>
    <t>DERBY SUBSTATION</t>
  </si>
  <si>
    <t>9544-1</t>
  </si>
  <si>
    <t>DERB</t>
  </si>
  <si>
    <t>300 - 19</t>
  </si>
  <si>
    <t>CHER-DERB_TP-115.0-1</t>
  </si>
  <si>
    <t>DERBY TAP</t>
  </si>
  <si>
    <t>CHER-FEDE-115.0-1</t>
  </si>
  <si>
    <t>CHER-FEDE-115.0-2</t>
  </si>
  <si>
    <t>9055</t>
  </si>
  <si>
    <t>GLENN SUBSTATION</t>
  </si>
  <si>
    <t>5770S</t>
  </si>
  <si>
    <t>GLEN</t>
  </si>
  <si>
    <t>5770N</t>
  </si>
  <si>
    <t>CHER-LACO-230.0-1</t>
  </si>
  <si>
    <t>5057</t>
  </si>
  <si>
    <t>LACOMBE SUBSTATION</t>
  </si>
  <si>
    <t>2" (CU 40)</t>
  </si>
  <si>
    <t>CHER</t>
  </si>
  <si>
    <t>5057 PKG-P</t>
  </si>
  <si>
    <t>5057_PKG-P</t>
  </si>
  <si>
    <t>LACO</t>
  </si>
  <si>
    <t>5290 PK-2</t>
  </si>
  <si>
    <t>5057 PK-2</t>
  </si>
  <si>
    <t>5290 135Y</t>
  </si>
  <si>
    <t>CHER-MAPL-115.0-1</t>
  </si>
  <si>
    <t>9546</t>
  </si>
  <si>
    <t>MAPLETON SUBSTATION</t>
  </si>
  <si>
    <t>CHER-MAPL-115.0-2</t>
  </si>
  <si>
    <t>9547-2</t>
  </si>
  <si>
    <t>MAPL</t>
  </si>
  <si>
    <t>9547 XDCR AMP</t>
  </si>
  <si>
    <t>CHER-RIVE-230.0-1</t>
  </si>
  <si>
    <t>5309</t>
  </si>
  <si>
    <t>RIVERDALE SUBSTATION</t>
  </si>
  <si>
    <t>CHER-SISA-230.0-1</t>
  </si>
  <si>
    <t>5055</t>
  </si>
  <si>
    <t>SILVER SADDLE SUBSTATION</t>
  </si>
  <si>
    <t>CHER-THTN-115.0-1</t>
  </si>
  <si>
    <t>9548</t>
  </si>
  <si>
    <t>THORNTON</t>
  </si>
  <si>
    <t>CHER_TP-CHER-115.0-1</t>
  </si>
  <si>
    <t>9556 135Y</t>
  </si>
  <si>
    <t>9413 246Y</t>
  </si>
  <si>
    <t>9556 246X</t>
  </si>
  <si>
    <t>9556 246Y</t>
  </si>
  <si>
    <t>9413 246X</t>
  </si>
  <si>
    <t>9556 135X</t>
  </si>
  <si>
    <t>CLAR-GREE-230.0-1</t>
  </si>
  <si>
    <t>5435</t>
  </si>
  <si>
    <t>CLARK SUBSTATION</t>
  </si>
  <si>
    <t>GREENWOOD SUBSTATION</t>
  </si>
  <si>
    <t>CLAR-JORD-230.0-1</t>
  </si>
  <si>
    <t>JORDAN ROAD SUBSTATION</t>
  </si>
  <si>
    <t>CLIFTON SUBSTATION</t>
  </si>
  <si>
    <t>GRAND JUNCTION SUBSTATION (PSCO)</t>
  </si>
  <si>
    <t>CLIF</t>
  </si>
  <si>
    <t>5557_87LP</t>
  </si>
  <si>
    <t>GJCT</t>
  </si>
  <si>
    <t>5557 246Y</t>
  </si>
  <si>
    <t>5557 PK</t>
  </si>
  <si>
    <t>5557 246X</t>
  </si>
  <si>
    <t>CLIF-UTEG-230.0-1</t>
  </si>
  <si>
    <t>UTE GRAND JUNCTION SUBSTATION</t>
  </si>
  <si>
    <t>5557M</t>
  </si>
  <si>
    <t>UTEG</t>
  </si>
  <si>
    <t>5557_230KV_50BF</t>
  </si>
  <si>
    <t>CLIM-LEAD_TP1-115.0-1</t>
  </si>
  <si>
    <t>9254</t>
  </si>
  <si>
    <t>CLIMAX SUBSTATION</t>
  </si>
  <si>
    <t>LEADVILLE TAP 1</t>
  </si>
  <si>
    <t>CLIM-MAYF-115.0-1</t>
  </si>
  <si>
    <t>8174</t>
  </si>
  <si>
    <t>MAYFLOWER SUBSTATION</t>
  </si>
  <si>
    <t>8174 METER VAR</t>
  </si>
  <si>
    <t>CLIM</t>
  </si>
  <si>
    <t>CLIM-ROBI-115.0-1</t>
  </si>
  <si>
    <t>9257 METER VAR</t>
  </si>
  <si>
    <t>CLIM-ROBI-115.0-2</t>
  </si>
  <si>
    <t>9188</t>
  </si>
  <si>
    <t>COLL-UTER-138.0-1</t>
  </si>
  <si>
    <t>3014</t>
  </si>
  <si>
    <t>COLLBRAN SUBSTATION</t>
  </si>
  <si>
    <t>RIFLE UTE 230/345KV SUBSTATION</t>
  </si>
  <si>
    <t>C821 135Y</t>
  </si>
  <si>
    <t>COLL</t>
  </si>
  <si>
    <t>C821 KWH IN/OUT</t>
  </si>
  <si>
    <t>COMA-CALU-230.0-1</t>
  </si>
  <si>
    <t>5408</t>
  </si>
  <si>
    <t>Walsenburg</t>
  </si>
  <si>
    <t>TL5408XDCRAMP</t>
  </si>
  <si>
    <t>COMA</t>
  </si>
  <si>
    <t>COMA-CFIS_TP-115.0-1</t>
  </si>
  <si>
    <t>5411_VAR_230KV</t>
  </si>
  <si>
    <t>COMA-MIDW-230.0-2</t>
  </si>
  <si>
    <t>5413</t>
  </si>
  <si>
    <t>5413 PKG-S</t>
  </si>
  <si>
    <t>COMA-READ-115.0-1</t>
  </si>
  <si>
    <t>9986</t>
  </si>
  <si>
    <t>Reader</t>
  </si>
  <si>
    <t>READ</t>
  </si>
  <si>
    <t>COMA-READ-115.0-2</t>
  </si>
  <si>
    <t>9984</t>
  </si>
  <si>
    <t>CONS-SAND-115.0-1</t>
  </si>
  <si>
    <t>SANDOWN SUBSTATION</t>
  </si>
  <si>
    <t>COOLEY MESA (HOLY CROSS)</t>
  </si>
  <si>
    <t>BASALT SUBSTATION</t>
  </si>
  <si>
    <t>Bittern</t>
  </si>
  <si>
    <t>BASA</t>
  </si>
  <si>
    <t>COOL</t>
  </si>
  <si>
    <t>CRAIG TRANSFER</t>
  </si>
  <si>
    <t>CRAIG SW YARD (TRI STATE)</t>
  </si>
  <si>
    <t>CRAI</t>
  </si>
  <si>
    <t>CROV-HACA-115.0-1</t>
  </si>
  <si>
    <t>9652</t>
  </si>
  <si>
    <t>HAPPY CANYON SUBSTATION</t>
  </si>
  <si>
    <t>DAKO-DTER-230.0-1</t>
  </si>
  <si>
    <t>DANI-COMA-345.0-1</t>
  </si>
  <si>
    <t>7015</t>
  </si>
  <si>
    <t>DANIELS PARK 115 &amp; 230KV SUBSTATION</t>
  </si>
  <si>
    <t>DANI</t>
  </si>
  <si>
    <t>DANI-COMA-345.0-2</t>
  </si>
  <si>
    <t>7017</t>
  </si>
  <si>
    <t>DANI-HACA-115.0-1</t>
  </si>
  <si>
    <t>9674</t>
  </si>
  <si>
    <t>DANI-JFUL-230.0-1</t>
  </si>
  <si>
    <t>5119</t>
  </si>
  <si>
    <t>JACKSON FULLER SUBSTATION</t>
  </si>
  <si>
    <t>TL5119 MTR AMP</t>
  </si>
  <si>
    <t>TL5119 MTR WATT</t>
  </si>
  <si>
    <t>TL5119 MTR VAR</t>
  </si>
  <si>
    <t>DANI-MARC-230.0-1</t>
  </si>
  <si>
    <t>5085</t>
  </si>
  <si>
    <t>MARCY SUBSTATION</t>
  </si>
  <si>
    <t>TL5085 MTR AMP</t>
  </si>
  <si>
    <t>TL5085 MTR VAR</t>
  </si>
  <si>
    <t>TL5085 MTR WATT</t>
  </si>
  <si>
    <t>DANI-MSST-230.0-1</t>
  </si>
  <si>
    <t>5113</t>
  </si>
  <si>
    <t>MISSILE SITE</t>
  </si>
  <si>
    <t>TL5113 MTR WATT</t>
  </si>
  <si>
    <t>TL5113 MTR AMP</t>
  </si>
  <si>
    <t>TL5113 MTR VAR</t>
  </si>
  <si>
    <t>MSST</t>
  </si>
  <si>
    <t>DANI-PRAI-230.0-1</t>
  </si>
  <si>
    <t>5111</t>
  </si>
  <si>
    <t>PRAIRIE SUBSTATION</t>
  </si>
  <si>
    <t>PRAI</t>
  </si>
  <si>
    <t>DANI-SANT-230.0-1</t>
  </si>
  <si>
    <t>SANTA FE SUBSTATION</t>
  </si>
  <si>
    <t>DANI-SRDG-230.0-1</t>
  </si>
  <si>
    <t>SURREY RIDGE</t>
  </si>
  <si>
    <t>TL5115 MTR AMP</t>
  </si>
  <si>
    <t>TL5115 MTR VAR</t>
  </si>
  <si>
    <t>TL5115 MTR WATT</t>
  </si>
  <si>
    <t>DANI-WATE-230.0-1</t>
  </si>
  <si>
    <t>5109</t>
  </si>
  <si>
    <t>TL5109 MTR VAR</t>
  </si>
  <si>
    <t>TL5109 MTR AMP</t>
  </si>
  <si>
    <t>TL5109 MTR WATT</t>
  </si>
  <si>
    <t>DEER-MART_TP-115.0-1</t>
  </si>
  <si>
    <t>9337</t>
  </si>
  <si>
    <t>DEER CREEK SUBSTATION</t>
  </si>
  <si>
    <t>MARTIN TAP</t>
  </si>
  <si>
    <t>DEER-SODA-115.0-1</t>
  </si>
  <si>
    <t>9337L</t>
  </si>
  <si>
    <t>DERB-HAVA-115.0-1</t>
  </si>
  <si>
    <t>9544-4</t>
  </si>
  <si>
    <t>HAVA</t>
  </si>
  <si>
    <t>9544-2</t>
  </si>
  <si>
    <t>DERB_TP-ARSE-115.0-1</t>
  </si>
  <si>
    <t>DERB_TP-DERB-115.0-1</t>
  </si>
  <si>
    <t>9374</t>
  </si>
  <si>
    <t>DILL-PTAR-230.0-1</t>
  </si>
  <si>
    <t>5359</t>
  </si>
  <si>
    <t>PTARMIGAN</t>
  </si>
  <si>
    <t>DILL-SUMM-115.0-1</t>
  </si>
  <si>
    <t>8189</t>
  </si>
  <si>
    <t>SUMMIT SUBSTATION</t>
  </si>
  <si>
    <t>DIVI-LKGE-115.0-1</t>
  </si>
  <si>
    <t>8384</t>
  </si>
  <si>
    <t>DIVIDE SUBSTATION</t>
  </si>
  <si>
    <t>LAKE GEORGE</t>
  </si>
  <si>
    <t>Drake</t>
  </si>
  <si>
    <t>DIVI</t>
  </si>
  <si>
    <t>DTER-ELAT-230.0-1</t>
  </si>
  <si>
    <t>5625</t>
  </si>
  <si>
    <t>ELATI SUBSTATION</t>
  </si>
  <si>
    <t>5689_PK-2-1_230KV</t>
  </si>
  <si>
    <t>ELAT</t>
  </si>
  <si>
    <t>5689 CT1 A</t>
  </si>
  <si>
    <t>5680_PK-2-1_230KV</t>
  </si>
  <si>
    <t>5625 CT1 B</t>
  </si>
  <si>
    <t>5625 CT1 C</t>
  </si>
  <si>
    <t>5680 CT1 C</t>
  </si>
  <si>
    <t>5689 CT1 B</t>
  </si>
  <si>
    <t>5625_PK-2-4_230KV</t>
  </si>
  <si>
    <t>5689 CT1 C</t>
  </si>
  <si>
    <t>5625 CT1 A</t>
  </si>
  <si>
    <t>5680 CT1 B</t>
  </si>
  <si>
    <t>5680 CT1 A</t>
  </si>
  <si>
    <t>DTER-FEDC_TP-115.0-1</t>
  </si>
  <si>
    <t>9122</t>
  </si>
  <si>
    <t>FEDERAL CENTER TAP</t>
  </si>
  <si>
    <t>9122 246Y 21Z2</t>
  </si>
  <si>
    <t>9122 246X PKG-BF</t>
  </si>
  <si>
    <t>9122 246X 21ZP</t>
  </si>
  <si>
    <t>9122 246Y 21Z1</t>
  </si>
  <si>
    <t>9122 246X 67GP</t>
  </si>
  <si>
    <t>9122M</t>
  </si>
  <si>
    <t>DTER-GRAY-115.0-1</t>
  </si>
  <si>
    <t>9008</t>
  </si>
  <si>
    <t>9008 METER VAR</t>
  </si>
  <si>
    <t>GRAY</t>
  </si>
  <si>
    <t>9008 135Y 21Z1/2</t>
  </si>
  <si>
    <t>9008 246X 50BF</t>
  </si>
  <si>
    <t>9008L</t>
  </si>
  <si>
    <t>9008M</t>
  </si>
  <si>
    <t>DTER-LACO-230.0-1</t>
  </si>
  <si>
    <t>5627</t>
  </si>
  <si>
    <t>TL5627 AMP</t>
  </si>
  <si>
    <t>WEST SUBSTATION</t>
  </si>
  <si>
    <t>WEST</t>
  </si>
  <si>
    <t>EAST-CHAM-115.0-1</t>
  </si>
  <si>
    <t>9175</t>
  </si>
  <si>
    <t>EAST SUBSTATION</t>
  </si>
  <si>
    <t>CHAMBERS SUBSTATION</t>
  </si>
  <si>
    <t>EAST-FITZ-115.0-1</t>
  </si>
  <si>
    <t>9178</t>
  </si>
  <si>
    <t>FITZSIMONS SUBSTATION</t>
  </si>
  <si>
    <t>9178L</t>
  </si>
  <si>
    <t>EAST</t>
  </si>
  <si>
    <t>9178M</t>
  </si>
  <si>
    <t>EAST-SMOK-115.0-1</t>
  </si>
  <si>
    <t>9174</t>
  </si>
  <si>
    <t>9174 135Y</t>
  </si>
  <si>
    <t>EAST-SMOK-115.0-2</t>
  </si>
  <si>
    <t>9866</t>
  </si>
  <si>
    <t>9866M</t>
  </si>
  <si>
    <t>9866L</t>
  </si>
  <si>
    <t>ELAT-MONR-230.0-1</t>
  </si>
  <si>
    <t>5283</t>
  </si>
  <si>
    <t>MONROE SUBSTATION</t>
  </si>
  <si>
    <t>ELDO-NCAR-115.0-1</t>
  </si>
  <si>
    <t>ELDORADO SPRINGS SUBSTATION</t>
  </si>
  <si>
    <t>9205 METER VAR</t>
  </si>
  <si>
    <t>ELDO</t>
  </si>
  <si>
    <t>ELDO-PLNV_TP-115.0-1</t>
  </si>
  <si>
    <t>PLAINVIEW TAP</t>
  </si>
  <si>
    <t>ELDO-RALS-115.0-1</t>
  </si>
  <si>
    <t>9688</t>
  </si>
  <si>
    <t>RALSTON SUBSTATION</t>
  </si>
  <si>
    <t>ELDO-VALM-115.0-1</t>
  </si>
  <si>
    <t>9046</t>
  </si>
  <si>
    <t>9046 C7C8C9</t>
  </si>
  <si>
    <t>9046 246Y</t>
  </si>
  <si>
    <t>9046 135Y</t>
  </si>
  <si>
    <t>9046 C4C5C6</t>
  </si>
  <si>
    <t>9046 246X</t>
  </si>
  <si>
    <t>9046 METER VAR</t>
  </si>
  <si>
    <t>9046 C1C2C3</t>
  </si>
  <si>
    <t>9046M</t>
  </si>
  <si>
    <t>ENGL_TP-LITT-115.0-1</t>
  </si>
  <si>
    <t>LITTLETON SUBSTATION</t>
  </si>
  <si>
    <t>FEDC_TP-QUAK_TP-115.0-1</t>
  </si>
  <si>
    <t>QUAKER TAP</t>
  </si>
  <si>
    <t>FEDE-SEMP-115.0-1</t>
  </si>
  <si>
    <t>FITZ-CHAM-115.0-1</t>
  </si>
  <si>
    <t>FLUP-FSVR-230.0-1</t>
  </si>
  <si>
    <t>5311</t>
  </si>
  <si>
    <t>FORT LUPTON SUBSTATION</t>
  </si>
  <si>
    <t>FORT SAINT VRAIN SWITCHYARD</t>
  </si>
  <si>
    <t>FSVR</t>
  </si>
  <si>
    <t>5311_67GP</t>
  </si>
  <si>
    <t>FLUP</t>
  </si>
  <si>
    <t>FLUP-FSVR-230.0-2</t>
  </si>
  <si>
    <t>5329</t>
  </si>
  <si>
    <t>FLUP-HNLK-230.0-1</t>
  </si>
  <si>
    <t>5047</t>
  </si>
  <si>
    <t>HENRY LAKE (Tri State)</t>
  </si>
  <si>
    <t>FLUP-JLGR-230.0-1</t>
  </si>
  <si>
    <t>5183</t>
  </si>
  <si>
    <t>J. L. Green</t>
  </si>
  <si>
    <t>JLGR</t>
  </si>
  <si>
    <t>FLUP-PAWN-230.0-1</t>
  </si>
  <si>
    <t>5463</t>
  </si>
  <si>
    <t>PAWNEE 345KV</t>
  </si>
  <si>
    <t>TL5463_67GB</t>
  </si>
  <si>
    <t>PAWN</t>
  </si>
  <si>
    <t>TL5463_67GP</t>
  </si>
  <si>
    <t>5463_67GP</t>
  </si>
  <si>
    <t>PLATTE VALLEY</t>
  </si>
  <si>
    <t>Lilac</t>
  </si>
  <si>
    <t>PVAL</t>
  </si>
  <si>
    <t>9499 135X</t>
  </si>
  <si>
    <t>9499 135Y</t>
  </si>
  <si>
    <t>9499 246Y</t>
  </si>
  <si>
    <t>9499 246X</t>
  </si>
  <si>
    <t>J.M. SHAFER GENERATING STATION</t>
  </si>
  <si>
    <t>TCTI</t>
  </si>
  <si>
    <t>FLUP-VASQ-115.0-1</t>
  </si>
  <si>
    <t>9494 246Y</t>
  </si>
  <si>
    <t>9494 135X</t>
  </si>
  <si>
    <t>9494 246X</t>
  </si>
  <si>
    <t>FRGD-PVAL-115.0-1</t>
  </si>
  <si>
    <t>FAIRGROUNDS SUBSTATION</t>
  </si>
  <si>
    <t>FRGD-THTN-115.0-1</t>
  </si>
  <si>
    <t>FSVR-ISAB-230.0-1</t>
  </si>
  <si>
    <t>5307</t>
  </si>
  <si>
    <t>ISABELLE SUBSTATION</t>
  </si>
  <si>
    <t>FSVR-KEEN-230.0-1</t>
  </si>
  <si>
    <t>5327</t>
  </si>
  <si>
    <t>KEENESBURG SUBSTATION</t>
  </si>
  <si>
    <t>TL5327 PK-2-2</t>
  </si>
  <si>
    <t>TL5327 PK-2-1</t>
  </si>
  <si>
    <t>FSVR-SPIN-230.0-1</t>
  </si>
  <si>
    <t>5953</t>
  </si>
  <si>
    <t>SPINDLE SUBSTATION</t>
  </si>
  <si>
    <t>FSVR-WELD-230.0-1</t>
  </si>
  <si>
    <t>5315</t>
  </si>
  <si>
    <t>WELD SUBSTATION</t>
  </si>
  <si>
    <t>5315_67GS_230KV</t>
  </si>
  <si>
    <t>5315_67GP_230KV</t>
  </si>
  <si>
    <t>FSVR-WIND-230.0-1</t>
  </si>
  <si>
    <t>FULTON SUBSTATION</t>
  </si>
  <si>
    <t>PARKWAY (Tri State)</t>
  </si>
  <si>
    <t>FULT</t>
  </si>
  <si>
    <t>FVNG-MIDW-230.0-1</t>
  </si>
  <si>
    <t>5123</t>
  </si>
  <si>
    <t>FOUNTAIN VALLEY NUG SWITCHYARD</t>
  </si>
  <si>
    <t>230 BUSN MU C</t>
  </si>
  <si>
    <t>FVNG</t>
  </si>
  <si>
    <t>230 BUSN MU A</t>
  </si>
  <si>
    <t>230 BUSN MU B</t>
  </si>
  <si>
    <t>GEOR-HEND-115.0-1</t>
  </si>
  <si>
    <t>HENDERSON SUBSTATION</t>
  </si>
  <si>
    <t>HEND</t>
  </si>
  <si>
    <t>9665 METER AMP</t>
  </si>
  <si>
    <t>9665 METER W</t>
  </si>
  <si>
    <t>GILC-GODF-115.0-1</t>
  </si>
  <si>
    <t>GODFREY SUBSTATION</t>
  </si>
  <si>
    <t>HORIZON SUBSTATION</t>
  </si>
  <si>
    <t>HORI</t>
  </si>
  <si>
    <t>WASHINGTON SUBSTATION</t>
  </si>
  <si>
    <t>WASH</t>
  </si>
  <si>
    <t>GODF-GRLY-115.0-1</t>
  </si>
  <si>
    <t>9118</t>
  </si>
  <si>
    <t>GREELEY SUBSTATION</t>
  </si>
  <si>
    <t>9118 135X</t>
  </si>
  <si>
    <t>GRLY</t>
  </si>
  <si>
    <t>9118 135Y</t>
  </si>
  <si>
    <t>9118 246X</t>
  </si>
  <si>
    <t>GODF-JOHN-115.0-1</t>
  </si>
  <si>
    <t>8365</t>
  </si>
  <si>
    <t>JOHNSTOWN SUBSTATION</t>
  </si>
  <si>
    <t>GODF</t>
  </si>
  <si>
    <t>GRAY-LAKE-115.0-1</t>
  </si>
  <si>
    <t>9000</t>
  </si>
  <si>
    <t>LAKEWOOD SUBSTATION</t>
  </si>
  <si>
    <t>4/0 - 7</t>
  </si>
  <si>
    <t>LAKE</t>
  </si>
  <si>
    <t>9000 METER VAR</t>
  </si>
  <si>
    <t>GRAY-LAKE-115.0-2</t>
  </si>
  <si>
    <t>9005</t>
  </si>
  <si>
    <t>9005 METER VAR</t>
  </si>
  <si>
    <t>GRAY-SOUT-115.0-1</t>
  </si>
  <si>
    <t>9332-2G</t>
  </si>
  <si>
    <t>9332L</t>
  </si>
  <si>
    <t>GREE-MONA-230.0-1</t>
  </si>
  <si>
    <t>5717</t>
  </si>
  <si>
    <t>MONACO SUBSTATION</t>
  </si>
  <si>
    <t>MONA</t>
  </si>
  <si>
    <t>GREE-PRAI-230.0-1</t>
  </si>
  <si>
    <t>GREE</t>
  </si>
  <si>
    <t>GREE-PRAI-230.0-2</t>
  </si>
  <si>
    <t>GRLY-MONF-115.0-1</t>
  </si>
  <si>
    <t>9115</t>
  </si>
  <si>
    <t>MONFORT SUBSTATION</t>
  </si>
  <si>
    <t>9915 135Y</t>
  </si>
  <si>
    <t>MONF</t>
  </si>
  <si>
    <t>9915 135X</t>
  </si>
  <si>
    <t>9115 246Y</t>
  </si>
  <si>
    <t>GRLY-WELD-115.0-1</t>
  </si>
  <si>
    <t>9995</t>
  </si>
  <si>
    <t>9995 135X</t>
  </si>
  <si>
    <t>246Y</t>
  </si>
  <si>
    <t>246X</t>
  </si>
  <si>
    <t>9995 135Y</t>
  </si>
  <si>
    <t>GRVL-FLUP-230.0-1</t>
  </si>
  <si>
    <t>5525</t>
  </si>
  <si>
    <t>GRVL-IMBO-230.0-1</t>
  </si>
  <si>
    <t>5277</t>
  </si>
  <si>
    <t>IMBODEN SUBSTATION</t>
  </si>
  <si>
    <t>IMBO</t>
  </si>
  <si>
    <t>GRVL-KEEN-230.0-1</t>
  </si>
  <si>
    <t>5279</t>
  </si>
  <si>
    <t>TL5279 AMP XDCR</t>
  </si>
  <si>
    <t>GRVL</t>
  </si>
  <si>
    <t>GRVL-KEEN-230.0-2</t>
  </si>
  <si>
    <t>5961</t>
  </si>
  <si>
    <t>TL5961 AMP XDCR</t>
  </si>
  <si>
    <t>GRVL-RMEC-230.0-1</t>
  </si>
  <si>
    <t>5271</t>
  </si>
  <si>
    <t>ROCKY MOUNTAIN ENERGY CENTER</t>
  </si>
  <si>
    <t>TL5271 AMP XDCR</t>
  </si>
  <si>
    <t>GRVL-SKYR-230.0-1</t>
  </si>
  <si>
    <t>5275</t>
  </si>
  <si>
    <t>SKY RANCH SUBSTATION</t>
  </si>
  <si>
    <t>SKYR</t>
  </si>
  <si>
    <t>GRVL-SPRU-230.0-1</t>
  </si>
  <si>
    <t>5270</t>
  </si>
  <si>
    <t>SPRUCE SUBSTATION</t>
  </si>
  <si>
    <t>TL5270 AMP XDCR</t>
  </si>
  <si>
    <t>5270 AMP XDCR</t>
  </si>
  <si>
    <t>SPRU</t>
  </si>
  <si>
    <t>GUNB-NIWO-230.0-1</t>
  </si>
  <si>
    <t>5635</t>
  </si>
  <si>
    <t>GUNBARREL SUBSTATION</t>
  </si>
  <si>
    <t>NIWOT SUBSTATION</t>
  </si>
  <si>
    <t>GUNB-NIWO-230.0-2</t>
  </si>
  <si>
    <t>5639</t>
  </si>
  <si>
    <t>HAGE_TP-MALT-230.0-1</t>
  </si>
  <si>
    <t>5245</t>
  </si>
  <si>
    <t>HAGERMAN PASS TAP</t>
  </si>
  <si>
    <t>HARR-LEET-115.0-1</t>
  </si>
  <si>
    <t>9955</t>
  </si>
  <si>
    <t>LEETSDALE SUBSTATION</t>
  </si>
  <si>
    <t>HAVA-CHAM-115.0-1</t>
  </si>
  <si>
    <t>9544-5</t>
  </si>
  <si>
    <t>HAVA-CHAM-115.0-2</t>
  </si>
  <si>
    <t>HAYDEN (WAPA)</t>
  </si>
  <si>
    <t>FOIDEL CREEK SUBSTATION</t>
  </si>
  <si>
    <t>HAYD</t>
  </si>
  <si>
    <t>HEND-PORT-115.0-1</t>
  </si>
  <si>
    <t>8054</t>
  </si>
  <si>
    <t>PORTAL SUBSTATION</t>
  </si>
  <si>
    <t>8054 METER VAR</t>
  </si>
  <si>
    <t>8054 METER AMP</t>
  </si>
  <si>
    <t>8054 METER W</t>
  </si>
  <si>
    <t>HMIL-MSST-345.0-1</t>
  </si>
  <si>
    <t>7081</t>
  </si>
  <si>
    <t>HARVEST MILE</t>
  </si>
  <si>
    <t>HMIL-SMOK-230.0-1</t>
  </si>
  <si>
    <t>5179</t>
  </si>
  <si>
    <t>HMIL</t>
  </si>
  <si>
    <t>TL5179 DFR</t>
  </si>
  <si>
    <t>HMIL-SMOK-345.0-1</t>
  </si>
  <si>
    <t>HMIL-SMOK-345.0-2</t>
  </si>
  <si>
    <t>7087</t>
  </si>
  <si>
    <t>HOGB-LOOK-115.0-1</t>
  </si>
  <si>
    <t>9794 246X</t>
  </si>
  <si>
    <t>9794 135X</t>
  </si>
  <si>
    <t>9794 135Y</t>
  </si>
  <si>
    <t>9794 METER VAR</t>
  </si>
  <si>
    <t>HOGB-SODA-115.0-1</t>
  </si>
  <si>
    <t>9794 246Y</t>
  </si>
  <si>
    <t>HOPK-BASA-115.0-1</t>
  </si>
  <si>
    <t>9256</t>
  </si>
  <si>
    <t>HOPK-HAGE_TP-230.0-1</t>
  </si>
  <si>
    <t>HORI-ADOB-230.0-1</t>
  </si>
  <si>
    <t>HOST-MURP-230.0-1</t>
  </si>
  <si>
    <t>HOMESTEAD SUBSTATION</t>
  </si>
  <si>
    <t>MURPHY CREEK SUBSTATION</t>
  </si>
  <si>
    <t>Swift</t>
  </si>
  <si>
    <t>HOST</t>
  </si>
  <si>
    <t>SULPHUR SUBSTATION</t>
  </si>
  <si>
    <t>IDAH-LOOK-230.0-1</t>
  </si>
  <si>
    <t>5005 METER VAR</t>
  </si>
  <si>
    <t>IMBO-SPRU-230.0-1</t>
  </si>
  <si>
    <t>5188, 5277</t>
  </si>
  <si>
    <t>JEWE-LEET-230.0-1</t>
  </si>
  <si>
    <t>5285_67GP</t>
  </si>
  <si>
    <t>LEET</t>
  </si>
  <si>
    <t>JEWE-TOLL-230.0-1</t>
  </si>
  <si>
    <t>JOHN-WELD-115.0-1</t>
  </si>
  <si>
    <t>JOHN</t>
  </si>
  <si>
    <t>ORCHARD SUBSTATION</t>
  </si>
  <si>
    <t>JORD</t>
  </si>
  <si>
    <t>ORCH</t>
  </si>
  <si>
    <t>LAFA-PKWY-115.0-1</t>
  </si>
  <si>
    <t>9481</t>
  </si>
  <si>
    <t>LAFAYETTE SUBSTATION</t>
  </si>
  <si>
    <t>Partridge</t>
  </si>
  <si>
    <t>LAFA</t>
  </si>
  <si>
    <t>LAFA-VALM-115.0-1</t>
  </si>
  <si>
    <t>LAKE-RIDG-115.0-1</t>
  </si>
  <si>
    <t>RIDGE SUBSTATION</t>
  </si>
  <si>
    <t>RIDG</t>
  </si>
  <si>
    <t>LAKE-RIDG-115.0-2</t>
  </si>
  <si>
    <t>LASS-LAMA-230.0-1</t>
  </si>
  <si>
    <t>5513</t>
  </si>
  <si>
    <t>LAMAR (TRI-STATE)</t>
  </si>
  <si>
    <t>230 5513 MU C</t>
  </si>
  <si>
    <t>230 5513 MU B</t>
  </si>
  <si>
    <t>230 5513 MU A</t>
  </si>
  <si>
    <t>LEAD-MALT-115.0-1</t>
  </si>
  <si>
    <t>LEADVILLE SUBSTATION</t>
  </si>
  <si>
    <t>LEAD</t>
  </si>
  <si>
    <t>LEAD_TP1-LEAD-115.0-1</t>
  </si>
  <si>
    <t>LEAD_TP1-MALT-115.0-1</t>
  </si>
  <si>
    <t>LEAD_TP2-LEAD-115.0-1</t>
  </si>
  <si>
    <t>LEADVILLE TAP 2</t>
  </si>
  <si>
    <t>LEAD_TP2-LEAD-115.0-2</t>
  </si>
  <si>
    <t>LEAD_TP2-ROBI-115.0-1</t>
  </si>
  <si>
    <t>LEET-MONR-230.0-1</t>
  </si>
  <si>
    <t>LEET-SAND-115.0-1</t>
  </si>
  <si>
    <t>9286</t>
  </si>
  <si>
    <t>LEET-SULL-230.0-1</t>
  </si>
  <si>
    <t>5281</t>
  </si>
  <si>
    <t>SULLIVAN SUBSTATION</t>
  </si>
  <si>
    <t>LEET-UNIV-115.0-1</t>
  </si>
  <si>
    <t>LEGGETT SUBSTATION</t>
  </si>
  <si>
    <t>LEGG</t>
  </si>
  <si>
    <t>NIWO</t>
  </si>
  <si>
    <t>PLEN</t>
  </si>
  <si>
    <t>LITT-WATE_TP-115.0-1</t>
  </si>
  <si>
    <t>Waterton Tap 9336</t>
  </si>
  <si>
    <t>LKGE-TARR-115.0-1</t>
  </si>
  <si>
    <t>TARRYALL SUBSTATION</t>
  </si>
  <si>
    <t>8384 135X</t>
  </si>
  <si>
    <t>TARR</t>
  </si>
  <si>
    <t>LOOK-PLEN-230.0-1</t>
  </si>
  <si>
    <t>5025</t>
  </si>
  <si>
    <t>5025 METER VAR</t>
  </si>
  <si>
    <t>LOOK-PLEN-230.0-2</t>
  </si>
  <si>
    <t>5027</t>
  </si>
  <si>
    <t>LOOK-QUAK_TP-115.0-1</t>
  </si>
  <si>
    <t>1½" (AL 40)</t>
  </si>
  <si>
    <t>9122 METER VAR</t>
  </si>
  <si>
    <t>LOOK-RIDG-230.0-1</t>
  </si>
  <si>
    <t>5029</t>
  </si>
  <si>
    <t>L5029 METER VAR</t>
  </si>
  <si>
    <t>5029 METER VAR</t>
  </si>
  <si>
    <t>LOOK-WEST-230.0-1</t>
  </si>
  <si>
    <t>LOUI</t>
  </si>
  <si>
    <t>9052 135Y</t>
  </si>
  <si>
    <t>9052 135X</t>
  </si>
  <si>
    <t>9052 246X</t>
  </si>
  <si>
    <t>9052 246Y</t>
  </si>
  <si>
    <t>LYDS_TP-PLNV_TP-115.0-1</t>
  </si>
  <si>
    <t>LYDS_TP-RIDG-115.0-1</t>
  </si>
  <si>
    <t>MALT-BASA-230.0-1</t>
  </si>
  <si>
    <t>5149</t>
  </si>
  <si>
    <t>230 L5149 C</t>
  </si>
  <si>
    <t>230 L5149 B</t>
  </si>
  <si>
    <t>230 L5149 A</t>
  </si>
  <si>
    <t>MALT-HARS-230.0-1</t>
  </si>
  <si>
    <t>5145</t>
  </si>
  <si>
    <t>HARTSEL (IREA)</t>
  </si>
  <si>
    <t>MAPL-CALI_TP-115.0-1</t>
  </si>
  <si>
    <t>MAPL-SAND-115.0-1</t>
  </si>
  <si>
    <t>MARC-WATE-230.0-1</t>
  </si>
  <si>
    <t>MAYF-SUMM-115.0-1</t>
  </si>
  <si>
    <t>MEADOW HILLS SUBSTATION</t>
  </si>
  <si>
    <t>MEAD</t>
  </si>
  <si>
    <t>MIDW-JFUL-230.0-1</t>
  </si>
  <si>
    <t>5129</t>
  </si>
  <si>
    <t>5129_VAR_230KV</t>
  </si>
  <si>
    <t>MIDW-WATE-345.0-1</t>
  </si>
  <si>
    <t>7051</t>
  </si>
  <si>
    <t>WATE</t>
  </si>
  <si>
    <t>MILL-PORT-115.0-1</t>
  </si>
  <si>
    <t>8054 246Y</t>
  </si>
  <si>
    <t>8054 135Y</t>
  </si>
  <si>
    <t>8054 135X</t>
  </si>
  <si>
    <t>MNGL-PLEN-230.0-1</t>
  </si>
  <si>
    <t>5389</t>
  </si>
  <si>
    <t>MOON GULCH SUBSTATION</t>
  </si>
  <si>
    <t>MNGL-SIMM-230.0-1</t>
  </si>
  <si>
    <t>SIMMS SUBSTATION</t>
  </si>
  <si>
    <t>MONA-GREE-230.0-2</t>
  </si>
  <si>
    <t>5705</t>
  </si>
  <si>
    <t>MONA-SULL-230.0-1</t>
  </si>
  <si>
    <t>MONA-TECH-230.0-1</t>
  </si>
  <si>
    <t>TECH CENTER SUBSTATION</t>
  </si>
  <si>
    <t>MONF-LPNO_TP-115.0-1</t>
  </si>
  <si>
    <t>8265</t>
  </si>
  <si>
    <t>LEPRINO TAP</t>
  </si>
  <si>
    <t>8265 135X</t>
  </si>
  <si>
    <t>8265 246Y</t>
  </si>
  <si>
    <t>8265 135Y</t>
  </si>
  <si>
    <t>MONF-TMON-115.0-1</t>
  </si>
  <si>
    <t>8264</t>
  </si>
  <si>
    <t>Termo Monfort Co-Gen</t>
  </si>
  <si>
    <t>8264 246X</t>
  </si>
  <si>
    <t>TMON</t>
  </si>
  <si>
    <t>MT. HARRIS SUBSTATION</t>
  </si>
  <si>
    <t>NIWO-ISAB-230.0-1</t>
  </si>
  <si>
    <t>5637</t>
  </si>
  <si>
    <t>NORT-CHER-115.0-1</t>
  </si>
  <si>
    <t>9541</t>
  </si>
  <si>
    <t>NORTH SUBSTATION</t>
  </si>
  <si>
    <t>Violet</t>
  </si>
  <si>
    <t>NORT</t>
  </si>
  <si>
    <t>9541 PKG-S</t>
  </si>
  <si>
    <t>9541 XDCR AMP</t>
  </si>
  <si>
    <t>NORT-SAND-115.0-1</t>
  </si>
  <si>
    <t>9311</t>
  </si>
  <si>
    <t>Grosbeak</t>
  </si>
  <si>
    <t>9311 A 67GP</t>
  </si>
  <si>
    <t>SAND</t>
  </si>
  <si>
    <t>9311 B 67GB</t>
  </si>
  <si>
    <t>9311_67GS</t>
  </si>
  <si>
    <t>9311 _67GP</t>
  </si>
  <si>
    <t>NORTH YUMA</t>
  </si>
  <si>
    <t>SPRING CANYON SUBSTATION</t>
  </si>
  <si>
    <t>NOYM</t>
  </si>
  <si>
    <t>PALM-MONU-115.0-1</t>
  </si>
  <si>
    <t>9605</t>
  </si>
  <si>
    <t>Monument TRI STATE</t>
  </si>
  <si>
    <t>MONU</t>
  </si>
  <si>
    <t>PARA-RIFL-230.0-1</t>
  </si>
  <si>
    <t>5205</t>
  </si>
  <si>
    <t>5205 246X</t>
  </si>
  <si>
    <t>5205 246Y</t>
  </si>
  <si>
    <t>5205 135Y</t>
  </si>
  <si>
    <t>5205 135X</t>
  </si>
  <si>
    <t>PARA_TP-PARA-230.0-1</t>
  </si>
  <si>
    <t>5503</t>
  </si>
  <si>
    <t>PARACHUTE TAP</t>
  </si>
  <si>
    <t>PARA_TP-UTER-230.0-1</t>
  </si>
  <si>
    <t>PAWN-BRIC-230.0-1</t>
  </si>
  <si>
    <t>5467</t>
  </si>
  <si>
    <t>BRICK CENTER</t>
  </si>
  <si>
    <t>TL5467_50/69S</t>
  </si>
  <si>
    <t>PAWN-MANC-230.0-1</t>
  </si>
  <si>
    <t>5461</t>
  </si>
  <si>
    <t>MANCHIEF</t>
  </si>
  <si>
    <t>L5461 PK-2</t>
  </si>
  <si>
    <t>MANC</t>
  </si>
  <si>
    <t>L5461 FT-1</t>
  </si>
  <si>
    <t>230 TL5461 MU A</t>
  </si>
  <si>
    <t>L5461 W/VAR XDCR</t>
  </si>
  <si>
    <t>230 TL5461 MU C</t>
  </si>
  <si>
    <t>230 TL5461 MU B</t>
  </si>
  <si>
    <t>PAWN-MSST-230.0-1</t>
  </si>
  <si>
    <t>5457</t>
  </si>
  <si>
    <t>PAWN-MSST-345.0-1</t>
  </si>
  <si>
    <t>7091</t>
  </si>
  <si>
    <t>PLEN-PENG-230.0-1</t>
  </si>
  <si>
    <t>5261</t>
  </si>
  <si>
    <t>PLAINS END NUG (PG&amp;E)</t>
  </si>
  <si>
    <t>5261 METER, JEM 10</t>
  </si>
  <si>
    <t>PENG</t>
  </si>
  <si>
    <t>230 BUS MU C</t>
  </si>
  <si>
    <t>5261 PK2</t>
  </si>
  <si>
    <t>230 BUS MU B</t>
  </si>
  <si>
    <t>230 BUS MU A</t>
  </si>
  <si>
    <t>5261 W/VAR XDCR</t>
  </si>
  <si>
    <t>Poncha WAPA</t>
  </si>
  <si>
    <t>PNCW</t>
  </si>
  <si>
    <t>PONC-SARG-115.0-1</t>
  </si>
  <si>
    <t>9811</t>
  </si>
  <si>
    <t>SARGENT SUBSTATION</t>
  </si>
  <si>
    <t>PONC</t>
  </si>
  <si>
    <t>9811 135X</t>
  </si>
  <si>
    <t>9811_A_XDCR_115KV</t>
  </si>
  <si>
    <t>9811_KWH_IN_115KV</t>
  </si>
  <si>
    <t>9811 246X</t>
  </si>
  <si>
    <t>9811_KWH_OUT_115KV</t>
  </si>
  <si>
    <t>9811 246Y</t>
  </si>
  <si>
    <t>PONC-SMEL-115.0-1</t>
  </si>
  <si>
    <t>9812</t>
  </si>
  <si>
    <t>SMELTERTOWN</t>
  </si>
  <si>
    <t>115 9812 M C</t>
  </si>
  <si>
    <t>115 9812 M A</t>
  </si>
  <si>
    <t>9812_W_VAR_115KV</t>
  </si>
  <si>
    <t>PTAR-BLUE-230.0-1</t>
  </si>
  <si>
    <t>5367</t>
  </si>
  <si>
    <t>QUIN-BRIC-230.0-1</t>
  </si>
  <si>
    <t>5165</t>
  </si>
  <si>
    <t>QUINCY SUBSTATION</t>
  </si>
  <si>
    <t>BRIC</t>
  </si>
  <si>
    <t>QUIN-SMOK-230.0-1</t>
  </si>
  <si>
    <t>RALS-RIDG-115.0-1</t>
  </si>
  <si>
    <t>9054</t>
  </si>
  <si>
    <t>9054 METER VAR</t>
  </si>
  <si>
    <t>RALS-RIDG-115.0-2</t>
  </si>
  <si>
    <t>9688 METER VAR</t>
  </si>
  <si>
    <t>RALS-VALM-115.0-1</t>
  </si>
  <si>
    <t>9054M</t>
  </si>
  <si>
    <t>9054L</t>
  </si>
  <si>
    <t>RECY-FLUP-115.0-1</t>
  </si>
  <si>
    <t>RECYCLING - COORS</t>
  </si>
  <si>
    <t>9053 246Y</t>
  </si>
  <si>
    <t>9053 135X</t>
  </si>
  <si>
    <t>9053 246X</t>
  </si>
  <si>
    <t>9053 135Y</t>
  </si>
  <si>
    <t>9053M</t>
  </si>
  <si>
    <t>9053-7</t>
  </si>
  <si>
    <t>RECY</t>
  </si>
  <si>
    <t>8340</t>
  </si>
  <si>
    <t>RECY-FULT-115.0-1</t>
  </si>
  <si>
    <t>RIDG-ARVA-230.0-1</t>
  </si>
  <si>
    <t>RIVE-HNLK-230.0-1</t>
  </si>
  <si>
    <t>RMEC-KEEN-230.0-1</t>
  </si>
  <si>
    <t>5565</t>
  </si>
  <si>
    <t>5565_MU_PK-2_230KV</t>
  </si>
  <si>
    <t>RMEC</t>
  </si>
  <si>
    <t>230 5565 MU B</t>
  </si>
  <si>
    <t>5565_MU_TS_230KV</t>
  </si>
  <si>
    <t>5565_MU_A2_230KV</t>
  </si>
  <si>
    <t>230 5565 MU A</t>
  </si>
  <si>
    <t>230 5565 MU C</t>
  </si>
  <si>
    <t>ROBI-SUMM-115.0-1</t>
  </si>
  <si>
    <t>ROSE-ARRL-115.0-1</t>
  </si>
  <si>
    <t>9996</t>
  </si>
  <si>
    <t>ROSEDALE SUBSTATION</t>
  </si>
  <si>
    <t>ARROWHEAD SUBSTATION</t>
  </si>
  <si>
    <t>ROSE-UNCS-115.0-1</t>
  </si>
  <si>
    <t>8014</t>
  </si>
  <si>
    <t>UNC SWITCHING STATION</t>
  </si>
  <si>
    <t>UNCS</t>
  </si>
  <si>
    <t>RUSS-CHER-230.0-1</t>
  </si>
  <si>
    <t>5021</t>
  </si>
  <si>
    <t>RUSSELL SUBSTATION</t>
  </si>
  <si>
    <t>RUSS-RIDG-230.0-1</t>
  </si>
  <si>
    <t>L5021 METER VAR</t>
  </si>
  <si>
    <t>SANT_TP-SANT-230.0-1</t>
  </si>
  <si>
    <t>REUN</t>
  </si>
  <si>
    <t>SKYR-SPRU-230.0-1</t>
  </si>
  <si>
    <t>5735</t>
  </si>
  <si>
    <t>SLVA-BLPK-115.0-1</t>
  </si>
  <si>
    <t>9431</t>
  </si>
  <si>
    <t>SAN LUIS VALLEY SUBSTATION</t>
  </si>
  <si>
    <t>9431 246Y</t>
  </si>
  <si>
    <t>SLVA</t>
  </si>
  <si>
    <t>SLVA-SARG-115.0-1</t>
  </si>
  <si>
    <t>9811 135Y</t>
  </si>
  <si>
    <t>MURP</t>
  </si>
  <si>
    <t>POWHATON SUBSTATION</t>
  </si>
  <si>
    <t>POWH</t>
  </si>
  <si>
    <t>SMOK-SPRU-230.0-1</t>
  </si>
  <si>
    <t>5177</t>
  </si>
  <si>
    <t>5177 AMP XDCR</t>
  </si>
  <si>
    <t>SODA-CHAT-230.0-1</t>
  </si>
  <si>
    <t>SODA-LOOK-230.0-1</t>
  </si>
  <si>
    <t>5851</t>
  </si>
  <si>
    <t>5851 METER VAR</t>
  </si>
  <si>
    <t>SOUT-ARLQ_TP-115.0-1</t>
  </si>
  <si>
    <t>9332-1G</t>
  </si>
  <si>
    <t>Sidney (TSGT)</t>
  </si>
  <si>
    <t>SPRU-CHAM-230.0-1</t>
  </si>
  <si>
    <t>5185</t>
  </si>
  <si>
    <t>5185 AMP XDCR</t>
  </si>
  <si>
    <t>PICADILLY</t>
  </si>
  <si>
    <t>PICA</t>
  </si>
  <si>
    <t>SPRU-POWH-230.0-1</t>
  </si>
  <si>
    <t>5171 AMP XDCR</t>
  </si>
  <si>
    <t>LEMON GULCH</t>
  </si>
  <si>
    <t>LEMO</t>
  </si>
  <si>
    <t>SRDG</t>
  </si>
  <si>
    <t>STEA-FOID-230.0-1</t>
  </si>
  <si>
    <t>5817</t>
  </si>
  <si>
    <t>STEAMBOAT SUBSTATION</t>
  </si>
  <si>
    <t>5817 XDCR AMP</t>
  </si>
  <si>
    <t>STEA</t>
  </si>
  <si>
    <t>5817 XDCR WVAR</t>
  </si>
  <si>
    <t>STEA-FOID-230.0-2</t>
  </si>
  <si>
    <t>5811</t>
  </si>
  <si>
    <t>5811 XDCR AMP</t>
  </si>
  <si>
    <t>5811 XDCR WVAR</t>
  </si>
  <si>
    <t>SULL-JEWE-230.0-1</t>
  </si>
  <si>
    <t>SULL-TECH-230.0-1</t>
  </si>
  <si>
    <t>SULP</t>
  </si>
  <si>
    <t>TARR-HARS-230.0-1</t>
  </si>
  <si>
    <t>5995</t>
  </si>
  <si>
    <t>TARR-WATE-230.0-1</t>
  </si>
  <si>
    <t>5803</t>
  </si>
  <si>
    <t>TOWER SUBSTATION</t>
  </si>
  <si>
    <t>TOWE</t>
  </si>
  <si>
    <t>UNCS-LPNO_TP-115.0-1</t>
  </si>
  <si>
    <t>8265 246X</t>
  </si>
  <si>
    <t>UNCS-UNCC-115.0-1</t>
  </si>
  <si>
    <t>8271</t>
  </si>
  <si>
    <t>UNC QF</t>
  </si>
  <si>
    <t>UTEG-COLL-138.0-1</t>
  </si>
  <si>
    <t>3015</t>
  </si>
  <si>
    <t>C841 135Y</t>
  </si>
  <si>
    <t>C841 135X</t>
  </si>
  <si>
    <t>UTEG-UTER-345.0-1</t>
  </si>
  <si>
    <t>7302</t>
  </si>
  <si>
    <t>7302_21P</t>
  </si>
  <si>
    <t>UTER-MEEK-345.0-1</t>
  </si>
  <si>
    <t>7300</t>
  </si>
  <si>
    <t>MEEKER (TRI STATE)</t>
  </si>
  <si>
    <t>7300 METER VAR</t>
  </si>
  <si>
    <t>UTER</t>
  </si>
  <si>
    <t>MEEK</t>
  </si>
  <si>
    <t>RIFLE (WAPA)</t>
  </si>
  <si>
    <t>VAIL-AVON-115.0-1</t>
  </si>
  <si>
    <t>8425</t>
  </si>
  <si>
    <t>VAIL SUBSTATION</t>
  </si>
  <si>
    <t>8430 246X</t>
  </si>
  <si>
    <t>VAIL</t>
  </si>
  <si>
    <t>8425 246X</t>
  </si>
  <si>
    <t>8430 135X</t>
  </si>
  <si>
    <t>VAIL-WOLC-115.0-1</t>
  </si>
  <si>
    <t>8416</t>
  </si>
  <si>
    <t>8416 246X</t>
  </si>
  <si>
    <t>VALM-SIMM-230.0-1</t>
  </si>
  <si>
    <t>VALM-SPIN-230.0-1</t>
  </si>
  <si>
    <t>5385</t>
  </si>
  <si>
    <t>WATE-MART_TP-115.0-1</t>
  </si>
  <si>
    <t>WATE-WATE_TP-115.0-1</t>
  </si>
  <si>
    <t>WELD-ARRL-115.0-1</t>
  </si>
  <si>
    <t>FOID</t>
  </si>
  <si>
    <t>WOOD-DIVI-115.0-1</t>
  </si>
  <si>
    <t>8455</t>
  </si>
  <si>
    <t>WOODLAND PARK SUBSTATION</t>
  </si>
  <si>
    <t>8450</t>
  </si>
  <si>
    <t>WOOD</t>
  </si>
  <si>
    <t>WOOD-FLAK-115.0-1</t>
  </si>
  <si>
    <t>FOREST LAKE</t>
  </si>
  <si>
    <t>115 BUSW MU A</t>
  </si>
  <si>
    <t>FLAK</t>
  </si>
  <si>
    <t>115 BUSW MU B</t>
  </si>
  <si>
    <t>115 BUSW MU C</t>
  </si>
  <si>
    <t>CIRCUIT_SWITCHER</t>
  </si>
  <si>
    <t>See Ambient Adjusted Ratings Section</t>
  </si>
  <si>
    <t>SUBSTATION</t>
  </si>
  <si>
    <t>HIGH SIDE PSSE</t>
  </si>
  <si>
    <t>LOWSIDE PSSE</t>
  </si>
  <si>
    <t>EQUIPMENT NAME</t>
  </si>
  <si>
    <t>EQUIPMENT TYPE</t>
  </si>
  <si>
    <t>VOLTAGE (kV)</t>
  </si>
  <si>
    <t>ARAP-TR05-230.0-115.0-13.8-HX</t>
  </si>
  <si>
    <t>TR05</t>
  </si>
  <si>
    <t>TRANSFORMER</t>
  </si>
  <si>
    <t>BK05 BCT H-SA</t>
  </si>
  <si>
    <t>BASA-TR01-230.0-115.0-13.8-HX</t>
  </si>
  <si>
    <t>TR01</t>
  </si>
  <si>
    <t>BK01 X 14 15 16</t>
  </si>
  <si>
    <t>BASA-TR02-230.0-115.0-13.8-HX</t>
  </si>
  <si>
    <t>TR02</t>
  </si>
  <si>
    <t>CABLE_TERMINATOR</t>
  </si>
  <si>
    <t>Jessamine</t>
  </si>
  <si>
    <t>BEAV-TR01-230.0-115.0-13.8-HX</t>
  </si>
  <si>
    <t>DG-2 115KV</t>
  </si>
  <si>
    <t>TR01 X 11 12 13</t>
  </si>
  <si>
    <t>TR01 X 8 9 10</t>
  </si>
  <si>
    <t>BLUE-TR01-230.0-115.0-13.8-HX</t>
  </si>
  <si>
    <t>BOON-TR01-230.0-115.0-13.8-HX</t>
  </si>
  <si>
    <t>BRIC-TR01-230.0-115.0-15.0-HX</t>
  </si>
  <si>
    <t>9971</t>
  </si>
  <si>
    <t>CABI-TR01-230.0-115.0-11.5-HX</t>
  </si>
  <si>
    <t>CABI-TR02-230.0-115.0-11.5-HX</t>
  </si>
  <si>
    <t>CHAM-TR01-230.0-115.0-13.8-HX</t>
  </si>
  <si>
    <t>CHAM-TR02-230.0-115.0-13.8-HX</t>
  </si>
  <si>
    <t>CHER-TR01-230.0-115.0-13.8-HX</t>
  </si>
  <si>
    <t>CHER-TR02-230.0-115.0-13.8-HX</t>
  </si>
  <si>
    <t>COMA-TR01-230.0-115.0-13.8-HX</t>
  </si>
  <si>
    <t>COMA-TR02-230.0-115.0-13.8-HX</t>
  </si>
  <si>
    <t>COMA-TR03-345.0-230.0-13.8-HX</t>
  </si>
  <si>
    <t>TR03</t>
  </si>
  <si>
    <t>COMA-TR04-345.0-230.0-13.8-HX</t>
  </si>
  <si>
    <t>TR04</t>
  </si>
  <si>
    <t>DANI-TR01-230.0-115.0-13.8-HX</t>
  </si>
  <si>
    <t>DANI-TR03-345.0-230.0-13.8-HX</t>
  </si>
  <si>
    <t>DANI-TR04-345.0-230.0-13.8-HX</t>
  </si>
  <si>
    <t>INSULATED_CABLE</t>
  </si>
  <si>
    <t>DANI-TR05-345.0-230.0-13.8-HX</t>
  </si>
  <si>
    <t>DILL-TR02-230.0-115.0-13.2-HX</t>
  </si>
  <si>
    <t>8182 135X</t>
  </si>
  <si>
    <t>8182 246X</t>
  </si>
  <si>
    <t>DTER-TR02-230.0-115.0-13.8-HX</t>
  </si>
  <si>
    <t>FLUP-TR03-230.0-115.0-13.8-HX</t>
  </si>
  <si>
    <t>HMIL-TR01-345.0-230.0-13.8-HX</t>
  </si>
  <si>
    <t>HOPK-TR02-230.0-115.0-13.8-HX</t>
  </si>
  <si>
    <t>HOPK-TR03-230.0-115.0-13.8-HX</t>
  </si>
  <si>
    <t>9713 135X</t>
  </si>
  <si>
    <t>LEET-TR04-230.0-115.0-13.8-HX</t>
  </si>
  <si>
    <t>LEET-TR05-230.0-115.0-13.8-HX</t>
  </si>
  <si>
    <t>LOOK-TR01-230.0-115.0-13.8-HX</t>
  </si>
  <si>
    <t>LOOK-TR02-230.0-115.0-13.8-HX</t>
  </si>
  <si>
    <t>9792 135X</t>
  </si>
  <si>
    <t>MALT-TR01-230.0-115.0-13.8-HX</t>
  </si>
  <si>
    <t>MALT-TR02-230.0-115.0-13.8-HX</t>
  </si>
  <si>
    <t>MIDW-TR01-230.0-115.0-13.8-HX</t>
  </si>
  <si>
    <t>MIDW-TR03-345.0-230.0-13.8-HX</t>
  </si>
  <si>
    <t>MSST-TR01-345.0-230.0-13.8-HX</t>
  </si>
  <si>
    <t>PAWN-TR02-345.0-230.0-13.8-HX</t>
  </si>
  <si>
    <t>PAWN-TR03-345.0-230.0-13.8-HX</t>
  </si>
  <si>
    <t>PONC-TR04-230.0-115.0-13.8-HX</t>
  </si>
  <si>
    <t>RIDG-TR02-230.0-115.0-13.8-HX</t>
  </si>
  <si>
    <t>SMOK-TR01-230.0-115.0-13.8-HX</t>
  </si>
  <si>
    <t>SMOK-TR02-230.0-115.0-13.8-HX</t>
  </si>
  <si>
    <t>SMOK-TR04-345.0-230.0-13.8-HX</t>
  </si>
  <si>
    <t>SMOK-TR05-345.0-230.0-13.8-HX</t>
  </si>
  <si>
    <t>SODA-TR02-230.0-115.0-13.8-HX</t>
  </si>
  <si>
    <t>SULP-TR01-230.0-115.0-13.8-HX</t>
  </si>
  <si>
    <t>SULP-TR02-230.0-115.0-13.8-HX</t>
  </si>
  <si>
    <t>TARR-TR01-230.0-115.0-13.8-HX</t>
  </si>
  <si>
    <t>TR01 X BCT SB</t>
  </si>
  <si>
    <t>UTEG-TR01-345.0-230.0-13.8-HX</t>
  </si>
  <si>
    <t>UTEG-TR02-138.0-115.0-13.8-HX</t>
  </si>
  <si>
    <t>UTER-TR03-230.0-138.0-13.8-HX</t>
  </si>
  <si>
    <t>R812</t>
  </si>
  <si>
    <t>R814</t>
  </si>
  <si>
    <t>UTER-TR04A-345.0-230.0-13.8-HX</t>
  </si>
  <si>
    <t>TR04A</t>
  </si>
  <si>
    <t>VALM-TR07-230.0-115.0-13.8-HX</t>
  </si>
  <si>
    <t>TR07</t>
  </si>
  <si>
    <t>BK07 BCT X-SC</t>
  </si>
  <si>
    <t>VALM-TR08-230.0-115.0-13.8-HX</t>
  </si>
  <si>
    <t>TR08</t>
  </si>
  <si>
    <t>9058 XDCR AMP BC</t>
  </si>
  <si>
    <t>9058 XDCR AMP A</t>
  </si>
  <si>
    <t>WATE-TR01-230.0-115.0-13.8-HX</t>
  </si>
  <si>
    <t>WATE-TR02-230.0-115.0-13.8-HX</t>
  </si>
  <si>
    <t>WATE-TR03-345.0-230.0-13.8-HX</t>
  </si>
  <si>
    <t>WELD-TR01-230.0-115.0-13.8-HX</t>
  </si>
  <si>
    <t xml:space="preserve">Temporary Rating For Bancrroft Outage     (Valid Until 11-01-17) </t>
  </si>
  <si>
    <t xml:space="preserve"> </t>
  </si>
  <si>
    <t xml:space="preserve">                                 </t>
  </si>
  <si>
    <t>SUBSTATION / TRANSMISSION
FACILITY EQUIPMENT
RATINGS FAC-008-3
Revision 2018-04
August, 2018</t>
  </si>
  <si>
    <t>Limiting
Element</t>
  </si>
  <si>
    <t>Comments</t>
  </si>
  <si>
    <t>NUMERICAL LISTING BY CIRCUIT NUMBER</t>
  </si>
  <si>
    <t>Bus Rating</t>
  </si>
  <si>
    <t xml:space="preserve">Transmission &amp; Substation Equipment Rating for T-line </t>
  </si>
  <si>
    <t>Next Limiting Element</t>
  </si>
  <si>
    <t>Substation</t>
  </si>
  <si>
    <t>Bus /  Line Breaker Rating</t>
  </si>
  <si>
    <t>Breaker 2 Rating</t>
  </si>
  <si>
    <t>Breaker 3 Rating</t>
  </si>
  <si>
    <t>Line
#</t>
  </si>
  <si>
    <t>kV</t>
  </si>
  <si>
    <t>From</t>
  </si>
  <si>
    <t>To</t>
  </si>
  <si>
    <t>Ambient Outside Temperature
( °F )</t>
  </si>
  <si>
    <t>Source Of
Limiting
Element</t>
  </si>
  <si>
    <t>Summer</t>
  </si>
  <si>
    <t>Winter</t>
  </si>
  <si>
    <t>Line 
Bkr
#</t>
  </si>
  <si>
    <t>Bkr
#</t>
  </si>
  <si>
    <t xml:space="preserve">Normal
Rating
MVA </t>
  </si>
  <si>
    <t>Emerg.
Rating
MVA</t>
  </si>
  <si>
    <t>Normal
Rating
Amps</t>
  </si>
  <si>
    <t>Emerg.
Rating
Amps</t>
  </si>
  <si>
    <t>PSCo</t>
  </si>
  <si>
    <t>PRPA</t>
  </si>
  <si>
    <t>TSGT</t>
  </si>
  <si>
    <t>WAPA</t>
  </si>
  <si>
    <t>Other</t>
  </si>
  <si>
    <t>Revision
Date</t>
  </si>
  <si>
    <t>T-Line Conductor</t>
  </si>
  <si>
    <t>X</t>
  </si>
  <si>
    <t>Converted to GIST2</t>
  </si>
  <si>
    <t>Otero Pumping Station Tap</t>
  </si>
  <si>
    <t>New Rating From Transmission</t>
  </si>
  <si>
    <t>Buena Vista Tap</t>
  </si>
  <si>
    <t>Ray Lewis Sub.</t>
  </si>
  <si>
    <t>Ray Lewis Sub. / Transmission Line</t>
  </si>
  <si>
    <t>636 ACSR Jumper / T-Line Conductor</t>
  </si>
  <si>
    <t>636 ACSR Jumper</t>
  </si>
  <si>
    <t>Ray Lewis/ Transmission Line</t>
  </si>
  <si>
    <t>Poncha Junction Sub.</t>
  </si>
  <si>
    <t>Poncha Jct Sub. / Transmission Line</t>
  </si>
  <si>
    <t>Switch / T-Line Conductor</t>
  </si>
  <si>
    <t xml:space="preserve">Poncha Junction Sub.  </t>
  </si>
  <si>
    <t>Switch / Switch</t>
  </si>
  <si>
    <t>PSCo Region Energy Supply Facility Equipment Ratings</t>
  </si>
  <si>
    <t>BES Plant</t>
  </si>
  <si>
    <t>Name Plate Data</t>
  </si>
  <si>
    <t>Most Limiting Equipment</t>
  </si>
  <si>
    <t>Next Most Limiting Equipment</t>
  </si>
  <si>
    <t>Gen</t>
  </si>
  <si>
    <t>GSU</t>
  </si>
  <si>
    <t>LS GSU</t>
  </si>
  <si>
    <t>HS GSU</t>
  </si>
  <si>
    <t>LS Value</t>
  </si>
  <si>
    <t>LS Gen</t>
  </si>
  <si>
    <t>Limiting I Hi Side of GSU to Transmission</t>
  </si>
  <si>
    <t>LS Value Lmt I Hi Side of GSU to Trans</t>
  </si>
  <si>
    <t>Series/Shunt</t>
  </si>
  <si>
    <t>HS of GSU</t>
  </si>
  <si>
    <t>LS of GSU</t>
  </si>
  <si>
    <t>Limiting</t>
  </si>
  <si>
    <t>Gen CT</t>
  </si>
  <si>
    <t>Gen Bus</t>
  </si>
  <si>
    <t>Disconnect</t>
  </si>
  <si>
    <t>Subs ID</t>
  </si>
  <si>
    <t>GSU TR</t>
  </si>
  <si>
    <t>GSU HS</t>
  </si>
  <si>
    <t>GSU LS</t>
  </si>
  <si>
    <t>CT</t>
  </si>
  <si>
    <t xml:space="preserve">CT </t>
  </si>
  <si>
    <t>Bkr</t>
  </si>
  <si>
    <t>Bkr CTs</t>
  </si>
  <si>
    <t xml:space="preserve">GSU TR </t>
  </si>
  <si>
    <t>Relay Trip</t>
  </si>
  <si>
    <t>Compensation</t>
  </si>
  <si>
    <t xml:space="preserve">Limiting </t>
  </si>
  <si>
    <t>Electrical</t>
  </si>
  <si>
    <t>Hi Side of GSU to Yard</t>
  </si>
  <si>
    <t>Plant</t>
  </si>
  <si>
    <t>Unit</t>
  </si>
  <si>
    <t>MVA</t>
  </si>
  <si>
    <t>KV</t>
  </si>
  <si>
    <t>Amps</t>
  </si>
  <si>
    <t>A number</t>
  </si>
  <si>
    <t>kVolt</t>
  </si>
  <si>
    <t>CT Amps</t>
  </si>
  <si>
    <t>Ratio</t>
  </si>
  <si>
    <t>Devices</t>
  </si>
  <si>
    <t>Current</t>
  </si>
  <si>
    <t>Equipment</t>
  </si>
  <si>
    <t>(Info from Trans)</t>
  </si>
  <si>
    <t>Alamosa - Summer</t>
  </si>
  <si>
    <t>NA</t>
  </si>
  <si>
    <t>A48601</t>
  </si>
  <si>
    <t>Generator</t>
  </si>
  <si>
    <t>Alamosa - Winter</t>
  </si>
  <si>
    <t>Blue Spruce - Summer</t>
  </si>
  <si>
    <t>Blue Spruce - Winter</t>
  </si>
  <si>
    <t>Blue Spruce 230 kV- Summer</t>
  </si>
  <si>
    <t>C</t>
  </si>
  <si>
    <t>Blue Spruce 230 kV - Winter</t>
  </si>
  <si>
    <t xml:space="preserve">Cabin Creek </t>
  </si>
  <si>
    <t>A</t>
  </si>
  <si>
    <t>A35401, 2, 3</t>
  </si>
  <si>
    <t>Gen Bus *</t>
  </si>
  <si>
    <t>B</t>
  </si>
  <si>
    <t>A35404, 5, 6</t>
  </si>
  <si>
    <t xml:space="preserve">Cherokee </t>
  </si>
  <si>
    <t>SC</t>
  </si>
  <si>
    <t>A72401</t>
  </si>
  <si>
    <t>A55601</t>
  </si>
  <si>
    <t>Cherokee - Summer</t>
  </si>
  <si>
    <t>954 kCML Conductor</t>
  </si>
  <si>
    <t>Cherokee - Winter</t>
  </si>
  <si>
    <t xml:space="preserve">Comanche </t>
  </si>
  <si>
    <t>A625</t>
  </si>
  <si>
    <t>Fort St Vrain - Summer</t>
  </si>
  <si>
    <t>A38401</t>
  </si>
  <si>
    <t>Fort St Vrain - Winter</t>
  </si>
  <si>
    <t>A63001</t>
  </si>
  <si>
    <t>A66301</t>
  </si>
  <si>
    <t>A69801</t>
  </si>
  <si>
    <t>Ft Lupton - Summer</t>
  </si>
  <si>
    <t>A45001</t>
  </si>
  <si>
    <t>Ft Lupton - Winter</t>
  </si>
  <si>
    <t>Ft Lupton GSU Summer</t>
  </si>
  <si>
    <t>LS GSU Bus</t>
  </si>
  <si>
    <t>Ft Lupton GSU Winter</t>
  </si>
  <si>
    <t xml:space="preserve">Hayden </t>
  </si>
  <si>
    <t>A62101</t>
  </si>
  <si>
    <t>Generator *</t>
  </si>
  <si>
    <t>A59701</t>
  </si>
  <si>
    <t>Pawnee</t>
  </si>
  <si>
    <t>A49001 A49101</t>
  </si>
  <si>
    <t>RMEC - Summer</t>
  </si>
  <si>
    <t>RMEC - Winter</t>
  </si>
  <si>
    <t>Valmont -Summer</t>
  </si>
  <si>
    <t>A45701</t>
  </si>
  <si>
    <t>Yard Bkr CT</t>
  </si>
  <si>
    <t>Valmont - Winter</t>
  </si>
  <si>
    <t>Date</t>
  </si>
  <si>
    <t>Revision</t>
  </si>
  <si>
    <t>Change</t>
  </si>
  <si>
    <t>Methodology</t>
  </si>
  <si>
    <t>Refer to EPR 5.200 and EPR 5.220P01</t>
  </si>
  <si>
    <t xml:space="preserve">Added a combined unit at BSP to standardize approach with Subs Engineering. Corrected typo for BSP1 winter rating 4" bus. Updated FSV5 and FSV6 relay trip info. Updated Comanche 3 value provided by Subs Engineering, Limiting and Next Most Limiting Elements changed. </t>
  </si>
  <si>
    <t>Isophase Bus</t>
  </si>
  <si>
    <t>Manufacturer nameplate value if available, else used generator current rating.</t>
  </si>
  <si>
    <t>Transformer</t>
  </si>
  <si>
    <t>Removed Valmont 5 as unit was retired. Updated FSV5 GSU ratio to correspond to tap change. Corrected typo in revision block for Rev 22 - Date corrected to 9/22/2017</t>
  </si>
  <si>
    <t xml:space="preserve">Limiting I Hi Side of GSU to Transmission </t>
  </si>
  <si>
    <t>Value is a combination of ES ratings and Subs Engineering Ratings as determined from rating demarcation agreement</t>
  </si>
  <si>
    <t xml:space="preserve">Updated to reflect new relay settings at Alamosa, VAL 6, CHR 5,6 &amp;7, COM 1,2, &amp;3, FSV 1-4, FLP 1&amp;2, PAW and RMEC. Corrected rounding error at FSV1. Corrected CT ratios at CHR7, FSV2, FSV5, HAY1-2, and RMEC3. Added a combined unit at FLP  to standardize methodology with other regions. </t>
  </si>
  <si>
    <t>Notes</t>
  </si>
  <si>
    <t>Updated to reflect new values provided by Subs Engineering. Removed orange and blue highlights. No limiting elements changed.</t>
  </si>
  <si>
    <t>Gray highlighted values are used to determine the limiting component.</t>
  </si>
  <si>
    <t>Emergency ratings have not been supplied by Equipment Manufactures therefore, only normal ratings are used</t>
  </si>
  <si>
    <t>Corrected Hayden 2 GSU low side voltage. Revised Comanche 1&amp;2 transformer ratios due to tap change. Modified to correspond to demarcation with Subs and added CH 5, 6 &amp; 7 values</t>
  </si>
  <si>
    <t>* Indicates multiple equipment at this rating.</t>
  </si>
  <si>
    <t>Revised "Limiting I from Hi Side of GSU to Yard" data for Cherokee 5, 6 &amp; 7. Removed Cherokee 3, unit retired.</t>
  </si>
  <si>
    <t>Added Cherokee 5, 6 and 7. Updated relay trip amps for units.</t>
  </si>
  <si>
    <t>Removed Arapahoe 3 &amp; 4 as units were retired. Updated column T with new info from Transmission.</t>
  </si>
  <si>
    <t>Corrected values for CO3 HS GSU CT, AR3 LS GSU CT and AR3 Gen Bus. At the request of Substation Eng Design added columns for GSU Subs ID, Nominal GSU HS kV value and HS current values for limiting equipment</t>
  </si>
  <si>
    <t>Added Values for Gen Disonnects for FSV 2-6, RMEC 1 &amp; 2, and Valmont 6</t>
  </si>
  <si>
    <t>Formatted sheet to reflect changes to EPR 5.220_P01.</t>
  </si>
  <si>
    <t>Changed designation for Cherokee 2 to SC</t>
  </si>
  <si>
    <t>Added CH2 Synchronous Condenser. Removed CH1, unit decommisioned</t>
  </si>
  <si>
    <t>Updated data to correlate with the 2012 Capacity Ratings issued by Performance Testing. Removed Cherokee 2 as it is retired.</t>
  </si>
  <si>
    <t>Updated column R with new information from Transmission</t>
  </si>
  <si>
    <t>Rearranged columns to clarify limiting electrical equipment. Highlighted the column and added note describing the highlight. Added note that tested MVAR comes from D curve</t>
  </si>
  <si>
    <t>Added columns for Gen Disconnect and GSU CTs. Rplaced components from high side of GSU w/ info from Transmission. Removed Craig units from sheet. Added RMEC and Blue Spruce units. Correlated with 2011 Generation Data</t>
  </si>
  <si>
    <t>Updated data sheet to correlate with the 2010 Generation Data issued by Performance Testing</t>
  </si>
  <si>
    <t>Added Series/Shunt Device column and note on emergency ratings</t>
  </si>
  <si>
    <t>Added ampacity rating for GSU-Switchyard condutors</t>
  </si>
  <si>
    <t>Removed Zuni 1, unit retired. Added low side and high side generator breakers values. Note, these values did not change results. Corrected Gen CT Amps for CC A&amp;B, CH 2, FL 1&amp;2 and VA 5&amp;6.</t>
  </si>
  <si>
    <t>Updated data sheet to correlate with the 2009 Generation Data issued by Performance Testing</t>
  </si>
  <si>
    <t>Added FSV 5 &amp; 6. Modified CT summer and winter ratings.</t>
  </si>
  <si>
    <t>Corrected Gen MVA ratings to max H2 pressure</t>
  </si>
  <si>
    <t>Updated Net MW from test data for AR 3 &amp;4, HA 2 &amp; ZU 1</t>
  </si>
  <si>
    <t>Added revision block, added winter and summer ratings to CTs and added Craig units.</t>
  </si>
  <si>
    <t>Origional Issue</t>
  </si>
  <si>
    <t>PSCo Region Energy Supply Facility Equipment Ratings - Wind Farms</t>
  </si>
  <si>
    <t>Plant/Site</t>
  </si>
  <si>
    <t>Unit Type</t>
  </si>
  <si>
    <t>Combined MVA</t>
  </si>
  <si>
    <t>Transformer HS kV</t>
  </si>
  <si>
    <t>Transformer LS kV</t>
  </si>
  <si>
    <t>HS of Xfmr Limiting Current</t>
  </si>
  <si>
    <t>LS of Xfmr Limiting Current</t>
  </si>
  <si>
    <t>Limiting Electrical Equipment</t>
  </si>
  <si>
    <t>Rush Creek 1</t>
  </si>
  <si>
    <t>1101A</t>
  </si>
  <si>
    <t>34.5 kV Feeder</t>
  </si>
  <si>
    <t>1101B</t>
  </si>
  <si>
    <t>34.5 kV Collector</t>
  </si>
  <si>
    <t>1102A</t>
  </si>
  <si>
    <t>1102B</t>
  </si>
  <si>
    <t>1103A</t>
  </si>
  <si>
    <t>1103B</t>
  </si>
  <si>
    <t>1104A</t>
  </si>
  <si>
    <t>1104B</t>
  </si>
  <si>
    <t>C1153</t>
  </si>
  <si>
    <t>Cap Bank Feeder</t>
  </si>
  <si>
    <t>C1154</t>
  </si>
  <si>
    <t>C1155</t>
  </si>
  <si>
    <t>1150C</t>
  </si>
  <si>
    <t>Capacitor Switch Feeder</t>
  </si>
  <si>
    <t>R1151</t>
  </si>
  <si>
    <t>Reactor Feeder</t>
  </si>
  <si>
    <t>R1152</t>
  </si>
  <si>
    <t>1150R</t>
  </si>
  <si>
    <t>Reactor Switch Feeder</t>
  </si>
  <si>
    <t>34.5 kV Capacitor/Reactor Collector</t>
  </si>
  <si>
    <t>1201A</t>
  </si>
  <si>
    <t>1201B</t>
  </si>
  <si>
    <t>1202A</t>
  </si>
  <si>
    <t>1202B</t>
  </si>
  <si>
    <t>1203 Feeder</t>
  </si>
  <si>
    <t>1203 Breaker</t>
  </si>
  <si>
    <t>1204A</t>
  </si>
  <si>
    <t>1204B</t>
  </si>
  <si>
    <t>C1253</t>
  </si>
  <si>
    <t>C1254</t>
  </si>
  <si>
    <t>C1255</t>
  </si>
  <si>
    <t>1250C</t>
  </si>
  <si>
    <t>R1251</t>
  </si>
  <si>
    <t>1250R</t>
  </si>
  <si>
    <t>1001M</t>
  </si>
  <si>
    <t>Collector Tie Switch</t>
  </si>
  <si>
    <t>XFMR T1 - Normal</t>
  </si>
  <si>
    <t>Main Power Transformer-Normal</t>
  </si>
  <si>
    <t>XFMR T2 - Normal</t>
  </si>
  <si>
    <t>XFMR T1 - Bus Tie</t>
  </si>
  <si>
    <t>Main Power Transformer-Tie</t>
  </si>
  <si>
    <t>XFMR T2 - Bus Tie</t>
  </si>
  <si>
    <t>Combined Rush Creek 1 Rating</t>
  </si>
  <si>
    <t>Rush Creek 2</t>
  </si>
  <si>
    <t>2101A</t>
  </si>
  <si>
    <t>2101B</t>
  </si>
  <si>
    <t>2101A/B</t>
  </si>
  <si>
    <t>2101C</t>
  </si>
  <si>
    <t>2102A</t>
  </si>
  <si>
    <t>2102B</t>
  </si>
  <si>
    <t>2103A</t>
  </si>
  <si>
    <t>2103B</t>
  </si>
  <si>
    <t>2104A</t>
  </si>
  <si>
    <t>2104B</t>
  </si>
  <si>
    <t>2105A</t>
  </si>
  <si>
    <t>2105B</t>
  </si>
  <si>
    <t>2105C</t>
  </si>
  <si>
    <t>2105B/C</t>
  </si>
  <si>
    <t>C2153</t>
  </si>
  <si>
    <t>C2154</t>
  </si>
  <si>
    <t>C2155</t>
  </si>
  <si>
    <t>2150C</t>
  </si>
  <si>
    <t>R2151</t>
  </si>
  <si>
    <t>R2152</t>
  </si>
  <si>
    <t>2150R</t>
  </si>
  <si>
    <t>XFMR T1</t>
  </si>
  <si>
    <t>Main Power Transformer</t>
  </si>
  <si>
    <t>Combined Rush Creek 2 Rating</t>
  </si>
  <si>
    <t>Notes:</t>
  </si>
  <si>
    <t>* Indicates multiple pieces of equipment at that rating</t>
  </si>
  <si>
    <t xml:space="preserve">Initial Issue </t>
  </si>
  <si>
    <t xml:space="preserve">Added information for Pronghorn switching station and line to Missile site per coordination with Subs Engineering. </t>
  </si>
  <si>
    <t xml:space="preserve">Updated metering CT rating for line 7107. Nex Most Limiting Element changed. </t>
  </si>
  <si>
    <t>Wind Generator Ratings:</t>
  </si>
  <si>
    <t>Mk10D</t>
  </si>
  <si>
    <t>Mk10C</t>
  </si>
  <si>
    <t>Wind Generator MW Rating</t>
  </si>
  <si>
    <t>Inductive (under-excited) MVAR Rating</t>
  </si>
  <si>
    <t>Capacitive (over-excited) MVAR Rating</t>
  </si>
  <si>
    <t>Inductive MVA Rating</t>
  </si>
  <si>
    <t>Capacitive MVA Rating</t>
  </si>
  <si>
    <t>Feeder Ratings</t>
  </si>
  <si>
    <t>Feeder</t>
  </si>
  <si>
    <t># MK10C</t>
  </si>
  <si>
    <t>#MK10D</t>
  </si>
  <si>
    <t>Combined MW</t>
  </si>
  <si>
    <t>Combined MVAR (Ind)</t>
  </si>
  <si>
    <t>Combined MVAR (Cap)</t>
  </si>
  <si>
    <t>Underground Cable</t>
  </si>
  <si>
    <t>Jumper to Disconnect</t>
  </si>
  <si>
    <t>Disconnect to Bus</t>
  </si>
  <si>
    <t>Feeder Disconnect</t>
  </si>
  <si>
    <t>Downstream Most Limiting Current</t>
  </si>
  <si>
    <t>Downstream Next Most Limiting</t>
  </si>
  <si>
    <t>Limiting Current</t>
  </si>
  <si>
    <t>Most Limiting Element</t>
  </si>
  <si>
    <t>Next Most Limiting Current</t>
  </si>
  <si>
    <t>Next Most Limiting Element</t>
  </si>
  <si>
    <t>Combined Equip MVA</t>
  </si>
  <si>
    <t>Disconnect Switch*</t>
  </si>
  <si>
    <t>Feeder Breaker Ratings</t>
  </si>
  <si>
    <t>Breaker</t>
  </si>
  <si>
    <t>Bus: Feeder DS to Reactor</t>
  </si>
  <si>
    <t>Jumper: Bus to Reactor</t>
  </si>
  <si>
    <t>Reactor</t>
  </si>
  <si>
    <t>Jumper: Reactor to Bus</t>
  </si>
  <si>
    <t>Bus: Jumper to DS</t>
  </si>
  <si>
    <t>Jumper: DS to Breaker</t>
  </si>
  <si>
    <t>Feeder Side Disconnect</t>
  </si>
  <si>
    <t>Feeder Side CT</t>
  </si>
  <si>
    <t>Bus Side Disconnect</t>
  </si>
  <si>
    <t>Bus Side CT</t>
  </si>
  <si>
    <t>Jumper: Breaker to DS</t>
  </si>
  <si>
    <t>Jumper: DS to Main Bus</t>
  </si>
  <si>
    <t>Relay Trip Amps</t>
  </si>
  <si>
    <t>Limiting Element</t>
  </si>
  <si>
    <t>Reactor*</t>
  </si>
  <si>
    <t>Cap Switcher Feeder Ratings</t>
  </si>
  <si>
    <t>Switcher</t>
  </si>
  <si>
    <t>Jumper: Cap to Switcher</t>
  </si>
  <si>
    <t>Jumper: Switcher to bus</t>
  </si>
  <si>
    <t>Reactor Switcher Feeder Ratings</t>
  </si>
  <si>
    <t xml:space="preserve">Bus </t>
  </si>
  <si>
    <t>Jumper: Bus to switcher</t>
  </si>
  <si>
    <t>Jumper: switcher to bus</t>
  </si>
  <si>
    <t>Cap Bank and Reactor Feeder Ratings</t>
  </si>
  <si>
    <t>Bus to Disconnect</t>
  </si>
  <si>
    <t>Jumper: Bus to Disconnect</t>
  </si>
  <si>
    <t>Relay Trip Setpoint</t>
  </si>
  <si>
    <t>Cap/Reactor Breaker Ratings</t>
  </si>
  <si>
    <t>Bus to Breaker</t>
  </si>
  <si>
    <t>Jumper: Bus to Breaker</t>
  </si>
  <si>
    <t>Jumper: Breaker to Disconnect</t>
  </si>
  <si>
    <t>Jumper: DS to Bus</t>
  </si>
  <si>
    <t>Main Power Transformer Ratings - Normal Configuration</t>
  </si>
  <si>
    <t>Note: hidden cells used to calculate next most limiting element</t>
  </si>
  <si>
    <t>Low Side Main Bus</t>
  </si>
  <si>
    <t>Jumper: Main to Bus</t>
  </si>
  <si>
    <t>Bus to DS</t>
  </si>
  <si>
    <t>Metering CT</t>
  </si>
  <si>
    <t>Jumper: DS to Xfmr</t>
  </si>
  <si>
    <t>LS Xfmr CTs</t>
  </si>
  <si>
    <t>Xfmr MVA Rating</t>
  </si>
  <si>
    <t>Xfmr HS kVolt</t>
  </si>
  <si>
    <t>Xfmr LS kVolt</t>
  </si>
  <si>
    <t>Xfmr Turns Ratio</t>
  </si>
  <si>
    <t>Xfmr LS Current Rating</t>
  </si>
  <si>
    <t>HS Xfmr CTs</t>
  </si>
  <si>
    <t>LS value of HS CTs</t>
  </si>
  <si>
    <t>Jumper: Xfmr to Bus</t>
  </si>
  <si>
    <t>LS value of Jumper</t>
  </si>
  <si>
    <t>Bus</t>
  </si>
  <si>
    <t>LS value of Bus</t>
  </si>
  <si>
    <t>Jumper: Bus to Bkr</t>
  </si>
  <si>
    <t>LS Value of Jumper</t>
  </si>
  <si>
    <t>Xfmr side Bkr CTs</t>
  </si>
  <si>
    <t>LS value of CTs</t>
  </si>
  <si>
    <t>LS value of Breaker</t>
  </si>
  <si>
    <t>Line side Bkr CTs</t>
  </si>
  <si>
    <t>Jumper: Bkr to DS</t>
  </si>
  <si>
    <t>Disconnect Switch</t>
  </si>
  <si>
    <t>LS Value of DS</t>
  </si>
  <si>
    <t>Low Bus to Line DS</t>
  </si>
  <si>
    <t>Riser to High Bus</t>
  </si>
  <si>
    <t>LS value of Riser</t>
  </si>
  <si>
    <t>High Bus to Line DS</t>
  </si>
  <si>
    <t>LS Relay Trip Amps</t>
  </si>
  <si>
    <t>XFMR T2</t>
  </si>
  <si>
    <t>Bus Tie Switch Rating</t>
  </si>
  <si>
    <t>Switch</t>
  </si>
  <si>
    <t>Switch CTs</t>
  </si>
  <si>
    <t>Main Power Transformer Ratings - Bus Tie Configuration</t>
  </si>
  <si>
    <t>Limiting Element from Normal Config</t>
  </si>
  <si>
    <t>Next Most Limiting Element from Normal Config</t>
  </si>
  <si>
    <t>Transmission Line Rating</t>
  </si>
  <si>
    <t>Line</t>
  </si>
  <si>
    <t>Bus from CB</t>
  </si>
  <si>
    <t>Jumper to Wave Trap</t>
  </si>
  <si>
    <t>Wave Trap</t>
  </si>
  <si>
    <t>Jumper: Bus/Trap to DS</t>
  </si>
  <si>
    <t>Conductor to T- line</t>
  </si>
  <si>
    <t>Value from Subs Eng</t>
  </si>
  <si>
    <t>Step Up Xfmr Ratio</t>
  </si>
  <si>
    <t>Xfmr MVA</t>
  </si>
  <si>
    <t>Amps- Low Side</t>
  </si>
  <si>
    <t>Bus-LS</t>
  </si>
  <si>
    <t>Jumper - LS</t>
  </si>
  <si>
    <t>Disconnnect - LS</t>
  </si>
  <si>
    <t>Conductor - LS</t>
  </si>
  <si>
    <t>Relay Trip-LS</t>
  </si>
  <si>
    <t>Subs Eng - LS</t>
  </si>
  <si>
    <t>Most Limiting Current</t>
  </si>
  <si>
    <t>Meter</t>
  </si>
  <si>
    <t>WELD (WAPA)</t>
  </si>
  <si>
    <t>5223</t>
  </si>
  <si>
    <t>WELD-WEDW-115.0-1</t>
  </si>
  <si>
    <t>5221 246Y</t>
  </si>
  <si>
    <t>5221 246X</t>
  </si>
  <si>
    <t>5221 135Y</t>
  </si>
  <si>
    <t>5221 135X</t>
  </si>
  <si>
    <t>5223 246Y</t>
  </si>
  <si>
    <t>5223 246X</t>
  </si>
  <si>
    <t>5223 135Y</t>
  </si>
  <si>
    <t>5223 135X</t>
  </si>
  <si>
    <t>MIDW-MDWW-230.0-1</t>
  </si>
  <si>
    <t>BEAVER CREEK (WAPA)</t>
  </si>
  <si>
    <t>9409</t>
  </si>
  <si>
    <t>BEAV-BEVW-115.0-1</t>
  </si>
  <si>
    <t>Black Hills Relay</t>
  </si>
  <si>
    <t>MIDWAY BANK #1</t>
  </si>
  <si>
    <t>MIDWAY NODE A</t>
  </si>
  <si>
    <t>9641-A</t>
  </si>
  <si>
    <t>MIDW-115.0-BKR-9641</t>
  </si>
  <si>
    <t>Temporary Derate of circuits 1102, 1103, and 1104  turbines and cables at Rush Creek 1. Reference PCI Constraint ID 84099</t>
  </si>
  <si>
    <t>Updated Cherokee Synchronous Condenser (unit 2) GSU tap postion [Note: corrected date stamp on 9/13/2019 to 1/17/2019]</t>
  </si>
  <si>
    <t>Return circuits 1102, 1103, and 1104 to normal ratings at Rush Creek 1. Reference PCI Constraint ID 84099</t>
  </si>
  <si>
    <t>9004_135X_PK</t>
  </si>
  <si>
    <t>9004_135Y_PK</t>
  </si>
  <si>
    <t>5415 246Y</t>
  </si>
  <si>
    <t>5332S</t>
  </si>
  <si>
    <t>5337S</t>
  </si>
  <si>
    <t>5332N</t>
  </si>
  <si>
    <t>5335 246Y</t>
  </si>
  <si>
    <t>115 9155 MU B</t>
  </si>
  <si>
    <t>115 9155 MU C</t>
  </si>
  <si>
    <t>115 9155 MU A</t>
  </si>
  <si>
    <t>115 9156 MU A</t>
  </si>
  <si>
    <t>115 9156 MU C</t>
  </si>
  <si>
    <t>115 9156 MU B</t>
  </si>
  <si>
    <t>CAPI</t>
  </si>
  <si>
    <t>CCCB_TP-CDSY-230.0-1</t>
  </si>
  <si>
    <t>5967</t>
  </si>
  <si>
    <t>CEDAR CREEK CAP BANK</t>
  </si>
  <si>
    <t>CEDAR CREEK SWITCHYARD</t>
  </si>
  <si>
    <t>5023E</t>
  </si>
  <si>
    <t>DANI-HMIL-345.0-1</t>
  </si>
  <si>
    <t>7153</t>
  </si>
  <si>
    <t>DANI-MSST-345.0-1</t>
  </si>
  <si>
    <t>7109</t>
  </si>
  <si>
    <t>ELDO-NREL-115.0-1</t>
  </si>
  <si>
    <t>9587</t>
  </si>
  <si>
    <t>NREL</t>
  </si>
  <si>
    <t>230 5149 A</t>
  </si>
  <si>
    <t>230 5149 C</t>
  </si>
  <si>
    <t>230 5149 B</t>
  </si>
  <si>
    <t>NREL-PLNV_TP-115.0-1</t>
  </si>
  <si>
    <t>PLAINS END (COGENTRIX NUG)</t>
  </si>
  <si>
    <t>MIDWAY (WAPA) SUBSTATION</t>
  </si>
  <si>
    <t>CCCB_TP-KEEN-230.0-1</t>
  </si>
  <si>
    <t>KEEN</t>
  </si>
  <si>
    <t xml:space="preserve">Added Valmont units 7 and 8 to the spreadsheet. Updated CCH Unit A equipment changes. </t>
  </si>
  <si>
    <t xml:space="preserve">Addition of Shortgrass Switching Station. Changed line names to match Subs Engineering Designation. Updated L7107, L7132, L7192 value from Subs Eng. </t>
  </si>
  <si>
    <t>WELD-WEDW-230.0-1</t>
  </si>
  <si>
    <t>Cheyenne Ridge East</t>
  </si>
  <si>
    <t>C2152</t>
  </si>
  <si>
    <t>C2150</t>
  </si>
  <si>
    <t>R2150</t>
  </si>
  <si>
    <t>2201A</t>
  </si>
  <si>
    <t>2201B</t>
  </si>
  <si>
    <t>2202B</t>
  </si>
  <si>
    <t>2203A</t>
  </si>
  <si>
    <t>2203B</t>
  </si>
  <si>
    <t>C2252</t>
  </si>
  <si>
    <t>C2253</t>
  </si>
  <si>
    <t>C2250</t>
  </si>
  <si>
    <t>R2251</t>
  </si>
  <si>
    <t>R2250</t>
  </si>
  <si>
    <t>Collector Tie</t>
  </si>
  <si>
    <t>TR1</t>
  </si>
  <si>
    <t>TR2</t>
  </si>
  <si>
    <t>Combined Cheyenne Ridge East Rating</t>
  </si>
  <si>
    <t>Cheyenne Ridge West</t>
  </si>
  <si>
    <t>1101C</t>
  </si>
  <si>
    <t>1103C</t>
  </si>
  <si>
    <t>C1152</t>
  </si>
  <si>
    <t>C1150</t>
  </si>
  <si>
    <t>R1150</t>
  </si>
  <si>
    <t>1203A</t>
  </si>
  <si>
    <t>1203B</t>
  </si>
  <si>
    <t>C1252</t>
  </si>
  <si>
    <t>C1250</t>
  </si>
  <si>
    <t>R1250</t>
  </si>
  <si>
    <t>Combined Cheyenne Ridge West Rating</t>
  </si>
  <si>
    <t>Cheyenne Ridge Overall</t>
  </si>
  <si>
    <t>Combined Overall Rating - Cheyenne Ridge</t>
  </si>
  <si>
    <t>L7191, L7132, L7107 ratings provided on Rush Creek and Cheyenne Ridge base kv (34.5 kV) for reference. Actual system kV is 345 kV (also provided)</t>
  </si>
  <si>
    <t>L7191, L7132, L7107 ratings do not include a combined generation equipment MVA value. They only consider ratings provided by Subs Engineering</t>
  </si>
  <si>
    <t>Addition of Cheyenne Ridge East, Cheyenne Ridge West, and Cheyenne Ridge Overall</t>
  </si>
  <si>
    <t>RUSH CREEK RATING CALCULATIONS:</t>
  </si>
  <si>
    <t>CHEYENNE RIDGE RATING CALCULATIONS</t>
  </si>
  <si>
    <t xml:space="preserve">V110 </t>
  </si>
  <si>
    <t>V120</t>
  </si>
  <si>
    <t>V110</t>
  </si>
  <si>
    <t>Jumper: Feeder to Disconnect</t>
  </si>
  <si>
    <t>Jumper: Disconnect to Bus</t>
  </si>
  <si>
    <t>Cheyenne Rigde East</t>
  </si>
  <si>
    <t>Bus: Feeder to Jumper</t>
  </si>
  <si>
    <t>Bus: Jumper to Breaker</t>
  </si>
  <si>
    <t>Jumper: DS to Main Bus*</t>
  </si>
  <si>
    <t>Jumper: Switcher to Bus</t>
  </si>
  <si>
    <t>Bus: Disconnect to Riser</t>
  </si>
  <si>
    <t>Riser Bus</t>
  </si>
  <si>
    <t>Jumper: Bus to Switcher</t>
  </si>
  <si>
    <t>Jumper: Switcher to Disconnect</t>
  </si>
  <si>
    <t>Cap and Reactor Bus</t>
  </si>
  <si>
    <t>Relay Amps</t>
  </si>
  <si>
    <t>2250C</t>
  </si>
  <si>
    <t>2250R</t>
  </si>
  <si>
    <t>Jumper: Bus to main Bus</t>
  </si>
  <si>
    <t>Bus CT</t>
  </si>
  <si>
    <t>Feeder side CTs</t>
  </si>
  <si>
    <t>XFMR side CT</t>
  </si>
  <si>
    <t>Jumper: Disconnect to XFMR</t>
  </si>
  <si>
    <t xml:space="preserve">LS XFMR CT </t>
  </si>
  <si>
    <t>LS Value of HS CT</t>
  </si>
  <si>
    <t>LS Value of HS Jumper</t>
  </si>
  <si>
    <t>LS Value of HS Bus</t>
  </si>
  <si>
    <t>LS Value of HS Breaker XFMR Side CTs</t>
  </si>
  <si>
    <t>LS Value of HS Breaker</t>
  </si>
  <si>
    <t>LS Value of HS Breaker Line Side CTs</t>
  </si>
  <si>
    <t>LS Value of HS Disconnect</t>
  </si>
  <si>
    <t>LS Value of HS Riser</t>
  </si>
  <si>
    <t>XFMR Amps LS</t>
  </si>
  <si>
    <t>LS Value of Downstream Most Limiting Current</t>
  </si>
  <si>
    <t>LS Value of Downstream Next Most Limiting</t>
  </si>
  <si>
    <t>Array LS Value of Downstream Next Most Limiting</t>
  </si>
  <si>
    <t>XFMR TR1</t>
  </si>
  <si>
    <t>XFMR TR2</t>
  </si>
  <si>
    <t>Jumper: Disconnect to Breaker</t>
  </si>
  <si>
    <t>Breaker CTs Upstream Side</t>
  </si>
  <si>
    <t>Breaker CTs Downstream Side</t>
  </si>
  <si>
    <t>Jumper:  Breaker to Disconnect</t>
  </si>
  <si>
    <t>Transformer MVA</t>
  </si>
  <si>
    <t>LS XFMR CT</t>
  </si>
  <si>
    <t>Bus: Riser to Disconnect</t>
  </si>
  <si>
    <t>Jumper: Disconnect to Wave Trap</t>
  </si>
  <si>
    <t>Jumper: Wave Trap to 7215 Line</t>
  </si>
  <si>
    <t>T-line 7215</t>
  </si>
  <si>
    <t>HS XFMR AMPS</t>
  </si>
  <si>
    <t>LS Value of Most Limiting Current</t>
  </si>
  <si>
    <t>LS Value of Next Most Limiting Current</t>
  </si>
  <si>
    <t>Jumper: T-line 7215 to Wave Trap</t>
  </si>
  <si>
    <t>Jumper: Wave Trap to Disconnect</t>
  </si>
  <si>
    <t>Breaker CTs 7215 Side</t>
  </si>
  <si>
    <t>Breaker CTs 7199 Side</t>
  </si>
  <si>
    <t>Bus: Disconnect to Disconnect</t>
  </si>
  <si>
    <t xml:space="preserve">Disconnect </t>
  </si>
  <si>
    <t>Jumper: Wave Trap to 7199 Line</t>
  </si>
  <si>
    <t>Subs Engineering</t>
  </si>
  <si>
    <t>Disconnect*</t>
  </si>
  <si>
    <t>5487-3</t>
  </si>
  <si>
    <t>5759 246Y</t>
  </si>
  <si>
    <t>5759 135Y</t>
  </si>
  <si>
    <t>5875 246Y</t>
  </si>
  <si>
    <t>5875 135Y</t>
  </si>
  <si>
    <t>AVON</t>
  </si>
  <si>
    <t>BC544</t>
  </si>
  <si>
    <t>BIGH-COMA-230.0-1</t>
  </si>
  <si>
    <t>55173</t>
  </si>
  <si>
    <t>BIGHORN SOLAR</t>
  </si>
  <si>
    <t>BIGH</t>
  </si>
  <si>
    <t>5508 246X</t>
  </si>
  <si>
    <t>5508 246Y</t>
  </si>
  <si>
    <t>CCCB_TP-CCCB-230.0-1</t>
  </si>
  <si>
    <t>9556E</t>
  </si>
  <si>
    <t>9413W</t>
  </si>
  <si>
    <t>9537S</t>
  </si>
  <si>
    <t>9556L</t>
  </si>
  <si>
    <t>9537N</t>
  </si>
  <si>
    <t>9413L</t>
  </si>
  <si>
    <t>9547E</t>
  </si>
  <si>
    <t>9536N</t>
  </si>
  <si>
    <t>5411_W_XDCR_230KV</t>
  </si>
  <si>
    <t>5411_A_XDCR_C_230KV</t>
  </si>
  <si>
    <t>5411_VAR_XDCR_230KV</t>
  </si>
  <si>
    <t>5411_W_230KV</t>
  </si>
  <si>
    <t>5411_A_XDCR_B_230KV</t>
  </si>
  <si>
    <t>5411_AM_SWITCH_230KV</t>
  </si>
  <si>
    <t>5411_AM_230KV</t>
  </si>
  <si>
    <t>5411_A_XDCR_A_230KV</t>
  </si>
  <si>
    <t>B241 135X</t>
  </si>
  <si>
    <t>B241 135Y</t>
  </si>
  <si>
    <t>B231 246Y</t>
  </si>
  <si>
    <t>5111-1</t>
  </si>
  <si>
    <t>5313-1</t>
  </si>
  <si>
    <t>WIND</t>
  </si>
  <si>
    <t>5675</t>
  </si>
  <si>
    <t>5674</t>
  </si>
  <si>
    <t>5313-2</t>
  </si>
  <si>
    <t>9332-2</t>
  </si>
  <si>
    <t>5129_W_VAR_XDCR_230KV</t>
  </si>
  <si>
    <t>5129_AM_230KV</t>
  </si>
  <si>
    <t>5129_A_XDCR_230KV</t>
  </si>
  <si>
    <t>PALM</t>
  </si>
  <si>
    <t>5457 246X</t>
  </si>
  <si>
    <t>PONCHA (WAPA)</t>
  </si>
  <si>
    <t>5165-2</t>
  </si>
  <si>
    <t>QUIN</t>
  </si>
  <si>
    <t>5165-2S</t>
  </si>
  <si>
    <t>5165-1</t>
  </si>
  <si>
    <t>9054M A</t>
  </si>
  <si>
    <t>9054L A</t>
  </si>
  <si>
    <t>9054M B</t>
  </si>
  <si>
    <t>9054L C</t>
  </si>
  <si>
    <t>9054M C</t>
  </si>
  <si>
    <t>9054L B</t>
  </si>
  <si>
    <t>5021E</t>
  </si>
  <si>
    <t>5064W</t>
  </si>
  <si>
    <t>5064E</t>
  </si>
  <si>
    <t>5021W</t>
  </si>
  <si>
    <t>9332-1</t>
  </si>
  <si>
    <t>C841 246X</t>
  </si>
  <si>
    <t>8455-1</t>
  </si>
  <si>
    <t>8455-2</t>
  </si>
  <si>
    <t>9971 MU C</t>
  </si>
  <si>
    <t>9971 MU A</t>
  </si>
  <si>
    <t>9971 MU B</t>
  </si>
  <si>
    <t>9543 246Y</t>
  </si>
  <si>
    <t>9544 246X</t>
  </si>
  <si>
    <t>9543 246X</t>
  </si>
  <si>
    <t>9544 246Y</t>
  </si>
  <si>
    <t>9178 135Y</t>
  </si>
  <si>
    <t>9175 135Y</t>
  </si>
  <si>
    <t>9175 135X</t>
  </si>
  <si>
    <t>9178 135X</t>
  </si>
  <si>
    <t>5128</t>
  </si>
  <si>
    <t>9686L</t>
  </si>
  <si>
    <t>9686M</t>
  </si>
  <si>
    <t>1000 - 61</t>
  </si>
  <si>
    <t>5707-2</t>
  </si>
  <si>
    <t>5111-2</t>
  </si>
  <si>
    <t>PORT</t>
  </si>
  <si>
    <t>LPNO_TP-ROSE-115.0-1</t>
  </si>
  <si>
    <t>BUS</t>
  </si>
  <si>
    <t>5120</t>
  </si>
  <si>
    <t>Element</t>
  </si>
  <si>
    <t>Inverter</t>
  </si>
  <si>
    <t>345kV Transformer</t>
  </si>
  <si>
    <t>Rating</t>
  </si>
  <si>
    <t>Normal</t>
  </si>
  <si>
    <t>Limit (MVA)</t>
  </si>
  <si>
    <t>High Side Limit (Amps)</t>
  </si>
  <si>
    <t>N/A</t>
  </si>
  <si>
    <t>&lt; 0</t>
  </si>
  <si>
    <t>Continuous Overload</t>
  </si>
  <si>
    <t>2 Hour Overload</t>
  </si>
  <si>
    <t>Limit (MW)</t>
  </si>
  <si>
    <t>References</t>
  </si>
  <si>
    <t>Pole Control Design Specification</t>
  </si>
  <si>
    <t>Main Circuit Parameters</t>
  </si>
  <si>
    <t>Pole control_design spec_rev2.pdf</t>
  </si>
  <si>
    <t>030808_T01_01_05_001_MainCircuitParametersRev1</t>
  </si>
  <si>
    <t>A736 - Lamar HVDC 345kV 75MVA 1PH</t>
  </si>
  <si>
    <t>A735 - Lamar HVDC 230kV 75MVA 1PH</t>
  </si>
  <si>
    <t>&lt; 15</t>
  </si>
  <si>
    <t>-</t>
  </si>
  <si>
    <t>345kV Transformer nameplate</t>
  </si>
  <si>
    <t>230kV Transofmer nameplate</t>
  </si>
  <si>
    <t>230kV Transformer</t>
  </si>
  <si>
    <t>Section 6.1 of Main Circuit Parameters Document.</t>
  </si>
  <si>
    <t>Figure 2 in Section 6.3.1 of Main Main Circuit Parameters Document.</t>
  </si>
  <si>
    <t>Figure 3 in Section 6.3.2 of Main Main Circuit Parameters Document.</t>
  </si>
  <si>
    <t>Transformer Nameplate</t>
  </si>
  <si>
    <t>Section 5.3 of Pole Control Design Specification Document</t>
  </si>
  <si>
    <t>Overload (P.U.)</t>
  </si>
  <si>
    <t>Overload values shown for the two transformers are slightly different based on the High Side Limits given by the manufacturer.</t>
  </si>
  <si>
    <t>REFERENCES</t>
  </si>
  <si>
    <t>PROJECTWISE LINK</t>
  </si>
  <si>
    <t>Ambient Temp (°F)</t>
  </si>
  <si>
    <t>Ambient Temp (°C)</t>
  </si>
  <si>
    <t>&lt; 32</t>
  </si>
  <si>
    <t>&lt; 59</t>
  </si>
  <si>
    <t>9337-3</t>
  </si>
  <si>
    <t>DEER</t>
  </si>
  <si>
    <t>8160</t>
  </si>
  <si>
    <t>5327 246Y</t>
  </si>
  <si>
    <t>5327 246X</t>
  </si>
  <si>
    <t>5960 135X</t>
  </si>
  <si>
    <t>5960 135Y</t>
  </si>
  <si>
    <t>5960 246X</t>
  </si>
  <si>
    <t>5960 246Y</t>
  </si>
  <si>
    <t>5024N</t>
  </si>
  <si>
    <t>5851S</t>
  </si>
  <si>
    <t>5851N</t>
  </si>
  <si>
    <t>5024S</t>
  </si>
  <si>
    <t>5310 PK-2-4</t>
  </si>
  <si>
    <r>
      <t xml:space="preserve">LIFE CYCLE STATUS: </t>
    </r>
    <r>
      <rPr>
        <b/>
        <sz val="10"/>
        <color rgb="FF000000"/>
        <rFont val="Arial"/>
        <family val="2"/>
      </rPr>
      <t>REMOVED</t>
    </r>
  </si>
  <si>
    <t>Overload values were interpolated from the "with out redundant cooling" line in the reference figure given by the manufacturer.</t>
  </si>
  <si>
    <t>REVISED 4/27/2021</t>
  </si>
  <si>
    <t>TL5875 XAMP</t>
  </si>
  <si>
    <t>TL5875 W/VAR</t>
  </si>
  <si>
    <t>5410 246X</t>
  </si>
  <si>
    <t>5410 246Y</t>
  </si>
  <si>
    <t>5411N</t>
  </si>
  <si>
    <t>5410S</t>
  </si>
  <si>
    <t>5411S</t>
  </si>
  <si>
    <t>5410N</t>
  </si>
  <si>
    <t>7150</t>
  </si>
  <si>
    <t>TL5279_XDCR_AMP</t>
  </si>
  <si>
    <t>TL5961_XDCR_AMP</t>
  </si>
  <si>
    <t>TL5271_XDCR_AMP</t>
  </si>
  <si>
    <t>TL5270_XDCR_AMP</t>
  </si>
  <si>
    <t>7151</t>
  </si>
  <si>
    <t>5564</t>
  </si>
  <si>
    <t>9544_246X_PK-2-1</t>
  </si>
  <si>
    <t>9543_246X_PK-2-1</t>
  </si>
  <si>
    <t>9543_246Y_PK-2-2</t>
  </si>
  <si>
    <t>9544_246Y_PK-2-2</t>
  </si>
  <si>
    <t>9178_135Y_PK-2-3</t>
  </si>
  <si>
    <t>9175_135X_PK-2-4</t>
  </si>
  <si>
    <t>9178_135X_PK-2-4</t>
  </si>
  <si>
    <t>9175_135Y_PK-2-3</t>
  </si>
  <si>
    <t>5402 PKG-BF</t>
  </si>
  <si>
    <t>5166 246Y PK-2</t>
  </si>
  <si>
    <t>5166 PK-2-4</t>
  </si>
  <si>
    <t>5166 246X PK-2</t>
  </si>
  <si>
    <t>5179 135Y PK-2</t>
  </si>
  <si>
    <t>5166 PK-2-3</t>
  </si>
  <si>
    <t>5179 PK-2-4</t>
  </si>
  <si>
    <t>5166 246Y</t>
  </si>
  <si>
    <t>5166 135Y</t>
  </si>
  <si>
    <t>5179 135Y</t>
  </si>
  <si>
    <t>FAC-008-5
Transmission Lines</t>
  </si>
  <si>
    <t>512</t>
  </si>
  <si>
    <t>BC554</t>
  </si>
  <si>
    <t>534</t>
  </si>
  <si>
    <t>554</t>
  </si>
  <si>
    <t>552</t>
  </si>
  <si>
    <t>532</t>
  </si>
  <si>
    <t>564</t>
  </si>
  <si>
    <t>BC552</t>
  </si>
  <si>
    <t>514</t>
  </si>
  <si>
    <t>9464_135X_XDCR_AMP</t>
  </si>
  <si>
    <t>5580</t>
  </si>
  <si>
    <t>7036</t>
  </si>
  <si>
    <t>5119 135Y</t>
  </si>
  <si>
    <t>5102 135X</t>
  </si>
  <si>
    <t>5102 135Y</t>
  </si>
  <si>
    <t>5102 246Y</t>
  </si>
  <si>
    <t>5119 135X</t>
  </si>
  <si>
    <t>5119 246X</t>
  </si>
  <si>
    <t>5119 246Y</t>
  </si>
  <si>
    <t>5102 246X</t>
  </si>
  <si>
    <t>5119N</t>
  </si>
  <si>
    <t>5102N</t>
  </si>
  <si>
    <t>5102S</t>
  </si>
  <si>
    <t>5085 246X</t>
  </si>
  <si>
    <t>5085 135Y</t>
  </si>
  <si>
    <t>5085 246Y</t>
  </si>
  <si>
    <t>5085 135X</t>
  </si>
  <si>
    <t>5085N</t>
  </si>
  <si>
    <t>5085S</t>
  </si>
  <si>
    <t>7038</t>
  </si>
  <si>
    <t>7108</t>
  </si>
  <si>
    <t>5106 135Y</t>
  </si>
  <si>
    <t>5106 246Y</t>
  </si>
  <si>
    <t>5106 246X</t>
  </si>
  <si>
    <t>5106 135X</t>
  </si>
  <si>
    <t>5707S</t>
  </si>
  <si>
    <t>5106S</t>
  </si>
  <si>
    <t>5707N</t>
  </si>
  <si>
    <t>5106N</t>
  </si>
  <si>
    <t>5117N</t>
  </si>
  <si>
    <t>5117S</t>
  </si>
  <si>
    <t>8384N</t>
  </si>
  <si>
    <t>8384_246Y_A_XDCR</t>
  </si>
  <si>
    <t>8459</t>
  </si>
  <si>
    <t>8384_246Y_W/VAR_XDCR</t>
  </si>
  <si>
    <t>NCAR</t>
  </si>
  <si>
    <t>5322 PK-2-4</t>
  </si>
  <si>
    <t>5322 246X</t>
  </si>
  <si>
    <t>5327_246X_PK-2</t>
  </si>
  <si>
    <t>5322 PK-2-3</t>
  </si>
  <si>
    <t>5322 135X</t>
  </si>
  <si>
    <t>5960_246X_PK-2</t>
  </si>
  <si>
    <t>5960_246Y_PK-2</t>
  </si>
  <si>
    <t>5960_135X_PK-2</t>
  </si>
  <si>
    <t>5327 PK-2-1</t>
  </si>
  <si>
    <t>5327_246Y_PK-2</t>
  </si>
  <si>
    <t>5327 PK-2-4</t>
  </si>
  <si>
    <t>5322 PK-2-1</t>
  </si>
  <si>
    <t>5322 135Y</t>
  </si>
  <si>
    <t>5322 246Y</t>
  </si>
  <si>
    <t>5960_135Y_PK-2</t>
  </si>
  <si>
    <t>5322 PK-2-2</t>
  </si>
  <si>
    <t>9481-1</t>
  </si>
  <si>
    <t>PKWY</t>
  </si>
  <si>
    <t>9304 246Y</t>
  </si>
  <si>
    <t>9309 135X</t>
  </si>
  <si>
    <t>9309 246Y</t>
  </si>
  <si>
    <t>9304 135Y</t>
  </si>
  <si>
    <t>9309 246X</t>
  </si>
  <si>
    <t>9304 246X</t>
  </si>
  <si>
    <t>9304 135X</t>
  </si>
  <si>
    <t>9309 135Y</t>
  </si>
  <si>
    <t>5501_135X_PK</t>
  </si>
  <si>
    <t>55160_246X_PK</t>
  </si>
  <si>
    <t>FAC-008-5
Transformer</t>
  </si>
  <si>
    <t>5103</t>
  </si>
  <si>
    <t>LAMAR DC TIE AMBIENT ADJUSTED FACILITY EQUIPMENT RATINGS FAC-008-5</t>
  </si>
  <si>
    <t>SUBSTATION / TRANSMISSION AMBIENT ADJUSTED FACILITY EQUIPMENT RATINGS FAC-008-5</t>
  </si>
  <si>
    <t>DATE OF REMOVAL</t>
  </si>
  <si>
    <t>5882 135X</t>
  </si>
  <si>
    <t>5811 246X</t>
  </si>
  <si>
    <t>5811 246Y</t>
  </si>
  <si>
    <t>5882 135Y</t>
  </si>
  <si>
    <t>5882_135Y_87T2S</t>
  </si>
  <si>
    <t>5882_135X_87T2P</t>
  </si>
  <si>
    <t>5881 246X</t>
  </si>
  <si>
    <t>5881 246Y</t>
  </si>
  <si>
    <t>5817 135X</t>
  </si>
  <si>
    <t>5817 135Y</t>
  </si>
  <si>
    <t>5817_135X_87T2P</t>
  </si>
  <si>
    <t>5817_135Y_87T2S</t>
  </si>
  <si>
    <t>TL5759 XAMP</t>
  </si>
  <si>
    <t>TL5759 W/VAR</t>
  </si>
  <si>
    <t>9200_135X_PK</t>
  </si>
  <si>
    <t>BHYD</t>
  </si>
  <si>
    <t>9205_246X_PK</t>
  </si>
  <si>
    <t>TL5337_METER AMP</t>
  </si>
  <si>
    <t>TL5337_XDCR WATT</t>
  </si>
  <si>
    <t>TL5337_AMP SW</t>
  </si>
  <si>
    <t>TL5337_XDCR AMP</t>
  </si>
  <si>
    <t>TL5337_XDCR VAR</t>
  </si>
  <si>
    <t>TL5337_METER WATT</t>
  </si>
  <si>
    <t>TL5337_METER VAR</t>
  </si>
  <si>
    <t>5336S</t>
  </si>
  <si>
    <t>5337N</t>
  </si>
  <si>
    <t>5336N</t>
  </si>
  <si>
    <t>CHYW-SHOR-345.0-1</t>
  </si>
  <si>
    <t>7199</t>
  </si>
  <si>
    <t>SHORTGRASS</t>
  </si>
  <si>
    <t>345 7199 B</t>
  </si>
  <si>
    <t>SHOR</t>
  </si>
  <si>
    <t>345 7199 A</t>
  </si>
  <si>
    <t>7199_METER</t>
  </si>
  <si>
    <t>345 7199 C</t>
  </si>
  <si>
    <t>5117 246Y</t>
  </si>
  <si>
    <t>5411 246X</t>
  </si>
  <si>
    <t>5117 246X</t>
  </si>
  <si>
    <t>5411 135Y</t>
  </si>
  <si>
    <t>5411 135X</t>
  </si>
  <si>
    <t>5117 135Y</t>
  </si>
  <si>
    <t>5124 135Y</t>
  </si>
  <si>
    <t>5124 135X</t>
  </si>
  <si>
    <t>5124 246X</t>
  </si>
  <si>
    <t>5411 246Y</t>
  </si>
  <si>
    <t>5117 135X</t>
  </si>
  <si>
    <t>5124 246Y</t>
  </si>
  <si>
    <t>5124S</t>
  </si>
  <si>
    <t>5124N</t>
  </si>
  <si>
    <t>9175_135X_METER_W</t>
  </si>
  <si>
    <t>9175_135X_XDCR_W</t>
  </si>
  <si>
    <t>9175 246X</t>
  </si>
  <si>
    <t>9175_135X_XDCR_VAR</t>
  </si>
  <si>
    <t>9175_135X_METER_AMPSW</t>
  </si>
  <si>
    <t>9175_135X_XDCR_AMP</t>
  </si>
  <si>
    <t>9170_135X_XDCR_AMP</t>
  </si>
  <si>
    <t>9170_135X_XDCR_W</t>
  </si>
  <si>
    <t>9170 246X</t>
  </si>
  <si>
    <t>9170 135X</t>
  </si>
  <si>
    <t>9170_135X_XDCR_VAR</t>
  </si>
  <si>
    <t>9170_135X_METER_AMPSW</t>
  </si>
  <si>
    <t>9866_135X_XDCR_W</t>
  </si>
  <si>
    <t>9866 135X</t>
  </si>
  <si>
    <t>9866_135X_XDCR_AMP</t>
  </si>
  <si>
    <t>9866 246X</t>
  </si>
  <si>
    <t>9866_135X_XDCR_VAR</t>
  </si>
  <si>
    <t>230 BUSN C</t>
  </si>
  <si>
    <t>230 BUSN B</t>
  </si>
  <si>
    <t>230 BUSN A</t>
  </si>
  <si>
    <t>5570</t>
  </si>
  <si>
    <t>9000_135Y_METER_W</t>
  </si>
  <si>
    <t>9000_246X_67GP</t>
  </si>
  <si>
    <t>9000_246Y_67GS</t>
  </si>
  <si>
    <t>9000_135Y_XDCR_W_VAR</t>
  </si>
  <si>
    <t>9000_135Y_METER_VAR</t>
  </si>
  <si>
    <t>9000_135Y_METER_AMPSW</t>
  </si>
  <si>
    <t>9000_246X_21ZP</t>
  </si>
  <si>
    <t>9005_135Y_METER_W</t>
  </si>
  <si>
    <t>9005_246Y_67GS</t>
  </si>
  <si>
    <t>9005_135Y_METER_AMPSW</t>
  </si>
  <si>
    <t>9005_135Y_METER_VAR</t>
  </si>
  <si>
    <t>9005_135Y_XDCR_W</t>
  </si>
  <si>
    <t>9005_135Y_XDCR_VAR</t>
  </si>
  <si>
    <t>9005_135X_21ZP</t>
  </si>
  <si>
    <t>9005_135X_67GP</t>
  </si>
  <si>
    <t>7082</t>
  </si>
  <si>
    <t>5163-3</t>
  </si>
  <si>
    <t>5163-1</t>
  </si>
  <si>
    <t>1/4 x 6</t>
  </si>
  <si>
    <t>LKGE</t>
  </si>
  <si>
    <t>8384_135X_PK-2</t>
  </si>
  <si>
    <t>5029N</t>
  </si>
  <si>
    <t>5026N</t>
  </si>
  <si>
    <t>5029S</t>
  </si>
  <si>
    <t>5066E</t>
  </si>
  <si>
    <t>5062W</t>
  </si>
  <si>
    <t>5026S</t>
  </si>
  <si>
    <t>5029W</t>
  </si>
  <si>
    <t>5066W</t>
  </si>
  <si>
    <t>5029E</t>
  </si>
  <si>
    <t>MSST-PRHN-345.0-1</t>
  </si>
  <si>
    <t>7107</t>
  </si>
  <si>
    <t>PRONGHORN</t>
  </si>
  <si>
    <t>9300_135X_XDCR_AMP</t>
  </si>
  <si>
    <t>9300_135X_XDCR_WVAR</t>
  </si>
  <si>
    <t>PRHN-RUCC-345.0-1</t>
  </si>
  <si>
    <t>7131</t>
  </si>
  <si>
    <t>345 7131C</t>
  </si>
  <si>
    <t>PRHN</t>
  </si>
  <si>
    <t>345 7131A</t>
  </si>
  <si>
    <t>345 7131B</t>
  </si>
  <si>
    <t>PRHN-SHOR-345.0-1</t>
  </si>
  <si>
    <t>7132</t>
  </si>
  <si>
    <t>RCII-SHOR-345.0-1</t>
  </si>
  <si>
    <t>7192</t>
  </si>
  <si>
    <t>7192_METER</t>
  </si>
  <si>
    <t>345 7192 C</t>
  </si>
  <si>
    <t>345 7192 A</t>
  </si>
  <si>
    <t>7192_RM</t>
  </si>
  <si>
    <t>345 7192 B</t>
  </si>
  <si>
    <t>SHOR-BRPL-345.0-1</t>
  </si>
  <si>
    <t>7191</t>
  </si>
  <si>
    <t>BRONCO PLAINS (NEXTERA)</t>
  </si>
  <si>
    <t>345 7191 B</t>
  </si>
  <si>
    <t>345 7191 A</t>
  </si>
  <si>
    <t>345 7191 C</t>
  </si>
  <si>
    <t>7191_METER</t>
  </si>
  <si>
    <t>7191_RM</t>
  </si>
  <si>
    <t>55134E</t>
  </si>
  <si>
    <t>55134W</t>
  </si>
  <si>
    <t>9337_135Y_51B</t>
  </si>
  <si>
    <t>9860 135Y</t>
  </si>
  <si>
    <t>9860 246Y</t>
  </si>
  <si>
    <t>5175</t>
  </si>
  <si>
    <t>Yard Switches</t>
  </si>
  <si>
    <t>Yard Conductor</t>
  </si>
  <si>
    <t xml:space="preserve">Revised facility ratings to reflect updated Foreign Utility Connections.xls spreadsheet.  </t>
  </si>
  <si>
    <t>Cherokee, Ft Lupton, Valmont, Comanche, Pawnee GSU HS ratings updated per Subs Engineering data (Foreign Utility Connections.xls spreadsheet)</t>
  </si>
  <si>
    <t xml:space="preserve">Updated Blue Spruce breaker ratings. No change in limiting equipment ratings. </t>
  </si>
  <si>
    <t>Removed "Future" tag from Valmont units 7, 8, and common.</t>
  </si>
  <si>
    <t>RCW1</t>
  </si>
  <si>
    <t>RCW2</t>
  </si>
  <si>
    <t>CYRE</t>
  </si>
  <si>
    <t>CYRW</t>
  </si>
  <si>
    <t>CYR</t>
  </si>
  <si>
    <t>L7199, L7191, L7132, L7107, L7192, and L7131 Transferred to Transmission Documentation (removed from spreadsheet)</t>
  </si>
  <si>
    <t>Plant Overall Rating</t>
  </si>
  <si>
    <t>TRANSFERRED TO SUBS</t>
  </si>
  <si>
    <t>Cheyenne Ridge West Ovall</t>
  </si>
  <si>
    <t>Transferred to Subs</t>
  </si>
  <si>
    <t>5487 246X</t>
  </si>
  <si>
    <t>5487 135X</t>
  </si>
  <si>
    <t>5487 135Y</t>
  </si>
  <si>
    <t>5487 246Y</t>
  </si>
  <si>
    <t>ARGO-CHER-115.0-1</t>
  </si>
  <si>
    <t>9556</t>
  </si>
  <si>
    <t>Magnolia</t>
  </si>
  <si>
    <t>9004 246X</t>
  </si>
  <si>
    <t>REUNION (TSGT)</t>
  </si>
  <si>
    <t>5356 135Y</t>
  </si>
  <si>
    <t>5356 246Y</t>
  </si>
  <si>
    <t>9400 135X</t>
  </si>
  <si>
    <t>9400 246X</t>
  </si>
  <si>
    <t>9400 246Y</t>
  </si>
  <si>
    <t>9400 135Y</t>
  </si>
  <si>
    <t>9407 XDCR W/VAR</t>
  </si>
  <si>
    <t>9220 246X</t>
  </si>
  <si>
    <t>TL5285 CEY52A PH21ZP</t>
  </si>
  <si>
    <t>9606_246X_A1</t>
  </si>
  <si>
    <t>Orchid</t>
  </si>
  <si>
    <t>SISA</t>
  </si>
  <si>
    <t>5557-2</t>
  </si>
  <si>
    <t>8174 METER W</t>
  </si>
  <si>
    <t>8174 METER AMPSW</t>
  </si>
  <si>
    <t>9257 METER W</t>
  </si>
  <si>
    <t>9257 METER AMPSW</t>
  </si>
  <si>
    <t>CLIM-SUMM-115.0-1</t>
  </si>
  <si>
    <t>3014 GCX17 B 21Z1</t>
  </si>
  <si>
    <t>R821 135X</t>
  </si>
  <si>
    <t>3014 GCX17 C 21Z1</t>
  </si>
  <si>
    <t>3014 GCX17 A 21Z1</t>
  </si>
  <si>
    <t>WALSENBURG (TSGT)</t>
  </si>
  <si>
    <t>TL5411XDCRAMP</t>
  </si>
  <si>
    <t>5411_21Z1/2-B</t>
  </si>
  <si>
    <t>5411_21Z1/2-C</t>
  </si>
  <si>
    <t>5411_67GP</t>
  </si>
  <si>
    <t>TL5411XDCRW/VAR</t>
  </si>
  <si>
    <t>5411_21ZP</t>
  </si>
  <si>
    <t>5411_21Z1/2-A</t>
  </si>
  <si>
    <t>COMA-MSOL-230.0-1</t>
  </si>
  <si>
    <t>MIRASOL SUBSTATION</t>
  </si>
  <si>
    <t>COMA-TUND-345.0-1</t>
  </si>
  <si>
    <t>TUNDRA SUBSTATION</t>
  </si>
  <si>
    <t>5085 21Z1/2-A</t>
  </si>
  <si>
    <t>5085 GRD DIR 67GP</t>
  </si>
  <si>
    <t>5085 GRD DIR 67GS</t>
  </si>
  <si>
    <t>5085 21Z1/2-B</t>
  </si>
  <si>
    <t>5085 21Z1/2-C</t>
  </si>
  <si>
    <t>5085 21ZP</t>
  </si>
  <si>
    <t>5115-4</t>
  </si>
  <si>
    <t>DANI-TUND-345.0-1</t>
  </si>
  <si>
    <t>7235</t>
  </si>
  <si>
    <t>5352 135Y</t>
  </si>
  <si>
    <t>5352 246Y</t>
  </si>
  <si>
    <t>9008_246Y_METER_W</t>
  </si>
  <si>
    <t>9008_246Y_XDCR_W</t>
  </si>
  <si>
    <t>9008_246Y_XDCR_VAR</t>
  </si>
  <si>
    <t>9008_246Y_METER_AMPSW</t>
  </si>
  <si>
    <t>9008_246Y_METER_VAR</t>
  </si>
  <si>
    <t>9008 135Y</t>
  </si>
  <si>
    <t>9008 246Y</t>
  </si>
  <si>
    <t>9008_135Y_67GS</t>
  </si>
  <si>
    <t>9008 246X</t>
  </si>
  <si>
    <t>9008 135X</t>
  </si>
  <si>
    <t>5283_W/VAR_230KV</t>
  </si>
  <si>
    <t>5283_AMPS_230KV</t>
  </si>
  <si>
    <t>5311_21ZP</t>
  </si>
  <si>
    <t>TL5311 AMP XDCR</t>
  </si>
  <si>
    <t>5311_21Z1</t>
  </si>
  <si>
    <t>5311_21Z2</t>
  </si>
  <si>
    <t>TL5311 W/VAR XDCR</t>
  </si>
  <si>
    <t>FLUP-GRVL-230.0-1</t>
  </si>
  <si>
    <t>TL5463_21Z2</t>
  </si>
  <si>
    <t>TL5463_21ZP</t>
  </si>
  <si>
    <t>TL5463_21Z1</t>
  </si>
  <si>
    <t>5463_21ZP</t>
  </si>
  <si>
    <t>9499-6</t>
  </si>
  <si>
    <t>9499-5</t>
  </si>
  <si>
    <t>J M SHAFER (TSGT)</t>
  </si>
  <si>
    <t>5322_246Y_PK</t>
  </si>
  <si>
    <t>5327_246Y_PK</t>
  </si>
  <si>
    <t>5327_135Y_PK-2</t>
  </si>
  <si>
    <t>5953 PKG-BF</t>
  </si>
  <si>
    <t>5315_21ZP</t>
  </si>
  <si>
    <t>9115 135Y</t>
  </si>
  <si>
    <t>9115 135X</t>
  </si>
  <si>
    <t>8054-2M</t>
  </si>
  <si>
    <t>9794_21Z1/2/3-C</t>
  </si>
  <si>
    <t>9794_21Z1/2/3-B</t>
  </si>
  <si>
    <t>9794_21Z1/2/3-A</t>
  </si>
  <si>
    <t>5285_50/69</t>
  </si>
  <si>
    <t>5285_21ZP</t>
  </si>
  <si>
    <t>9000_246Y_METER_VAR</t>
  </si>
  <si>
    <t>9000_135Y_67GS</t>
  </si>
  <si>
    <t>9000_246X_PKG-BF</t>
  </si>
  <si>
    <t>9000_246Y_METER_AMPSW</t>
  </si>
  <si>
    <t>9005_246Y_METER_AMPSW</t>
  </si>
  <si>
    <t>9005_246Y_METER_VAR</t>
  </si>
  <si>
    <t>LITT-WATE-115.0-1</t>
  </si>
  <si>
    <t>9122 135Y</t>
  </si>
  <si>
    <t>9122 246Y</t>
  </si>
  <si>
    <t>9122 135X</t>
  </si>
  <si>
    <t>9122 246X</t>
  </si>
  <si>
    <t>9122_21ZP</t>
  </si>
  <si>
    <t>9122_METER_AMP</t>
  </si>
  <si>
    <t>9122_67GP</t>
  </si>
  <si>
    <t>5029_67GS</t>
  </si>
  <si>
    <t>5029_21Z1/2-B</t>
  </si>
  <si>
    <t>5029 67GP</t>
  </si>
  <si>
    <t>5029 21ZP</t>
  </si>
  <si>
    <t>5029_21Z1/2-C</t>
  </si>
  <si>
    <t>5029_21Z1/2-A</t>
  </si>
  <si>
    <t>5029 67GS</t>
  </si>
  <si>
    <t>5029_67GP</t>
  </si>
  <si>
    <t>L5029 METER AMPSW</t>
  </si>
  <si>
    <t>5029_21ZP</t>
  </si>
  <si>
    <t>500 - 37</t>
  </si>
  <si>
    <t>9052 DFR</t>
  </si>
  <si>
    <t>HARTSEL (CORE)</t>
  </si>
  <si>
    <t>MIDW-MSOL-230.0-1</t>
  </si>
  <si>
    <t>55255</t>
  </si>
  <si>
    <t>8054-1M</t>
  </si>
  <si>
    <t>SIMM</t>
  </si>
  <si>
    <t>5467_246X_PKG-BF</t>
  </si>
  <si>
    <t>9811_21Z2-5</t>
  </si>
  <si>
    <t>9811_21Z2</t>
  </si>
  <si>
    <t>9811_VAR_XDCR_115KV</t>
  </si>
  <si>
    <t>9811_67GP</t>
  </si>
  <si>
    <t>9811_67GB</t>
  </si>
  <si>
    <t>9811_W_XDCR_115KV</t>
  </si>
  <si>
    <t>9811_21Z3</t>
  </si>
  <si>
    <t>9811L C</t>
  </si>
  <si>
    <t>9811L A</t>
  </si>
  <si>
    <t>9811L B</t>
  </si>
  <si>
    <t>9054_135Y_METER_VAR</t>
  </si>
  <si>
    <t>9054_135Y_METER_AMPSW</t>
  </si>
  <si>
    <t>9688_135Y_METER_VAR</t>
  </si>
  <si>
    <t>L5021 METER AMPSW</t>
  </si>
  <si>
    <t>9431_XD_C_115KV</t>
  </si>
  <si>
    <t>9431_XD_A_115KV</t>
  </si>
  <si>
    <t>9431_XD_B_115KV</t>
  </si>
  <si>
    <t>5817_135Y_PK</t>
  </si>
  <si>
    <t>5817_135X_PK</t>
  </si>
  <si>
    <t>5882_135Y_PK</t>
  </si>
  <si>
    <t>5882_135X_PK</t>
  </si>
  <si>
    <t>G331K V A</t>
  </si>
  <si>
    <t>G331K V B</t>
  </si>
  <si>
    <t>G331K W A</t>
  </si>
  <si>
    <t>G331K W C</t>
  </si>
  <si>
    <t>G331K W B</t>
  </si>
  <si>
    <t>G331K V C</t>
  </si>
  <si>
    <t>511_246X_PK2</t>
  </si>
  <si>
    <t>551 246Y</t>
  </si>
  <si>
    <t>551 246X</t>
  </si>
  <si>
    <t>511_246Y_PK2</t>
  </si>
  <si>
    <t>511 246X</t>
  </si>
  <si>
    <t>551_246X_PK2</t>
  </si>
  <si>
    <t>511 246Y</t>
  </si>
  <si>
    <t>551_246Y_PK2</t>
  </si>
  <si>
    <t>5382_246Y_PKG-BF</t>
  </si>
  <si>
    <t>5389_135Y_PKG-BF</t>
  </si>
  <si>
    <t>5385_135Y_PKG-BF</t>
  </si>
  <si>
    <t>262_135X_W/VAR_XDCR</t>
  </si>
  <si>
    <t>ARAP-GREE-230.0-1</t>
  </si>
  <si>
    <t>5709</t>
  </si>
  <si>
    <t>Cardinal</t>
  </si>
  <si>
    <t>TR01 AMP XDCR</t>
  </si>
  <si>
    <t>5405W/VAR</t>
  </si>
  <si>
    <t>5405XDCRAMP</t>
  </si>
  <si>
    <t>TR03 X 14 15 16</t>
  </si>
  <si>
    <t>9860 135Y VAR XDCR</t>
  </si>
  <si>
    <t>9860 135Y WATT XDCR</t>
  </si>
  <si>
    <t>9860 135Y AMP XDCR</t>
  </si>
  <si>
    <t>TR01 H123</t>
  </si>
  <si>
    <t>R811 246X</t>
  </si>
  <si>
    <t>Generators</t>
  </si>
  <si>
    <t>GSU Transformers</t>
  </si>
  <si>
    <t>ManChief - Summer</t>
  </si>
  <si>
    <t>Relay Overcurrent</t>
  </si>
  <si>
    <t>ManChief - Winter</t>
  </si>
  <si>
    <t>ManChief Common - Summer</t>
  </si>
  <si>
    <t>ManChief Common - Winter</t>
  </si>
  <si>
    <t>2/21/2023</t>
  </si>
  <si>
    <t>28.3</t>
  </si>
  <si>
    <t>Comanche 1 has been retired and will not appear on later versions of this document. Retained here to indicate change.
Updated Cabin creek to reflect isophase upgrade
Relay Upgrade at Manchief changed trip set points</t>
  </si>
  <si>
    <t>Removed Cherokee 4 derate</t>
  </si>
  <si>
    <t>Temporary Cherokee 4 derate</t>
  </si>
  <si>
    <t>Added ManChief Units 11 and 12</t>
  </si>
  <si>
    <t>DAKO</t>
  </si>
  <si>
    <t>ARAP-DTER-230.0-1</t>
  </si>
  <si>
    <t>5449</t>
  </si>
  <si>
    <t>WOLCOTT (HCEA)</t>
  </si>
  <si>
    <t>CALI</t>
  </si>
  <si>
    <t>5623-1</t>
  </si>
  <si>
    <t>HIPO-IMBO-230.0-1</t>
  </si>
  <si>
    <t>HIGH POINT</t>
  </si>
  <si>
    <t>HIPO-SPRU-230.0-1</t>
  </si>
  <si>
    <t>5907</t>
  </si>
  <si>
    <t>5907-1</t>
  </si>
  <si>
    <t>5907-2</t>
  </si>
  <si>
    <t>Updated wire rating between capacitor bank and Switcher for RCW based on manufacturer drawing.</t>
  </si>
  <si>
    <t>LS GSU TR</t>
  </si>
  <si>
    <t>HS GSU TR</t>
  </si>
  <si>
    <t>Generator Breaker*</t>
  </si>
  <si>
    <t>GSU Low Side CT*</t>
  </si>
  <si>
    <t>Generator*</t>
  </si>
  <si>
    <t>GSU*</t>
  </si>
  <si>
    <t>Gen Breaker</t>
  </si>
  <si>
    <t>GSU *</t>
  </si>
  <si>
    <t>Valmont-Summer</t>
  </si>
  <si>
    <t>Valmont-Winter</t>
  </si>
  <si>
    <t>Gen CT Amps*</t>
  </si>
  <si>
    <t>Valmont 7&amp;8 GSU-S</t>
  </si>
  <si>
    <t>Valmont 7&amp;8 GSU-W</t>
  </si>
  <si>
    <t>7/20/2023</t>
  </si>
  <si>
    <t>29.1</t>
  </si>
  <si>
    <t>Column added for GSU High Side ampacity nameplate data
LS GSU TR Amps calculation constant changed to "SQRT(3)" instead of approximation, changed ratings highlighted
Where nameplate ratings have been available  for LS GSU TR Amps they have been provided.
Set ratings for Valmont 6, Fort Lupton, and Alamosa to 104F summer temperature ratings.
Fort lupton winter rating changed from peak capability to base
Added ratings for Alamosa and Fort Lupton generator bus based on construction drawings and material.
Set Rocky Mountain CT generator ampacity to manufacturer given ratings</t>
  </si>
  <si>
    <t>Manufacturer nameplate value at rated coolant conditions, air cooled units use 104F for summer temperatures</t>
  </si>
  <si>
    <t>Winter ratings for air cooled CTs taken at 0F</t>
  </si>
  <si>
    <t>Manufacturer nameplate value at 65° C rise or next highest rating given</t>
  </si>
  <si>
    <t>Generator ratings combined to rate shared GSU transformers or other shared equipment</t>
  </si>
  <si>
    <t>4/4/2023</t>
  </si>
  <si>
    <t>29.0</t>
  </si>
  <si>
    <t>Added summer and winter ratings for Valmont 7&amp;8
Corrected Valmont 7&amp;8 ratings for altitude</t>
  </si>
  <si>
    <t>Diesel generators are included if they are part of a black start sequence</t>
  </si>
  <si>
    <t>TR05_H-SA_AMPS</t>
  </si>
  <si>
    <t>TR05_H-SA_MW</t>
  </si>
  <si>
    <t>TR05_H-SA_MVAR</t>
  </si>
  <si>
    <t>55134</t>
  </si>
  <si>
    <t>Transfer bus ratings from Tri-State</t>
  </si>
  <si>
    <t>8174 246X VAR XDCR</t>
  </si>
  <si>
    <t>8174 246X W XDCR</t>
  </si>
  <si>
    <t>COST-CLVR-115.0-1</t>
  </si>
  <si>
    <t>9787</t>
  </si>
  <si>
    <t>COLLINS ST SUBSTATION</t>
  </si>
  <si>
    <t>CLOVERLY SUBSTATION</t>
  </si>
  <si>
    <t>BSVY-CAME-230.0-1</t>
  </si>
  <si>
    <t>55123</t>
  </si>
  <si>
    <t>BLUESTONE VALLEY</t>
  </si>
  <si>
    <t>BSVY-PARA-230.0-1</t>
  </si>
  <si>
    <t>9257 135X VAR XDCR</t>
  </si>
  <si>
    <t>9257 135X W XDCR</t>
  </si>
  <si>
    <t>CRAIG SW YARD</t>
  </si>
  <si>
    <t>5352_135Y_50/62BF</t>
  </si>
  <si>
    <t>5359 246X</t>
  </si>
  <si>
    <t>ENGL-LITT-115.0-1</t>
  </si>
  <si>
    <t>FORU-PALM-115.0-1</t>
  </si>
  <si>
    <t>FOX RUN (TRI-STATE)</t>
  </si>
  <si>
    <t>5171-2</t>
  </si>
  <si>
    <t>CRAI-TR02-345.0-230.0-13.8-HX</t>
  </si>
  <si>
    <t>TR2_X_C2</t>
  </si>
  <si>
    <t>8182_246X_50BF</t>
  </si>
  <si>
    <t>8182_246X_50/69TL</t>
  </si>
  <si>
    <t>1_21Z3-TL</t>
  </si>
  <si>
    <t>e</t>
  </si>
  <si>
    <t>5461 PRI A</t>
  </si>
  <si>
    <t>5461 PRI B</t>
  </si>
  <si>
    <t>5461 PRI C</t>
  </si>
  <si>
    <t>9794_246X_21Z1/2/3-C</t>
  </si>
  <si>
    <t>9794_246X_21Z1/2/3-A</t>
  </si>
  <si>
    <t>9794_246X_21Z1/2/3-B</t>
  </si>
  <si>
    <t>9337_246Y_21Z1/2/3-A</t>
  </si>
  <si>
    <t>9337_246Y_21Z1/2/3-C</t>
  </si>
  <si>
    <t>9337_246Y_21Z1/2/3-B</t>
  </si>
  <si>
    <t>9674 246Y</t>
  </si>
  <si>
    <t>9674 135X</t>
  </si>
  <si>
    <t>9674 246X</t>
  </si>
  <si>
    <t>9674 135Y</t>
  </si>
  <si>
    <t>9603 135Y</t>
  </si>
  <si>
    <t>9603 135X</t>
  </si>
  <si>
    <t>9603_246X_A1_115KV</t>
  </si>
  <si>
    <t>BASA-HOPK_TP-115.0-1</t>
  </si>
  <si>
    <t>HOPKINS TAP</t>
  </si>
  <si>
    <t>ARAP-SANT-230.0-1</t>
  </si>
  <si>
    <t>KD41 21Z3</t>
  </si>
  <si>
    <t>BEVW</t>
  </si>
  <si>
    <t>2-795 ACSR CONDUCTOR</t>
  </si>
  <si>
    <t>115kV BUS TIE</t>
  </si>
  <si>
    <t>9737</t>
  </si>
  <si>
    <t>METO-THTN-115.0-1</t>
  </si>
  <si>
    <t>METRO</t>
  </si>
  <si>
    <t>COST-HSKY-115.0-1</t>
  </si>
  <si>
    <t>HUSKY SUBSTATION</t>
  </si>
  <si>
    <t>CHER-METO-115.0-1</t>
  </si>
  <si>
    <t>HSKY-TR04-230.0-115.0-13.8-HX</t>
  </si>
  <si>
    <t>Updated Cherokee 2 MVA rating to match Synchronous condenser operation</t>
  </si>
  <si>
    <t>29.2</t>
  </si>
  <si>
    <t>7/20/2024</t>
  </si>
  <si>
    <t>RIDG-RIDG_TP-230.0-1</t>
  </si>
  <si>
    <t>RIDGE TAP</t>
  </si>
  <si>
    <t>DCP LUCERNE</t>
  </si>
  <si>
    <t>8266</t>
  </si>
  <si>
    <t>MONF-DCPL_TP-115.0-1</t>
  </si>
  <si>
    <t>9122L</t>
  </si>
  <si>
    <t>CLVR-DCPL_TP-115.0-1</t>
  </si>
  <si>
    <t>ARVA-RIDG_TP-230.0-1</t>
  </si>
  <si>
    <t>9827</t>
  </si>
  <si>
    <t>9053L</t>
  </si>
  <si>
    <t>WALT</t>
  </si>
  <si>
    <t>AULT (WAPA)</t>
  </si>
  <si>
    <t>55225</t>
  </si>
  <si>
    <t>HSKY-WALT-230.0-1</t>
  </si>
  <si>
    <t>CRAT</t>
  </si>
  <si>
    <t>5831_135X_PK</t>
  </si>
  <si>
    <r>
      <t xml:space="preserve">WE30
</t>
    </r>
    <r>
      <rPr>
        <b/>
        <sz val="8"/>
        <color indexed="8"/>
        <rFont val="Arial"/>
        <family val="2"/>
      </rPr>
      <t>(MVA)</t>
    </r>
  </si>
  <si>
    <r>
      <t xml:space="preserve">WE2
</t>
    </r>
    <r>
      <rPr>
        <b/>
        <sz val="8"/>
        <color indexed="8"/>
        <rFont val="Arial"/>
        <family val="2"/>
      </rPr>
      <t>(MVA)</t>
    </r>
  </si>
  <si>
    <r>
      <t xml:space="preserve">WE4
</t>
    </r>
    <r>
      <rPr>
        <b/>
        <sz val="8"/>
        <color indexed="8"/>
        <rFont val="Arial"/>
        <family val="2"/>
      </rPr>
      <t>(MVA)</t>
    </r>
  </si>
  <si>
    <r>
      <t xml:space="preserve">WE8
</t>
    </r>
    <r>
      <rPr>
        <b/>
        <sz val="8"/>
        <color indexed="8"/>
        <rFont val="Arial"/>
        <family val="2"/>
      </rPr>
      <t>(MVA)</t>
    </r>
  </si>
  <si>
    <r>
      <t xml:space="preserve">SE30
</t>
    </r>
    <r>
      <rPr>
        <b/>
        <sz val="8"/>
        <color indexed="8"/>
        <rFont val="Arial"/>
        <family val="2"/>
      </rPr>
      <t>(MVA)</t>
    </r>
  </si>
  <si>
    <r>
      <t xml:space="preserve">SE2
</t>
    </r>
    <r>
      <rPr>
        <b/>
        <sz val="8"/>
        <color indexed="8"/>
        <rFont val="Arial"/>
        <family val="2"/>
      </rPr>
      <t>(MVA)</t>
    </r>
  </si>
  <si>
    <r>
      <t xml:space="preserve">SE4
</t>
    </r>
    <r>
      <rPr>
        <b/>
        <sz val="8"/>
        <color indexed="8"/>
        <rFont val="Arial"/>
        <family val="2"/>
      </rPr>
      <t>(MVA)</t>
    </r>
  </si>
  <si>
    <r>
      <t xml:space="preserve">SE8
</t>
    </r>
    <r>
      <rPr>
        <b/>
        <sz val="8"/>
        <color indexed="8"/>
        <rFont val="Arial"/>
        <family val="2"/>
      </rPr>
      <t>(MVA)</t>
    </r>
  </si>
  <si>
    <t>Change of gang switch at Manchief</t>
  </si>
  <si>
    <t>9/17/2024</t>
  </si>
  <si>
    <t>CACR-MSST-345.0-1</t>
  </si>
  <si>
    <t>7111</t>
  </si>
  <si>
    <t>CANAL CROSSING</t>
  </si>
  <si>
    <t>CACR</t>
  </si>
  <si>
    <t>7290</t>
  </si>
  <si>
    <t>CACR-MSST-345.0-2</t>
  </si>
  <si>
    <t>7293</t>
  </si>
  <si>
    <t>7292</t>
  </si>
  <si>
    <t>CACR-PAWN-345.0-1</t>
  </si>
  <si>
    <t>7304</t>
  </si>
  <si>
    <t>7092</t>
  </si>
  <si>
    <t>CACR-PAWN-345.0-2</t>
  </si>
  <si>
    <t>7307</t>
  </si>
  <si>
    <t>7298</t>
  </si>
  <si>
    <t>KEST-SPRU-230.0-1</t>
  </si>
  <si>
    <t>KESTREL SWITCHING STATION</t>
  </si>
  <si>
    <t>RUSH CREEK 1 (ES)</t>
  </si>
  <si>
    <t>RUSH CREEK II (ES)</t>
  </si>
  <si>
    <t>8430_246Y_PK2</t>
  </si>
  <si>
    <t>SUBSTATION / TRANSMISSION
FACILITY EQUIPMENT
RATINGS FAC-008-5
Revision 2025-02
September, 2025</t>
  </si>
  <si>
    <t>LAMA</t>
  </si>
  <si>
    <t>HOPK_TP-HOPK-115.0-1</t>
  </si>
  <si>
    <t>GOOSE CREEK</t>
  </si>
  <si>
    <t>GOOS-SHOR-345.0-1</t>
  </si>
  <si>
    <t>MAYV</t>
  </si>
  <si>
    <t>7272</t>
  </si>
  <si>
    <t>MAY VALLEY SUBSTATION</t>
  </si>
  <si>
    <t>7277</t>
  </si>
  <si>
    <t>GOOS-MAYV-345.0-2</t>
  </si>
  <si>
    <t>GOOS</t>
  </si>
  <si>
    <t>7254</t>
  </si>
  <si>
    <t>7263</t>
  </si>
  <si>
    <t>GOOS-MAYV-345.0-1</t>
  </si>
  <si>
    <t>7270</t>
  </si>
  <si>
    <t>7252</t>
  </si>
  <si>
    <t>7261B</t>
  </si>
  <si>
    <t>CHEYENNE RIDGE WEST (ES)</t>
  </si>
  <si>
    <t>7261</t>
  </si>
  <si>
    <t>CHYW-GOOS-345.0-1</t>
  </si>
  <si>
    <t>7261A</t>
  </si>
  <si>
    <t>7261C</t>
  </si>
  <si>
    <t>7295</t>
  </si>
  <si>
    <t>CACR-GOOS-345.0-2</t>
  </si>
  <si>
    <t>7296</t>
  </si>
  <si>
    <t>7251</t>
  </si>
  <si>
    <t>CACR-GOOS-345.0-1</t>
  </si>
  <si>
    <t>7294</t>
  </si>
  <si>
    <t>HARS-TARR-230.0-1</t>
  </si>
  <si>
    <r>
      <t xml:space="preserve">WE
</t>
    </r>
    <r>
      <rPr>
        <b/>
        <sz val="8"/>
        <color indexed="8"/>
        <rFont val="Arial"/>
        <family val="2"/>
      </rPr>
      <t>(MVA)</t>
    </r>
  </si>
  <si>
    <r>
      <t xml:space="preserve">WN
</t>
    </r>
    <r>
      <rPr>
        <b/>
        <sz val="8"/>
        <color indexed="8"/>
        <rFont val="Arial"/>
        <family val="2"/>
      </rPr>
      <t>(MVA)</t>
    </r>
  </si>
  <si>
    <r>
      <t xml:space="preserve">SE
</t>
    </r>
    <r>
      <rPr>
        <b/>
        <sz val="8"/>
        <color indexed="8"/>
        <rFont val="Arial"/>
        <family val="2"/>
      </rPr>
      <t>(MVA)</t>
    </r>
  </si>
  <si>
    <r>
      <t xml:space="preserve">SN
</t>
    </r>
    <r>
      <rPr>
        <b/>
        <sz val="8"/>
        <color indexed="8"/>
        <rFont val="Arial"/>
        <family val="2"/>
      </rPr>
      <t>(MVA)</t>
    </r>
  </si>
  <si>
    <r>
      <t xml:space="preserve">WE
</t>
    </r>
    <r>
      <rPr>
        <b/>
        <sz val="8"/>
        <color indexed="8"/>
        <rFont val="Arial"/>
        <family val="2"/>
      </rPr>
      <t>(AMPS)</t>
    </r>
  </si>
  <si>
    <r>
      <t xml:space="preserve">WN
</t>
    </r>
    <r>
      <rPr>
        <b/>
        <sz val="8"/>
        <color indexed="8"/>
        <rFont val="Arial"/>
        <family val="2"/>
      </rPr>
      <t>(AMPS)</t>
    </r>
  </si>
  <si>
    <r>
      <t xml:space="preserve">SE
</t>
    </r>
    <r>
      <rPr>
        <b/>
        <sz val="8"/>
        <color indexed="8"/>
        <rFont val="Arial"/>
        <family val="2"/>
      </rPr>
      <t>(AMPS)</t>
    </r>
  </si>
  <si>
    <r>
      <t xml:space="preserve">SN
</t>
    </r>
    <r>
      <rPr>
        <b/>
        <sz val="8"/>
        <color indexed="8"/>
        <rFont val="Arial"/>
        <family val="2"/>
      </rPr>
      <t>(AMPS)</t>
    </r>
  </si>
  <si>
    <r>
      <t xml:space="preserve">LIFE CYCLE STATUS: </t>
    </r>
    <r>
      <rPr>
        <sz val="10"/>
        <color indexed="8"/>
        <rFont val="Arial"/>
        <family val="2"/>
      </rPr>
      <t>IN CONSTRUCTION</t>
    </r>
  </si>
  <si>
    <r>
      <t xml:space="preserve">BES: </t>
    </r>
    <r>
      <rPr>
        <sz val="10"/>
        <color indexed="8"/>
        <rFont val="Arial"/>
        <family val="2"/>
      </rPr>
      <t>Y</t>
    </r>
  </si>
  <si>
    <r>
      <t xml:space="preserve">OWNERSHIP: </t>
    </r>
    <r>
      <rPr>
        <sz val="10"/>
        <color indexed="8"/>
        <rFont val="Arial"/>
        <family val="2"/>
      </rPr>
      <t>Jointly Owned,Xcel Owned</t>
    </r>
  </si>
  <si>
    <r>
      <t xml:space="preserve">VALIDATION STATUS: </t>
    </r>
    <r>
      <rPr>
        <sz val="10"/>
        <color indexed="8"/>
        <rFont val="Arial"/>
        <family val="2"/>
      </rPr>
      <t>VALID</t>
    </r>
  </si>
  <si>
    <r>
      <t xml:space="preserve">OPCO: </t>
    </r>
    <r>
      <rPr>
        <sz val="10"/>
        <color indexed="8"/>
        <rFont val="Arial"/>
        <family val="2"/>
      </rPr>
      <t>PSC</t>
    </r>
  </si>
  <si>
    <r>
      <t xml:space="preserve">WE30
</t>
    </r>
    <r>
      <rPr>
        <b/>
        <sz val="8"/>
        <color indexed="8"/>
        <rFont val="Arial"/>
        <family val="2"/>
      </rPr>
      <t>(MVA)</t>
    </r>
  </si>
  <si>
    <r>
      <t xml:space="preserve">WE2
</t>
    </r>
    <r>
      <rPr>
        <b/>
        <sz val="8"/>
        <color indexed="8"/>
        <rFont val="Arial"/>
        <family val="2"/>
      </rPr>
      <t>(MVA)</t>
    </r>
  </si>
  <si>
    <r>
      <t xml:space="preserve">WE4
</t>
    </r>
    <r>
      <rPr>
        <b/>
        <sz val="8"/>
        <color indexed="8"/>
        <rFont val="Arial"/>
        <family val="2"/>
      </rPr>
      <t>(MVA)</t>
    </r>
  </si>
  <si>
    <r>
      <t xml:space="preserve">WE8
</t>
    </r>
    <r>
      <rPr>
        <b/>
        <sz val="8"/>
        <color indexed="8"/>
        <rFont val="Arial"/>
        <family val="2"/>
      </rPr>
      <t>(MVA)</t>
    </r>
  </si>
  <si>
    <r>
      <t xml:space="preserve">SE30
</t>
    </r>
    <r>
      <rPr>
        <b/>
        <sz val="8"/>
        <color indexed="8"/>
        <rFont val="Arial"/>
        <family val="2"/>
      </rPr>
      <t>(MVA)</t>
    </r>
  </si>
  <si>
    <r>
      <t xml:space="preserve">SE2
</t>
    </r>
    <r>
      <rPr>
        <b/>
        <sz val="8"/>
        <color indexed="8"/>
        <rFont val="Arial"/>
        <family val="2"/>
      </rPr>
      <t>(MVA)</t>
    </r>
  </si>
  <si>
    <r>
      <t xml:space="preserve">SE4
</t>
    </r>
    <r>
      <rPr>
        <b/>
        <sz val="8"/>
        <color indexed="8"/>
        <rFont val="Arial"/>
        <family val="2"/>
      </rPr>
      <t>(MVA)</t>
    </r>
  </si>
  <si>
    <r>
      <t xml:space="preserve">SE8
</t>
    </r>
    <r>
      <rPr>
        <b/>
        <sz val="8"/>
        <color indexed="8"/>
        <rFont val="Arial"/>
        <family val="2"/>
      </rPr>
      <t>(MVA)</t>
    </r>
  </si>
  <si>
    <t>Metro Water Recovery substation added. Facility replaced by CHER-METO-115.0-1 LN-9548 and METO-THTN-115.0-1 LN-9737.</t>
  </si>
  <si>
    <t>Goose Creek substation added. Facility replaced by GOOS-SHOR-345.0-1 LN-7199 and CHYW-GOOS-345.0-1 LN-7261.</t>
  </si>
  <si>
    <t>Facility BES status changed to E1 Radial.</t>
  </si>
  <si>
    <t>Sante Fe Tap removed. Facility replaced by ARAP-SANT-230.0-1 LN-5107.</t>
  </si>
  <si>
    <t>Twin Lakes Tap</t>
  </si>
  <si>
    <t>Malta Sub.</t>
  </si>
  <si>
    <t>Reversion to date format</t>
  </si>
  <si>
    <t>7-25</t>
  </si>
  <si>
    <t>7/9/2025</t>
  </si>
  <si>
    <t>T-line 7261</t>
  </si>
  <si>
    <r>
      <t xml:space="preserve">TEMP </t>
    </r>
    <r>
      <rPr>
        <sz val="10"/>
        <rFont val="Arial"/>
        <family val="2"/>
      </rPr>
      <t>Indicates temporary equipment deratings</t>
    </r>
  </si>
  <si>
    <t>GILC</t>
  </si>
  <si>
    <t>9494-8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</si>
</sst>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m/d/yyyy;@"/>
    <numFmt numFmtId="166" formatCode="0.000"/>
  </numFmts>
  <fonts count="8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6"/>
      <color indexed="8"/>
      <name val="Verdana"/>
      <family val="2"/>
    </font>
    <font>
      <b/>
      <sz val="10"/>
      <color indexed="8"/>
      <name val="Arial"/>
      <family val="2"/>
    </font>
    <font>
      <sz val="10"/>
      <color indexed="8"/>
      <name val="Arial"/>
      <family val="2"/>
    </font>
    <font>
      <b/>
      <sz val="8"/>
      <color indexed="9"/>
      <name val="Arial"/>
      <family val="2"/>
    </font>
    <font>
      <b/>
      <sz val="8"/>
      <color indexed="8"/>
      <name val="Arial"/>
      <family val="2"/>
    </font>
    <font>
      <sz val="8"/>
      <color indexed="8"/>
      <name val="Arial"/>
      <family val="2"/>
    </font>
    <font>
      <sz val="8"/>
      <color indexed="9"/>
      <name val="Arial"/>
      <family val="2"/>
    </font>
    <font>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sz val="12"/>
      <name val="Arial"/>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Arial"/>
      <family val="2"/>
    </font>
    <font>
      <b/>
      <sz val="11"/>
      <color indexed="63"/>
      <name val="Calibri"/>
      <family val="2"/>
    </font>
    <font>
      <b/>
      <sz val="18"/>
      <color indexed="62"/>
      <name val="Cambria"/>
      <family val="2"/>
    </font>
    <font>
      <b/>
      <sz val="11"/>
      <color indexed="8"/>
      <name val="Calibri"/>
      <family val="2"/>
    </font>
    <font>
      <u/>
      <sz val="10"/>
      <color indexed="12"/>
      <name val="Arial"/>
      <family val="2"/>
    </font>
    <font>
      <sz val="8"/>
      <name val="Arial"/>
      <family val="2"/>
    </font>
    <font>
      <b/>
      <sz val="8"/>
      <name val="Arial"/>
      <family val="2"/>
    </font>
    <font>
      <sz val="11"/>
      <color theme="1"/>
      <name val="Calibri"/>
      <family val="2"/>
      <scheme val="minor"/>
    </font>
    <font>
      <sz val="8"/>
      <color rgb="FFFF0000"/>
      <name val="Arial"/>
      <family val="2"/>
    </font>
    <font>
      <b/>
      <sz val="11"/>
      <color theme="1"/>
      <name val="Calibri"/>
      <family val="2"/>
      <scheme val="minor"/>
    </font>
    <font>
      <sz val="20"/>
      <color indexed="8"/>
      <name val="Arial"/>
      <family val="2"/>
    </font>
    <font>
      <b/>
      <sz val="12"/>
      <color indexed="8"/>
      <name val="Arial"/>
      <family val="2"/>
    </font>
    <font>
      <sz val="12"/>
      <color indexed="8"/>
      <name val="Arial"/>
      <family val="2"/>
    </font>
    <font>
      <b/>
      <sz val="11"/>
      <color indexed="8"/>
      <name val="Arial"/>
      <family val="2"/>
    </font>
    <font>
      <b/>
      <sz val="12"/>
      <name val="Arial"/>
      <family val="2"/>
    </font>
    <font>
      <sz val="10"/>
      <color indexed="8"/>
      <name val="Times New Roman"/>
      <family val="1"/>
    </font>
    <font>
      <b/>
      <u/>
      <sz val="12"/>
      <name val="Arial"/>
      <family val="2"/>
    </font>
    <font>
      <b/>
      <sz val="10"/>
      <color indexed="81"/>
      <name val="Tahoma"/>
      <family val="2"/>
    </font>
    <font>
      <sz val="10"/>
      <color indexed="81"/>
      <name val="Tahoma"/>
      <family val="2"/>
    </font>
    <font>
      <b/>
      <sz val="9"/>
      <color indexed="81"/>
      <name val="Tahoma"/>
      <family val="2"/>
    </font>
    <font>
      <sz val="9"/>
      <color indexed="81"/>
      <name val="Tahoma"/>
      <family val="2"/>
    </font>
    <font>
      <b/>
      <sz val="8"/>
      <color indexed="81"/>
      <name val="Tahoma"/>
      <family val="2"/>
    </font>
    <font>
      <sz val="8"/>
      <color indexed="81"/>
      <name val="Tahoma"/>
      <family val="2"/>
    </font>
    <font>
      <b/>
      <sz val="12"/>
      <name val="Calibri"/>
      <family val="2"/>
      <scheme val="minor"/>
    </font>
    <font>
      <sz val="11"/>
      <name val="Calibri"/>
      <family val="2"/>
      <scheme val="minor"/>
    </font>
    <font>
      <b/>
      <sz val="11"/>
      <name val="Calibri"/>
      <family val="2"/>
      <scheme val="minor"/>
    </font>
    <font>
      <vertAlign val="superscript"/>
      <sz val="11"/>
      <color theme="1"/>
      <name val="Calibri"/>
      <family val="2"/>
      <scheme val="minor"/>
    </font>
    <font>
      <b/>
      <sz val="9"/>
      <color rgb="FF000000"/>
      <name val="Tahoma"/>
      <family val="2"/>
    </font>
    <font>
      <sz val="9"/>
      <color rgb="FF000000"/>
      <name val="Tahoma"/>
      <family val="2"/>
    </font>
    <font>
      <b/>
      <sz val="9"/>
      <color indexed="8"/>
      <name val="Arial"/>
      <family val="2"/>
    </font>
    <font>
      <b/>
      <sz val="10"/>
      <color rgb="FF000000"/>
      <name val="Arial"/>
      <family val="2"/>
    </font>
    <font>
      <b/>
      <sz val="9"/>
      <color indexed="9"/>
      <name val="Arial"/>
      <family val="2"/>
    </font>
    <font>
      <u/>
      <sz val="10"/>
      <color theme="10"/>
      <name val="Arial"/>
      <family val="2"/>
    </font>
    <font>
      <b/>
      <sz val="10"/>
      <name val="Arial"/>
      <family val="2"/>
    </font>
    <font>
      <sz val="11"/>
      <color rgb="FF000000"/>
      <name val="Calibri"/>
      <family val="2"/>
      <scheme val="minor"/>
    </font>
    <font>
      <sz val="12"/>
      <name val="Arial"/>
      <family val="2"/>
    </font>
    <font>
      <sz val="9"/>
      <color indexed="8"/>
      <name val="Arial"/>
      <family val="2"/>
    </font>
    <font>
      <sz val="14"/>
      <color indexed="8"/>
      <name val="Verdana"/>
      <family val="2"/>
    </font>
    <font>
      <sz val="12"/>
      <name val="Arial"/>
      <family val="2"/>
    </font>
    <font>
      <sz val="8"/>
      <color indexed="9"/>
      <name val="Arial"/>
      <family val="2"/>
    </font>
    <font>
      <sz val="8"/>
      <color indexed="8"/>
      <name val="Arial"/>
      <family val="2"/>
    </font>
    <font>
      <b/>
      <sz val="8"/>
      <color indexed="9"/>
      <name val="Arial"/>
      <family val="2"/>
    </font>
    <font>
      <b/>
      <sz val="9"/>
      <color indexed="9"/>
      <name val="Arial"/>
      <family val="2"/>
    </font>
    <font>
      <b/>
      <sz val="9"/>
      <color indexed="8"/>
      <name val="Arial"/>
      <family val="2"/>
    </font>
    <font>
      <b/>
      <sz val="8"/>
      <color indexed="8"/>
      <name val="Arial"/>
      <family val="2"/>
    </font>
    <font>
      <b/>
      <sz val="10"/>
      <color indexed="8"/>
      <name val="Arial"/>
      <family val="2"/>
    </font>
    <font>
      <sz val="16"/>
      <color indexed="8"/>
      <name val="Verdana"/>
      <family val="2"/>
    </font>
    <font>
      <sz val="14"/>
      <color indexed="8"/>
      <name val="Verdana"/>
      <family val="2"/>
    </font>
    <font>
      <sz val="12"/>
      <name val="Arial"/>
      <family val="2"/>
    </font>
    <font>
      <b/>
      <sz val="9"/>
      <color indexed="8"/>
      <name val="Arial"/>
      <charset val="1"/>
    </font>
    <font>
      <b/>
      <sz val="9"/>
      <color indexed="9"/>
      <name val="Arial"/>
      <charset val="1"/>
    </font>
    <font>
      <b/>
      <sz val="8"/>
      <color indexed="9"/>
      <name val="Arial"/>
      <charset val="1"/>
    </font>
    <font>
      <sz val="8"/>
      <color indexed="8"/>
      <name val="Arial"/>
      <charset val="1"/>
    </font>
    <font>
      <sz val="8"/>
      <color indexed="9"/>
      <name val="Arial"/>
      <charset val="1"/>
    </font>
  </fonts>
  <fills count="27">
    <fill>
      <patternFill patternType="none"/>
    </fill>
    <fill>
      <patternFill patternType="gray125"/>
    </fill>
    <fill>
      <patternFill patternType="solid">
        <fgColor indexed="44"/>
      </patternFill>
    </fill>
    <fill>
      <patternFill patternType="solid">
        <fgColor indexed="47"/>
      </patternFill>
    </fill>
    <fill>
      <patternFill patternType="solid">
        <fgColor indexed="29"/>
      </patternFill>
    </fill>
    <fill>
      <patternFill patternType="solid">
        <fgColor indexed="26"/>
      </patternFill>
    </fill>
    <fill>
      <patternFill patternType="solid">
        <fgColor indexed="27"/>
      </patternFill>
    </fill>
    <fill>
      <patternFill patternType="solid">
        <fgColor indexed="43"/>
      </patternFill>
    </fill>
    <fill>
      <patternFill patternType="solid">
        <fgColor indexed="45"/>
      </patternFill>
    </fill>
    <fill>
      <patternFill patternType="solid">
        <fgColor indexed="49"/>
      </patternFill>
    </fill>
    <fill>
      <patternFill patternType="solid">
        <fgColor indexed="53"/>
      </patternFill>
    </fill>
    <fill>
      <patternFill patternType="solid">
        <fgColor indexed="51"/>
      </patternFill>
    </fill>
    <fill>
      <patternFill patternType="solid">
        <fgColor indexed="10"/>
      </patternFill>
    </fill>
    <fill>
      <patternFill patternType="solid">
        <fgColor indexed="56"/>
      </patternFill>
    </fill>
    <fill>
      <patternFill patternType="solid">
        <fgColor indexed="9"/>
      </patternFill>
    </fill>
    <fill>
      <patternFill patternType="solid">
        <fgColor indexed="54"/>
      </patternFill>
    </fill>
    <fill>
      <patternFill patternType="solid">
        <fgColor indexed="46"/>
      </patternFill>
    </fill>
    <fill>
      <patternFill patternType="solid">
        <fgColor indexed="55"/>
      </patternFill>
    </fill>
    <fill>
      <patternFill patternType="solid">
        <fgColor indexed="10"/>
        <bgColor indexed="0"/>
      </patternFill>
    </fill>
    <fill>
      <patternFill patternType="solid">
        <fgColor rgb="FFFFFF00"/>
        <bgColor indexed="64"/>
      </patternFill>
    </fill>
    <fill>
      <patternFill patternType="solid">
        <fgColor indexed="13"/>
        <bgColor indexed="64"/>
      </patternFill>
    </fill>
    <fill>
      <patternFill patternType="solid">
        <fgColor indexed="46"/>
        <bgColor indexed="64"/>
      </patternFill>
    </fill>
    <fill>
      <patternFill patternType="solid">
        <fgColor indexed="22"/>
        <bgColor indexed="64"/>
      </patternFill>
    </fill>
    <fill>
      <patternFill patternType="solid">
        <fgColor theme="0" tint="-0.249977111117893"/>
        <bgColor indexed="64"/>
      </patternFill>
    </fill>
    <fill>
      <patternFill patternType="solid">
        <fgColor rgb="FFBFBFBF"/>
        <bgColor rgb="FF000000"/>
      </patternFill>
    </fill>
    <fill>
      <patternFill patternType="solid">
        <fgColor theme="0" tint="-0.249977111117893"/>
        <bgColor rgb="FF000000"/>
      </patternFill>
    </fill>
    <fill>
      <patternFill patternType="solid">
        <fgColor rgb="FF92D050"/>
        <bgColor indexed="64"/>
      </patternFill>
    </fill>
  </fills>
  <borders count="7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12"/>
      </left>
      <right style="thin">
        <color indexed="12"/>
      </right>
      <top style="thin">
        <color indexed="12"/>
      </top>
      <bottom style="thin">
        <color indexed="1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12"/>
      </left>
      <right/>
      <top style="thin">
        <color indexed="12"/>
      </top>
      <bottom style="thin">
        <color indexed="12"/>
      </bottom>
      <diagonal/>
    </border>
    <border>
      <left/>
      <right/>
      <top style="thin">
        <color indexed="12"/>
      </top>
      <bottom style="thin">
        <color indexed="12"/>
      </bottom>
      <diagonal/>
    </border>
    <border>
      <left/>
      <right style="thin">
        <color indexed="12"/>
      </right>
      <top style="thin">
        <color indexed="12"/>
      </top>
      <bottom style="thin">
        <color indexed="12"/>
      </bottom>
      <diagonal/>
    </border>
    <border>
      <left/>
      <right style="medium">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66">
    <xf numFmtId="0" fontId="0" fillId="0" borderId="0"/>
    <xf numFmtId="0" fontId="16" fillId="2"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3" borderId="0" applyNumberFormat="0" applyBorder="0" applyAlignment="0" applyProtection="0"/>
    <xf numFmtId="0" fontId="16" fillId="6"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4"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6" borderId="0" applyNumberFormat="0" applyBorder="0" applyAlignment="0" applyProtection="0"/>
    <xf numFmtId="0" fontId="16" fillId="5" borderId="0" applyNumberFormat="0" applyBorder="0" applyAlignment="0" applyProtection="0"/>
    <xf numFmtId="0" fontId="17" fillId="6"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8" borderId="0" applyNumberFormat="0" applyBorder="0" applyAlignment="0" applyProtection="0"/>
    <xf numFmtId="0" fontId="17" fillId="6" borderId="0" applyNumberFormat="0" applyBorder="0" applyAlignment="0" applyProtection="0"/>
    <xf numFmtId="0" fontId="17" fillId="4" borderId="0" applyNumberFormat="0" applyBorder="0" applyAlignment="0" applyProtection="0"/>
    <xf numFmtId="0" fontId="17" fillId="13"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5" borderId="0" applyNumberFormat="0" applyBorder="0" applyAlignment="0" applyProtection="0"/>
    <xf numFmtId="0" fontId="17" fillId="9" borderId="0" applyNumberFormat="0" applyBorder="0" applyAlignment="0" applyProtection="0"/>
    <xf numFmtId="0" fontId="17" fillId="12" borderId="0" applyNumberFormat="0" applyBorder="0" applyAlignment="0" applyProtection="0"/>
    <xf numFmtId="0" fontId="18" fillId="16" borderId="0" applyNumberFormat="0" applyBorder="0" applyAlignment="0" applyProtection="0"/>
    <xf numFmtId="0" fontId="19" fillId="14" borderId="1" applyNumberFormat="0" applyAlignment="0" applyProtection="0"/>
    <xf numFmtId="0" fontId="20" fillId="17" borderId="2" applyNumberFormat="0" applyAlignment="0" applyProtection="0"/>
    <xf numFmtId="0" fontId="22" fillId="0" borderId="0" applyNumberFormat="0" applyFill="0" applyBorder="0" applyAlignment="0" applyProtection="0"/>
    <xf numFmtId="0" fontId="23" fillId="6" borderId="0" applyNumberFormat="0" applyBorder="0" applyAlignment="0" applyProtection="0"/>
    <xf numFmtId="0" fontId="24" fillId="0" borderId="3" applyNumberFormat="0" applyFill="0" applyAlignment="0" applyProtection="0"/>
    <xf numFmtId="0" fontId="25" fillId="0" borderId="4" applyNumberFormat="0" applyFill="0" applyAlignment="0" applyProtection="0"/>
    <xf numFmtId="0" fontId="26" fillId="0" borderId="5" applyNumberFormat="0" applyFill="0" applyAlignment="0" applyProtection="0"/>
    <xf numFmtId="0" fontId="26" fillId="0" borderId="0" applyNumberFormat="0" applyFill="0" applyBorder="0" applyAlignment="0" applyProtection="0"/>
    <xf numFmtId="0" fontId="34" fillId="0" borderId="0" applyNumberFormat="0" applyFill="0" applyBorder="0" applyAlignment="0" applyProtection="0">
      <alignment vertical="top"/>
      <protection locked="0"/>
    </xf>
    <xf numFmtId="0" fontId="27" fillId="7" borderId="1" applyNumberFormat="0" applyAlignment="0" applyProtection="0"/>
    <xf numFmtId="0" fontId="28" fillId="0" borderId="6" applyNumberFormat="0" applyFill="0" applyAlignment="0" applyProtection="0"/>
    <xf numFmtId="0" fontId="29" fillId="7" borderId="0" applyNumberFormat="0" applyBorder="0" applyAlignment="0" applyProtection="0"/>
    <xf numFmtId="0" fontId="15" fillId="0" borderId="0"/>
    <xf numFmtId="0" fontId="30" fillId="0" borderId="0"/>
    <xf numFmtId="0" fontId="9" fillId="0" borderId="0"/>
    <xf numFmtId="0" fontId="14" fillId="0" borderId="0"/>
    <xf numFmtId="0" fontId="37" fillId="0" borderId="0"/>
    <xf numFmtId="0" fontId="30" fillId="0" borderId="0"/>
    <xf numFmtId="0" fontId="21" fillId="0" borderId="0"/>
    <xf numFmtId="0" fontId="9" fillId="0" borderId="0"/>
    <xf numFmtId="0" fontId="21" fillId="0" borderId="0"/>
    <xf numFmtId="0" fontId="37" fillId="0" borderId="0"/>
    <xf numFmtId="0" fontId="30" fillId="5" borderId="7" applyNumberFormat="0" applyFont="0" applyAlignment="0" applyProtection="0"/>
    <xf numFmtId="0" fontId="9" fillId="5" borderId="7" applyNumberFormat="0" applyFont="0" applyAlignment="0" applyProtection="0"/>
    <xf numFmtId="0" fontId="31" fillId="14" borderId="8" applyNumberFormat="0" applyAlignment="0" applyProtection="0"/>
    <xf numFmtId="0" fontId="32" fillId="0" borderId="0" applyNumberFormat="0" applyFill="0" applyBorder="0" applyAlignment="0" applyProtection="0"/>
    <xf numFmtId="0" fontId="33" fillId="0" borderId="9" applyNumberFormat="0" applyFill="0" applyAlignment="0" applyProtection="0"/>
    <xf numFmtId="0" fontId="28" fillId="0" borderId="0" applyNumberFormat="0" applyFill="0" applyBorder="0" applyAlignment="0" applyProtection="0"/>
    <xf numFmtId="0" fontId="6" fillId="0" borderId="0"/>
    <xf numFmtId="0" fontId="64" fillId="0" borderId="0"/>
    <xf numFmtId="0" fontId="65" fillId="0" borderId="0"/>
    <xf numFmtId="0" fontId="5" fillId="0" borderId="0"/>
    <xf numFmtId="0" fontId="4" fillId="0" borderId="0"/>
    <xf numFmtId="0" fontId="62" fillId="0" borderId="0" applyNumberFormat="0" applyFill="0" applyBorder="0" applyAlignment="0" applyProtection="0"/>
    <xf numFmtId="0" fontId="21" fillId="0" borderId="0"/>
    <xf numFmtId="0" fontId="3" fillId="0" borderId="0"/>
    <xf numFmtId="0" fontId="68" fillId="0" borderId="0"/>
    <xf numFmtId="0" fontId="2" fillId="0" borderId="0"/>
    <xf numFmtId="0" fontId="78" fillId="0" borderId="0"/>
    <xf numFmtId="0" fontId="1" fillId="0" borderId="0"/>
  </cellStyleXfs>
  <cellXfs count="564">
    <xf numFmtId="0" fontId="0" fillId="0" borderId="0" xfId="0"/>
    <xf numFmtId="0" fontId="11" fillId="18" borderId="0" xfId="41" applyFont="1" applyFill="1" applyAlignment="1" applyProtection="1">
      <alignment horizontal="center" vertical="center" wrapText="1" readingOrder="1"/>
      <protection locked="0"/>
    </xf>
    <xf numFmtId="0" fontId="12" fillId="0" borderId="10" xfId="41" applyFont="1" applyBorder="1" applyAlignment="1" applyProtection="1">
      <alignment vertical="top" wrapText="1" readingOrder="1"/>
      <protection locked="0"/>
    </xf>
    <xf numFmtId="0" fontId="13" fillId="0" borderId="10" xfId="41" applyFont="1" applyBorder="1" applyAlignment="1" applyProtection="1">
      <alignment vertical="top" wrapText="1" readingOrder="1"/>
      <protection locked="0"/>
    </xf>
    <xf numFmtId="0" fontId="11" fillId="0" borderId="10" xfId="41" applyFont="1" applyBorder="1" applyAlignment="1" applyProtection="1">
      <alignment vertical="top" wrapText="1" readingOrder="1"/>
      <protection locked="0"/>
    </xf>
    <xf numFmtId="0" fontId="10" fillId="0" borderId="10" xfId="41" applyFont="1" applyBorder="1" applyAlignment="1" applyProtection="1">
      <alignment vertical="top" wrapText="1" readingOrder="1"/>
      <protection locked="0"/>
    </xf>
    <xf numFmtId="0" fontId="36" fillId="0" borderId="10" xfId="41" applyFont="1" applyBorder="1" applyAlignment="1" applyProtection="1">
      <alignment vertical="top" wrapText="1" readingOrder="1"/>
      <protection locked="0"/>
    </xf>
    <xf numFmtId="0" fontId="13" fillId="0" borderId="0" xfId="41" applyFont="1" applyAlignment="1" applyProtection="1">
      <alignment vertical="top" wrapText="1" readingOrder="1"/>
      <protection locked="0"/>
    </xf>
    <xf numFmtId="0" fontId="9" fillId="0" borderId="0" xfId="40"/>
    <xf numFmtId="0" fontId="9" fillId="0" borderId="0" xfId="40" applyAlignment="1">
      <alignment horizontal="center" vertical="center" wrapText="1"/>
    </xf>
    <xf numFmtId="0" fontId="9" fillId="0" borderId="0" xfId="40" applyAlignment="1">
      <alignment horizontal="left" vertical="center" wrapText="1"/>
    </xf>
    <xf numFmtId="1" fontId="9" fillId="0" borderId="0" xfId="40" applyNumberFormat="1" applyAlignment="1">
      <alignment horizontal="center" vertical="center" wrapText="1"/>
    </xf>
    <xf numFmtId="1" fontId="9" fillId="0" borderId="0" xfId="40" applyNumberFormat="1" applyAlignment="1">
      <alignment horizontal="left" vertical="center" wrapText="1"/>
    </xf>
    <xf numFmtId="14" fontId="9" fillId="0" borderId="0" xfId="40" applyNumberFormat="1" applyAlignment="1">
      <alignment horizontal="center" vertical="center" wrapText="1"/>
    </xf>
    <xf numFmtId="0" fontId="9" fillId="0" borderId="0" xfId="40" applyAlignment="1">
      <alignment wrapText="1"/>
    </xf>
    <xf numFmtId="0" fontId="14" fillId="0" borderId="0" xfId="40" applyFont="1" applyAlignment="1">
      <alignment horizontal="left" vertical="center" wrapText="1"/>
    </xf>
    <xf numFmtId="0" fontId="9" fillId="19" borderId="0" xfId="40" applyFill="1" applyAlignment="1">
      <alignment horizontal="center" vertical="center" wrapText="1"/>
    </xf>
    <xf numFmtId="1" fontId="9" fillId="20" borderId="0" xfId="40" applyNumberFormat="1" applyFill="1" applyAlignment="1">
      <alignment horizontal="center" vertical="center" wrapText="1"/>
    </xf>
    <xf numFmtId="0" fontId="9" fillId="20" borderId="0" xfId="40" applyFill="1" applyAlignment="1">
      <alignment horizontal="left" vertical="center" wrapText="1"/>
    </xf>
    <xf numFmtId="0" fontId="9" fillId="20" borderId="0" xfId="40" applyFill="1" applyAlignment="1">
      <alignment horizontal="center" vertical="center" wrapText="1"/>
    </xf>
    <xf numFmtId="1" fontId="9" fillId="20" borderId="0" xfId="40" applyNumberFormat="1" applyFill="1" applyAlignment="1">
      <alignment horizontal="left" vertical="center" wrapText="1"/>
    </xf>
    <xf numFmtId="14" fontId="9" fillId="20" borderId="0" xfId="40" applyNumberFormat="1" applyFill="1" applyAlignment="1">
      <alignment horizontal="center" vertical="center" wrapText="1"/>
    </xf>
    <xf numFmtId="0" fontId="9" fillId="20" borderId="0" xfId="40" applyFill="1" applyAlignment="1">
      <alignment wrapText="1"/>
    </xf>
    <xf numFmtId="0" fontId="9" fillId="0" borderId="0" xfId="40" applyAlignment="1">
      <alignment horizontal="center" wrapText="1"/>
    </xf>
    <xf numFmtId="0" fontId="9" fillId="0" borderId="0" xfId="40" applyAlignment="1">
      <alignment vertical="top"/>
    </xf>
    <xf numFmtId="1" fontId="41" fillId="21" borderId="19" xfId="40" applyNumberFormat="1" applyFont="1" applyFill="1" applyBorder="1" applyAlignment="1">
      <alignment horizontal="center" vertical="center" textRotation="90" wrapText="1"/>
    </xf>
    <xf numFmtId="1" fontId="38" fillId="0" borderId="10" xfId="41" applyNumberFormat="1" applyFont="1" applyBorder="1" applyAlignment="1" applyProtection="1">
      <alignment vertical="top" wrapText="1" readingOrder="1"/>
      <protection locked="0"/>
    </xf>
    <xf numFmtId="1" fontId="35" fillId="0" borderId="10" xfId="41" applyNumberFormat="1" applyFont="1" applyBorder="1" applyAlignment="1" applyProtection="1">
      <alignment vertical="top" wrapText="1" readingOrder="1"/>
      <protection locked="0"/>
    </xf>
    <xf numFmtId="1" fontId="13" fillId="0" borderId="10" xfId="41" applyNumberFormat="1" applyFont="1" applyBorder="1" applyAlignment="1" applyProtection="1">
      <alignment vertical="top" wrapText="1" readingOrder="1"/>
      <protection locked="0"/>
    </xf>
    <xf numFmtId="49" fontId="12" fillId="0" borderId="10" xfId="41" applyNumberFormat="1" applyFont="1" applyBorder="1" applyAlignment="1" applyProtection="1">
      <alignment vertical="top" wrapText="1" readingOrder="1"/>
      <protection locked="0"/>
    </xf>
    <xf numFmtId="0" fontId="14" fillId="0" borderId="0" xfId="41"/>
    <xf numFmtId="1" fontId="61" fillId="0" borderId="10" xfId="41" applyNumberFormat="1" applyFont="1" applyBorder="1" applyAlignment="1" applyProtection="1">
      <alignment vertical="top" wrapText="1" readingOrder="1"/>
      <protection locked="0"/>
    </xf>
    <xf numFmtId="0" fontId="61" fillId="0" borderId="10" xfId="41" applyFont="1" applyBorder="1" applyAlignment="1" applyProtection="1">
      <alignment vertical="top" wrapText="1" readingOrder="1"/>
      <protection locked="0"/>
    </xf>
    <xf numFmtId="0" fontId="35" fillId="0" borderId="10" xfId="41" applyFont="1" applyBorder="1" applyAlignment="1" applyProtection="1">
      <alignment vertical="top" wrapText="1" readingOrder="1"/>
      <protection locked="0"/>
    </xf>
    <xf numFmtId="0" fontId="38" fillId="0" borderId="10" xfId="41" applyFont="1" applyBorder="1" applyAlignment="1" applyProtection="1">
      <alignment vertical="top" wrapText="1" readingOrder="1"/>
      <protection locked="0"/>
    </xf>
    <xf numFmtId="0" fontId="14" fillId="0" borderId="10" xfId="41" applyBorder="1"/>
    <xf numFmtId="1" fontId="44" fillId="21" borderId="48" xfId="40" applyNumberFormat="1" applyFont="1" applyFill="1" applyBorder="1" applyAlignment="1">
      <alignment horizontal="center" vertical="center" wrapText="1"/>
    </xf>
    <xf numFmtId="1" fontId="44" fillId="21" borderId="49" xfId="40" applyNumberFormat="1" applyFont="1" applyFill="1" applyBorder="1" applyAlignment="1">
      <alignment horizontal="center" vertical="center" wrapText="1"/>
    </xf>
    <xf numFmtId="0" fontId="14" fillId="0" borderId="0" xfId="0" applyFont="1" applyAlignment="1">
      <alignment vertical="center"/>
    </xf>
    <xf numFmtId="1" fontId="44" fillId="21" borderId="47" xfId="40" applyNumberFormat="1" applyFont="1" applyFill="1" applyBorder="1" applyAlignment="1">
      <alignment horizontal="center" vertical="center" wrapText="1"/>
    </xf>
    <xf numFmtId="1" fontId="44" fillId="21" borderId="47" xfId="40" quotePrefix="1" applyNumberFormat="1" applyFont="1" applyFill="1" applyBorder="1" applyAlignment="1">
      <alignment horizontal="center" vertical="center" wrapText="1"/>
    </xf>
    <xf numFmtId="1" fontId="44" fillId="21" borderId="29" xfId="40" applyNumberFormat="1" applyFont="1" applyFill="1" applyBorder="1" applyAlignment="1">
      <alignment horizontal="center" vertical="center" wrapText="1"/>
    </xf>
    <xf numFmtId="1" fontId="44" fillId="21" borderId="50" xfId="40" applyNumberFormat="1" applyFont="1" applyFill="1" applyBorder="1" applyAlignment="1">
      <alignment horizontal="center" vertical="center" wrapText="1"/>
    </xf>
    <xf numFmtId="1" fontId="44" fillId="21" borderId="27" xfId="40" applyNumberFormat="1" applyFont="1" applyFill="1" applyBorder="1" applyAlignment="1">
      <alignment horizontal="center" vertical="center" wrapText="1"/>
    </xf>
    <xf numFmtId="0" fontId="59" fillId="0" borderId="10" xfId="0" applyFont="1" applyBorder="1" applyAlignment="1" applyProtection="1">
      <alignment vertical="top" wrapText="1" readingOrder="1"/>
      <protection locked="0"/>
    </xf>
    <xf numFmtId="0" fontId="61" fillId="0" borderId="10" xfId="0" applyFont="1" applyBorder="1" applyAlignment="1" applyProtection="1">
      <alignment vertical="top" wrapText="1" readingOrder="1"/>
      <protection locked="0"/>
    </xf>
    <xf numFmtId="0" fontId="10" fillId="0" borderId="10" xfId="0" applyFont="1" applyBorder="1" applyAlignment="1" applyProtection="1">
      <alignment vertical="top" wrapText="1" readingOrder="1"/>
      <protection locked="0"/>
    </xf>
    <xf numFmtId="0" fontId="12" fillId="0" borderId="10" xfId="0" applyFont="1" applyBorder="1" applyAlignment="1" applyProtection="1">
      <alignment vertical="top" wrapText="1" readingOrder="1"/>
      <protection locked="0"/>
    </xf>
    <xf numFmtId="0" fontId="13" fillId="0" borderId="10" xfId="0" applyFont="1" applyBorder="1" applyAlignment="1" applyProtection="1">
      <alignment vertical="top" wrapText="1" readingOrder="1"/>
      <protection locked="0"/>
    </xf>
    <xf numFmtId="0" fontId="59" fillId="0" borderId="10" xfId="0" applyFont="1" applyBorder="1" applyAlignment="1" applyProtection="1">
      <alignment horizontal="center" vertical="top" wrapText="1" readingOrder="1"/>
      <protection locked="0"/>
    </xf>
    <xf numFmtId="0" fontId="14" fillId="0" borderId="0" xfId="0" applyFont="1" applyAlignment="1">
      <alignment horizontal="center" vertical="center"/>
    </xf>
    <xf numFmtId="1" fontId="44" fillId="21" borderId="15" xfId="40" applyNumberFormat="1" applyFont="1" applyFill="1" applyBorder="1" applyAlignment="1">
      <alignment horizontal="center" vertical="center" wrapText="1"/>
    </xf>
    <xf numFmtId="49" fontId="12" fillId="0" borderId="10" xfId="41" quotePrefix="1" applyNumberFormat="1" applyFont="1" applyBorder="1" applyAlignment="1" applyProtection="1">
      <alignment vertical="top" wrapText="1" readingOrder="1"/>
      <protection locked="0"/>
    </xf>
    <xf numFmtId="0" fontId="59" fillId="0" borderId="10" xfId="41" applyFont="1" applyBorder="1" applyAlignment="1" applyProtection="1">
      <alignment vertical="top" wrapText="1" readingOrder="1"/>
      <protection locked="0"/>
    </xf>
    <xf numFmtId="49" fontId="59" fillId="0" borderId="10" xfId="41" quotePrefix="1" applyNumberFormat="1" applyFont="1" applyBorder="1" applyAlignment="1" applyProtection="1">
      <alignment vertical="top" wrapText="1" readingOrder="1"/>
      <protection locked="0"/>
    </xf>
    <xf numFmtId="0" fontId="11" fillId="0" borderId="0" xfId="41" applyFont="1" applyAlignment="1" applyProtection="1">
      <alignment horizontal="center" vertical="center" wrapText="1" readingOrder="1"/>
      <protection locked="0"/>
    </xf>
    <xf numFmtId="0" fontId="62" fillId="0" borderId="0" xfId="59" applyBorder="1" applyAlignment="1">
      <alignment horizontal="left" vertical="center"/>
    </xf>
    <xf numFmtId="0" fontId="63" fillId="0" borderId="0" xfId="0" applyFont="1" applyAlignment="1">
      <alignment horizontal="left" vertical="center"/>
    </xf>
    <xf numFmtId="2" fontId="14" fillId="0" borderId="0" xfId="0" applyNumberFormat="1" applyFont="1" applyAlignment="1">
      <alignment horizontal="center" vertical="center"/>
    </xf>
    <xf numFmtId="1" fontId="14" fillId="0" borderId="0" xfId="0" applyNumberFormat="1" applyFont="1" applyAlignment="1">
      <alignment horizontal="center" vertical="center"/>
    </xf>
    <xf numFmtId="0" fontId="14" fillId="0" borderId="0" xfId="0" applyFont="1" applyAlignment="1">
      <alignment horizontal="center" vertical="center" wrapText="1"/>
    </xf>
    <xf numFmtId="2" fontId="14" fillId="0" borderId="44" xfId="0" applyNumberFormat="1" applyFont="1" applyBorder="1" applyAlignment="1">
      <alignment horizontal="center" vertical="center"/>
    </xf>
    <xf numFmtId="1" fontId="14" fillId="0" borderId="44" xfId="0" applyNumberFormat="1" applyFont="1" applyBorder="1" applyAlignment="1">
      <alignment horizontal="center" vertical="center"/>
    </xf>
    <xf numFmtId="0" fontId="14" fillId="0" borderId="44" xfId="0" applyFont="1" applyBorder="1" applyAlignment="1">
      <alignment horizontal="center" vertical="center"/>
    </xf>
    <xf numFmtId="2" fontId="14" fillId="0" borderId="23" xfId="0" applyNumberFormat="1" applyFont="1" applyBorder="1" applyAlignment="1">
      <alignment horizontal="center" vertical="center"/>
    </xf>
    <xf numFmtId="1" fontId="14" fillId="0" borderId="23" xfId="0" applyNumberFormat="1" applyFont="1" applyBorder="1" applyAlignment="1">
      <alignment horizontal="center" vertical="center"/>
    </xf>
    <xf numFmtId="0" fontId="14" fillId="0" borderId="23" xfId="0" applyFont="1" applyBorder="1" applyAlignment="1">
      <alignment horizontal="center" vertical="center"/>
    </xf>
    <xf numFmtId="2" fontId="14" fillId="0" borderId="45" xfId="0" applyNumberFormat="1" applyFont="1" applyBorder="1" applyAlignment="1">
      <alignment horizontal="center" vertical="center"/>
    </xf>
    <xf numFmtId="1" fontId="14" fillId="0" borderId="45" xfId="0" applyNumberFormat="1" applyFont="1" applyBorder="1" applyAlignment="1">
      <alignment horizontal="center" vertical="center"/>
    </xf>
    <xf numFmtId="0" fontId="14" fillId="0" borderId="45" xfId="0" applyFont="1" applyBorder="1" applyAlignment="1">
      <alignment horizontal="center" vertical="center"/>
    </xf>
    <xf numFmtId="0" fontId="14" fillId="0" borderId="50" xfId="0" applyFont="1" applyBorder="1" applyAlignment="1">
      <alignment horizontal="center" vertical="center"/>
    </xf>
    <xf numFmtId="2" fontId="14" fillId="0" borderId="59" xfId="0" applyNumberFormat="1" applyFont="1" applyBorder="1" applyAlignment="1">
      <alignment horizontal="center" vertical="center"/>
    </xf>
    <xf numFmtId="2" fontId="14" fillId="0" borderId="49" xfId="0" applyNumberFormat="1" applyFont="1" applyBorder="1" applyAlignment="1">
      <alignment horizontal="center" vertical="center"/>
    </xf>
    <xf numFmtId="1" fontId="14" fillId="0" borderId="49" xfId="0" applyNumberFormat="1" applyFont="1" applyBorder="1" applyAlignment="1">
      <alignment horizontal="center" vertical="center"/>
    </xf>
    <xf numFmtId="0" fontId="14" fillId="0" borderId="49" xfId="0" applyFont="1" applyBorder="1" applyAlignment="1">
      <alignment horizontal="center" vertical="center"/>
    </xf>
    <xf numFmtId="0" fontId="14" fillId="0" borderId="48" xfId="0" applyFont="1" applyBorder="1" applyAlignment="1">
      <alignment horizontal="center" vertical="center"/>
    </xf>
    <xf numFmtId="1" fontId="14" fillId="0" borderId="0" xfId="0" applyNumberFormat="1" applyFont="1" applyAlignment="1">
      <alignment vertical="center"/>
    </xf>
    <xf numFmtId="0" fontId="14" fillId="0" borderId="50" xfId="0" applyFont="1" applyBorder="1" applyAlignment="1">
      <alignment horizontal="center" vertical="center" wrapText="1"/>
    </xf>
    <xf numFmtId="0" fontId="14" fillId="0" borderId="44" xfId="0" quotePrefix="1" applyFont="1" applyBorder="1" applyAlignment="1">
      <alignment horizontal="center" vertical="center"/>
    </xf>
    <xf numFmtId="0" fontId="14" fillId="0" borderId="23" xfId="0" quotePrefix="1" applyFont="1" applyBorder="1" applyAlignment="1">
      <alignment horizontal="center" vertical="center"/>
    </xf>
    <xf numFmtId="0" fontId="14" fillId="0" borderId="45" xfId="0" quotePrefix="1" applyFont="1" applyBorder="1" applyAlignment="1">
      <alignment horizontal="center" vertical="center"/>
    </xf>
    <xf numFmtId="0" fontId="14" fillId="0" borderId="49" xfId="0" quotePrefix="1" applyFont="1" applyBorder="1" applyAlignment="1">
      <alignment horizontal="center" vertical="center"/>
    </xf>
    <xf numFmtId="0" fontId="21" fillId="0" borderId="0" xfId="40" applyFont="1"/>
    <xf numFmtId="0" fontId="21" fillId="0" borderId="0" xfId="40" applyFont="1" applyAlignment="1">
      <alignment horizontal="left"/>
    </xf>
    <xf numFmtId="0" fontId="14" fillId="0" borderId="23" xfId="40" applyFont="1" applyBorder="1" applyAlignment="1">
      <alignment horizontal="center" vertical="center" wrapText="1"/>
    </xf>
    <xf numFmtId="0" fontId="14" fillId="0" borderId="23" xfId="40" applyFont="1" applyBorder="1" applyAlignment="1">
      <alignment horizontal="center" vertical="center"/>
    </xf>
    <xf numFmtId="0" fontId="14" fillId="0" borderId="23" xfId="40" applyFont="1" applyBorder="1" applyAlignment="1">
      <alignment vertical="center" wrapText="1"/>
    </xf>
    <xf numFmtId="0" fontId="45" fillId="0" borderId="23" xfId="40" applyFont="1" applyBorder="1" applyAlignment="1">
      <alignment horizontal="center" vertical="center" wrapText="1"/>
    </xf>
    <xf numFmtId="0" fontId="14" fillId="0" borderId="23" xfId="40" applyFont="1" applyBorder="1" applyAlignment="1">
      <alignment horizontal="left" vertical="center" wrapText="1"/>
    </xf>
    <xf numFmtId="0" fontId="14" fillId="0" borderId="23" xfId="40" applyFont="1" applyBorder="1" applyAlignment="1">
      <alignment horizontal="left" vertical="center"/>
    </xf>
    <xf numFmtId="0" fontId="0" fillId="0" borderId="0" xfId="0"/>
    <xf numFmtId="1" fontId="44" fillId="21" borderId="19" xfId="40" applyNumberFormat="1" applyFont="1" applyFill="1" applyBorder="1" applyAlignment="1">
      <alignment horizontal="center" vertical="center" wrapText="1"/>
    </xf>
    <xf numFmtId="0" fontId="44" fillId="21" borderId="19" xfId="40" applyFont="1" applyFill="1" applyBorder="1" applyAlignment="1">
      <alignment horizontal="center" vertical="center" wrapText="1"/>
    </xf>
    <xf numFmtId="1" fontId="14" fillId="0" borderId="23" xfId="40" applyNumberFormat="1" applyFont="1" applyBorder="1" applyAlignment="1">
      <alignment horizontal="center" vertical="center" wrapText="1"/>
    </xf>
    <xf numFmtId="0" fontId="59" fillId="19" borderId="10" xfId="0" applyFont="1" applyFill="1" applyBorder="1" applyAlignment="1" applyProtection="1">
      <alignment vertical="top" wrapText="1" readingOrder="1"/>
      <protection locked="0"/>
    </xf>
    <xf numFmtId="0" fontId="13" fillId="19" borderId="10" xfId="0" applyFont="1" applyFill="1" applyBorder="1" applyAlignment="1" applyProtection="1">
      <alignment vertical="top" wrapText="1" readingOrder="1"/>
      <protection locked="0"/>
    </xf>
    <xf numFmtId="0" fontId="12" fillId="19" borderId="10" xfId="0" applyFont="1" applyFill="1" applyBorder="1" applyAlignment="1" applyProtection="1">
      <alignment vertical="top" wrapText="1" readingOrder="1"/>
      <protection locked="0"/>
    </xf>
    <xf numFmtId="0" fontId="61" fillId="19" borderId="10" xfId="0" applyFont="1" applyFill="1" applyBorder="1" applyAlignment="1" applyProtection="1">
      <alignment vertical="top" wrapText="1" readingOrder="1"/>
      <protection locked="0"/>
    </xf>
    <xf numFmtId="0" fontId="10" fillId="19" borderId="10" xfId="0" applyFont="1" applyFill="1" applyBorder="1" applyAlignment="1" applyProtection="1">
      <alignment vertical="top" wrapText="1" readingOrder="1"/>
      <protection locked="0"/>
    </xf>
    <xf numFmtId="0" fontId="11" fillId="18" borderId="0" xfId="0" applyFont="1" applyFill="1" applyAlignment="1" applyProtection="1">
      <alignment horizontal="center" vertical="center" wrapText="1" readingOrder="1"/>
      <protection locked="0"/>
    </xf>
    <xf numFmtId="0" fontId="69" fillId="0" borderId="10" xfId="0" applyFont="1" applyBorder="1" applyAlignment="1" applyProtection="1">
      <alignment vertical="top" wrapText="1" readingOrder="1"/>
      <protection locked="0"/>
    </xf>
    <xf numFmtId="0" fontId="70" fillId="0" borderId="10" xfId="0" applyFont="1" applyBorder="1" applyAlignment="1" applyProtection="1">
      <alignment vertical="top" wrapText="1" readingOrder="1"/>
      <protection locked="0"/>
    </xf>
    <xf numFmtId="0" fontId="71" fillId="0" borderId="10" xfId="0" applyFont="1" applyBorder="1" applyAlignment="1" applyProtection="1">
      <alignment vertical="top" wrapText="1" readingOrder="1"/>
      <protection locked="0"/>
    </xf>
    <xf numFmtId="0" fontId="72" fillId="0" borderId="10" xfId="0" applyFont="1" applyBorder="1" applyAlignment="1" applyProtection="1">
      <alignment vertical="top" wrapText="1" readingOrder="1"/>
      <protection locked="0"/>
    </xf>
    <xf numFmtId="0" fontId="73" fillId="0" borderId="10" xfId="0" applyFont="1" applyBorder="1" applyAlignment="1" applyProtection="1">
      <alignment vertical="top" wrapText="1" readingOrder="1"/>
      <protection locked="0"/>
    </xf>
    <xf numFmtId="0" fontId="69" fillId="19" borderId="10" xfId="0" applyFont="1" applyFill="1" applyBorder="1" applyAlignment="1" applyProtection="1">
      <alignment vertical="top" wrapText="1" readingOrder="1"/>
      <protection locked="0"/>
    </xf>
    <xf numFmtId="0" fontId="70" fillId="19" borderId="10" xfId="0" applyFont="1" applyFill="1" applyBorder="1" applyAlignment="1" applyProtection="1">
      <alignment vertical="top" wrapText="1" readingOrder="1"/>
      <protection locked="0"/>
    </xf>
    <xf numFmtId="0" fontId="71" fillId="19" borderId="10" xfId="0" applyFont="1" applyFill="1" applyBorder="1" applyAlignment="1" applyProtection="1">
      <alignment vertical="top" wrapText="1" readingOrder="1"/>
      <protection locked="0"/>
    </xf>
    <xf numFmtId="0" fontId="72" fillId="19" borderId="10" xfId="0" applyFont="1" applyFill="1" applyBorder="1" applyAlignment="1" applyProtection="1">
      <alignment vertical="top" wrapText="1" readingOrder="1"/>
      <protection locked="0"/>
    </xf>
    <xf numFmtId="0" fontId="73" fillId="19" borderId="10" xfId="0" applyFont="1" applyFill="1" applyBorder="1" applyAlignment="1" applyProtection="1">
      <alignment vertical="top" wrapText="1" readingOrder="1"/>
      <protection locked="0"/>
    </xf>
    <xf numFmtId="0" fontId="74" fillId="18" borderId="0" xfId="0" applyFont="1" applyFill="1" applyAlignment="1" applyProtection="1">
      <alignment horizontal="center" vertical="center" wrapText="1" readingOrder="1"/>
      <protection locked="0"/>
    </xf>
    <xf numFmtId="0" fontId="9" fillId="0" borderId="24" xfId="40" applyBorder="1"/>
    <xf numFmtId="14" fontId="59" fillId="0" borderId="10" xfId="0" applyNumberFormat="1" applyFont="1" applyFill="1" applyBorder="1" applyAlignment="1" applyProtection="1">
      <alignment vertical="top" wrapText="1" readingOrder="1"/>
      <protection locked="0"/>
    </xf>
    <xf numFmtId="0" fontId="21" fillId="0" borderId="0" xfId="64" applyFont="1"/>
    <xf numFmtId="1" fontId="21" fillId="0" borderId="0" xfId="64" applyNumberFormat="1" applyFont="1"/>
    <xf numFmtId="1" fontId="21" fillId="0" borderId="0" xfId="64" applyNumberFormat="1" applyFont="1" applyAlignment="1">
      <alignment horizontal="center"/>
    </xf>
    <xf numFmtId="0" fontId="21" fillId="0" borderId="0" xfId="64" applyFont="1" applyAlignment="1">
      <alignment horizontal="center"/>
    </xf>
    <xf numFmtId="2" fontId="21" fillId="0" borderId="0" xfId="64" applyNumberFormat="1" applyFont="1"/>
    <xf numFmtId="0" fontId="21" fillId="0" borderId="0" xfId="64" applyFont="1" applyAlignment="1">
      <alignment horizontal="right"/>
    </xf>
    <xf numFmtId="0" fontId="21" fillId="0" borderId="0" xfId="64" applyFont="1" applyAlignment="1">
      <alignment horizontal="left"/>
    </xf>
    <xf numFmtId="0" fontId="21" fillId="0" borderId="0" xfId="64" applyFont="1" applyAlignment="1">
      <alignment wrapText="1"/>
    </xf>
    <xf numFmtId="164" fontId="21" fillId="0" borderId="23" xfId="64" applyNumberFormat="1" applyFont="1" applyBorder="1" applyAlignment="1">
      <alignment horizontal="center"/>
    </xf>
    <xf numFmtId="14" fontId="21" fillId="0" borderId="23" xfId="64" applyNumberFormat="1" applyFont="1" applyBorder="1" applyAlignment="1">
      <alignment horizontal="left"/>
    </xf>
    <xf numFmtId="0" fontId="21" fillId="0" borderId="39" xfId="64" applyFont="1" applyBorder="1" applyAlignment="1">
      <alignment horizontal="left" wrapText="1"/>
    </xf>
    <xf numFmtId="0" fontId="21" fillId="0" borderId="40" xfId="64" applyFont="1" applyBorder="1" applyAlignment="1">
      <alignment horizontal="left" wrapText="1"/>
    </xf>
    <xf numFmtId="0" fontId="21" fillId="0" borderId="38" xfId="64" applyFont="1" applyBorder="1" applyAlignment="1">
      <alignment horizontal="left" wrapText="1"/>
    </xf>
    <xf numFmtId="164" fontId="21" fillId="0" borderId="12" xfId="64" applyNumberFormat="1" applyFont="1" applyBorder="1" applyAlignment="1">
      <alignment horizontal="center"/>
    </xf>
    <xf numFmtId="14" fontId="21" fillId="0" borderId="12" xfId="64" applyNumberFormat="1" applyFont="1" applyBorder="1" applyAlignment="1">
      <alignment horizontal="left"/>
    </xf>
    <xf numFmtId="165" fontId="21" fillId="0" borderId="12" xfId="64" applyNumberFormat="1" applyFont="1" applyBorder="1" applyAlignment="1">
      <alignment horizontal="left"/>
    </xf>
    <xf numFmtId="165" fontId="21" fillId="0" borderId="23" xfId="64" applyNumberFormat="1" applyFont="1" applyBorder="1" applyAlignment="1">
      <alignment horizontal="left"/>
    </xf>
    <xf numFmtId="14" fontId="21" fillId="0" borderId="0" xfId="64" applyNumberFormat="1" applyFont="1" applyAlignment="1">
      <alignment horizontal="center"/>
    </xf>
    <xf numFmtId="0" fontId="21" fillId="0" borderId="32" xfId="64" applyFont="1" applyBorder="1" applyAlignment="1">
      <alignment horizontal="center"/>
    </xf>
    <xf numFmtId="14" fontId="21" fillId="0" borderId="32" xfId="64" applyNumberFormat="1" applyFont="1" applyBorder="1" applyAlignment="1">
      <alignment horizontal="center"/>
    </xf>
    <xf numFmtId="14" fontId="21" fillId="0" borderId="12" xfId="64" applyNumberFormat="1" applyFont="1" applyBorder="1" applyAlignment="1">
      <alignment horizontal="center"/>
    </xf>
    <xf numFmtId="0" fontId="21" fillId="0" borderId="23" xfId="64" applyFont="1" applyBorder="1" applyAlignment="1">
      <alignment horizontal="center"/>
    </xf>
    <xf numFmtId="14" fontId="21" fillId="0" borderId="23" xfId="64" applyNumberFormat="1" applyFont="1" applyBorder="1" applyAlignment="1">
      <alignment horizontal="center"/>
    </xf>
    <xf numFmtId="0" fontId="46" fillId="0" borderId="0" xfId="64" applyFont="1"/>
    <xf numFmtId="1" fontId="21" fillId="0" borderId="47" xfId="64" quotePrefix="1" applyNumberFormat="1" applyFont="1" applyBorder="1" applyAlignment="1">
      <alignment horizontal="center" vertical="center"/>
    </xf>
    <xf numFmtId="1" fontId="21" fillId="0" borderId="47" xfId="64" quotePrefix="1" applyNumberFormat="1" applyFont="1" applyBorder="1" applyAlignment="1">
      <alignment horizontal="center"/>
    </xf>
    <xf numFmtId="1" fontId="21" fillId="0" borderId="49" xfId="64" quotePrefix="1" applyNumberFormat="1" applyFont="1" applyBorder="1" applyAlignment="1">
      <alignment horizontal="center"/>
    </xf>
    <xf numFmtId="1" fontId="21" fillId="0" borderId="49" xfId="64" quotePrefix="1" applyNumberFormat="1" applyFont="1" applyBorder="1"/>
    <xf numFmtId="1" fontId="21" fillId="0" borderId="49" xfId="64" quotePrefix="1" applyNumberFormat="1" applyFont="1" applyBorder="1" applyAlignment="1">
      <alignment horizontal="left"/>
    </xf>
    <xf numFmtId="1" fontId="44" fillId="0" borderId="19" xfId="64" applyNumberFormat="1" applyFont="1" applyBorder="1"/>
    <xf numFmtId="1" fontId="44" fillId="0" borderId="19" xfId="64" applyNumberFormat="1" applyFont="1" applyBorder="1" applyAlignment="1">
      <alignment horizontal="left"/>
    </xf>
    <xf numFmtId="2" fontId="21" fillId="0" borderId="29" xfId="64" applyNumberFormat="1" applyFont="1" applyBorder="1"/>
    <xf numFmtId="0" fontId="21" fillId="0" borderId="29" xfId="64" applyFont="1" applyBorder="1"/>
    <xf numFmtId="0" fontId="21" fillId="0" borderId="18" xfId="64" applyFont="1" applyBorder="1"/>
    <xf numFmtId="0" fontId="44" fillId="0" borderId="16" xfId="64" applyFont="1" applyBorder="1" applyAlignment="1">
      <alignment horizontal="left"/>
    </xf>
    <xf numFmtId="1" fontId="44" fillId="0" borderId="16" xfId="64" applyNumberFormat="1" applyFont="1" applyBorder="1" applyAlignment="1">
      <alignment horizontal="center"/>
    </xf>
    <xf numFmtId="1" fontId="21" fillId="0" borderId="21" xfId="64" applyNumberFormat="1" applyFont="1" applyBorder="1"/>
    <xf numFmtId="1" fontId="21" fillId="0" borderId="16" xfId="64" applyNumberFormat="1" applyFont="1" applyBorder="1"/>
    <xf numFmtId="0" fontId="21" fillId="0" borderId="16" xfId="64" applyFont="1" applyBorder="1"/>
    <xf numFmtId="0" fontId="21" fillId="0" borderId="16" xfId="64" applyFont="1" applyBorder="1" applyAlignment="1">
      <alignment horizontal="right"/>
    </xf>
    <xf numFmtId="1" fontId="21" fillId="0" borderId="16" xfId="64" applyNumberFormat="1" applyFont="1" applyBorder="1" applyAlignment="1">
      <alignment horizontal="right"/>
    </xf>
    <xf numFmtId="0" fontId="44" fillId="0" borderId="16" xfId="64" applyFont="1" applyBorder="1"/>
    <xf numFmtId="1" fontId="21" fillId="0" borderId="21" xfId="64" applyNumberFormat="1" applyFont="1" applyBorder="1" applyAlignment="1">
      <alignment horizontal="center"/>
    </xf>
    <xf numFmtId="1" fontId="21" fillId="0" borderId="16" xfId="64" applyNumberFormat="1" applyFont="1" applyBorder="1" applyAlignment="1">
      <alignment horizontal="center" vertical="center"/>
    </xf>
    <xf numFmtId="1" fontId="21" fillId="23" borderId="16" xfId="64" applyNumberFormat="1" applyFont="1" applyFill="1" applyBorder="1" applyAlignment="1">
      <alignment horizontal="center"/>
    </xf>
    <xf numFmtId="164" fontId="21" fillId="23" borderId="16" xfId="64" applyNumberFormat="1" applyFont="1" applyFill="1" applyBorder="1" applyAlignment="1">
      <alignment horizontal="right"/>
    </xf>
    <xf numFmtId="1" fontId="21" fillId="22" borderId="16" xfId="64" applyNumberFormat="1" applyFont="1" applyFill="1" applyBorder="1"/>
    <xf numFmtId="0" fontId="21" fillId="0" borderId="16" xfId="64" applyFont="1" applyBorder="1" applyAlignment="1">
      <alignment horizontal="center"/>
    </xf>
    <xf numFmtId="2" fontId="21" fillId="0" borderId="16" xfId="64" applyNumberFormat="1" applyFont="1" applyBorder="1"/>
    <xf numFmtId="0" fontId="21" fillId="23" borderId="16" xfId="64" applyFont="1" applyFill="1" applyBorder="1"/>
    <xf numFmtId="1" fontId="21" fillId="23" borderId="16" xfId="64" applyNumberFormat="1" applyFont="1" applyFill="1" applyBorder="1"/>
    <xf numFmtId="0" fontId="21" fillId="23" borderId="16" xfId="64" applyFont="1" applyFill="1" applyBorder="1" applyAlignment="1">
      <alignment horizontal="right"/>
    </xf>
    <xf numFmtId="0" fontId="44" fillId="0" borderId="13" xfId="64" applyFont="1" applyBorder="1" applyAlignment="1">
      <alignment horizontal="left"/>
    </xf>
    <xf numFmtId="1" fontId="44" fillId="0" borderId="0" xfId="64" applyNumberFormat="1" applyFont="1" applyAlignment="1">
      <alignment horizontal="center"/>
    </xf>
    <xf numFmtId="1" fontId="21" fillId="0" borderId="0" xfId="64" applyNumberFormat="1" applyFont="1" applyAlignment="1">
      <alignment horizontal="right"/>
    </xf>
    <xf numFmtId="0" fontId="44" fillId="0" borderId="13" xfId="64" applyFont="1" applyBorder="1"/>
    <xf numFmtId="1" fontId="21" fillId="0" borderId="18" xfId="64" applyNumberFormat="1" applyFont="1" applyBorder="1" applyAlignment="1">
      <alignment horizontal="center"/>
    </xf>
    <xf numFmtId="1" fontId="21" fillId="0" borderId="0" xfId="64" applyNumberFormat="1" applyFont="1" applyAlignment="1">
      <alignment horizontal="center" vertical="center"/>
    </xf>
    <xf numFmtId="1" fontId="21" fillId="23" borderId="0" xfId="64" applyNumberFormat="1" applyFont="1" applyFill="1" applyAlignment="1">
      <alignment horizontal="center"/>
    </xf>
    <xf numFmtId="164" fontId="21" fillId="23" borderId="0" xfId="64" applyNumberFormat="1" applyFont="1" applyFill="1" applyAlignment="1">
      <alignment horizontal="right"/>
    </xf>
    <xf numFmtId="1" fontId="21" fillId="22" borderId="0" xfId="64" applyNumberFormat="1" applyFont="1" applyFill="1"/>
    <xf numFmtId="0" fontId="21" fillId="23" borderId="0" xfId="64" applyFont="1" applyFill="1"/>
    <xf numFmtId="1" fontId="21" fillId="23" borderId="0" xfId="64" applyNumberFormat="1" applyFont="1" applyFill="1"/>
    <xf numFmtId="0" fontId="21" fillId="23" borderId="0" xfId="64" applyFont="1" applyFill="1" applyAlignment="1">
      <alignment horizontal="right"/>
    </xf>
    <xf numFmtId="0" fontId="21" fillId="0" borderId="30" xfId="64" applyFont="1" applyBorder="1" applyAlignment="1">
      <alignment horizontal="left"/>
    </xf>
    <xf numFmtId="0" fontId="21" fillId="0" borderId="34" xfId="64" applyFont="1" applyBorder="1"/>
    <xf numFmtId="1" fontId="21" fillId="0" borderId="34" xfId="64" applyNumberFormat="1" applyFont="1" applyBorder="1"/>
    <xf numFmtId="0" fontId="21" fillId="0" borderId="34" xfId="64" applyFont="1" applyBorder="1" applyAlignment="1">
      <alignment horizontal="right"/>
    </xf>
    <xf numFmtId="1" fontId="44" fillId="0" borderId="13" xfId="64" applyNumberFormat="1" applyFont="1" applyBorder="1" applyAlignment="1">
      <alignment horizontal="left"/>
    </xf>
    <xf numFmtId="1" fontId="21" fillId="0" borderId="18" xfId="64" applyNumberFormat="1" applyFont="1" applyBorder="1"/>
    <xf numFmtId="1" fontId="21" fillId="0" borderId="34" xfId="64" applyNumberFormat="1" applyFont="1" applyBorder="1" applyAlignment="1">
      <alignment horizontal="right"/>
    </xf>
    <xf numFmtId="1" fontId="21" fillId="0" borderId="13" xfId="64" applyNumberFormat="1" applyFont="1" applyBorder="1" applyAlignment="1">
      <alignment horizontal="center"/>
    </xf>
    <xf numFmtId="1" fontId="21" fillId="22" borderId="0" xfId="64" applyNumberFormat="1" applyFont="1" applyFill="1" applyAlignment="1">
      <alignment horizontal="center"/>
    </xf>
    <xf numFmtId="2" fontId="21" fillId="0" borderId="0" xfId="64" applyNumberFormat="1" applyFont="1" applyAlignment="1">
      <alignment horizontal="right"/>
    </xf>
    <xf numFmtId="0" fontId="21" fillId="22" borderId="0" xfId="64" applyFont="1" applyFill="1" applyAlignment="1">
      <alignment horizontal="right"/>
    </xf>
    <xf numFmtId="1" fontId="21" fillId="22" borderId="0" xfId="64" applyNumberFormat="1" applyFont="1" applyFill="1" applyAlignment="1">
      <alignment horizontal="right"/>
    </xf>
    <xf numFmtId="0" fontId="21" fillId="22" borderId="0" xfId="64" applyFont="1" applyFill="1"/>
    <xf numFmtId="2" fontId="21" fillId="0" borderId="30" xfId="64" applyNumberFormat="1" applyFont="1" applyBorder="1"/>
    <xf numFmtId="0" fontId="21" fillId="0" borderId="31" xfId="64" applyFont="1" applyBorder="1" applyAlignment="1">
      <alignment horizontal="center"/>
    </xf>
    <xf numFmtId="1" fontId="21" fillId="22" borderId="24" xfId="64" applyNumberFormat="1" applyFont="1" applyFill="1" applyBorder="1"/>
    <xf numFmtId="0" fontId="44" fillId="0" borderId="36" xfId="64" applyFont="1" applyBorder="1" applyAlignment="1">
      <alignment horizontal="left"/>
    </xf>
    <xf numFmtId="1" fontId="44" fillId="0" borderId="34" xfId="64" applyNumberFormat="1" applyFont="1" applyBorder="1" applyAlignment="1">
      <alignment horizontal="center"/>
    </xf>
    <xf numFmtId="1" fontId="21" fillId="0" borderId="35" xfId="64" applyNumberFormat="1" applyFont="1" applyBorder="1"/>
    <xf numFmtId="0" fontId="44" fillId="0" borderId="36" xfId="64" applyFont="1" applyBorder="1"/>
    <xf numFmtId="1" fontId="21" fillId="0" borderId="35" xfId="64" applyNumberFormat="1" applyFont="1" applyBorder="1" applyAlignment="1">
      <alignment horizontal="center"/>
    </xf>
    <xf numFmtId="1" fontId="21" fillId="0" borderId="34" xfId="64" applyNumberFormat="1" applyFont="1" applyBorder="1" applyAlignment="1">
      <alignment horizontal="center"/>
    </xf>
    <xf numFmtId="1" fontId="21" fillId="22" borderId="34" xfId="64" applyNumberFormat="1" applyFont="1" applyFill="1" applyBorder="1" applyAlignment="1">
      <alignment horizontal="center"/>
    </xf>
    <xf numFmtId="0" fontId="21" fillId="23" borderId="34" xfId="64" applyFont="1" applyFill="1" applyBorder="1" applyAlignment="1">
      <alignment horizontal="right"/>
    </xf>
    <xf numFmtId="0" fontId="21" fillId="0" borderId="34" xfId="64" applyFont="1" applyBorder="1" applyAlignment="1">
      <alignment horizontal="center"/>
    </xf>
    <xf numFmtId="2" fontId="21" fillId="0" borderId="34" xfId="64" applyNumberFormat="1" applyFont="1" applyBorder="1" applyAlignment="1">
      <alignment horizontal="right"/>
    </xf>
    <xf numFmtId="0" fontId="21" fillId="22" borderId="34" xfId="64" applyFont="1" applyFill="1" applyBorder="1" applyAlignment="1">
      <alignment horizontal="right"/>
    </xf>
    <xf numFmtId="1" fontId="21" fillId="22" borderId="34" xfId="64" applyNumberFormat="1" applyFont="1" applyFill="1" applyBorder="1" applyAlignment="1">
      <alignment horizontal="right"/>
    </xf>
    <xf numFmtId="0" fontId="21" fillId="22" borderId="34" xfId="64" applyFont="1" applyFill="1" applyBorder="1"/>
    <xf numFmtId="2" fontId="21" fillId="0" borderId="32" xfId="64" applyNumberFormat="1" applyFont="1" applyBorder="1"/>
    <xf numFmtId="0" fontId="21" fillId="0" borderId="33" xfId="64" applyFont="1" applyBorder="1" applyAlignment="1">
      <alignment horizontal="center"/>
    </xf>
    <xf numFmtId="0" fontId="21" fillId="0" borderId="32" xfId="64" applyFont="1" applyBorder="1" applyAlignment="1">
      <alignment horizontal="left"/>
    </xf>
    <xf numFmtId="0" fontId="21" fillId="0" borderId="43" xfId="64" applyFont="1" applyBorder="1" applyAlignment="1">
      <alignment horizontal="center"/>
    </xf>
    <xf numFmtId="0" fontId="44" fillId="0" borderId="42" xfId="64" applyFont="1" applyBorder="1" applyAlignment="1">
      <alignment horizontal="left"/>
    </xf>
    <xf numFmtId="1" fontId="44" fillId="0" borderId="40" xfId="64" applyNumberFormat="1" applyFont="1" applyBorder="1" applyAlignment="1">
      <alignment horizontal="center"/>
    </xf>
    <xf numFmtId="1" fontId="21" fillId="0" borderId="41" xfId="64" applyNumberFormat="1" applyFont="1" applyBorder="1"/>
    <xf numFmtId="1" fontId="44" fillId="0" borderId="42" xfId="64" applyNumberFormat="1" applyFont="1" applyBorder="1" applyAlignment="1">
      <alignment horizontal="left"/>
    </xf>
    <xf numFmtId="1" fontId="21" fillId="0" borderId="41" xfId="64" applyNumberFormat="1" applyFont="1" applyBorder="1" applyAlignment="1">
      <alignment horizontal="center"/>
    </xf>
    <xf numFmtId="1" fontId="21" fillId="0" borderId="42" xfId="64" applyNumberFormat="1" applyFont="1" applyBorder="1" applyAlignment="1">
      <alignment horizontal="center"/>
    </xf>
    <xf numFmtId="1" fontId="21" fillId="22" borderId="40" xfId="64" applyNumberFormat="1" applyFont="1" applyFill="1" applyBorder="1" applyAlignment="1">
      <alignment horizontal="center"/>
    </xf>
    <xf numFmtId="0" fontId="21" fillId="23" borderId="40" xfId="64" applyFont="1" applyFill="1" applyBorder="1" applyAlignment="1">
      <alignment horizontal="right"/>
    </xf>
    <xf numFmtId="1" fontId="21" fillId="22" borderId="40" xfId="64" applyNumberFormat="1" applyFont="1" applyFill="1" applyBorder="1"/>
    <xf numFmtId="0" fontId="21" fillId="0" borderId="40" xfId="64" applyFont="1" applyBorder="1" applyAlignment="1">
      <alignment horizontal="center"/>
    </xf>
    <xf numFmtId="2" fontId="21" fillId="0" borderId="40" xfId="64" applyNumberFormat="1" applyFont="1" applyBorder="1" applyAlignment="1">
      <alignment horizontal="right"/>
    </xf>
    <xf numFmtId="0" fontId="21" fillId="22" borderId="40" xfId="64" applyFont="1" applyFill="1" applyBorder="1" applyAlignment="1">
      <alignment horizontal="right"/>
    </xf>
    <xf numFmtId="1" fontId="21" fillId="23" borderId="34" xfId="64" applyNumberFormat="1" applyFont="1" applyFill="1" applyBorder="1" applyAlignment="1">
      <alignment horizontal="right"/>
    </xf>
    <xf numFmtId="0" fontId="21" fillId="0" borderId="40" xfId="64" applyFont="1" applyBorder="1" applyAlignment="1">
      <alignment horizontal="right"/>
    </xf>
    <xf numFmtId="0" fontId="21" fillId="0" borderId="40" xfId="64" applyFont="1" applyBorder="1"/>
    <xf numFmtId="0" fontId="21" fillId="22" borderId="40" xfId="64" applyFont="1" applyFill="1" applyBorder="1"/>
    <xf numFmtId="2" fontId="21" fillId="0" borderId="38" xfId="64" applyNumberFormat="1" applyFont="1" applyBorder="1"/>
    <xf numFmtId="0" fontId="21" fillId="0" borderId="39" xfId="64" applyFont="1" applyBorder="1" applyAlignment="1">
      <alignment horizontal="center"/>
    </xf>
    <xf numFmtId="0" fontId="21" fillId="0" borderId="38" xfId="64" applyFont="1" applyBorder="1" applyAlignment="1">
      <alignment horizontal="left"/>
    </xf>
    <xf numFmtId="1" fontId="44" fillId="0" borderId="36" xfId="64" applyNumberFormat="1" applyFont="1" applyBorder="1" applyAlignment="1">
      <alignment horizontal="left"/>
    </xf>
    <xf numFmtId="1" fontId="44" fillId="0" borderId="24" xfId="64" applyNumberFormat="1" applyFont="1" applyBorder="1" applyAlignment="1">
      <alignment horizontal="center"/>
    </xf>
    <xf numFmtId="1" fontId="21" fillId="0" borderId="46" xfId="64" applyNumberFormat="1" applyFont="1" applyBorder="1"/>
    <xf numFmtId="0" fontId="21" fillId="22" borderId="24" xfId="64" applyFont="1" applyFill="1" applyBorder="1" applyAlignment="1">
      <alignment horizontal="right"/>
    </xf>
    <xf numFmtId="0" fontId="21" fillId="22" borderId="24" xfId="64" applyFont="1" applyFill="1" applyBorder="1"/>
    <xf numFmtId="1" fontId="21" fillId="23" borderId="34" xfId="64" applyNumberFormat="1" applyFont="1" applyFill="1" applyBorder="1"/>
    <xf numFmtId="0" fontId="21" fillId="23" borderId="34" xfId="64" applyFont="1" applyFill="1" applyBorder="1"/>
    <xf numFmtId="1" fontId="21" fillId="0" borderId="30" xfId="64" applyNumberFormat="1" applyFont="1" applyBorder="1"/>
    <xf numFmtId="1" fontId="21" fillId="23" borderId="24" xfId="64" applyNumberFormat="1" applyFont="1" applyFill="1" applyBorder="1"/>
    <xf numFmtId="1" fontId="21" fillId="0" borderId="36" xfId="64" applyNumberFormat="1" applyFont="1" applyBorder="1" applyAlignment="1">
      <alignment horizontal="center"/>
    </xf>
    <xf numFmtId="2" fontId="21" fillId="0" borderId="34" xfId="64" applyNumberFormat="1" applyFont="1" applyBorder="1"/>
    <xf numFmtId="0" fontId="21" fillId="0" borderId="32" xfId="64" applyFont="1" applyBorder="1" applyAlignment="1">
      <alignment horizontal="right"/>
    </xf>
    <xf numFmtId="0" fontId="21" fillId="0" borderId="30" xfId="64" applyFont="1" applyBorder="1" applyAlignment="1">
      <alignment horizontal="right"/>
    </xf>
    <xf numFmtId="1" fontId="21" fillId="0" borderId="67" xfId="64" applyNumberFormat="1" applyFont="1" applyBorder="1" applyAlignment="1">
      <alignment horizontal="center"/>
    </xf>
    <xf numFmtId="1" fontId="21" fillId="22" borderId="24" xfId="64" applyNumberFormat="1" applyFont="1" applyFill="1" applyBorder="1" applyAlignment="1">
      <alignment horizontal="center"/>
    </xf>
    <xf numFmtId="1" fontId="21" fillId="23" borderId="34" xfId="64" applyNumberFormat="1" applyFont="1" applyFill="1" applyBorder="1" applyAlignment="1">
      <alignment horizontal="center"/>
    </xf>
    <xf numFmtId="1" fontId="21" fillId="23" borderId="0" xfId="64" applyNumberFormat="1" applyFont="1" applyFill="1" applyAlignment="1">
      <alignment horizontal="right"/>
    </xf>
    <xf numFmtId="0" fontId="21" fillId="0" borderId="37" xfId="64" applyFont="1" applyBorder="1" applyAlignment="1">
      <alignment horizontal="left"/>
    </xf>
    <xf numFmtId="0" fontId="44" fillId="0" borderId="33" xfId="64" applyFont="1" applyBorder="1" applyAlignment="1">
      <alignment horizontal="left"/>
    </xf>
    <xf numFmtId="2" fontId="21" fillId="23" borderId="34" xfId="64" applyNumberFormat="1" applyFont="1" applyFill="1" applyBorder="1" applyAlignment="1">
      <alignment horizontal="right"/>
    </xf>
    <xf numFmtId="0" fontId="44" fillId="0" borderId="31" xfId="64" applyFont="1" applyBorder="1" applyAlignment="1">
      <alignment horizontal="left"/>
    </xf>
    <xf numFmtId="1" fontId="44" fillId="0" borderId="29" xfId="64" applyNumberFormat="1" applyFont="1" applyBorder="1" applyAlignment="1">
      <alignment horizontal="center"/>
    </xf>
    <xf numFmtId="1" fontId="21" fillId="0" borderId="27" xfId="64" applyNumberFormat="1" applyFont="1" applyBorder="1"/>
    <xf numFmtId="1" fontId="44" fillId="0" borderId="28" xfId="64" applyNumberFormat="1" applyFont="1" applyBorder="1" applyAlignment="1">
      <alignment horizontal="left"/>
    </xf>
    <xf numFmtId="1" fontId="21" fillId="0" borderId="27" xfId="64" applyNumberFormat="1" applyFont="1" applyBorder="1" applyAlignment="1">
      <alignment horizontal="center"/>
    </xf>
    <xf numFmtId="2" fontId="21" fillId="23" borderId="0" xfId="64" applyNumberFormat="1" applyFont="1" applyFill="1" applyAlignment="1">
      <alignment horizontal="right"/>
    </xf>
    <xf numFmtId="0" fontId="44" fillId="0" borderId="17" xfId="64" applyFont="1" applyBorder="1" applyAlignment="1">
      <alignment horizontal="center"/>
    </xf>
    <xf numFmtId="0" fontId="44" fillId="0" borderId="21" xfId="64" applyFont="1" applyBorder="1" applyAlignment="1">
      <alignment horizontal="center"/>
    </xf>
    <xf numFmtId="1" fontId="44" fillId="0" borderId="16" xfId="64" applyNumberFormat="1" applyFont="1" applyBorder="1"/>
    <xf numFmtId="0" fontId="44" fillId="0" borderId="16" xfId="64" applyFont="1" applyBorder="1" applyAlignment="1">
      <alignment horizontal="center"/>
    </xf>
    <xf numFmtId="0" fontId="44" fillId="0" borderId="16" xfId="64" applyFont="1" applyBorder="1" applyAlignment="1">
      <alignment horizontal="right"/>
    </xf>
    <xf numFmtId="2" fontId="44" fillId="0" borderId="16" xfId="64" applyNumberFormat="1" applyFont="1" applyBorder="1" applyAlignment="1">
      <alignment horizontal="center"/>
    </xf>
    <xf numFmtId="2" fontId="44" fillId="0" borderId="21" xfId="64" applyNumberFormat="1" applyFont="1" applyBorder="1" applyAlignment="1">
      <alignment horizontal="center"/>
    </xf>
    <xf numFmtId="0" fontId="44" fillId="0" borderId="21" xfId="64" applyFont="1" applyBorder="1"/>
    <xf numFmtId="0" fontId="44" fillId="0" borderId="13" xfId="64" applyFont="1" applyBorder="1" applyAlignment="1">
      <alignment horizontal="center"/>
    </xf>
    <xf numFmtId="0" fontId="44" fillId="0" borderId="18" xfId="64" applyFont="1" applyBorder="1" applyAlignment="1">
      <alignment horizontal="center"/>
    </xf>
    <xf numFmtId="1" fontId="44" fillId="0" borderId="0" xfId="64" applyNumberFormat="1" applyFont="1"/>
    <xf numFmtId="0" fontId="44" fillId="0" borderId="0" xfId="64" applyFont="1" applyAlignment="1">
      <alignment horizontal="center"/>
    </xf>
    <xf numFmtId="0" fontId="44" fillId="0" borderId="0" xfId="64" applyFont="1" applyAlignment="1">
      <alignment horizontal="left"/>
    </xf>
    <xf numFmtId="0" fontId="44" fillId="0" borderId="0" xfId="64" applyFont="1" applyAlignment="1">
      <alignment horizontal="right"/>
    </xf>
    <xf numFmtId="2" fontId="44" fillId="0" borderId="0" xfId="64" applyNumberFormat="1" applyFont="1" applyAlignment="1">
      <alignment horizontal="center"/>
    </xf>
    <xf numFmtId="2" fontId="44" fillId="0" borderId="18" xfId="64" applyNumberFormat="1" applyFont="1" applyBorder="1" applyAlignment="1">
      <alignment horizontal="center"/>
    </xf>
    <xf numFmtId="0" fontId="21" fillId="0" borderId="13" xfId="64" applyFont="1" applyBorder="1" applyAlignment="1">
      <alignment horizontal="center"/>
    </xf>
    <xf numFmtId="0" fontId="44" fillId="0" borderId="28" xfId="64" applyFont="1" applyBorder="1" applyAlignment="1">
      <alignment horizontal="center"/>
    </xf>
    <xf numFmtId="0" fontId="44" fillId="0" borderId="27" xfId="64" applyFont="1" applyBorder="1" applyAlignment="1">
      <alignment horizontal="center"/>
    </xf>
    <xf numFmtId="1" fontId="44" fillId="0" borderId="29" xfId="64" applyNumberFormat="1" applyFont="1" applyBorder="1"/>
    <xf numFmtId="1" fontId="21" fillId="0" borderId="29" xfId="64" applyNumberFormat="1" applyFont="1" applyBorder="1"/>
    <xf numFmtId="0" fontId="44" fillId="0" borderId="29" xfId="64" applyFont="1" applyBorder="1" applyAlignment="1">
      <alignment horizontal="center"/>
    </xf>
    <xf numFmtId="0" fontId="44" fillId="0" borderId="29" xfId="64" applyFont="1" applyBorder="1" applyAlignment="1">
      <alignment horizontal="right"/>
    </xf>
    <xf numFmtId="2" fontId="44" fillId="0" borderId="29" xfId="64" applyNumberFormat="1" applyFont="1" applyBorder="1" applyAlignment="1">
      <alignment horizontal="center"/>
    </xf>
    <xf numFmtId="2" fontId="44" fillId="0" borderId="27" xfId="64" applyNumberFormat="1" applyFont="1" applyBorder="1" applyAlignment="1">
      <alignment horizontal="center"/>
    </xf>
    <xf numFmtId="0" fontId="21" fillId="0" borderId="28" xfId="64" applyFont="1" applyBorder="1" applyAlignment="1">
      <alignment horizontal="center"/>
    </xf>
    <xf numFmtId="0" fontId="21" fillId="0" borderId="27" xfId="64" applyFont="1" applyBorder="1"/>
    <xf numFmtId="0" fontId="44" fillId="0" borderId="15" xfId="64" applyFont="1" applyBorder="1" applyAlignment="1">
      <alignment horizontal="center"/>
    </xf>
    <xf numFmtId="0" fontId="44" fillId="0" borderId="0" xfId="64" applyFont="1"/>
    <xf numFmtId="0" fontId="1" fillId="0" borderId="0" xfId="65"/>
    <xf numFmtId="0" fontId="1" fillId="0" borderId="0" xfId="65" applyAlignment="1">
      <alignment horizontal="center"/>
    </xf>
    <xf numFmtId="1" fontId="55" fillId="0" borderId="0" xfId="65" applyNumberFormat="1" applyFont="1" applyAlignment="1">
      <alignment horizontal="center"/>
    </xf>
    <xf numFmtId="1" fontId="54" fillId="0" borderId="0" xfId="65" applyNumberFormat="1" applyFont="1" applyAlignment="1">
      <alignment horizontal="center"/>
    </xf>
    <xf numFmtId="0" fontId="1" fillId="23" borderId="0" xfId="65" applyFill="1" applyAlignment="1">
      <alignment horizontal="center"/>
    </xf>
    <xf numFmtId="1" fontId="1" fillId="23" borderId="0" xfId="65" applyNumberFormat="1" applyFill="1" applyAlignment="1">
      <alignment horizontal="center"/>
    </xf>
    <xf numFmtId="0" fontId="54" fillId="0" borderId="0" xfId="65" applyFont="1"/>
    <xf numFmtId="0" fontId="54" fillId="0" borderId="0" xfId="65" applyFont="1" applyAlignment="1">
      <alignment horizontal="center"/>
    </xf>
    <xf numFmtId="0" fontId="54" fillId="23" borderId="0" xfId="65" applyFont="1" applyFill="1" applyAlignment="1">
      <alignment horizontal="center"/>
    </xf>
    <xf numFmtId="0" fontId="1" fillId="23" borderId="0" xfId="65" applyFill="1"/>
    <xf numFmtId="1" fontId="54" fillId="23" borderId="0" xfId="65" applyNumberFormat="1" applyFont="1" applyFill="1" applyAlignment="1">
      <alignment horizontal="center"/>
    </xf>
    <xf numFmtId="0" fontId="54" fillId="0" borderId="0" xfId="65" applyFont="1" applyAlignment="1">
      <alignment horizontal="center" wrapText="1"/>
    </xf>
    <xf numFmtId="0" fontId="55" fillId="0" borderId="0" xfId="65" applyFont="1" applyAlignment="1">
      <alignment horizontal="center"/>
    </xf>
    <xf numFmtId="1" fontId="54" fillId="24" borderId="0" xfId="65" applyNumberFormat="1" applyFont="1" applyFill="1" applyAlignment="1">
      <alignment horizontal="center"/>
    </xf>
    <xf numFmtId="2" fontId="54" fillId="0" borderId="0" xfId="65" applyNumberFormat="1" applyFont="1" applyAlignment="1">
      <alignment horizontal="center"/>
    </xf>
    <xf numFmtId="0" fontId="55" fillId="0" borderId="0" xfId="65" applyFont="1" applyAlignment="1">
      <alignment horizontal="left"/>
    </xf>
    <xf numFmtId="0" fontId="54" fillId="25" borderId="0" xfId="65" applyFont="1" applyFill="1" applyAlignment="1">
      <alignment horizontal="center"/>
    </xf>
    <xf numFmtId="1" fontId="54" fillId="25" borderId="0" xfId="65" applyNumberFormat="1" applyFont="1" applyFill="1" applyAlignment="1">
      <alignment horizontal="center"/>
    </xf>
    <xf numFmtId="166" fontId="54" fillId="0" borderId="0" xfId="65" applyNumberFormat="1" applyFont="1" applyAlignment="1">
      <alignment horizontal="center"/>
    </xf>
    <xf numFmtId="0" fontId="55" fillId="0" borderId="0" xfId="65" applyFont="1" applyAlignment="1">
      <alignment horizontal="center" wrapText="1"/>
    </xf>
    <xf numFmtId="0" fontId="54" fillId="24" borderId="0" xfId="65" applyFont="1" applyFill="1" applyAlignment="1">
      <alignment horizontal="center"/>
    </xf>
    <xf numFmtId="0" fontId="1" fillId="23" borderId="0" xfId="65" applyFill="1" applyAlignment="1">
      <alignment horizontal="center" vertical="center"/>
    </xf>
    <xf numFmtId="2" fontId="54" fillId="0" borderId="0" xfId="65" applyNumberFormat="1" applyFont="1" applyAlignment="1">
      <alignment horizontal="center" wrapText="1"/>
    </xf>
    <xf numFmtId="164" fontId="55" fillId="0" borderId="0" xfId="65" applyNumberFormat="1" applyFont="1" applyAlignment="1">
      <alignment horizontal="center"/>
    </xf>
    <xf numFmtId="14" fontId="54" fillId="0" borderId="0" xfId="65" applyNumberFormat="1" applyFont="1" applyAlignment="1">
      <alignment horizontal="center"/>
    </xf>
    <xf numFmtId="14" fontId="55" fillId="0" borderId="0" xfId="65" applyNumberFormat="1" applyFont="1" applyAlignment="1">
      <alignment horizontal="center"/>
    </xf>
    <xf numFmtId="0" fontId="55" fillId="0" borderId="0" xfId="65" applyFont="1"/>
    <xf numFmtId="1" fontId="54" fillId="0" borderId="0" xfId="65" applyNumberFormat="1" applyFont="1"/>
    <xf numFmtId="1" fontId="55" fillId="0" borderId="0" xfId="65" applyNumberFormat="1" applyFont="1"/>
    <xf numFmtId="1" fontId="54" fillId="23" borderId="0" xfId="65" applyNumberFormat="1" applyFont="1" applyFill="1"/>
    <xf numFmtId="0" fontId="54" fillId="23" borderId="0" xfId="65" applyFont="1" applyFill="1"/>
    <xf numFmtId="1" fontId="54" fillId="24" borderId="0" xfId="65" applyNumberFormat="1" applyFont="1" applyFill="1"/>
    <xf numFmtId="0" fontId="54" fillId="24" borderId="0" xfId="65" applyFont="1" applyFill="1" applyAlignment="1">
      <alignment horizontal="right"/>
    </xf>
    <xf numFmtId="0" fontId="54" fillId="24" borderId="0" xfId="65" applyFont="1" applyFill="1"/>
    <xf numFmtId="0" fontId="54" fillId="23" borderId="0" xfId="65" applyFont="1" applyFill="1" applyAlignment="1">
      <alignment horizontal="left"/>
    </xf>
    <xf numFmtId="0" fontId="54" fillId="0" borderId="0" xfId="65" applyFont="1" applyAlignment="1">
      <alignment horizontal="left"/>
    </xf>
    <xf numFmtId="0" fontId="54" fillId="25" borderId="0" xfId="65" applyFont="1" applyFill="1"/>
    <xf numFmtId="2" fontId="55" fillId="0" borderId="0" xfId="65" applyNumberFormat="1" applyFont="1"/>
    <xf numFmtId="0" fontId="55" fillId="19" borderId="0" xfId="65" applyFont="1" applyFill="1"/>
    <xf numFmtId="1" fontId="55" fillId="19" borderId="0" xfId="65" applyNumberFormat="1" applyFont="1" applyFill="1"/>
    <xf numFmtId="1" fontId="54" fillId="19" borderId="0" xfId="65" applyNumberFormat="1" applyFont="1" applyFill="1"/>
    <xf numFmtId="2" fontId="54" fillId="0" borderId="0" xfId="65" applyNumberFormat="1" applyFont="1"/>
    <xf numFmtId="1" fontId="55" fillId="0" borderId="0" xfId="65" applyNumberFormat="1" applyFont="1" applyAlignment="1">
      <alignment horizontal="right"/>
    </xf>
    <xf numFmtId="1" fontId="54" fillId="24" borderId="0" xfId="65" applyNumberFormat="1" applyFont="1" applyFill="1" applyAlignment="1">
      <alignment horizontal="right"/>
    </xf>
    <xf numFmtId="0" fontId="54" fillId="23" borderId="0" xfId="65" applyFont="1" applyFill="1" applyAlignment="1">
      <alignment horizontal="right"/>
    </xf>
    <xf numFmtId="166" fontId="54" fillId="0" borderId="0" xfId="65" applyNumberFormat="1" applyFont="1"/>
    <xf numFmtId="14" fontId="54" fillId="0" borderId="0" xfId="65" applyNumberFormat="1" applyFont="1"/>
    <xf numFmtId="0" fontId="54" fillId="0" borderId="0" xfId="65" applyFont="1" applyAlignment="1">
      <alignment wrapText="1"/>
    </xf>
    <xf numFmtId="14" fontId="55" fillId="0" borderId="0" xfId="65" applyNumberFormat="1" applyFont="1"/>
    <xf numFmtId="1" fontId="54" fillId="0" borderId="23" xfId="65" applyNumberFormat="1" applyFont="1" applyBorder="1" applyAlignment="1">
      <alignment horizontal="center"/>
    </xf>
    <xf numFmtId="14" fontId="54" fillId="0" borderId="23" xfId="65" applyNumberFormat="1" applyFont="1" applyBorder="1" applyAlignment="1">
      <alignment horizontal="center"/>
    </xf>
    <xf numFmtId="1" fontId="54" fillId="0" borderId="23" xfId="65" applyNumberFormat="1" applyFont="1" applyBorder="1" applyAlignment="1">
      <alignment horizontal="center" vertical="center"/>
    </xf>
    <xf numFmtId="14" fontId="54" fillId="0" borderId="23" xfId="65" applyNumberFormat="1" applyFont="1" applyBorder="1" applyAlignment="1">
      <alignment horizontal="center" vertical="center"/>
    </xf>
    <xf numFmtId="1" fontId="55" fillId="0" borderId="23" xfId="65" applyNumberFormat="1" applyFont="1" applyBorder="1" applyAlignment="1">
      <alignment horizontal="center"/>
    </xf>
    <xf numFmtId="0" fontId="56" fillId="0" borderId="0" xfId="65" applyFont="1"/>
    <xf numFmtId="1" fontId="39" fillId="0" borderId="23" xfId="65" applyNumberFormat="1" applyFont="1" applyBorder="1" applyAlignment="1">
      <alignment horizontal="center"/>
    </xf>
    <xf numFmtId="164" fontId="1" fillId="0" borderId="23" xfId="65" applyNumberFormat="1" applyBorder="1" applyAlignment="1">
      <alignment horizontal="center"/>
    </xf>
    <xf numFmtId="0" fontId="1" fillId="0" borderId="12" xfId="65" applyBorder="1" applyAlignment="1">
      <alignment horizontal="center"/>
    </xf>
    <xf numFmtId="164" fontId="1" fillId="0" borderId="12" xfId="65" applyNumberFormat="1" applyBorder="1" applyAlignment="1">
      <alignment horizontal="center"/>
    </xf>
    <xf numFmtId="0" fontId="54" fillId="19" borderId="12" xfId="65" applyFont="1" applyFill="1" applyBorder="1" applyAlignment="1">
      <alignment horizontal="center"/>
    </xf>
    <xf numFmtId="0" fontId="1" fillId="0" borderId="23" xfId="65" applyBorder="1" applyAlignment="1">
      <alignment horizontal="center"/>
    </xf>
    <xf numFmtId="0" fontId="54" fillId="0" borderId="23" xfId="65" applyFont="1" applyBorder="1" applyAlignment="1">
      <alignment horizontal="center"/>
    </xf>
    <xf numFmtId="0" fontId="54" fillId="19" borderId="23" xfId="65" applyFont="1" applyFill="1" applyBorder="1" applyAlignment="1">
      <alignment horizontal="center"/>
    </xf>
    <xf numFmtId="0" fontId="55" fillId="0" borderId="23" xfId="65" applyFont="1" applyBorder="1" applyAlignment="1">
      <alignment horizontal="center"/>
    </xf>
    <xf numFmtId="0" fontId="39" fillId="0" borderId="23" xfId="65" applyFont="1" applyBorder="1" applyAlignment="1">
      <alignment horizontal="center"/>
    </xf>
    <xf numFmtId="0" fontId="54" fillId="0" borderId="23" xfId="65" applyFont="1" applyBorder="1" applyAlignment="1">
      <alignment horizontal="center" vertical="center"/>
    </xf>
    <xf numFmtId="0" fontId="54" fillId="0" borderId="12" xfId="65" applyFont="1" applyBorder="1" applyAlignment="1">
      <alignment horizontal="center"/>
    </xf>
    <xf numFmtId="1" fontId="39" fillId="0" borderId="12" xfId="65" applyNumberFormat="1" applyFont="1" applyBorder="1" applyAlignment="1">
      <alignment horizontal="center"/>
    </xf>
    <xf numFmtId="0" fontId="54" fillId="0" borderId="44" xfId="65" applyFont="1" applyBorder="1" applyAlignment="1">
      <alignment horizontal="center"/>
    </xf>
    <xf numFmtId="0" fontId="54" fillId="19" borderId="44" xfId="65" applyFont="1" applyFill="1" applyBorder="1" applyAlignment="1">
      <alignment horizontal="center"/>
    </xf>
    <xf numFmtId="0" fontId="39" fillId="0" borderId="44" xfId="65" applyFont="1" applyBorder="1"/>
    <xf numFmtId="1" fontId="39" fillId="0" borderId="44" xfId="65" applyNumberFormat="1" applyFont="1" applyBorder="1"/>
    <xf numFmtId="164" fontId="1" fillId="0" borderId="44" xfId="65" applyNumberFormat="1" applyBorder="1"/>
    <xf numFmtId="0" fontId="1" fillId="0" borderId="44" xfId="65" applyBorder="1"/>
    <xf numFmtId="0" fontId="39" fillId="0" borderId="23" xfId="65" applyFont="1" applyBorder="1"/>
    <xf numFmtId="1" fontId="39" fillId="0" borderId="23" xfId="65" applyNumberFormat="1" applyFont="1" applyBorder="1"/>
    <xf numFmtId="164" fontId="1" fillId="0" borderId="23" xfId="65" applyNumberFormat="1" applyBorder="1"/>
    <xf numFmtId="0" fontId="1" fillId="0" borderId="23" xfId="65" applyBorder="1"/>
    <xf numFmtId="1" fontId="39" fillId="19" borderId="23" xfId="65" applyNumberFormat="1" applyFont="1" applyFill="1" applyBorder="1"/>
    <xf numFmtId="0" fontId="44" fillId="0" borderId="0" xfId="65" applyFont="1" applyAlignment="1">
      <alignment horizontal="center"/>
    </xf>
    <xf numFmtId="0" fontId="0" fillId="0" borderId="0" xfId="0"/>
    <xf numFmtId="0" fontId="79" fillId="19" borderId="10" xfId="0" applyFont="1" applyFill="1" applyBorder="1" applyAlignment="1" applyProtection="1">
      <alignment vertical="top" wrapText="1" readingOrder="1"/>
      <protection locked="0"/>
    </xf>
    <xf numFmtId="0" fontId="79" fillId="0" borderId="10" xfId="0" applyFont="1" applyBorder="1" applyAlignment="1" applyProtection="1">
      <alignment vertical="top" wrapText="1" readingOrder="1"/>
      <protection locked="0"/>
    </xf>
    <xf numFmtId="0" fontId="80" fillId="19" borderId="10" xfId="0" applyFont="1" applyFill="1" applyBorder="1" applyAlignment="1" applyProtection="1">
      <alignment vertical="top" wrapText="1" readingOrder="1"/>
      <protection locked="0"/>
    </xf>
    <xf numFmtId="0" fontId="81" fillId="0" borderId="10" xfId="0" applyFont="1" applyBorder="1" applyAlignment="1" applyProtection="1">
      <alignment vertical="top" wrapText="1" readingOrder="1"/>
      <protection locked="0"/>
    </xf>
    <xf numFmtId="0" fontId="82" fillId="19" borderId="10" xfId="0" applyFont="1" applyFill="1" applyBorder="1" applyAlignment="1" applyProtection="1">
      <alignment vertical="top" wrapText="1" readingOrder="1"/>
      <protection locked="0"/>
    </xf>
    <xf numFmtId="0" fontId="83" fillId="19" borderId="10" xfId="0" applyFont="1" applyFill="1" applyBorder="1" applyAlignment="1" applyProtection="1">
      <alignment vertical="top" wrapText="1" readingOrder="1"/>
      <protection locked="0"/>
    </xf>
    <xf numFmtId="0" fontId="14" fillId="0" borderId="0" xfId="41"/>
    <xf numFmtId="0" fontId="7" fillId="0" borderId="0" xfId="41" applyFont="1" applyAlignment="1" applyProtection="1">
      <alignment horizontal="center" vertical="center" wrapText="1" readingOrder="1"/>
      <protection locked="0"/>
    </xf>
    <xf numFmtId="0" fontId="8" fillId="0" borderId="0" xfId="41" applyFont="1" applyAlignment="1" applyProtection="1">
      <alignment vertical="top" wrapText="1" readingOrder="1"/>
      <protection locked="0"/>
    </xf>
    <xf numFmtId="0" fontId="40" fillId="0" borderId="0" xfId="40" applyFont="1" applyAlignment="1">
      <alignment horizontal="center" wrapText="1"/>
    </xf>
    <xf numFmtId="0" fontId="9" fillId="0" borderId="0" xfId="40" applyAlignment="1">
      <alignment horizontal="center" wrapText="1"/>
    </xf>
    <xf numFmtId="0" fontId="0" fillId="0" borderId="0" xfId="0"/>
    <xf numFmtId="0" fontId="7" fillId="0" borderId="0" xfId="0" applyFont="1" applyAlignment="1" applyProtection="1">
      <alignment horizontal="center" vertical="center" wrapText="1" readingOrder="1"/>
      <protection locked="0"/>
    </xf>
    <xf numFmtId="0" fontId="8" fillId="0" borderId="0" xfId="0" applyFont="1" applyAlignment="1" applyProtection="1">
      <alignment vertical="top" wrapText="1" readingOrder="1"/>
      <protection locked="0"/>
    </xf>
    <xf numFmtId="0" fontId="76" fillId="0" borderId="0" xfId="0" applyFont="1" applyAlignment="1" applyProtection="1">
      <alignment horizontal="center" vertical="center" wrapText="1" readingOrder="1"/>
      <protection locked="0"/>
    </xf>
    <xf numFmtId="0" fontId="75" fillId="0" borderId="0" xfId="0" applyFont="1" applyAlignment="1" applyProtection="1">
      <alignment vertical="top" wrapText="1" readingOrder="1"/>
      <protection locked="0"/>
    </xf>
    <xf numFmtId="0" fontId="66" fillId="0" borderId="64" xfId="0" applyFont="1" applyBorder="1" applyAlignment="1" applyProtection="1">
      <alignment horizontal="left" vertical="top" wrapText="1" readingOrder="1"/>
      <protection locked="0"/>
    </xf>
    <xf numFmtId="0" fontId="66" fillId="0" borderId="65" xfId="0" applyFont="1" applyBorder="1" applyAlignment="1" applyProtection="1">
      <alignment horizontal="left" vertical="top" wrapText="1" readingOrder="1"/>
      <protection locked="0"/>
    </xf>
    <xf numFmtId="0" fontId="66" fillId="0" borderId="66" xfId="0" applyFont="1" applyBorder="1" applyAlignment="1" applyProtection="1">
      <alignment horizontal="left" vertical="top" wrapText="1" readingOrder="1"/>
      <protection locked="0"/>
    </xf>
    <xf numFmtId="0" fontId="8" fillId="19" borderId="0" xfId="41" applyFont="1" applyFill="1" applyAlignment="1" applyProtection="1">
      <alignment vertical="top" wrapText="1" readingOrder="1"/>
      <protection locked="0"/>
    </xf>
    <xf numFmtId="0" fontId="14" fillId="19" borderId="0" xfId="41" applyFill="1"/>
    <xf numFmtId="0" fontId="11" fillId="18" borderId="0" xfId="41" applyFont="1" applyFill="1" applyAlignment="1" applyProtection="1">
      <alignment horizontal="center" vertical="center" wrapText="1" readingOrder="1"/>
      <protection locked="0"/>
    </xf>
    <xf numFmtId="0" fontId="67" fillId="0" borderId="0" xfId="0" applyFont="1" applyAlignment="1" applyProtection="1">
      <alignment horizontal="center" vertical="center" wrapText="1" readingOrder="1"/>
      <protection locked="0"/>
    </xf>
    <xf numFmtId="0" fontId="77" fillId="0" borderId="0" xfId="0" applyFont="1" applyAlignment="1" applyProtection="1">
      <alignment horizontal="center" vertical="center" wrapText="1" readingOrder="1"/>
      <protection locked="0"/>
    </xf>
    <xf numFmtId="0" fontId="44" fillId="0" borderId="0" xfId="0" applyFont="1" applyAlignment="1">
      <alignment horizontal="center" vertical="center"/>
    </xf>
    <xf numFmtId="0" fontId="14" fillId="0" borderId="0" xfId="0" applyFont="1" applyAlignment="1">
      <alignment horizontal="center" vertical="center"/>
    </xf>
    <xf numFmtId="0" fontId="63" fillId="0" borderId="62" xfId="0" applyFont="1" applyBorder="1" applyAlignment="1">
      <alignment horizontal="center" vertical="center"/>
    </xf>
    <xf numFmtId="0" fontId="63" fillId="0" borderId="41" xfId="0" applyFont="1" applyBorder="1" applyAlignment="1">
      <alignment horizontal="center" vertical="center"/>
    </xf>
    <xf numFmtId="0" fontId="63" fillId="0" borderId="61" xfId="0" applyFont="1" applyBorder="1" applyAlignment="1">
      <alignment horizontal="center" vertical="center"/>
    </xf>
    <xf numFmtId="0" fontId="14" fillId="0" borderId="51" xfId="0" applyFont="1" applyBorder="1" applyAlignment="1">
      <alignment horizontal="center" vertical="center" wrapText="1"/>
    </xf>
    <xf numFmtId="0" fontId="14" fillId="0" borderId="53" xfId="0" applyFont="1" applyBorder="1" applyAlignment="1">
      <alignment horizontal="center" vertical="center" wrapText="1"/>
    </xf>
    <xf numFmtId="0" fontId="14" fillId="0" borderId="55" xfId="0" applyFont="1" applyBorder="1" applyAlignment="1">
      <alignment horizontal="center" vertical="center" wrapText="1"/>
    </xf>
    <xf numFmtId="0" fontId="14" fillId="0" borderId="4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63" xfId="0" applyFont="1" applyBorder="1" applyAlignment="1">
      <alignment horizontal="center" vertical="center" wrapText="1"/>
    </xf>
    <xf numFmtId="0" fontId="14" fillId="0" borderId="52" xfId="0" applyFont="1" applyBorder="1" applyAlignment="1">
      <alignment horizontal="center" vertical="center" wrapText="1"/>
    </xf>
    <xf numFmtId="0" fontId="14" fillId="0" borderId="54" xfId="0" applyFont="1" applyBorder="1" applyAlignment="1">
      <alignment horizontal="center" vertical="center" wrapText="1"/>
    </xf>
    <xf numFmtId="0" fontId="14" fillId="0" borderId="56" xfId="0" applyFont="1" applyBorder="1" applyAlignment="1">
      <alignment horizontal="center" vertical="center" wrapText="1"/>
    </xf>
    <xf numFmtId="0" fontId="63" fillId="0" borderId="62" xfId="0" applyFont="1" applyBorder="1" applyAlignment="1">
      <alignment horizontal="center" vertical="center" wrapText="1"/>
    </xf>
    <xf numFmtId="0" fontId="63" fillId="0" borderId="41" xfId="0" applyFont="1" applyBorder="1" applyAlignment="1">
      <alignment horizontal="center" vertical="center" wrapText="1"/>
    </xf>
    <xf numFmtId="0" fontId="63" fillId="0" borderId="61" xfId="0" applyFont="1" applyBorder="1" applyAlignment="1">
      <alignment horizontal="center" vertical="center" wrapText="1"/>
    </xf>
    <xf numFmtId="2" fontId="14" fillId="0" borderId="47" xfId="0" applyNumberFormat="1" applyFont="1" applyBorder="1" applyAlignment="1">
      <alignment horizontal="center" vertical="center" wrapText="1"/>
    </xf>
    <xf numFmtId="2" fontId="14" fillId="0" borderId="26" xfId="0" applyNumberFormat="1" applyFont="1" applyBorder="1" applyAlignment="1">
      <alignment horizontal="center" vertical="center" wrapText="1"/>
    </xf>
    <xf numFmtId="2" fontId="14" fillId="0" borderId="63" xfId="0" applyNumberFormat="1" applyFont="1" applyBorder="1" applyAlignment="1">
      <alignment horizontal="center" vertical="center" wrapText="1"/>
    </xf>
    <xf numFmtId="0" fontId="14" fillId="0" borderId="60" xfId="0" applyFont="1" applyBorder="1" applyAlignment="1">
      <alignment horizontal="center" vertical="center" wrapText="1"/>
    </xf>
    <xf numFmtId="0" fontId="14" fillId="0" borderId="57" xfId="0" applyFont="1" applyBorder="1" applyAlignment="1">
      <alignment horizontal="center" vertical="center" wrapText="1"/>
    </xf>
    <xf numFmtId="0" fontId="14" fillId="0" borderId="58" xfId="0" applyFont="1" applyBorder="1" applyAlignment="1">
      <alignment horizontal="center" vertical="center" wrapText="1"/>
    </xf>
    <xf numFmtId="0" fontId="14" fillId="0" borderId="53" xfId="0" applyFont="1" applyBorder="1" applyAlignment="1">
      <alignment horizontal="left" vertical="center"/>
    </xf>
    <xf numFmtId="0" fontId="14" fillId="0" borderId="23" xfId="0" applyFont="1" applyBorder="1" applyAlignment="1">
      <alignment horizontal="left" vertical="center"/>
    </xf>
    <xf numFmtId="0" fontId="62" fillId="0" borderId="23" xfId="59" applyBorder="1" applyAlignment="1">
      <alignment horizontal="left" vertical="center"/>
    </xf>
    <xf numFmtId="0" fontId="62" fillId="0" borderId="54" xfId="59" applyBorder="1" applyAlignment="1">
      <alignment horizontal="left" vertical="center"/>
    </xf>
    <xf numFmtId="0" fontId="14" fillId="0" borderId="55" xfId="0" applyFont="1" applyBorder="1" applyAlignment="1">
      <alignment horizontal="left" vertical="center"/>
    </xf>
    <xf numFmtId="0" fontId="14" fillId="0" borderId="44" xfId="0" applyFont="1" applyBorder="1" applyAlignment="1">
      <alignment horizontal="left" vertical="center"/>
    </xf>
    <xf numFmtId="0" fontId="62" fillId="0" borderId="44" xfId="59" applyBorder="1" applyAlignment="1">
      <alignment horizontal="left" vertical="center"/>
    </xf>
    <xf numFmtId="0" fontId="62" fillId="0" borderId="56" xfId="59" applyBorder="1" applyAlignment="1">
      <alignment horizontal="left" vertical="center"/>
    </xf>
    <xf numFmtId="0" fontId="44" fillId="26" borderId="51" xfId="0" applyFont="1" applyFill="1" applyBorder="1" applyAlignment="1">
      <alignment horizontal="left" vertical="center"/>
    </xf>
    <xf numFmtId="0" fontId="44" fillId="26" borderId="45" xfId="0" applyFont="1" applyFill="1" applyBorder="1" applyAlignment="1">
      <alignment horizontal="left" vertical="center"/>
    </xf>
    <xf numFmtId="0" fontId="44" fillId="26" borderId="52" xfId="0" applyFont="1" applyFill="1" applyBorder="1" applyAlignment="1">
      <alignment horizontal="left" vertical="center"/>
    </xf>
    <xf numFmtId="1" fontId="44" fillId="21" borderId="11" xfId="40" applyNumberFormat="1" applyFont="1" applyFill="1" applyBorder="1" applyAlignment="1">
      <alignment horizontal="center" vertical="center" wrapText="1"/>
    </xf>
    <xf numFmtId="1" fontId="44" fillId="21" borderId="19" xfId="40" applyNumberFormat="1" applyFont="1" applyFill="1" applyBorder="1" applyAlignment="1">
      <alignment horizontal="center" vertical="center" wrapText="1"/>
    </xf>
    <xf numFmtId="0" fontId="44" fillId="21" borderId="11" xfId="40" applyFont="1" applyFill="1" applyBorder="1" applyAlignment="1">
      <alignment horizontal="center" vertical="center" wrapText="1"/>
    </xf>
    <xf numFmtId="0" fontId="44" fillId="21" borderId="19" xfId="40" applyFont="1" applyFill="1" applyBorder="1" applyAlignment="1">
      <alignment horizontal="center" vertical="center" wrapText="1"/>
    </xf>
    <xf numFmtId="0" fontId="44" fillId="21" borderId="22" xfId="40" applyFont="1" applyFill="1" applyBorder="1" applyAlignment="1">
      <alignment horizontal="center" vertical="center" wrapText="1"/>
    </xf>
    <xf numFmtId="1" fontId="44" fillId="21" borderId="14" xfId="40" applyNumberFormat="1" applyFont="1" applyFill="1" applyBorder="1" applyAlignment="1">
      <alignment horizontal="center" vertical="center" wrapText="1"/>
    </xf>
    <xf numFmtId="1" fontId="44" fillId="21" borderId="15" xfId="40" applyNumberFormat="1" applyFont="1" applyFill="1" applyBorder="1" applyAlignment="1">
      <alignment horizontal="center" vertical="center" wrapText="1"/>
    </xf>
    <xf numFmtId="1" fontId="44" fillId="21" borderId="20" xfId="40" applyNumberFormat="1" applyFont="1" applyFill="1" applyBorder="1" applyAlignment="1">
      <alignment horizontal="center" vertical="center" wrapText="1"/>
    </xf>
    <xf numFmtId="1" fontId="41" fillId="21" borderId="14" xfId="40" applyNumberFormat="1" applyFont="1" applyFill="1" applyBorder="1" applyAlignment="1">
      <alignment horizontal="center" vertical="center" wrapText="1"/>
    </xf>
    <xf numFmtId="1" fontId="41" fillId="21" borderId="15" xfId="40" applyNumberFormat="1" applyFont="1" applyFill="1" applyBorder="1" applyAlignment="1">
      <alignment horizontal="center" vertical="center" wrapText="1"/>
    </xf>
    <xf numFmtId="1" fontId="43" fillId="0" borderId="0" xfId="40" applyNumberFormat="1" applyFont="1" applyAlignment="1">
      <alignment horizontal="right" vertical="center" wrapText="1"/>
    </xf>
    <xf numFmtId="1" fontId="41" fillId="21" borderId="11" xfId="40" applyNumberFormat="1" applyFont="1" applyFill="1" applyBorder="1" applyAlignment="1">
      <alignment horizontal="center" vertical="center" wrapText="1"/>
    </xf>
    <xf numFmtId="1" fontId="42" fillId="0" borderId="18" xfId="40" applyNumberFormat="1" applyFont="1" applyBorder="1" applyAlignment="1">
      <alignment horizontal="center" vertical="center" wrapText="1"/>
    </xf>
    <xf numFmtId="1" fontId="42" fillId="0" borderId="0" xfId="40" applyNumberFormat="1" applyFont="1" applyAlignment="1">
      <alignment horizontal="center" vertical="center" wrapText="1"/>
    </xf>
    <xf numFmtId="0" fontId="9" fillId="0" borderId="0" xfId="40" applyAlignment="1">
      <alignment horizontal="center" vertical="center" wrapText="1"/>
    </xf>
    <xf numFmtId="0" fontId="41" fillId="0" borderId="0" xfId="40" applyFont="1" applyAlignment="1">
      <alignment horizontal="center" vertical="center" wrapText="1"/>
    </xf>
    <xf numFmtId="0" fontId="42" fillId="0" borderId="0" xfId="40" applyFont="1" applyAlignment="1">
      <alignment horizontal="center" vertical="center" wrapText="1"/>
    </xf>
    <xf numFmtId="1" fontId="40" fillId="0" borderId="0" xfId="40" applyNumberFormat="1" applyFont="1" applyAlignment="1">
      <alignment horizontal="left" vertical="center" wrapText="1"/>
    </xf>
    <xf numFmtId="1" fontId="43" fillId="0" borderId="0" xfId="40" applyNumberFormat="1" applyFont="1" applyAlignment="1">
      <alignment horizontal="left" vertical="center" wrapText="1"/>
    </xf>
    <xf numFmtId="1" fontId="43" fillId="0" borderId="13" xfId="40" applyNumberFormat="1" applyFont="1" applyBorder="1" applyAlignment="1">
      <alignment horizontal="left" vertical="center" wrapText="1"/>
    </xf>
    <xf numFmtId="1" fontId="42" fillId="0" borderId="16" xfId="40" applyNumberFormat="1" applyFont="1" applyBorder="1" applyAlignment="1">
      <alignment horizontal="center" vertical="center" wrapText="1"/>
    </xf>
    <xf numFmtId="1" fontId="42" fillId="0" borderId="17" xfId="40" applyNumberFormat="1" applyFont="1" applyBorder="1" applyAlignment="1">
      <alignment horizontal="center" vertical="center" wrapText="1"/>
    </xf>
    <xf numFmtId="1" fontId="42" fillId="0" borderId="21" xfId="40" applyNumberFormat="1" applyFont="1" applyBorder="1" applyAlignment="1">
      <alignment horizontal="center" vertical="center" wrapText="1"/>
    </xf>
    <xf numFmtId="1" fontId="14" fillId="0" borderId="23" xfId="40" applyNumberFormat="1" applyFont="1" applyBorder="1" applyAlignment="1">
      <alignment horizontal="center" vertical="center" wrapText="1"/>
    </xf>
    <xf numFmtId="1" fontId="14" fillId="0" borderId="23" xfId="40" applyNumberFormat="1" applyFont="1" applyBorder="1" applyAlignment="1">
      <alignment horizontal="left" vertical="center" wrapText="1"/>
    </xf>
    <xf numFmtId="14" fontId="14" fillId="0" borderId="23" xfId="40" applyNumberFormat="1" applyFont="1" applyBorder="1" applyAlignment="1">
      <alignment horizontal="center" vertical="center" wrapText="1"/>
    </xf>
    <xf numFmtId="14" fontId="21" fillId="0" borderId="25" xfId="64" applyNumberFormat="1" applyFont="1" applyBorder="1" applyAlignment="1">
      <alignment horizontal="center" vertical="center"/>
    </xf>
    <xf numFmtId="14" fontId="21" fillId="0" borderId="12" xfId="64" applyNumberFormat="1" applyFont="1" applyBorder="1" applyAlignment="1">
      <alignment horizontal="center" vertical="center"/>
    </xf>
    <xf numFmtId="0" fontId="21" fillId="0" borderId="38" xfId="64" applyFont="1" applyBorder="1" applyAlignment="1">
      <alignment horizontal="left"/>
    </xf>
    <xf numFmtId="0" fontId="21" fillId="0" borderId="40" xfId="64" applyFont="1" applyBorder="1" applyAlignment="1">
      <alignment horizontal="left"/>
    </xf>
    <xf numFmtId="0" fontId="21" fillId="0" borderId="39" xfId="64" applyFont="1" applyBorder="1" applyAlignment="1">
      <alignment horizontal="left"/>
    </xf>
    <xf numFmtId="2" fontId="21" fillId="0" borderId="0" xfId="64" applyNumberFormat="1" applyFont="1" applyAlignment="1">
      <alignment horizontal="left"/>
    </xf>
    <xf numFmtId="1" fontId="21" fillId="0" borderId="47" xfId="64" quotePrefix="1" applyNumberFormat="1" applyFont="1" applyBorder="1" applyAlignment="1">
      <alignment horizontal="center" vertical="center"/>
    </xf>
    <xf numFmtId="1" fontId="21" fillId="0" borderId="26" xfId="64" applyNumberFormat="1" applyFont="1" applyBorder="1" applyAlignment="1">
      <alignment horizontal="center" vertical="center"/>
    </xf>
    <xf numFmtId="1" fontId="21" fillId="0" borderId="12" xfId="64" applyNumberFormat="1" applyFont="1" applyBorder="1" applyAlignment="1">
      <alignment horizontal="center" vertical="center"/>
    </xf>
    <xf numFmtId="0" fontId="21" fillId="0" borderId="68" xfId="64" applyFont="1" applyBorder="1" applyAlignment="1">
      <alignment horizontal="left" vertical="top" wrapText="1"/>
    </xf>
    <xf numFmtId="0" fontId="21" fillId="0" borderId="29" xfId="64" applyFont="1" applyBorder="1" applyAlignment="1">
      <alignment horizontal="left" vertical="top" wrapText="1"/>
    </xf>
    <xf numFmtId="0" fontId="21" fillId="0" borderId="69" xfId="64" applyFont="1" applyBorder="1" applyAlignment="1">
      <alignment horizontal="left" vertical="top" wrapText="1"/>
    </xf>
    <xf numFmtId="0" fontId="21" fillId="0" borderId="30" xfId="64" applyFont="1" applyBorder="1" applyAlignment="1">
      <alignment horizontal="left" vertical="top" wrapText="1"/>
    </xf>
    <xf numFmtId="0" fontId="21" fillId="0" borderId="0" xfId="64" applyFont="1" applyAlignment="1">
      <alignment horizontal="left" vertical="top" wrapText="1"/>
    </xf>
    <xf numFmtId="0" fontId="21" fillId="0" borderId="31" xfId="64" applyFont="1" applyBorder="1" applyAlignment="1">
      <alignment horizontal="left" vertical="top" wrapText="1"/>
    </xf>
    <xf numFmtId="0" fontId="21" fillId="0" borderId="32" xfId="64" applyFont="1" applyBorder="1" applyAlignment="1">
      <alignment horizontal="left" vertical="top" wrapText="1"/>
    </xf>
    <xf numFmtId="0" fontId="21" fillId="0" borderId="34" xfId="64" applyFont="1" applyBorder="1" applyAlignment="1">
      <alignment horizontal="left" vertical="top" wrapText="1"/>
    </xf>
    <xf numFmtId="0" fontId="21" fillId="0" borderId="33" xfId="64" applyFont="1" applyBorder="1" applyAlignment="1">
      <alignment horizontal="left" vertical="top" wrapText="1"/>
    </xf>
    <xf numFmtId="1" fontId="21" fillId="0" borderId="25" xfId="64" applyNumberFormat="1" applyFont="1" applyBorder="1" applyAlignment="1">
      <alignment horizontal="center" vertical="center"/>
    </xf>
    <xf numFmtId="0" fontId="21" fillId="0" borderId="37" xfId="64" applyFont="1" applyBorder="1" applyAlignment="1">
      <alignment horizontal="left" vertical="center" wrapText="1"/>
    </xf>
    <xf numFmtId="0" fontId="21" fillId="0" borderId="24" xfId="64" applyFont="1" applyBorder="1" applyAlignment="1">
      <alignment horizontal="left" vertical="center" wrapText="1"/>
    </xf>
    <xf numFmtId="0" fontId="21" fillId="0" borderId="43" xfId="64" applyFont="1" applyBorder="1" applyAlignment="1">
      <alignment horizontal="left" vertical="center" wrapText="1"/>
    </xf>
    <xf numFmtId="0" fontId="21" fillId="0" borderId="32" xfId="64" applyFont="1" applyBorder="1" applyAlignment="1">
      <alignment horizontal="left" vertical="center" wrapText="1"/>
    </xf>
    <xf numFmtId="0" fontId="21" fillId="0" borderId="34" xfId="64" applyFont="1" applyBorder="1" applyAlignment="1">
      <alignment horizontal="left" vertical="center" wrapText="1"/>
    </xf>
    <xf numFmtId="0" fontId="21" fillId="0" borderId="33" xfId="64" applyFont="1" applyBorder="1" applyAlignment="1">
      <alignment horizontal="left" vertical="center" wrapText="1"/>
    </xf>
    <xf numFmtId="0" fontId="21" fillId="0" borderId="0" xfId="64" applyFont="1" applyAlignment="1">
      <alignment horizontal="left" wrapText="1"/>
    </xf>
    <xf numFmtId="0" fontId="21" fillId="0" borderId="0" xfId="64" applyFont="1" applyAlignment="1">
      <alignment horizontal="center"/>
    </xf>
    <xf numFmtId="1" fontId="21" fillId="0" borderId="30" xfId="64" quotePrefix="1" applyNumberFormat="1" applyFont="1" applyBorder="1" applyAlignment="1">
      <alignment horizontal="center" vertical="center"/>
    </xf>
    <xf numFmtId="1" fontId="21" fillId="0" borderId="30" xfId="64" applyNumberFormat="1" applyFont="1" applyBorder="1" applyAlignment="1">
      <alignment horizontal="center" vertical="center"/>
    </xf>
    <xf numFmtId="1" fontId="21" fillId="0" borderId="32" xfId="64" applyNumberFormat="1" applyFont="1" applyBorder="1" applyAlignment="1">
      <alignment horizontal="center" vertical="center"/>
    </xf>
    <xf numFmtId="1" fontId="21" fillId="0" borderId="25" xfId="64" quotePrefix="1" applyNumberFormat="1" applyFont="1" applyBorder="1" applyAlignment="1">
      <alignment horizontal="center" vertical="center"/>
    </xf>
    <xf numFmtId="1" fontId="21" fillId="0" borderId="26" xfId="64" quotePrefix="1" applyNumberFormat="1" applyFont="1" applyBorder="1" applyAlignment="1">
      <alignment horizontal="center" vertical="center"/>
    </xf>
    <xf numFmtId="1" fontId="21" fillId="0" borderId="12" xfId="64" quotePrefix="1" applyNumberFormat="1" applyFont="1" applyBorder="1" applyAlignment="1">
      <alignment horizontal="center" vertical="center"/>
    </xf>
    <xf numFmtId="0" fontId="21" fillId="0" borderId="37" xfId="64" applyFont="1" applyBorder="1" applyAlignment="1">
      <alignment horizontal="left" wrapText="1"/>
    </xf>
    <xf numFmtId="0" fontId="21" fillId="0" borderId="24" xfId="64" applyFont="1" applyBorder="1" applyAlignment="1">
      <alignment horizontal="left" wrapText="1"/>
    </xf>
    <xf numFmtId="0" fontId="21" fillId="0" borderId="43" xfId="64" applyFont="1" applyBorder="1" applyAlignment="1">
      <alignment horizontal="left" wrapText="1"/>
    </xf>
    <xf numFmtId="0" fontId="21" fillId="0" borderId="30" xfId="64" applyFont="1" applyBorder="1" applyAlignment="1">
      <alignment horizontal="left" wrapText="1"/>
    </xf>
    <xf numFmtId="0" fontId="21" fillId="0" borderId="31" xfId="64" applyFont="1" applyBorder="1" applyAlignment="1">
      <alignment horizontal="left" wrapText="1"/>
    </xf>
    <xf numFmtId="0" fontId="21" fillId="0" borderId="32" xfId="64" applyFont="1" applyBorder="1" applyAlignment="1">
      <alignment horizontal="left" wrapText="1"/>
    </xf>
    <xf numFmtId="0" fontId="21" fillId="0" borderId="34" xfId="64" applyFont="1" applyBorder="1" applyAlignment="1">
      <alignment horizontal="left" wrapText="1"/>
    </xf>
    <xf numFmtId="0" fontId="21" fillId="0" borderId="33" xfId="64" applyFont="1" applyBorder="1" applyAlignment="1">
      <alignment horizontal="left" wrapText="1"/>
    </xf>
    <xf numFmtId="14" fontId="21" fillId="0" borderId="26" xfId="64" applyNumberFormat="1" applyFont="1" applyBorder="1" applyAlignment="1">
      <alignment horizontal="center"/>
    </xf>
    <xf numFmtId="14" fontId="21" fillId="0" borderId="12" xfId="64" applyNumberFormat="1" applyFont="1" applyBorder="1" applyAlignment="1">
      <alignment horizontal="center"/>
    </xf>
    <xf numFmtId="1" fontId="21" fillId="0" borderId="26" xfId="64" applyNumberFormat="1" applyFont="1" applyBorder="1" applyAlignment="1">
      <alignment horizontal="center"/>
    </xf>
    <xf numFmtId="1" fontId="21" fillId="0" borderId="12" xfId="64" applyNumberFormat="1" applyFont="1" applyBorder="1" applyAlignment="1">
      <alignment horizontal="center"/>
    </xf>
    <xf numFmtId="164" fontId="21" fillId="0" borderId="30" xfId="64" applyNumberFormat="1" applyFont="1" applyBorder="1" applyAlignment="1">
      <alignment horizontal="center"/>
    </xf>
    <xf numFmtId="164" fontId="21" fillId="0" borderId="32" xfId="64" applyNumberFormat="1" applyFont="1" applyBorder="1" applyAlignment="1">
      <alignment horizontal="center"/>
    </xf>
    <xf numFmtId="0" fontId="44" fillId="0" borderId="15" xfId="64" applyFont="1" applyBorder="1" applyAlignment="1">
      <alignment horizontal="center"/>
    </xf>
    <xf numFmtId="0" fontId="44" fillId="0" borderId="20" xfId="64" applyFont="1" applyBorder="1" applyAlignment="1">
      <alignment horizontal="center"/>
    </xf>
    <xf numFmtId="0" fontId="44" fillId="0" borderId="14" xfId="64" applyFont="1" applyBorder="1" applyAlignment="1">
      <alignment horizontal="center"/>
    </xf>
    <xf numFmtId="0" fontId="44" fillId="0" borderId="18" xfId="64" applyFont="1" applyBorder="1" applyAlignment="1">
      <alignment horizontal="center"/>
    </xf>
    <xf numFmtId="0" fontId="44" fillId="0" borderId="0" xfId="64" applyFont="1" applyAlignment="1">
      <alignment horizontal="center"/>
    </xf>
    <xf numFmtId="0" fontId="44" fillId="0" borderId="27" xfId="64" applyFont="1" applyBorder="1" applyAlignment="1">
      <alignment horizontal="center"/>
    </xf>
    <xf numFmtId="0" fontId="44" fillId="0" borderId="29" xfId="64" applyFont="1" applyBorder="1" applyAlignment="1">
      <alignment horizontal="center"/>
    </xf>
    <xf numFmtId="0" fontId="44" fillId="0" borderId="28" xfId="64" applyFont="1" applyBorder="1" applyAlignment="1">
      <alignment horizontal="center"/>
    </xf>
    <xf numFmtId="0" fontId="21" fillId="0" borderId="59" xfId="64" applyFont="1" applyBorder="1" applyAlignment="1">
      <alignment horizontal="left"/>
    </xf>
    <xf numFmtId="0" fontId="21" fillId="0" borderId="15" xfId="64" applyFont="1" applyBorder="1" applyAlignment="1">
      <alignment horizontal="left"/>
    </xf>
    <xf numFmtId="0" fontId="21" fillId="0" borderId="70" xfId="64" applyFont="1" applyBorder="1" applyAlignment="1">
      <alignment horizontal="left"/>
    </xf>
    <xf numFmtId="0" fontId="21" fillId="0" borderId="20" xfId="64" applyFont="1" applyBorder="1" applyAlignment="1">
      <alignment horizontal="center"/>
    </xf>
    <xf numFmtId="0" fontId="21" fillId="0" borderId="0" xfId="64" applyFont="1" applyAlignment="1">
      <alignment horizontal="left"/>
    </xf>
    <xf numFmtId="0" fontId="44" fillId="0" borderId="29" xfId="64" applyFont="1" applyBorder="1" applyAlignment="1">
      <alignment horizontal="center" wrapText="1"/>
    </xf>
    <xf numFmtId="0" fontId="44" fillId="0" borderId="0" xfId="64" applyFont="1" applyAlignment="1">
      <alignment horizontal="center" wrapText="1"/>
    </xf>
    <xf numFmtId="0" fontId="44" fillId="0" borderId="16" xfId="64" applyFont="1" applyBorder="1" applyAlignment="1">
      <alignment horizontal="center" wrapText="1"/>
    </xf>
    <xf numFmtId="14" fontId="21" fillId="0" borderId="23" xfId="64" applyNumberFormat="1" applyFont="1" applyBorder="1" applyAlignment="1">
      <alignment horizontal="left"/>
    </xf>
    <xf numFmtId="164" fontId="21" fillId="0" borderId="23" xfId="64" applyNumberFormat="1" applyFont="1" applyBorder="1" applyAlignment="1">
      <alignment horizontal="center"/>
    </xf>
    <xf numFmtId="0" fontId="21" fillId="0" borderId="38" xfId="64" applyFont="1" applyBorder="1" applyAlignment="1">
      <alignment horizontal="left" wrapText="1"/>
    </xf>
    <xf numFmtId="0" fontId="21" fillId="0" borderId="40" xfId="64" applyFont="1" applyBorder="1" applyAlignment="1">
      <alignment horizontal="left" wrapText="1"/>
    </xf>
    <xf numFmtId="0" fontId="21" fillId="0" borderId="39" xfId="64" applyFont="1" applyBorder="1" applyAlignment="1">
      <alignment horizontal="left" wrapText="1"/>
    </xf>
    <xf numFmtId="1" fontId="21" fillId="0" borderId="25" xfId="64" applyNumberFormat="1" applyFont="1" applyBorder="1" applyAlignment="1">
      <alignment horizontal="center"/>
    </xf>
    <xf numFmtId="14" fontId="21" fillId="0" borderId="25" xfId="64" applyNumberFormat="1" applyFont="1" applyBorder="1" applyAlignment="1">
      <alignment horizontal="center"/>
    </xf>
    <xf numFmtId="164" fontId="21" fillId="0" borderId="26" xfId="64" applyNumberFormat="1" applyFont="1" applyBorder="1" applyAlignment="1">
      <alignment horizontal="center"/>
    </xf>
    <xf numFmtId="164" fontId="21" fillId="0" borderId="12" xfId="64" applyNumberFormat="1" applyFont="1" applyBorder="1" applyAlignment="1">
      <alignment horizontal="center"/>
    </xf>
    <xf numFmtId="14" fontId="21" fillId="0" borderId="26" xfId="64" applyNumberFormat="1" applyFont="1" applyBorder="1" applyAlignment="1">
      <alignment horizontal="left"/>
    </xf>
    <xf numFmtId="14" fontId="21" fillId="0" borderId="12" xfId="64" applyNumberFormat="1" applyFont="1" applyBorder="1" applyAlignment="1">
      <alignment horizontal="left"/>
    </xf>
    <xf numFmtId="0" fontId="21" fillId="0" borderId="37" xfId="64" applyFont="1" applyBorder="1" applyAlignment="1">
      <alignment horizontal="left"/>
    </xf>
    <xf numFmtId="0" fontId="21" fillId="0" borderId="24" xfId="64" applyFont="1" applyBorder="1" applyAlignment="1">
      <alignment horizontal="left"/>
    </xf>
    <xf numFmtId="0" fontId="21" fillId="0" borderId="43" xfId="64" applyFont="1" applyBorder="1" applyAlignment="1">
      <alignment horizontal="left"/>
    </xf>
    <xf numFmtId="0" fontId="21" fillId="0" borderId="32" xfId="64" applyFont="1" applyBorder="1" applyAlignment="1">
      <alignment horizontal="left"/>
    </xf>
    <xf numFmtId="0" fontId="21" fillId="0" borderId="34" xfId="64" applyFont="1" applyBorder="1" applyAlignment="1">
      <alignment horizontal="left"/>
    </xf>
    <xf numFmtId="0" fontId="21" fillId="0" borderId="33" xfId="64" applyFont="1" applyBorder="1" applyAlignment="1">
      <alignment horizontal="left"/>
    </xf>
    <xf numFmtId="0" fontId="21" fillId="0" borderId="37" xfId="64" applyFont="1" applyBorder="1" applyAlignment="1">
      <alignment horizontal="left" vertical="top" wrapText="1"/>
    </xf>
    <xf numFmtId="0" fontId="21" fillId="0" borderId="24" xfId="64" applyFont="1" applyBorder="1" applyAlignment="1">
      <alignment horizontal="left" vertical="top" wrapText="1"/>
    </xf>
    <xf numFmtId="0" fontId="21" fillId="0" borderId="43" xfId="64" applyFont="1" applyBorder="1" applyAlignment="1">
      <alignment horizontal="left" vertical="top" wrapText="1"/>
    </xf>
    <xf numFmtId="0" fontId="1" fillId="0" borderId="0" xfId="65" applyAlignment="1">
      <alignment horizontal="center"/>
    </xf>
    <xf numFmtId="0" fontId="1" fillId="0" borderId="0" xfId="65" applyAlignment="1">
      <alignment horizontal="center" wrapText="1"/>
    </xf>
    <xf numFmtId="0" fontId="1" fillId="19" borderId="0" xfId="65" applyFill="1" applyAlignment="1">
      <alignment horizontal="center"/>
    </xf>
    <xf numFmtId="0" fontId="54" fillId="0" borderId="0" xfId="65" applyFont="1" applyAlignment="1">
      <alignment horizontal="center" wrapText="1"/>
    </xf>
    <xf numFmtId="0" fontId="54" fillId="0" borderId="0" xfId="65" applyFont="1" applyAlignment="1">
      <alignment horizontal="center"/>
    </xf>
    <xf numFmtId="0" fontId="54" fillId="0" borderId="0" xfId="65" applyFont="1" applyAlignment="1">
      <alignment horizontal="center" vertical="top"/>
    </xf>
    <xf numFmtId="0" fontId="55" fillId="0" borderId="0" xfId="65" applyFont="1" applyAlignment="1">
      <alignment horizontal="center" wrapText="1"/>
    </xf>
    <xf numFmtId="2" fontId="54" fillId="0" borderId="0" xfId="65" applyNumberFormat="1" applyFont="1" applyAlignment="1">
      <alignment horizontal="center" wrapText="1"/>
    </xf>
    <xf numFmtId="0" fontId="55" fillId="0" borderId="0" xfId="65" applyFont="1" applyAlignment="1">
      <alignment horizontal="center"/>
    </xf>
    <xf numFmtId="0" fontId="39" fillId="0" borderId="12" xfId="65" applyFont="1" applyBorder="1" applyAlignment="1">
      <alignment horizontal="center"/>
    </xf>
    <xf numFmtId="0" fontId="39" fillId="0" borderId="23" xfId="65" applyFont="1" applyBorder="1" applyAlignment="1">
      <alignment horizontal="center"/>
    </xf>
    <xf numFmtId="0" fontId="1" fillId="0" borderId="23" xfId="65" applyBorder="1" applyAlignment="1">
      <alignment horizontal="center" vertical="top"/>
    </xf>
    <xf numFmtId="0" fontId="54" fillId="0" borderId="0" xfId="65" applyFont="1" applyAlignment="1">
      <alignment horizontal="left" vertical="top"/>
    </xf>
    <xf numFmtId="0" fontId="39" fillId="0" borderId="12" xfId="65" applyFont="1" applyBorder="1" applyAlignment="1">
      <alignment horizontal="center" wrapText="1"/>
    </xf>
    <xf numFmtId="0" fontId="39" fillId="0" borderId="23" xfId="65" applyFont="1" applyBorder="1" applyAlignment="1">
      <alignment horizontal="center" wrapText="1"/>
    </xf>
    <xf numFmtId="0" fontId="54" fillId="0" borderId="23" xfId="65" applyFont="1" applyBorder="1" applyAlignment="1">
      <alignment horizontal="left" wrapText="1"/>
    </xf>
    <xf numFmtId="14" fontId="55" fillId="0" borderId="0" xfId="65" applyNumberFormat="1" applyFont="1" applyAlignment="1">
      <alignment horizontal="center"/>
    </xf>
    <xf numFmtId="0" fontId="39" fillId="0" borderId="26" xfId="65" applyFont="1" applyBorder="1" applyAlignment="1">
      <alignment horizontal="center"/>
    </xf>
    <xf numFmtId="0" fontId="54" fillId="0" borderId="23" xfId="65" applyFont="1" applyBorder="1" applyAlignment="1">
      <alignment horizontal="center" vertical="top"/>
    </xf>
    <xf numFmtId="0" fontId="54" fillId="0" borderId="44" xfId="65" applyFont="1" applyBorder="1" applyAlignment="1">
      <alignment horizontal="center" vertical="top"/>
    </xf>
    <xf numFmtId="0" fontId="54" fillId="0" borderId="26" xfId="65" applyFont="1" applyBorder="1" applyAlignment="1">
      <alignment horizontal="center" vertical="top"/>
    </xf>
    <xf numFmtId="0" fontId="54" fillId="0" borderId="12" xfId="65" applyFont="1" applyBorder="1" applyAlignment="1">
      <alignment horizontal="center" vertical="top"/>
    </xf>
    <xf numFmtId="0" fontId="44" fillId="0" borderId="0" xfId="65" applyFont="1" applyAlignment="1">
      <alignment horizontal="center"/>
    </xf>
    <xf numFmtId="0" fontId="54" fillId="0" borderId="0" xfId="65" applyFont="1" applyAlignment="1">
      <alignment horizontal="left" wrapText="1"/>
    </xf>
    <xf numFmtId="0" fontId="55" fillId="0" borderId="38" xfId="65" applyFont="1" applyBorder="1" applyAlignment="1">
      <alignment horizontal="left"/>
    </xf>
    <xf numFmtId="0" fontId="55" fillId="0" borderId="40" xfId="65" applyFont="1" applyBorder="1" applyAlignment="1">
      <alignment horizontal="left"/>
    </xf>
    <xf numFmtId="0" fontId="55" fillId="0" borderId="39" xfId="65" applyFont="1" applyBorder="1" applyAlignment="1">
      <alignment horizontal="left"/>
    </xf>
    <xf numFmtId="0" fontId="54" fillId="0" borderId="0" xfId="65" applyFont="1" applyAlignment="1">
      <alignment horizontal="center" vertical="center" wrapText="1"/>
    </xf>
    <xf numFmtId="0" fontId="53" fillId="0" borderId="34" xfId="65" applyFont="1" applyBorder="1" applyAlignment="1">
      <alignment horizontal="left"/>
    </xf>
    <xf numFmtId="0" fontId="54" fillId="0" borderId="25" xfId="65" applyFont="1" applyBorder="1" applyAlignment="1">
      <alignment horizontal="center" vertical="top"/>
    </xf>
    <xf numFmtId="0" fontId="1" fillId="0" borderId="45" xfId="65" applyBorder="1" applyAlignment="1">
      <alignment horizontal="center" vertical="top"/>
    </xf>
    <xf numFmtId="1" fontId="55" fillId="0" borderId="38" xfId="65" applyNumberFormat="1" applyFont="1" applyBorder="1" applyAlignment="1">
      <alignment horizontal="center"/>
    </xf>
  </cellXfs>
  <cellStyles count="66">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Explanatory Text 2" xfId="28" xr:uid="{00000000-0005-0000-0000-00001B000000}"/>
    <cellStyle name="Good 2" xfId="29" xr:uid="{00000000-0005-0000-0000-00001C000000}"/>
    <cellStyle name="Heading 1 2" xfId="30" xr:uid="{00000000-0005-0000-0000-00001D000000}"/>
    <cellStyle name="Heading 2 2" xfId="31" xr:uid="{00000000-0005-0000-0000-00001E000000}"/>
    <cellStyle name="Heading 3 2" xfId="32" xr:uid="{00000000-0005-0000-0000-00001F000000}"/>
    <cellStyle name="Heading 4 2" xfId="33" xr:uid="{00000000-0005-0000-0000-000020000000}"/>
    <cellStyle name="Hyperlink 2" xfId="34" xr:uid="{00000000-0005-0000-0000-000021000000}"/>
    <cellStyle name="Hyperlink 2 2" xfId="59" xr:uid="{3F705057-458F-4B8A-A93B-499F694E4BE8}"/>
    <cellStyle name="Input 2" xfId="35" xr:uid="{00000000-0005-0000-0000-000022000000}"/>
    <cellStyle name="Linked Cell 2" xfId="36" xr:uid="{00000000-0005-0000-0000-000023000000}"/>
    <cellStyle name="Neutral 2" xfId="37" xr:uid="{00000000-0005-0000-0000-000024000000}"/>
    <cellStyle name="Normal" xfId="0" builtinId="0"/>
    <cellStyle name="Normal 10" xfId="62" xr:uid="{CC86E121-2F7E-4625-9E85-D4C23C9C5F01}"/>
    <cellStyle name="Normal 11" xfId="63" xr:uid="{FE24A5A6-F42F-4492-A2C2-EBE19AAF02E3}"/>
    <cellStyle name="Normal 12" xfId="64" xr:uid="{442DF5E1-4441-41DF-8C8D-18797E42F0BA}"/>
    <cellStyle name="Normal 13" xfId="65" xr:uid="{906B723B-8F09-4652-B254-2321928467F7}"/>
    <cellStyle name="Normal 2" xfId="38" xr:uid="{00000000-0005-0000-0000-000026000000}"/>
    <cellStyle name="Normal 2 2" xfId="39" xr:uid="{00000000-0005-0000-0000-000027000000}"/>
    <cellStyle name="Normal 2 2 2" xfId="40" xr:uid="{00000000-0005-0000-0000-000028000000}"/>
    <cellStyle name="Normal 2 3" xfId="41" xr:uid="{00000000-0005-0000-0000-000029000000}"/>
    <cellStyle name="Normal 2 4" xfId="60" xr:uid="{8E5F8D28-B487-48CC-868D-315DA50080A7}"/>
    <cellStyle name="Normal 3" xfId="42" xr:uid="{00000000-0005-0000-0000-00002A000000}"/>
    <cellStyle name="Normal 3 2" xfId="43" xr:uid="{00000000-0005-0000-0000-00002B000000}"/>
    <cellStyle name="Normal 3 2 2" xfId="44" xr:uid="{00000000-0005-0000-0000-00002C000000}"/>
    <cellStyle name="Normal 3 2 3" xfId="45" xr:uid="{00000000-0005-0000-0000-00002D000000}"/>
    <cellStyle name="Normal 3 3" xfId="46" xr:uid="{00000000-0005-0000-0000-00002E000000}"/>
    <cellStyle name="Normal 3 4" xfId="61" xr:uid="{53A147E9-41B6-4167-96DD-6724E7B83A41}"/>
    <cellStyle name="Normal 4" xfId="47" xr:uid="{00000000-0005-0000-0000-00002F000000}"/>
    <cellStyle name="Normal 5" xfId="54" xr:uid="{653BE3F7-D5BF-4DE0-88E7-A6CB70519C78}"/>
    <cellStyle name="Normal 6" xfId="55" xr:uid="{4E27325C-75C9-4705-AEB1-3C8C3C4FF77D}"/>
    <cellStyle name="Normal 7" xfId="56" xr:uid="{C0DB57B2-735C-4F8B-A168-6641ADCEEFB8}"/>
    <cellStyle name="Normal 8" xfId="57" xr:uid="{3C2114C5-EE1B-420E-8CD8-C133B4B992ED}"/>
    <cellStyle name="Normal 9" xfId="58" xr:uid="{9290C6E3-9C07-482C-A5BA-EE1BD1A685F6}"/>
    <cellStyle name="Note 2" xfId="48" xr:uid="{00000000-0005-0000-0000-000030000000}"/>
    <cellStyle name="Note 2 2" xfId="49" xr:uid="{00000000-0005-0000-0000-000031000000}"/>
    <cellStyle name="Output 2" xfId="50" xr:uid="{00000000-0005-0000-0000-000032000000}"/>
    <cellStyle name="Title 2" xfId="51" xr:uid="{00000000-0005-0000-0000-000033000000}"/>
    <cellStyle name="Total 2" xfId="52" xr:uid="{00000000-0005-0000-0000-000034000000}"/>
    <cellStyle name="Warning Text 2" xfId="53" xr:uid="{00000000-0005-0000-0000-000035000000}"/>
  </cellStyles>
  <dxfs count="0"/>
  <tableStyles count="1" defaultTableStyle="TableStyleMedium2" defaultPivotStyle="PivotStyleLight16">
    <tableStyle name="Invisible" pivot="0" table="0" count="0" xr9:uid="{417529ED-5EF5-40EC-B0F0-0DB2AC683F5E}"/>
  </tableStyles>
  <colors>
    <indexedColors>
      <rgbColor rgb="00000000"/>
      <rgbColor rgb="00FFFFFF"/>
      <rgbColor rgb="00FF0000"/>
      <rgbColor rgb="0000FF00"/>
      <rgbColor rgb="000000FF"/>
      <rgbColor rgb="00FFFF00"/>
      <rgbColor rgb="00FF00FF"/>
      <rgbColor rgb="0000FFFF"/>
      <rgbColor rgb="00000000"/>
      <rgbColor rgb="00FF0000"/>
      <rgbColor rgb="00C0C0C0"/>
      <rgbColor rgb="00FFFFFF"/>
      <rgbColor rgb="00D3D3D3"/>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962025</xdr:colOff>
      <xdr:row>2</xdr:row>
      <xdr:rowOff>276225</xdr:rowOff>
    </xdr:to>
    <xdr:pic>
      <xdr:nvPicPr>
        <xdr:cNvPr id="2" name="Picture 0" descr="fceb8065-debc-4d9d-9d53-4f3a09acf99f">
          <a:extLst>
            <a:ext uri="{FF2B5EF4-FFF2-40B4-BE49-F238E27FC236}">
              <a16:creationId xmlns:a16="http://schemas.microsoft.com/office/drawing/2014/main" id="{120EE55A-C352-40B0-8139-9925A34D8A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228600"/>
          <a:ext cx="26955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438150</xdr:colOff>
      <xdr:row>1</xdr:row>
      <xdr:rowOff>0</xdr:rowOff>
    </xdr:from>
    <xdr:to>
      <xdr:col>6</xdr:col>
      <xdr:colOff>133350</xdr:colOff>
      <xdr:row>5</xdr:row>
      <xdr:rowOff>9525</xdr:rowOff>
    </xdr:to>
    <xdr:pic>
      <xdr:nvPicPr>
        <xdr:cNvPr id="2" name="Picture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6800" y="161925"/>
          <a:ext cx="283845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380171</xdr:colOff>
      <xdr:row>0</xdr:row>
      <xdr:rowOff>149087</xdr:rowOff>
    </xdr:from>
    <xdr:to>
      <xdr:col>5</xdr:col>
      <xdr:colOff>75372</xdr:colOff>
      <xdr:row>5</xdr:row>
      <xdr:rowOff>1729</xdr:rowOff>
    </xdr:to>
    <xdr:pic>
      <xdr:nvPicPr>
        <xdr:cNvPr id="2" name="Picture 2">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171" y="149087"/>
          <a:ext cx="2842592" cy="6721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265043</xdr:colOff>
      <xdr:row>5</xdr:row>
      <xdr:rowOff>132522</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65043" y="9607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356152</xdr:colOff>
      <xdr:row>5</xdr:row>
      <xdr:rowOff>91109</xdr:rowOff>
    </xdr:from>
    <xdr:to>
      <xdr:col>15</xdr:col>
      <xdr:colOff>0</xdr:colOff>
      <xdr:row>49</xdr:row>
      <xdr:rowOff>16565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356152" y="919370"/>
          <a:ext cx="9086022" cy="761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Xcel Energy is utilizing a new report format to publish facility ratings in accordance with FAC-008-5. Below are some notes on the new format for the Line and Transformer rating sheets:</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Previous versions of the FAC-008 publication may have been set up to record a single row per facility rating. This new version will have </a:t>
          </a:r>
          <a:r>
            <a:rPr lang="en-US" sz="1100" b="1" u="sng">
              <a:solidFill>
                <a:schemeClr val="dk1"/>
              </a:solidFill>
              <a:effectLst/>
              <a:latin typeface="+mn-lt"/>
              <a:ea typeface="+mn-ea"/>
              <a:cs typeface="+mn-cs"/>
            </a:rPr>
            <a:t>multiple rows per facility</a:t>
          </a:r>
          <a:r>
            <a:rPr lang="en-US" sz="1100">
              <a:solidFill>
                <a:schemeClr val="dk1"/>
              </a:solidFill>
              <a:effectLst/>
              <a:latin typeface="+mn-lt"/>
              <a:ea typeface="+mn-ea"/>
              <a:cs typeface="+mn-cs"/>
            </a:rPr>
            <a:t> depending on the number of limiting equipments. All row records with the same Facility Designation are part of the same facility.</a:t>
          </a:r>
        </a:p>
        <a:p>
          <a:r>
            <a:rPr lang="en-US" sz="1100">
              <a:solidFill>
                <a:schemeClr val="dk1"/>
              </a:solidFill>
              <a:effectLst/>
              <a:latin typeface="+mn-lt"/>
              <a:ea typeface="+mn-ea"/>
              <a:cs typeface="+mn-cs"/>
            </a:rPr>
            <a:t> </a:t>
          </a:r>
        </a:p>
        <a:p>
          <a:r>
            <a:rPr lang="en-US" sz="1100" b="1">
              <a:solidFill>
                <a:schemeClr val="dk1"/>
              </a:solidFill>
              <a:effectLst/>
              <a:latin typeface="+mn-lt"/>
              <a:ea typeface="+mn-ea"/>
              <a:cs typeface="+mn-cs"/>
            </a:rPr>
            <a:t>Line Rating or Line Ratings In Construction</a:t>
          </a:r>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This report only includes the overall FACILITY rating and the LIMITING EQUIPMENT that is part of the transmission line facility.</a:t>
          </a:r>
        </a:p>
        <a:p>
          <a:pPr lvl="0"/>
          <a:endParaRPr lang="en-US" sz="1100" b="1" u="sng">
            <a:solidFill>
              <a:schemeClr val="dk1"/>
            </a:solidFill>
            <a:effectLst/>
            <a:latin typeface="+mn-lt"/>
            <a:ea typeface="+mn-ea"/>
            <a:cs typeface="+mn-cs"/>
          </a:endParaRPr>
        </a:p>
        <a:p>
          <a:pPr lvl="0"/>
          <a:r>
            <a:rPr lang="en-US" sz="1100" b="1" u="sng">
              <a:solidFill>
                <a:schemeClr val="dk1"/>
              </a:solidFill>
              <a:effectLst/>
              <a:latin typeface="+mn-lt"/>
              <a:ea typeface="+mn-ea"/>
              <a:cs typeface="+mn-cs"/>
            </a:rPr>
            <a:t>Facility designation</a:t>
          </a:r>
          <a:r>
            <a:rPr lang="en-US" sz="1100" b="1">
              <a:solidFill>
                <a:schemeClr val="dk1"/>
              </a:solidFill>
              <a:effectLst/>
              <a:latin typeface="+mn-lt"/>
              <a:ea typeface="+mn-ea"/>
              <a:cs typeface="+mn-cs"/>
            </a:rPr>
            <a:t> uses the following convention: </a:t>
          </a:r>
          <a:r>
            <a:rPr lang="en-US" sz="1100" b="1" i="1">
              <a:solidFill>
                <a:schemeClr val="dk1"/>
              </a:solidFill>
              <a:effectLst/>
              <a:latin typeface="+mn-lt"/>
              <a:ea typeface="+mn-ea"/>
              <a:cs typeface="+mn-cs"/>
            </a:rPr>
            <a:t>[From Sub Mnemonic]-[To Sub Mnemonic]-[voltage level in kV]-[circuit #]</a:t>
          </a:r>
          <a:r>
            <a:rPr lang="en-US" sz="1100" b="1">
              <a:solidFill>
                <a:schemeClr val="dk1"/>
              </a:solidFill>
              <a:effectLst/>
              <a:latin typeface="+mn-lt"/>
              <a:ea typeface="+mn-ea"/>
              <a:cs typeface="+mn-cs"/>
            </a:rPr>
            <a:t>. “_TP” in the mnemonic is used to identify transmission taps.</a:t>
          </a:r>
        </a:p>
        <a:p>
          <a:pPr lvl="0"/>
          <a:endParaRPr lang="en-US" sz="1100" b="1" u="sng">
            <a:solidFill>
              <a:schemeClr val="dk1"/>
            </a:solidFill>
            <a:effectLst/>
            <a:latin typeface="+mn-lt"/>
            <a:ea typeface="+mn-ea"/>
            <a:cs typeface="+mn-cs"/>
          </a:endParaRPr>
        </a:p>
        <a:p>
          <a:pPr lvl="0"/>
          <a:r>
            <a:rPr lang="en-US" sz="1100" b="1" u="sng">
              <a:solidFill>
                <a:schemeClr val="dk1"/>
              </a:solidFill>
              <a:effectLst/>
              <a:latin typeface="+mn-lt"/>
              <a:ea typeface="+mn-ea"/>
              <a:cs typeface="+mn-cs"/>
            </a:rPr>
            <a:t>Equip Type is FACILITY</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is the record for the overall facility rating. The overall facility ratings are in </a:t>
          </a:r>
          <a:r>
            <a:rPr lang="en-US" sz="1100" b="1">
              <a:solidFill>
                <a:srgbClr val="FF0000"/>
              </a:solidFill>
              <a:effectLst/>
              <a:latin typeface="+mn-lt"/>
              <a:ea typeface="+mn-ea"/>
              <a:cs typeface="+mn-cs"/>
            </a:rPr>
            <a:t>BOLD RED</a:t>
          </a:r>
          <a:r>
            <a:rPr lang="en-US" sz="1100">
              <a:solidFill>
                <a:srgbClr val="FF0000"/>
              </a:solidFill>
              <a:effectLst/>
              <a:latin typeface="+mn-lt"/>
              <a:ea typeface="+mn-ea"/>
              <a:cs typeface="+mn-cs"/>
            </a:rPr>
            <a:t> </a:t>
          </a:r>
          <a:r>
            <a:rPr lang="en-US" sz="1100">
              <a:solidFill>
                <a:schemeClr val="dk1"/>
              </a:solidFill>
              <a:effectLst/>
              <a:latin typeface="+mn-lt"/>
              <a:ea typeface="+mn-ea"/>
              <a:cs typeface="+mn-cs"/>
            </a:rPr>
            <a:t>font.</a:t>
          </a:r>
        </a:p>
        <a:p>
          <a:pPr lvl="0"/>
          <a:endParaRPr lang="en-US" sz="1100" b="1" u="sng">
            <a:solidFill>
              <a:schemeClr val="dk1"/>
            </a:solidFill>
            <a:effectLst/>
            <a:latin typeface="+mn-lt"/>
            <a:ea typeface="+mn-ea"/>
            <a:cs typeface="+mn-cs"/>
          </a:endParaRPr>
        </a:p>
        <a:p>
          <a:pPr lvl="0"/>
          <a:r>
            <a:rPr lang="en-US" sz="1100" b="1" u="sng">
              <a:solidFill>
                <a:schemeClr val="dk1"/>
              </a:solidFill>
              <a:effectLst/>
              <a:latin typeface="+mn-lt"/>
              <a:ea typeface="+mn-ea"/>
              <a:cs typeface="+mn-cs"/>
            </a:rPr>
            <a:t>Equip Type is not FACILITY</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is the record for the limiting equipment for that facility designation. The ratings for the equipment are in</a:t>
          </a:r>
          <a:r>
            <a:rPr lang="en-US" sz="1100">
              <a:solidFill>
                <a:srgbClr val="FF0000"/>
              </a:solidFill>
              <a:effectLst/>
              <a:latin typeface="+mn-lt"/>
              <a:ea typeface="+mn-ea"/>
              <a:cs typeface="+mn-cs"/>
            </a:rPr>
            <a:t> RED </a:t>
          </a:r>
          <a:r>
            <a:rPr lang="en-US" sz="1100">
              <a:solidFill>
                <a:schemeClr val="dk1"/>
              </a:solidFill>
              <a:effectLst/>
              <a:latin typeface="+mn-lt"/>
              <a:ea typeface="+mn-ea"/>
              <a:cs typeface="+mn-cs"/>
            </a:rPr>
            <a:t>font if it equals the overall facility rating. This is done to distinguish which equipment limits which rating. For instance, the Summer Normal rating for a facility may be limited by a Substation switch while the Summer Emergency, Winter Normal and Winter Emergency ratings are limited by a Current Transformer. In this case, the only Summer Normal rating of the switch will be highlighted in </a:t>
          </a:r>
          <a:r>
            <a:rPr lang="en-US" sz="1100">
              <a:solidFill>
                <a:srgbClr val="FF0000"/>
              </a:solidFill>
              <a:effectLst/>
              <a:latin typeface="+mn-lt"/>
              <a:ea typeface="+mn-ea"/>
              <a:cs typeface="+mn-cs"/>
            </a:rPr>
            <a:t>RED</a:t>
          </a:r>
          <a:r>
            <a:rPr lang="en-US" sz="1100">
              <a:solidFill>
                <a:schemeClr val="dk1"/>
              </a:solidFill>
              <a:effectLst/>
              <a:latin typeface="+mn-lt"/>
              <a:ea typeface="+mn-ea"/>
              <a:cs typeface="+mn-cs"/>
            </a:rPr>
            <a:t> and the Summer Emergency, Winter Normal and Winter Emergency of the Current Transformer will be highlighted in </a:t>
          </a:r>
          <a:r>
            <a:rPr lang="en-US" sz="1100">
              <a:solidFill>
                <a:srgbClr val="FF0000"/>
              </a:solidFill>
              <a:effectLst/>
              <a:latin typeface="+mn-lt"/>
              <a:ea typeface="+mn-ea"/>
              <a:cs typeface="+mn-cs"/>
            </a:rPr>
            <a:t>RED</a:t>
          </a:r>
          <a:r>
            <a:rPr lang="en-US" sz="1100">
              <a:solidFill>
                <a:schemeClr val="dk1"/>
              </a:solidFill>
              <a:effectLst/>
              <a:latin typeface="+mn-lt"/>
              <a:ea typeface="+mn-ea"/>
              <a:cs typeface="+mn-cs"/>
            </a:rPr>
            <a:t>.</a:t>
          </a:r>
        </a:p>
        <a:p>
          <a:pPr lvl="0"/>
          <a:r>
            <a:rPr lang="en-US" sz="1100" b="1" u="sng">
              <a:solidFill>
                <a:schemeClr val="dk1"/>
              </a:solidFill>
              <a:effectLst/>
              <a:latin typeface="+mn-lt"/>
              <a:ea typeface="+mn-ea"/>
              <a:cs typeface="+mn-cs"/>
            </a:rPr>
            <a:t>From PSSE/ To PSSE</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have been provided for convenience. In some cases where the PSSE bus number is unknown/ missing pseudo bus numbers are used. For PSC the pseudo bus numbers are in the 2000 series (2xxx).</a:t>
          </a:r>
        </a:p>
        <a:p>
          <a:r>
            <a:rPr lang="en-US" sz="1100">
              <a:solidFill>
                <a:schemeClr val="dk1"/>
              </a:solidFill>
              <a:effectLst/>
              <a:latin typeface="+mn-lt"/>
              <a:ea typeface="+mn-ea"/>
              <a:cs typeface="+mn-cs"/>
            </a:rPr>
            <a:t> </a:t>
          </a:r>
        </a:p>
        <a:p>
          <a:r>
            <a:rPr lang="en-US" sz="1100" b="1">
              <a:solidFill>
                <a:schemeClr val="dk1"/>
              </a:solidFill>
              <a:effectLst/>
              <a:latin typeface="+mn-lt"/>
              <a:ea typeface="+mn-ea"/>
              <a:cs typeface="+mn-cs"/>
            </a:rPr>
            <a:t>Transformers or Transformers Ratings In Construction</a:t>
          </a:r>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This report only includes the overall FACILITY rating and the LIMITING EQUIPMENT that is part of the transmission transformer facility.</a:t>
          </a:r>
        </a:p>
        <a:p>
          <a:pPr lvl="0"/>
          <a:endParaRPr lang="en-US" sz="1100" b="1" u="sng">
            <a:solidFill>
              <a:schemeClr val="dk1"/>
            </a:solidFill>
            <a:effectLst/>
            <a:latin typeface="+mn-lt"/>
            <a:ea typeface="+mn-ea"/>
            <a:cs typeface="+mn-cs"/>
          </a:endParaRPr>
        </a:p>
        <a:p>
          <a:pPr lvl="0"/>
          <a:r>
            <a:rPr lang="en-US" sz="1100" b="1" u="sng">
              <a:solidFill>
                <a:schemeClr val="dk1"/>
              </a:solidFill>
              <a:effectLst/>
              <a:latin typeface="+mn-lt"/>
              <a:ea typeface="+mn-ea"/>
              <a:cs typeface="+mn-cs"/>
            </a:rPr>
            <a:t>Facility designation</a:t>
          </a:r>
          <a:r>
            <a:rPr lang="en-US" sz="1100" b="1">
              <a:solidFill>
                <a:schemeClr val="dk1"/>
              </a:solidFill>
              <a:effectLst/>
              <a:latin typeface="+mn-lt"/>
              <a:ea typeface="+mn-ea"/>
              <a:cs typeface="+mn-cs"/>
            </a:rPr>
            <a:t> uses the following convention: </a:t>
          </a:r>
          <a:r>
            <a:rPr lang="en-US" sz="1100" b="1" i="1">
              <a:solidFill>
                <a:schemeClr val="dk1"/>
              </a:solidFill>
              <a:effectLst/>
              <a:latin typeface="+mn-lt"/>
              <a:ea typeface="+mn-ea"/>
              <a:cs typeface="+mn-cs"/>
            </a:rPr>
            <a:t>[Sub Mnemonic]-[Transformer Number]-[High side voltage in kV]-[Low side voltage level in kV]-[Tertiary voltage in kV, if applicable]-HX</a:t>
          </a:r>
          <a:r>
            <a:rPr lang="en-US" sz="1100">
              <a:solidFill>
                <a:schemeClr val="dk1"/>
              </a:solidFill>
              <a:effectLst/>
              <a:latin typeface="+mn-lt"/>
              <a:ea typeface="+mn-ea"/>
              <a:cs typeface="+mn-cs"/>
            </a:rPr>
            <a:t>. </a:t>
          </a:r>
        </a:p>
        <a:p>
          <a:pPr lvl="0"/>
          <a:endParaRPr lang="en-US" sz="1100" b="1" u="sng">
            <a:solidFill>
              <a:schemeClr val="dk1"/>
            </a:solidFill>
            <a:effectLst/>
            <a:latin typeface="+mn-lt"/>
            <a:ea typeface="+mn-ea"/>
            <a:cs typeface="+mn-cs"/>
          </a:endParaRPr>
        </a:p>
        <a:p>
          <a:pPr lvl="0"/>
          <a:r>
            <a:rPr lang="en-US" sz="1100" b="1" u="sng">
              <a:solidFill>
                <a:schemeClr val="dk1"/>
              </a:solidFill>
              <a:effectLst/>
              <a:latin typeface="+mn-lt"/>
              <a:ea typeface="+mn-ea"/>
              <a:cs typeface="+mn-cs"/>
            </a:rPr>
            <a:t>Equip Type is FACILITY</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is the record for the overall facility rating. The overall facility ratings are in </a:t>
          </a:r>
          <a:r>
            <a:rPr lang="en-US" sz="1100" b="1">
              <a:solidFill>
                <a:srgbClr val="FF0000"/>
              </a:solidFill>
              <a:effectLst/>
              <a:latin typeface="+mn-lt"/>
              <a:ea typeface="+mn-ea"/>
              <a:cs typeface="+mn-cs"/>
            </a:rPr>
            <a:t>BOLD RED</a:t>
          </a:r>
          <a:r>
            <a:rPr lang="en-US" sz="1100">
              <a:solidFill>
                <a:srgbClr val="FF0000"/>
              </a:solidFill>
              <a:effectLst/>
              <a:latin typeface="+mn-lt"/>
              <a:ea typeface="+mn-ea"/>
              <a:cs typeface="+mn-cs"/>
            </a:rPr>
            <a:t> </a:t>
          </a:r>
          <a:r>
            <a:rPr lang="en-US" sz="1100">
              <a:solidFill>
                <a:schemeClr val="dk1"/>
              </a:solidFill>
              <a:effectLst/>
              <a:latin typeface="+mn-lt"/>
              <a:ea typeface="+mn-ea"/>
              <a:cs typeface="+mn-cs"/>
            </a:rPr>
            <a:t>font.</a:t>
          </a:r>
        </a:p>
        <a:p>
          <a:pPr lvl="0"/>
          <a:endParaRPr lang="en-US" sz="1100" b="1" u="sng">
            <a:solidFill>
              <a:schemeClr val="dk1"/>
            </a:solidFill>
            <a:effectLst/>
            <a:latin typeface="+mn-lt"/>
            <a:ea typeface="+mn-ea"/>
            <a:cs typeface="+mn-cs"/>
          </a:endParaRPr>
        </a:p>
        <a:p>
          <a:pPr lvl="0"/>
          <a:r>
            <a:rPr lang="en-US" sz="1100" b="1" u="sng">
              <a:solidFill>
                <a:schemeClr val="dk1"/>
              </a:solidFill>
              <a:effectLst/>
              <a:latin typeface="+mn-lt"/>
              <a:ea typeface="+mn-ea"/>
              <a:cs typeface="+mn-cs"/>
            </a:rPr>
            <a:t>Equip Type is not FACILITY</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is the record for the limiting equipment for that facility designation. The ratings for the equipment are in </a:t>
          </a:r>
          <a:r>
            <a:rPr lang="en-US" sz="1100">
              <a:solidFill>
                <a:srgbClr val="FF0000"/>
              </a:solidFill>
              <a:effectLst/>
              <a:latin typeface="+mn-lt"/>
              <a:ea typeface="+mn-ea"/>
              <a:cs typeface="+mn-cs"/>
            </a:rPr>
            <a:t>RED</a:t>
          </a:r>
          <a:r>
            <a:rPr lang="en-US" sz="1100">
              <a:solidFill>
                <a:schemeClr val="dk1"/>
              </a:solidFill>
              <a:effectLst/>
              <a:latin typeface="+mn-lt"/>
              <a:ea typeface="+mn-ea"/>
              <a:cs typeface="+mn-cs"/>
            </a:rPr>
            <a:t> font if it equals the overall facility rating. This is done to distinguish which equipment limits which rating. For instance, the Summer Normal rating for a facility may be limited by a Substation switch while the Summer Emergency, Winter Normal and Winter Emergency ratings are limited by a Current Transformer. In this case, the only Summer Normal rating of the switch will be highlighted in </a:t>
          </a:r>
          <a:r>
            <a:rPr lang="en-US" sz="1100">
              <a:solidFill>
                <a:srgbClr val="FF0000"/>
              </a:solidFill>
              <a:effectLst/>
              <a:latin typeface="+mn-lt"/>
              <a:ea typeface="+mn-ea"/>
              <a:cs typeface="+mn-cs"/>
            </a:rPr>
            <a:t>RED</a:t>
          </a:r>
          <a:r>
            <a:rPr lang="en-US" sz="1100">
              <a:solidFill>
                <a:schemeClr val="dk1"/>
              </a:solidFill>
              <a:effectLst/>
              <a:latin typeface="+mn-lt"/>
              <a:ea typeface="+mn-ea"/>
              <a:cs typeface="+mn-cs"/>
            </a:rPr>
            <a:t> and the Summer Emergency, Winter Normal and Winter Emergency of the Current Transformer will be highlighted in </a:t>
          </a:r>
          <a:r>
            <a:rPr lang="en-US" sz="1100">
              <a:solidFill>
                <a:srgbClr val="FF0000"/>
              </a:solidFill>
              <a:effectLst/>
              <a:latin typeface="+mn-lt"/>
              <a:ea typeface="+mn-ea"/>
              <a:cs typeface="+mn-cs"/>
            </a:rPr>
            <a:t>RED</a:t>
          </a:r>
          <a:r>
            <a:rPr lang="en-US" sz="1100">
              <a:solidFill>
                <a:schemeClr val="dk1"/>
              </a:solidFill>
              <a:effectLst/>
              <a:latin typeface="+mn-lt"/>
              <a:ea typeface="+mn-ea"/>
              <a:cs typeface="+mn-cs"/>
            </a:rPr>
            <a:t>.</a:t>
          </a:r>
        </a:p>
        <a:p>
          <a:pPr lvl="0"/>
          <a:endParaRPr lang="en-US" sz="1100" b="1" u="sng">
            <a:solidFill>
              <a:schemeClr val="dk1"/>
            </a:solidFill>
            <a:effectLst/>
            <a:latin typeface="+mn-lt"/>
            <a:ea typeface="+mn-ea"/>
            <a:cs typeface="+mn-cs"/>
          </a:endParaRPr>
        </a:p>
        <a:p>
          <a:pPr lvl="0"/>
          <a:r>
            <a:rPr lang="en-US" sz="1100" b="1" u="sng">
              <a:solidFill>
                <a:schemeClr val="dk1"/>
              </a:solidFill>
              <a:effectLst/>
              <a:latin typeface="+mn-lt"/>
              <a:ea typeface="+mn-ea"/>
              <a:cs typeface="+mn-cs"/>
            </a:rPr>
            <a:t>High Side PSSE/ Low Side PSSE</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have been provided for convenience. In some cases where the PSSE bus number is unknown/ missing pseudo bus numbers are used. For PSC the pseudo bus numbers are in the 2000 series (2xxx) or -1.</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1009650</xdr:colOff>
      <xdr:row>2</xdr:row>
      <xdr:rowOff>273050</xdr:rowOff>
    </xdr:to>
    <xdr:pic>
      <xdr:nvPicPr>
        <xdr:cNvPr id="2" name="Picture 0">
          <a:extLst>
            <a:ext uri="{FF2B5EF4-FFF2-40B4-BE49-F238E27FC236}">
              <a16:creationId xmlns:a16="http://schemas.microsoft.com/office/drawing/2014/main" id="{F98E9E00-6EEC-4EA5-BE56-098E55BF80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161925"/>
          <a:ext cx="182880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962025</xdr:colOff>
      <xdr:row>2</xdr:row>
      <xdr:rowOff>276225</xdr:rowOff>
    </xdr:to>
    <xdr:pic>
      <xdr:nvPicPr>
        <xdr:cNvPr id="2" name="Picture 0" descr="fceb8065-debc-4d9d-9d53-4f3a09acf99f">
          <a:extLst>
            <a:ext uri="{FF2B5EF4-FFF2-40B4-BE49-F238E27FC236}">
              <a16:creationId xmlns:a16="http://schemas.microsoft.com/office/drawing/2014/main" id="{24375B32-98C4-4FF3-B745-56DC5E1E82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161925"/>
          <a:ext cx="1828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1009650</xdr:colOff>
      <xdr:row>2</xdr:row>
      <xdr:rowOff>273050</xdr:rowOff>
    </xdr:to>
    <xdr:pic>
      <xdr:nvPicPr>
        <xdr:cNvPr id="2" name="Picture 0">
          <a:extLst>
            <a:ext uri="{FF2B5EF4-FFF2-40B4-BE49-F238E27FC236}">
              <a16:creationId xmlns:a16="http://schemas.microsoft.com/office/drawing/2014/main" id="{32F053F7-7E9A-4094-AE45-9B21C5FE3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161925"/>
          <a:ext cx="182880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962025</xdr:colOff>
      <xdr:row>2</xdr:row>
      <xdr:rowOff>276225</xdr:rowOff>
    </xdr:to>
    <xdr:pic>
      <xdr:nvPicPr>
        <xdr:cNvPr id="2" name="Picture 0" descr="fceb8065-debc-4d9d-9d53-4f3a09acf99f">
          <a:extLst>
            <a:ext uri="{FF2B5EF4-FFF2-40B4-BE49-F238E27FC236}">
              <a16:creationId xmlns:a16="http://schemas.microsoft.com/office/drawing/2014/main" id="{2FA66B91-B647-4728-AABB-76ABD33B5F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161925"/>
          <a:ext cx="1828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914400</xdr:colOff>
      <xdr:row>2</xdr:row>
      <xdr:rowOff>273050</xdr:rowOff>
    </xdr:to>
    <xdr:pic>
      <xdr:nvPicPr>
        <xdr:cNvPr id="2" name="Picture 0">
          <a:extLst>
            <a:ext uri="{FF2B5EF4-FFF2-40B4-BE49-F238E27FC236}">
              <a16:creationId xmlns:a16="http://schemas.microsoft.com/office/drawing/2014/main" id="{84D7CB1E-AEB7-4FA1-A732-FE5B3A7752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161925"/>
          <a:ext cx="121920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914400</xdr:colOff>
      <xdr:row>2</xdr:row>
      <xdr:rowOff>273050</xdr:rowOff>
    </xdr:to>
    <xdr:pic>
      <xdr:nvPicPr>
        <xdr:cNvPr id="2" name="Picture 0">
          <a:extLst>
            <a:ext uri="{FF2B5EF4-FFF2-40B4-BE49-F238E27FC236}">
              <a16:creationId xmlns:a16="http://schemas.microsoft.com/office/drawing/2014/main" id="{D3866E14-4A8F-41A8-BD8F-FA1AFD7679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161925"/>
          <a:ext cx="121920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absoluteAnchor>
    <xdr:pos x="2811294" y="5697930"/>
    <xdr:ext cx="1340224" cy="844923"/>
    <xdr:sp macro="" textlink="">
      <xdr:nvSpPr>
        <xdr:cNvPr id="2" name="Text Box 275" hidden="1">
          <a:extLst>
            <a:ext uri="{FF2B5EF4-FFF2-40B4-BE49-F238E27FC236}">
              <a16:creationId xmlns:a16="http://schemas.microsoft.com/office/drawing/2014/main" id="{6A97A30C-1859-4296-AB1F-D66DEC736B0B}"/>
            </a:ext>
          </a:extLst>
        </xdr:cNvPr>
        <xdr:cNvSpPr txBox="1">
          <a:spLocks noChangeArrowheads="1"/>
        </xdr:cNvSpPr>
      </xdr:nvSpPr>
      <xdr:spPr bwMode="auto">
        <a:xfrm>
          <a:off x="2811294" y="5697930"/>
          <a:ext cx="1340224" cy="844923"/>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3494853" y="5697930"/>
    <xdr:ext cx="1379706" cy="844923"/>
    <xdr:sp macro="" textlink="">
      <xdr:nvSpPr>
        <xdr:cNvPr id="3" name="Text Box 277" hidden="1">
          <a:extLst>
            <a:ext uri="{FF2B5EF4-FFF2-40B4-BE49-F238E27FC236}">
              <a16:creationId xmlns:a16="http://schemas.microsoft.com/office/drawing/2014/main" id="{359B93BD-5439-4DB7-BB92-64A6C8EE147C}"/>
            </a:ext>
          </a:extLst>
        </xdr:cNvPr>
        <xdr:cNvSpPr txBox="1">
          <a:spLocks noChangeArrowheads="1"/>
        </xdr:cNvSpPr>
      </xdr:nvSpPr>
      <xdr:spPr bwMode="auto">
        <a:xfrm>
          <a:off x="3494853" y="5697930"/>
          <a:ext cx="1379706" cy="844923"/>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4189618" y="5697930"/>
    <xdr:ext cx="1150396" cy="844923"/>
    <xdr:sp macro="" textlink="">
      <xdr:nvSpPr>
        <xdr:cNvPr id="4" name="Text Box 279" hidden="1">
          <a:extLst>
            <a:ext uri="{FF2B5EF4-FFF2-40B4-BE49-F238E27FC236}">
              <a16:creationId xmlns:a16="http://schemas.microsoft.com/office/drawing/2014/main" id="{680A4846-EB7A-46F3-8BA2-9D1788CAC8DA}"/>
            </a:ext>
          </a:extLst>
        </xdr:cNvPr>
        <xdr:cNvSpPr txBox="1">
          <a:spLocks noChangeArrowheads="1"/>
        </xdr:cNvSpPr>
      </xdr:nvSpPr>
      <xdr:spPr bwMode="auto">
        <a:xfrm>
          <a:off x="4189618" y="5697930"/>
          <a:ext cx="1150396" cy="844923"/>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4962824" y="5697930"/>
    <xdr:ext cx="1138368" cy="844923"/>
    <xdr:sp macro="" textlink="">
      <xdr:nvSpPr>
        <xdr:cNvPr id="5" name="Text Box 281" hidden="1">
          <a:extLst>
            <a:ext uri="{FF2B5EF4-FFF2-40B4-BE49-F238E27FC236}">
              <a16:creationId xmlns:a16="http://schemas.microsoft.com/office/drawing/2014/main" id="{E02E3EA1-E151-47DC-B9BB-3BE61D18F626}"/>
            </a:ext>
          </a:extLst>
        </xdr:cNvPr>
        <xdr:cNvSpPr txBox="1">
          <a:spLocks noChangeArrowheads="1"/>
        </xdr:cNvSpPr>
      </xdr:nvSpPr>
      <xdr:spPr bwMode="auto">
        <a:xfrm>
          <a:off x="4962824" y="5697930"/>
          <a:ext cx="1138368" cy="844923"/>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5702412" y="5697930"/>
    <xdr:ext cx="1190065" cy="844923"/>
    <xdr:sp macro="" textlink="">
      <xdr:nvSpPr>
        <xdr:cNvPr id="6" name="Text Box 283" hidden="1">
          <a:extLst>
            <a:ext uri="{FF2B5EF4-FFF2-40B4-BE49-F238E27FC236}">
              <a16:creationId xmlns:a16="http://schemas.microsoft.com/office/drawing/2014/main" id="{8CFB02EF-D57D-4692-A5B0-CDD3F3014361}"/>
            </a:ext>
          </a:extLst>
        </xdr:cNvPr>
        <xdr:cNvSpPr txBox="1">
          <a:spLocks noChangeArrowheads="1"/>
        </xdr:cNvSpPr>
      </xdr:nvSpPr>
      <xdr:spPr bwMode="auto">
        <a:xfrm>
          <a:off x="5702412" y="5697930"/>
          <a:ext cx="1190065" cy="844923"/>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7977057" y="5697930"/>
    <xdr:ext cx="1347096" cy="844923"/>
    <xdr:sp macro="" textlink="">
      <xdr:nvSpPr>
        <xdr:cNvPr id="7" name="Text Box 285" hidden="1">
          <a:extLst>
            <a:ext uri="{FF2B5EF4-FFF2-40B4-BE49-F238E27FC236}">
              <a16:creationId xmlns:a16="http://schemas.microsoft.com/office/drawing/2014/main" id="{57A0877B-5D90-495D-97A5-0569BB42B177}"/>
            </a:ext>
          </a:extLst>
        </xdr:cNvPr>
        <xdr:cNvSpPr txBox="1">
          <a:spLocks noChangeArrowheads="1"/>
        </xdr:cNvSpPr>
      </xdr:nvSpPr>
      <xdr:spPr bwMode="auto">
        <a:xfrm>
          <a:off x="7977057" y="5697930"/>
          <a:ext cx="1347096" cy="844923"/>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9891021" y="5697930"/>
    <xdr:ext cx="1168475" cy="844923"/>
    <xdr:sp macro="" textlink="">
      <xdr:nvSpPr>
        <xdr:cNvPr id="8" name="Text Box 287" hidden="1">
          <a:extLst>
            <a:ext uri="{FF2B5EF4-FFF2-40B4-BE49-F238E27FC236}">
              <a16:creationId xmlns:a16="http://schemas.microsoft.com/office/drawing/2014/main" id="{07B07D34-B585-4B26-A75D-004F7E082416}"/>
            </a:ext>
          </a:extLst>
        </xdr:cNvPr>
        <xdr:cNvSpPr txBox="1">
          <a:spLocks noChangeArrowheads="1"/>
        </xdr:cNvSpPr>
      </xdr:nvSpPr>
      <xdr:spPr bwMode="auto">
        <a:xfrm>
          <a:off x="9891021" y="5697930"/>
          <a:ext cx="1168475" cy="844923"/>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10204076" y="5697930"/>
    <xdr:ext cx="2334597" cy="844923"/>
    <xdr:sp macro="" textlink="">
      <xdr:nvSpPr>
        <xdr:cNvPr id="9" name="Text Box 291" hidden="1">
          <a:extLst>
            <a:ext uri="{FF2B5EF4-FFF2-40B4-BE49-F238E27FC236}">
              <a16:creationId xmlns:a16="http://schemas.microsoft.com/office/drawing/2014/main" id="{7A7315E9-913D-4F4C-9E21-CC0D1D99F216}"/>
            </a:ext>
          </a:extLst>
        </xdr:cNvPr>
        <xdr:cNvSpPr txBox="1">
          <a:spLocks noChangeArrowheads="1"/>
        </xdr:cNvSpPr>
      </xdr:nvSpPr>
      <xdr:spPr bwMode="auto">
        <a:xfrm>
          <a:off x="10204076" y="5697930"/>
          <a:ext cx="2334597" cy="844923"/>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13205871" y="5697930"/>
    <xdr:ext cx="566868" cy="844923"/>
    <xdr:sp macro="" textlink="">
      <xdr:nvSpPr>
        <xdr:cNvPr id="10" name="Text Box 295" hidden="1">
          <a:extLst>
            <a:ext uri="{FF2B5EF4-FFF2-40B4-BE49-F238E27FC236}">
              <a16:creationId xmlns:a16="http://schemas.microsoft.com/office/drawing/2014/main" id="{87541A4F-F038-44AC-B48F-631EDCA6427B}"/>
            </a:ext>
          </a:extLst>
        </xdr:cNvPr>
        <xdr:cNvSpPr txBox="1">
          <a:spLocks noChangeArrowheads="1"/>
        </xdr:cNvSpPr>
      </xdr:nvSpPr>
      <xdr:spPr bwMode="auto">
        <a:xfrm>
          <a:off x="13205871" y="5697930"/>
          <a:ext cx="566868" cy="844923"/>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16489194" y="5697930"/>
    <xdr:ext cx="436880" cy="844923"/>
    <xdr:sp macro="" textlink="">
      <xdr:nvSpPr>
        <xdr:cNvPr id="11" name="Text Box 297" hidden="1">
          <a:extLst>
            <a:ext uri="{FF2B5EF4-FFF2-40B4-BE49-F238E27FC236}">
              <a16:creationId xmlns:a16="http://schemas.microsoft.com/office/drawing/2014/main" id="{C5A25E21-DF61-4205-80F0-932B1D7C36A4}"/>
            </a:ext>
          </a:extLst>
        </xdr:cNvPr>
        <xdr:cNvSpPr txBox="1">
          <a:spLocks noChangeArrowheads="1"/>
        </xdr:cNvSpPr>
      </xdr:nvSpPr>
      <xdr:spPr bwMode="auto">
        <a:xfrm>
          <a:off x="16489194" y="5697930"/>
          <a:ext cx="436880" cy="844923"/>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24434016" y="5917416"/>
    <xdr:ext cx="2370455" cy="844923"/>
    <xdr:sp macro="" textlink="">
      <xdr:nvSpPr>
        <xdr:cNvPr id="12" name="Text Box 740" hidden="1">
          <a:extLst>
            <a:ext uri="{FF2B5EF4-FFF2-40B4-BE49-F238E27FC236}">
              <a16:creationId xmlns:a16="http://schemas.microsoft.com/office/drawing/2014/main" id="{EC1C94F8-3862-4546-A96C-7D57AD4EB7B4}"/>
            </a:ext>
          </a:extLst>
        </xdr:cNvPr>
        <xdr:cNvSpPr txBox="1">
          <a:spLocks noChangeArrowheads="1"/>
        </xdr:cNvSpPr>
      </xdr:nvSpPr>
      <xdr:spPr bwMode="auto">
        <a:xfrm>
          <a:off x="24434016" y="5917416"/>
          <a:ext cx="2370455" cy="844923"/>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24492436" y="5917416"/>
    <xdr:ext cx="2312035" cy="844923"/>
    <xdr:sp macro="" textlink="">
      <xdr:nvSpPr>
        <xdr:cNvPr id="13" name="Text Box 784" hidden="1">
          <a:extLst>
            <a:ext uri="{FF2B5EF4-FFF2-40B4-BE49-F238E27FC236}">
              <a16:creationId xmlns:a16="http://schemas.microsoft.com/office/drawing/2014/main" id="{C6A29B8B-16F7-4918-897F-BC28C3AA3872}"/>
            </a:ext>
          </a:extLst>
        </xdr:cNvPr>
        <xdr:cNvSpPr txBox="1">
          <a:spLocks noChangeArrowheads="1"/>
        </xdr:cNvSpPr>
      </xdr:nvSpPr>
      <xdr:spPr bwMode="auto">
        <a:xfrm>
          <a:off x="24492436" y="5917416"/>
          <a:ext cx="2312035" cy="844923"/>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6529257" y="5917416"/>
    <xdr:ext cx="1257300" cy="844923"/>
    <xdr:sp macro="" textlink="">
      <xdr:nvSpPr>
        <xdr:cNvPr id="14" name="Text Box 814" hidden="1">
          <a:extLst>
            <a:ext uri="{FF2B5EF4-FFF2-40B4-BE49-F238E27FC236}">
              <a16:creationId xmlns:a16="http://schemas.microsoft.com/office/drawing/2014/main" id="{6EEA94E0-C507-433A-9C80-8A6858F0C4E4}"/>
            </a:ext>
          </a:extLst>
        </xdr:cNvPr>
        <xdr:cNvSpPr txBox="1">
          <a:spLocks noChangeArrowheads="1"/>
        </xdr:cNvSpPr>
      </xdr:nvSpPr>
      <xdr:spPr bwMode="auto">
        <a:xfrm>
          <a:off x="6529257" y="5917416"/>
          <a:ext cx="1257300" cy="844923"/>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19828398" y="5917416"/>
    <xdr:ext cx="1587575" cy="776978"/>
    <xdr:sp macro="" textlink="">
      <xdr:nvSpPr>
        <xdr:cNvPr id="15" name="Text Box 938" hidden="1">
          <a:extLst>
            <a:ext uri="{FF2B5EF4-FFF2-40B4-BE49-F238E27FC236}">
              <a16:creationId xmlns:a16="http://schemas.microsoft.com/office/drawing/2014/main" id="{E553E135-E259-4250-B09D-F34985941890}"/>
            </a:ext>
          </a:extLst>
        </xdr:cNvPr>
        <xdr:cNvSpPr txBox="1">
          <a:spLocks noChangeArrowheads="1"/>
        </xdr:cNvSpPr>
      </xdr:nvSpPr>
      <xdr:spPr bwMode="auto">
        <a:xfrm>
          <a:off x="19828398" y="5917416"/>
          <a:ext cx="1587575" cy="776978"/>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12255463" y="5917416"/>
    <xdr:ext cx="1120588" cy="844923"/>
    <xdr:sp macro="" textlink="">
      <xdr:nvSpPr>
        <xdr:cNvPr id="16" name="Text Box 1016" hidden="1">
          <a:extLst>
            <a:ext uri="{FF2B5EF4-FFF2-40B4-BE49-F238E27FC236}">
              <a16:creationId xmlns:a16="http://schemas.microsoft.com/office/drawing/2014/main" id="{55FCC924-D525-43EB-9571-A9392EEA2E6C}"/>
            </a:ext>
          </a:extLst>
        </xdr:cNvPr>
        <xdr:cNvSpPr txBox="1">
          <a:spLocks noChangeArrowheads="1"/>
        </xdr:cNvSpPr>
      </xdr:nvSpPr>
      <xdr:spPr bwMode="auto">
        <a:xfrm>
          <a:off x="12255463" y="5917416"/>
          <a:ext cx="1120588" cy="844923"/>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absoluteAnchor>
    <xdr:pos x="2790974" y="5917416"/>
    <xdr:ext cx="1340224" cy="776978"/>
    <xdr:sp macro="" textlink="">
      <xdr:nvSpPr>
        <xdr:cNvPr id="17" name="Text Box 1046" hidden="1">
          <a:extLst>
            <a:ext uri="{FF2B5EF4-FFF2-40B4-BE49-F238E27FC236}">
              <a16:creationId xmlns:a16="http://schemas.microsoft.com/office/drawing/2014/main" id="{C8FC0950-AE6D-4E91-9A53-04ECB57A1899}"/>
            </a:ext>
          </a:extLst>
        </xdr:cNvPr>
        <xdr:cNvSpPr txBox="1">
          <a:spLocks noChangeArrowheads="1"/>
        </xdr:cNvSpPr>
      </xdr:nvSpPr>
      <xdr:spPr bwMode="auto">
        <a:xfrm>
          <a:off x="2790974" y="5917416"/>
          <a:ext cx="1340224" cy="776978"/>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xcelenergy-my.sharepoint.com/personal/scott_dunham_xcelenergy_com/Documents/_Files/FAC-BES/Ratings_Processing/_Publishing_FAC-008-3_Procedures_Review/2025-08-27_Publish_FAC-8/FAC-008%20PSCo%20Facility%20Ratings%207-25.xlsx" TargetMode="External"/><Relationship Id="rId1" Type="http://schemas.openxmlformats.org/officeDocument/2006/relationships/externalLinkPath" Target="FAC-008%20PSCo%20Facility%20Ratings%2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SCo Ratings"/>
      <sheetName val="HS Calculations"/>
    </sheetNames>
    <sheetDataSet>
      <sheetData sheetId="0"/>
      <sheetData sheetId="1">
        <row r="191">
          <cell r="K191">
            <v>600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pw://PWPSC.Corp.Xcelenergy.com:ProjectWise_PSC_Data/Documents/P%7b5f8d0e32-a62c-4545-a897-0453217928a4%7d/" TargetMode="External"/><Relationship Id="rId2" Type="http://schemas.openxmlformats.org/officeDocument/2006/relationships/hyperlink" Target="pw://PWPSC.Corp.Xcelenergy.com:ProjectWise_PSC_Data/Documents/D%7b52da90bd-33cc-4aa4-8010-e8af887e3e19%7d" TargetMode="External"/><Relationship Id="rId1" Type="http://schemas.openxmlformats.org/officeDocument/2006/relationships/hyperlink" Target="pw://PWPSC.Corp.Xcelenergy.com:ProjectWise_PSC_Data/Documents/D%7bd0830925-f482-45a5-aba8-8c7651945fd5%7d" TargetMode="External"/><Relationship Id="rId5" Type="http://schemas.openxmlformats.org/officeDocument/2006/relationships/printerSettings" Target="../printerSettings/printerSettings6.bin"/><Relationship Id="rId4" Type="http://schemas.openxmlformats.org/officeDocument/2006/relationships/hyperlink" Target="pw://PWPSC.Corp.Xcelenergy.com:ProjectWise_PSC_Data/Documents/P%7b0e613cae-2cdb-4097-af2e-a461385c7300%7d/"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166B7-0332-42C6-8EC2-F95931A6C2DB}">
  <sheetPr filterMode="1">
    <pageSetUpPr fitToPage="1"/>
  </sheetPr>
  <dimension ref="B1:V1008"/>
  <sheetViews>
    <sheetView view="pageBreakPreview" zoomScale="85" zoomScaleNormal="100" zoomScaleSheetLayoutView="85" workbookViewId="0">
      <selection activeCell="B495" sqref="B495:V958"/>
    </sheetView>
  </sheetViews>
  <sheetFormatPr defaultColWidth="9.1796875" defaultRowHeight="12.5" x14ac:dyDescent="0.25"/>
  <cols>
    <col min="1" max="1" width="3.453125" style="30" customWidth="1"/>
    <col min="2" max="2" width="19.1796875" style="30" customWidth="1"/>
    <col min="3" max="3" width="6.81640625" style="30" customWidth="1"/>
    <col min="4" max="4" width="16.453125" style="30" customWidth="1"/>
    <col min="5" max="5" width="9.54296875" style="30" customWidth="1"/>
    <col min="6" max="6" width="16.453125" style="30" customWidth="1"/>
    <col min="7" max="7" width="9.54296875" style="30" customWidth="1"/>
    <col min="8" max="9" width="6.81640625" style="30" customWidth="1"/>
    <col min="10" max="10" width="10.81640625" style="30" customWidth="1"/>
    <col min="11" max="11" width="19.1796875" style="30" customWidth="1"/>
    <col min="12" max="12" width="13.7265625" style="30" customWidth="1"/>
    <col min="13" max="13" width="9.54296875" style="30" customWidth="1"/>
    <col min="14" max="21" width="6.81640625" style="30" customWidth="1"/>
    <col min="22" max="22" width="20.7265625" style="30" customWidth="1"/>
    <col min="23" max="23" width="5.453125" style="30" customWidth="1"/>
    <col min="24" max="16384" width="9.1796875" style="30"/>
  </cols>
  <sheetData>
    <row r="1" spans="2:22" ht="18" customHeight="1" x14ac:dyDescent="0.25"/>
    <row r="2" spans="2:22" ht="21.65" customHeight="1" x14ac:dyDescent="0.25">
      <c r="B2" s="371"/>
      <c r="C2" s="371"/>
      <c r="D2" s="371"/>
      <c r="E2" s="372" t="s">
        <v>13</v>
      </c>
      <c r="F2" s="371"/>
      <c r="G2" s="371"/>
      <c r="I2" s="373" t="s">
        <v>0</v>
      </c>
      <c r="J2" s="371"/>
      <c r="K2" s="371"/>
      <c r="L2" s="373" t="s">
        <v>1</v>
      </c>
      <c r="M2" s="371"/>
      <c r="N2" s="371"/>
      <c r="O2" s="371"/>
      <c r="P2" s="371"/>
      <c r="Q2" s="371"/>
      <c r="R2" s="373" t="s">
        <v>2</v>
      </c>
      <c r="S2" s="371"/>
      <c r="T2" s="371"/>
      <c r="U2" s="371"/>
      <c r="V2" s="371"/>
    </row>
    <row r="3" spans="2:22" ht="21.65" customHeight="1" x14ac:dyDescent="0.25">
      <c r="B3" s="371"/>
      <c r="C3" s="371"/>
      <c r="D3" s="371"/>
      <c r="E3" s="371"/>
      <c r="F3" s="371"/>
      <c r="G3" s="371"/>
      <c r="I3" s="373" t="s">
        <v>3</v>
      </c>
      <c r="J3" s="371"/>
      <c r="K3" s="371"/>
      <c r="L3" s="373" t="s">
        <v>4</v>
      </c>
      <c r="M3" s="371"/>
      <c r="N3" s="371"/>
      <c r="O3" s="371"/>
      <c r="P3" s="371"/>
      <c r="Q3" s="371"/>
    </row>
    <row r="4" spans="2:22" ht="18" customHeight="1" x14ac:dyDescent="0.25">
      <c r="V4" s="30" t="s">
        <v>1410</v>
      </c>
    </row>
    <row r="5" spans="2:22" ht="21" x14ac:dyDescent="0.25">
      <c r="B5" s="1" t="s">
        <v>14</v>
      </c>
      <c r="C5" s="1" t="s">
        <v>15</v>
      </c>
      <c r="D5" s="1" t="s">
        <v>16</v>
      </c>
      <c r="E5" s="1" t="s">
        <v>17</v>
      </c>
      <c r="F5" s="1" t="s">
        <v>18</v>
      </c>
      <c r="G5" s="1" t="s">
        <v>19</v>
      </c>
      <c r="H5" s="1" t="s">
        <v>20</v>
      </c>
      <c r="I5" s="1" t="s">
        <v>21</v>
      </c>
      <c r="J5" s="1" t="s">
        <v>22</v>
      </c>
      <c r="K5" s="1" t="s">
        <v>23</v>
      </c>
      <c r="L5" s="1" t="s">
        <v>24</v>
      </c>
      <c r="M5" s="1" t="s">
        <v>25</v>
      </c>
      <c r="N5" s="1" t="s">
        <v>5</v>
      </c>
      <c r="O5" s="1" t="s">
        <v>6</v>
      </c>
      <c r="P5" s="1" t="s">
        <v>7</v>
      </c>
      <c r="Q5" s="1" t="s">
        <v>8</v>
      </c>
      <c r="R5" s="1" t="s">
        <v>9</v>
      </c>
      <c r="S5" s="1" t="s">
        <v>10</v>
      </c>
      <c r="T5" s="1" t="s">
        <v>11</v>
      </c>
      <c r="U5" s="1" t="s">
        <v>12</v>
      </c>
      <c r="V5" s="1" t="s">
        <v>26</v>
      </c>
    </row>
    <row r="6" spans="2:22" ht="21" hidden="1" x14ac:dyDescent="0.25">
      <c r="B6" s="4" t="s">
        <v>96</v>
      </c>
      <c r="C6" s="4" t="s">
        <v>97</v>
      </c>
      <c r="D6" s="4" t="s">
        <v>1083</v>
      </c>
      <c r="E6" s="4" t="s">
        <v>27</v>
      </c>
      <c r="F6" s="4" t="s">
        <v>927</v>
      </c>
      <c r="G6" s="4" t="s">
        <v>40</v>
      </c>
      <c r="H6" s="4">
        <v>70525</v>
      </c>
      <c r="I6" s="4">
        <v>79038</v>
      </c>
      <c r="J6" s="4" t="s">
        <v>28</v>
      </c>
      <c r="K6" s="4" t="s">
        <v>96</v>
      </c>
      <c r="L6" s="4" t="s">
        <v>29</v>
      </c>
      <c r="M6" s="4"/>
      <c r="N6" s="5">
        <v>301</v>
      </c>
      <c r="O6" s="5">
        <v>301</v>
      </c>
      <c r="P6" s="5">
        <v>301</v>
      </c>
      <c r="Q6" s="5">
        <v>301</v>
      </c>
      <c r="R6" s="5">
        <v>72</v>
      </c>
      <c r="S6" s="5">
        <v>72</v>
      </c>
      <c r="T6" s="5">
        <v>72</v>
      </c>
      <c r="U6" s="5">
        <v>72</v>
      </c>
      <c r="V6" s="5"/>
    </row>
    <row r="7" spans="2:22" ht="20" hidden="1" x14ac:dyDescent="0.25">
      <c r="B7" s="2" t="s">
        <v>96</v>
      </c>
      <c r="C7" s="2" t="s">
        <v>97</v>
      </c>
      <c r="D7" s="2" t="s">
        <v>1083</v>
      </c>
      <c r="E7" s="2" t="s">
        <v>27</v>
      </c>
      <c r="F7" s="2" t="s">
        <v>927</v>
      </c>
      <c r="G7" s="2" t="s">
        <v>40</v>
      </c>
      <c r="H7" s="2">
        <v>70525</v>
      </c>
      <c r="I7" s="2">
        <v>79038</v>
      </c>
      <c r="J7" s="2" t="s">
        <v>28</v>
      </c>
      <c r="K7" s="2" t="s">
        <v>213</v>
      </c>
      <c r="L7" s="2" t="s">
        <v>213</v>
      </c>
      <c r="M7" s="2" t="s">
        <v>929</v>
      </c>
      <c r="N7" s="3">
        <v>301</v>
      </c>
      <c r="O7" s="3">
        <v>301</v>
      </c>
      <c r="P7" s="3">
        <v>301</v>
      </c>
      <c r="Q7" s="3">
        <v>301</v>
      </c>
      <c r="R7" s="3">
        <v>72</v>
      </c>
      <c r="S7" s="3">
        <v>72</v>
      </c>
      <c r="T7" s="3">
        <v>72</v>
      </c>
      <c r="U7" s="3">
        <v>72</v>
      </c>
      <c r="V7" s="3"/>
    </row>
    <row r="8" spans="2:22" ht="31.5" hidden="1" x14ac:dyDescent="0.25">
      <c r="B8" s="4" t="s">
        <v>103</v>
      </c>
      <c r="C8" s="4" t="s">
        <v>104</v>
      </c>
      <c r="D8" s="4" t="s">
        <v>580</v>
      </c>
      <c r="E8" s="4" t="s">
        <v>27</v>
      </c>
      <c r="F8" s="4" t="s">
        <v>1286</v>
      </c>
      <c r="G8" s="4" t="s">
        <v>40</v>
      </c>
      <c r="H8" s="4">
        <v>79057</v>
      </c>
      <c r="I8" s="4">
        <v>79059</v>
      </c>
      <c r="J8" s="4" t="s">
        <v>42</v>
      </c>
      <c r="K8" s="4" t="s">
        <v>103</v>
      </c>
      <c r="L8" s="4" t="s">
        <v>29</v>
      </c>
      <c r="M8" s="4"/>
      <c r="N8" s="5">
        <v>1200</v>
      </c>
      <c r="O8" s="5">
        <v>1200</v>
      </c>
      <c r="P8" s="5">
        <v>1200</v>
      </c>
      <c r="Q8" s="5">
        <v>1200</v>
      </c>
      <c r="R8" s="5">
        <v>478</v>
      </c>
      <c r="S8" s="5">
        <v>478</v>
      </c>
      <c r="T8" s="5">
        <v>478</v>
      </c>
      <c r="U8" s="5">
        <v>478</v>
      </c>
      <c r="V8" s="5"/>
    </row>
    <row r="9" spans="2:22" ht="20" hidden="1" x14ac:dyDescent="0.25">
      <c r="B9" s="2" t="s">
        <v>103</v>
      </c>
      <c r="C9" s="2" t="s">
        <v>104</v>
      </c>
      <c r="D9" s="2" t="s">
        <v>580</v>
      </c>
      <c r="E9" s="2" t="s">
        <v>27</v>
      </c>
      <c r="F9" s="2" t="s">
        <v>1286</v>
      </c>
      <c r="G9" s="2" t="s">
        <v>40</v>
      </c>
      <c r="H9" s="2">
        <v>79057</v>
      </c>
      <c r="I9" s="2">
        <v>79059</v>
      </c>
      <c r="J9" s="2" t="s">
        <v>42</v>
      </c>
      <c r="K9" s="2" t="s">
        <v>213</v>
      </c>
      <c r="L9" s="2" t="s">
        <v>213</v>
      </c>
      <c r="M9" s="2" t="s">
        <v>210</v>
      </c>
      <c r="N9" s="3">
        <v>1200</v>
      </c>
      <c r="O9" s="3">
        <v>1200</v>
      </c>
      <c r="P9" s="3">
        <v>1200</v>
      </c>
      <c r="Q9" s="3">
        <v>1200</v>
      </c>
      <c r="R9" s="3">
        <v>478</v>
      </c>
      <c r="S9" s="3">
        <v>478</v>
      </c>
      <c r="T9" s="3">
        <v>478</v>
      </c>
      <c r="U9" s="3">
        <v>478</v>
      </c>
      <c r="V9" s="3"/>
    </row>
    <row r="10" spans="2:22" ht="31.5" hidden="1" x14ac:dyDescent="0.25">
      <c r="B10" s="4" t="s">
        <v>577</v>
      </c>
      <c r="C10" s="4" t="s">
        <v>578</v>
      </c>
      <c r="D10" s="4" t="s">
        <v>579</v>
      </c>
      <c r="E10" s="4" t="s">
        <v>27</v>
      </c>
      <c r="F10" s="4" t="s">
        <v>580</v>
      </c>
      <c r="G10" s="4" t="s">
        <v>27</v>
      </c>
      <c r="H10" s="4">
        <v>79047</v>
      </c>
      <c r="I10" s="4">
        <v>79056</v>
      </c>
      <c r="J10" s="4" t="s">
        <v>42</v>
      </c>
      <c r="K10" s="4" t="s">
        <v>577</v>
      </c>
      <c r="L10" s="4" t="s">
        <v>29</v>
      </c>
      <c r="M10" s="4"/>
      <c r="N10" s="5">
        <v>300</v>
      </c>
      <c r="O10" s="5">
        <v>300</v>
      </c>
      <c r="P10" s="5">
        <v>300</v>
      </c>
      <c r="Q10" s="5">
        <v>300</v>
      </c>
      <c r="R10" s="5">
        <v>72</v>
      </c>
      <c r="S10" s="5">
        <v>72</v>
      </c>
      <c r="T10" s="5">
        <v>72</v>
      </c>
      <c r="U10" s="5">
        <v>72</v>
      </c>
      <c r="V10" s="5"/>
    </row>
    <row r="11" spans="2:22" ht="20" hidden="1" x14ac:dyDescent="0.25">
      <c r="B11" s="2" t="s">
        <v>577</v>
      </c>
      <c r="C11" s="2" t="s">
        <v>578</v>
      </c>
      <c r="D11" s="2" t="s">
        <v>579</v>
      </c>
      <c r="E11" s="2" t="s">
        <v>27</v>
      </c>
      <c r="F11" s="2" t="s">
        <v>580</v>
      </c>
      <c r="G11" s="2" t="s">
        <v>27</v>
      </c>
      <c r="H11" s="2">
        <v>79047</v>
      </c>
      <c r="I11" s="2">
        <v>79056</v>
      </c>
      <c r="J11" s="2" t="s">
        <v>42</v>
      </c>
      <c r="K11" s="2" t="s">
        <v>581</v>
      </c>
      <c r="L11" s="2" t="s">
        <v>39</v>
      </c>
      <c r="M11" s="2" t="s">
        <v>582</v>
      </c>
      <c r="N11" s="3">
        <v>300</v>
      </c>
      <c r="O11" s="3">
        <v>300</v>
      </c>
      <c r="P11" s="3">
        <v>300</v>
      </c>
      <c r="Q11" s="3">
        <v>300</v>
      </c>
      <c r="R11" s="3">
        <v>72</v>
      </c>
      <c r="S11" s="3">
        <v>72</v>
      </c>
      <c r="T11" s="3">
        <v>72</v>
      </c>
      <c r="U11" s="3">
        <v>72</v>
      </c>
      <c r="V11" s="3"/>
    </row>
    <row r="12" spans="2:22" ht="30" hidden="1" x14ac:dyDescent="0.25">
      <c r="B12" s="2" t="s">
        <v>577</v>
      </c>
      <c r="C12" s="2" t="s">
        <v>578</v>
      </c>
      <c r="D12" s="2" t="s">
        <v>579</v>
      </c>
      <c r="E12" s="2" t="s">
        <v>27</v>
      </c>
      <c r="F12" s="2" t="s">
        <v>580</v>
      </c>
      <c r="G12" s="2" t="s">
        <v>27</v>
      </c>
      <c r="H12" s="2">
        <v>79047</v>
      </c>
      <c r="I12" s="2">
        <v>79056</v>
      </c>
      <c r="J12" s="2" t="s">
        <v>42</v>
      </c>
      <c r="K12" s="2" t="s">
        <v>583</v>
      </c>
      <c r="L12" s="2" t="s">
        <v>36</v>
      </c>
      <c r="M12" s="2" t="s">
        <v>582</v>
      </c>
      <c r="N12" s="3">
        <v>300</v>
      </c>
      <c r="O12" s="3">
        <v>300</v>
      </c>
      <c r="P12" s="3">
        <v>300</v>
      </c>
      <c r="Q12" s="3">
        <v>300</v>
      </c>
      <c r="R12" s="3">
        <v>72</v>
      </c>
      <c r="S12" s="3">
        <v>72</v>
      </c>
      <c r="T12" s="3">
        <v>72</v>
      </c>
      <c r="U12" s="3">
        <v>72</v>
      </c>
      <c r="V12" s="3"/>
    </row>
    <row r="13" spans="2:22" ht="31.5" hidden="1" x14ac:dyDescent="0.25">
      <c r="B13" s="4" t="s">
        <v>1273</v>
      </c>
      <c r="C13" s="4" t="s">
        <v>1274</v>
      </c>
      <c r="D13" s="4" t="s">
        <v>560</v>
      </c>
      <c r="E13" s="4" t="s">
        <v>27</v>
      </c>
      <c r="F13" s="4" t="s">
        <v>579</v>
      </c>
      <c r="G13" s="4" t="s">
        <v>27</v>
      </c>
      <c r="H13" s="4">
        <v>79035</v>
      </c>
      <c r="I13" s="4">
        <v>79047</v>
      </c>
      <c r="J13" s="4" t="s">
        <v>28</v>
      </c>
      <c r="K13" s="4" t="s">
        <v>1273</v>
      </c>
      <c r="L13" s="4" t="s">
        <v>29</v>
      </c>
      <c r="M13" s="4"/>
      <c r="N13" s="5">
        <v>400</v>
      </c>
      <c r="O13" s="5">
        <v>400</v>
      </c>
      <c r="P13" s="5">
        <v>400</v>
      </c>
      <c r="Q13" s="5">
        <v>400</v>
      </c>
      <c r="R13" s="5">
        <v>96</v>
      </c>
      <c r="S13" s="5">
        <v>96</v>
      </c>
      <c r="T13" s="5">
        <v>96</v>
      </c>
      <c r="U13" s="5">
        <v>96</v>
      </c>
      <c r="V13" s="5"/>
    </row>
    <row r="14" spans="2:22" ht="30" hidden="1" x14ac:dyDescent="0.25">
      <c r="B14" s="2" t="s">
        <v>1273</v>
      </c>
      <c r="C14" s="2" t="s">
        <v>1274</v>
      </c>
      <c r="D14" s="2" t="s">
        <v>560</v>
      </c>
      <c r="E14" s="2" t="s">
        <v>27</v>
      </c>
      <c r="F14" s="2" t="s">
        <v>579</v>
      </c>
      <c r="G14" s="2" t="s">
        <v>27</v>
      </c>
      <c r="H14" s="2">
        <v>79035</v>
      </c>
      <c r="I14" s="2">
        <v>79047</v>
      </c>
      <c r="J14" s="2" t="s">
        <v>28</v>
      </c>
      <c r="K14" s="2" t="s">
        <v>1275</v>
      </c>
      <c r="L14" s="2" t="s">
        <v>39</v>
      </c>
      <c r="M14" s="2" t="s">
        <v>582</v>
      </c>
      <c r="N14" s="3">
        <v>400</v>
      </c>
      <c r="O14" s="3">
        <v>400</v>
      </c>
      <c r="P14" s="3">
        <v>400</v>
      </c>
      <c r="Q14" s="3">
        <v>400</v>
      </c>
      <c r="R14" s="3">
        <v>96</v>
      </c>
      <c r="S14" s="3">
        <v>96</v>
      </c>
      <c r="T14" s="3">
        <v>96</v>
      </c>
      <c r="U14" s="3">
        <v>96</v>
      </c>
      <c r="V14" s="3"/>
    </row>
    <row r="15" spans="2:22" ht="30" hidden="1" x14ac:dyDescent="0.25">
      <c r="B15" s="2" t="s">
        <v>1273</v>
      </c>
      <c r="C15" s="2" t="s">
        <v>1274</v>
      </c>
      <c r="D15" s="2" t="s">
        <v>560</v>
      </c>
      <c r="E15" s="2" t="s">
        <v>27</v>
      </c>
      <c r="F15" s="2" t="s">
        <v>579</v>
      </c>
      <c r="G15" s="2" t="s">
        <v>27</v>
      </c>
      <c r="H15" s="2">
        <v>79035</v>
      </c>
      <c r="I15" s="2">
        <v>79047</v>
      </c>
      <c r="J15" s="2" t="s">
        <v>28</v>
      </c>
      <c r="K15" s="2" t="s">
        <v>1276</v>
      </c>
      <c r="L15" s="2" t="s">
        <v>39</v>
      </c>
      <c r="M15" s="2" t="s">
        <v>582</v>
      </c>
      <c r="N15" s="3">
        <v>400</v>
      </c>
      <c r="O15" s="3">
        <v>400</v>
      </c>
      <c r="P15" s="3">
        <v>400</v>
      </c>
      <c r="Q15" s="3">
        <v>400</v>
      </c>
      <c r="R15" s="3">
        <v>96</v>
      </c>
      <c r="S15" s="3">
        <v>96</v>
      </c>
      <c r="T15" s="3">
        <v>96</v>
      </c>
      <c r="U15" s="3">
        <v>96</v>
      </c>
      <c r="V15" s="3"/>
    </row>
    <row r="16" spans="2:22" ht="21" hidden="1" x14ac:dyDescent="0.25">
      <c r="B16" s="4" t="s">
        <v>443</v>
      </c>
      <c r="C16" s="4" t="s">
        <v>444</v>
      </c>
      <c r="D16" s="4" t="s">
        <v>431</v>
      </c>
      <c r="E16" s="4" t="s">
        <v>27</v>
      </c>
      <c r="F16" s="4" t="s">
        <v>445</v>
      </c>
      <c r="G16" s="4" t="s">
        <v>27</v>
      </c>
      <c r="H16" s="4">
        <v>70072</v>
      </c>
      <c r="I16" s="4">
        <v>70266</v>
      </c>
      <c r="J16" s="4" t="s">
        <v>28</v>
      </c>
      <c r="K16" s="4" t="s">
        <v>443</v>
      </c>
      <c r="L16" s="4" t="s">
        <v>29</v>
      </c>
      <c r="M16" s="4"/>
      <c r="N16" s="5">
        <v>1200</v>
      </c>
      <c r="O16" s="5">
        <v>1200</v>
      </c>
      <c r="P16" s="5">
        <v>1200</v>
      </c>
      <c r="Q16" s="5">
        <v>1200</v>
      </c>
      <c r="R16" s="5">
        <v>478</v>
      </c>
      <c r="S16" s="5">
        <v>478</v>
      </c>
      <c r="T16" s="5">
        <v>478</v>
      </c>
      <c r="U16" s="5">
        <v>478</v>
      </c>
      <c r="V16" s="5"/>
    </row>
    <row r="17" spans="2:22" ht="30" hidden="1" x14ac:dyDescent="0.25">
      <c r="B17" s="2" t="s">
        <v>443</v>
      </c>
      <c r="C17" s="2" t="s">
        <v>444</v>
      </c>
      <c r="D17" s="2" t="s">
        <v>431</v>
      </c>
      <c r="E17" s="2" t="s">
        <v>27</v>
      </c>
      <c r="F17" s="2" t="s">
        <v>445</v>
      </c>
      <c r="G17" s="2" t="s">
        <v>27</v>
      </c>
      <c r="H17" s="2">
        <v>70072</v>
      </c>
      <c r="I17" s="2">
        <v>70266</v>
      </c>
      <c r="J17" s="2" t="s">
        <v>28</v>
      </c>
      <c r="K17" s="2" t="s">
        <v>446</v>
      </c>
      <c r="L17" s="2" t="s">
        <v>36</v>
      </c>
      <c r="M17" s="2" t="s">
        <v>447</v>
      </c>
      <c r="N17" s="3">
        <v>1200</v>
      </c>
      <c r="O17" s="3">
        <v>1200</v>
      </c>
      <c r="P17" s="3">
        <v>1200</v>
      </c>
      <c r="Q17" s="3">
        <v>1200</v>
      </c>
      <c r="R17" s="3">
        <v>478</v>
      </c>
      <c r="S17" s="3">
        <v>478</v>
      </c>
      <c r="T17" s="3">
        <v>478</v>
      </c>
      <c r="U17" s="3">
        <v>478</v>
      </c>
      <c r="V17" s="3"/>
    </row>
    <row r="18" spans="2:22" ht="30" hidden="1" x14ac:dyDescent="0.25">
      <c r="B18" s="2" t="s">
        <v>443</v>
      </c>
      <c r="C18" s="2" t="s">
        <v>444</v>
      </c>
      <c r="D18" s="2" t="s">
        <v>431</v>
      </c>
      <c r="E18" s="2" t="s">
        <v>27</v>
      </c>
      <c r="F18" s="2" t="s">
        <v>445</v>
      </c>
      <c r="G18" s="2" t="s">
        <v>27</v>
      </c>
      <c r="H18" s="2">
        <v>70072</v>
      </c>
      <c r="I18" s="2">
        <v>70266</v>
      </c>
      <c r="J18" s="2" t="s">
        <v>28</v>
      </c>
      <c r="K18" s="2" t="s">
        <v>446</v>
      </c>
      <c r="L18" s="2" t="s">
        <v>36</v>
      </c>
      <c r="M18" s="2" t="s">
        <v>436</v>
      </c>
      <c r="N18" s="3">
        <v>1200</v>
      </c>
      <c r="O18" s="3">
        <v>1200</v>
      </c>
      <c r="P18" s="3">
        <v>1200</v>
      </c>
      <c r="Q18" s="3">
        <v>1200</v>
      </c>
      <c r="R18" s="3">
        <v>478</v>
      </c>
      <c r="S18" s="3">
        <v>478</v>
      </c>
      <c r="T18" s="3">
        <v>478</v>
      </c>
      <c r="U18" s="3">
        <v>478</v>
      </c>
      <c r="V18" s="3"/>
    </row>
    <row r="19" spans="2:22" ht="30" hidden="1" x14ac:dyDescent="0.25">
      <c r="B19" s="2" t="s">
        <v>443</v>
      </c>
      <c r="C19" s="2" t="s">
        <v>444</v>
      </c>
      <c r="D19" s="2" t="s">
        <v>431</v>
      </c>
      <c r="E19" s="2" t="s">
        <v>27</v>
      </c>
      <c r="F19" s="2" t="s">
        <v>445</v>
      </c>
      <c r="G19" s="2" t="s">
        <v>27</v>
      </c>
      <c r="H19" s="2">
        <v>70072</v>
      </c>
      <c r="I19" s="2">
        <v>70266</v>
      </c>
      <c r="J19" s="2" t="s">
        <v>28</v>
      </c>
      <c r="K19" s="2" t="s">
        <v>448</v>
      </c>
      <c r="L19" s="2" t="s">
        <v>36</v>
      </c>
      <c r="M19" s="2" t="s">
        <v>436</v>
      </c>
      <c r="N19" s="3">
        <v>1200</v>
      </c>
      <c r="O19" s="3">
        <v>1200</v>
      </c>
      <c r="P19" s="3">
        <v>1200</v>
      </c>
      <c r="Q19" s="3">
        <v>1200</v>
      </c>
      <c r="R19" s="3">
        <v>478</v>
      </c>
      <c r="S19" s="3">
        <v>478</v>
      </c>
      <c r="T19" s="3">
        <v>478</v>
      </c>
      <c r="U19" s="3">
        <v>478</v>
      </c>
      <c r="V19" s="3"/>
    </row>
    <row r="20" spans="2:22" ht="20" hidden="1" x14ac:dyDescent="0.25">
      <c r="B20" s="2" t="s">
        <v>443</v>
      </c>
      <c r="C20" s="2" t="s">
        <v>444</v>
      </c>
      <c r="D20" s="2" t="s">
        <v>431</v>
      </c>
      <c r="E20" s="2" t="s">
        <v>27</v>
      </c>
      <c r="F20" s="2" t="s">
        <v>445</v>
      </c>
      <c r="G20" s="2" t="s">
        <v>27</v>
      </c>
      <c r="H20" s="2">
        <v>70072</v>
      </c>
      <c r="I20" s="2">
        <v>70266</v>
      </c>
      <c r="J20" s="2" t="s">
        <v>28</v>
      </c>
      <c r="K20" s="2"/>
      <c r="L20" s="2" t="s">
        <v>301</v>
      </c>
      <c r="M20" s="2" t="s">
        <v>447</v>
      </c>
      <c r="N20" s="3">
        <v>1200</v>
      </c>
      <c r="O20" s="3">
        <v>1200</v>
      </c>
      <c r="P20" s="2">
        <v>1248</v>
      </c>
      <c r="Q20" s="2">
        <v>1248</v>
      </c>
      <c r="R20" s="3">
        <v>478</v>
      </c>
      <c r="S20" s="3">
        <v>478</v>
      </c>
      <c r="T20" s="2">
        <v>497</v>
      </c>
      <c r="U20" s="2">
        <v>497</v>
      </c>
      <c r="V20" s="2"/>
    </row>
    <row r="21" spans="2:22" ht="21" hidden="1" x14ac:dyDescent="0.25">
      <c r="B21" s="4" t="s">
        <v>439</v>
      </c>
      <c r="C21" s="4" t="s">
        <v>440</v>
      </c>
      <c r="D21" s="4" t="s">
        <v>431</v>
      </c>
      <c r="E21" s="4" t="s">
        <v>27</v>
      </c>
      <c r="F21" s="4" t="s">
        <v>441</v>
      </c>
      <c r="G21" s="4" t="s">
        <v>27</v>
      </c>
      <c r="H21" s="4">
        <v>70072</v>
      </c>
      <c r="I21" s="4">
        <v>70237</v>
      </c>
      <c r="J21" s="4" t="s">
        <v>28</v>
      </c>
      <c r="K21" s="4" t="s">
        <v>439</v>
      </c>
      <c r="L21" s="4" t="s">
        <v>29</v>
      </c>
      <c r="M21" s="4"/>
      <c r="N21" s="5">
        <v>1188</v>
      </c>
      <c r="O21" s="5">
        <v>1394</v>
      </c>
      <c r="P21" s="5">
        <v>1422</v>
      </c>
      <c r="Q21" s="5">
        <v>1583</v>
      </c>
      <c r="R21" s="5">
        <v>473</v>
      </c>
      <c r="S21" s="5">
        <v>555</v>
      </c>
      <c r="T21" s="5">
        <v>567</v>
      </c>
      <c r="U21" s="5">
        <v>631</v>
      </c>
      <c r="V21" s="5"/>
    </row>
    <row r="22" spans="2:22" ht="20" hidden="1" x14ac:dyDescent="0.25">
      <c r="B22" s="2" t="s">
        <v>439</v>
      </c>
      <c r="C22" s="2" t="s">
        <v>440</v>
      </c>
      <c r="D22" s="2" t="s">
        <v>431</v>
      </c>
      <c r="E22" s="2" t="s">
        <v>27</v>
      </c>
      <c r="F22" s="2" t="s">
        <v>441</v>
      </c>
      <c r="G22" s="2" t="s">
        <v>27</v>
      </c>
      <c r="H22" s="2">
        <v>70072</v>
      </c>
      <c r="I22" s="2">
        <v>70237</v>
      </c>
      <c r="J22" s="2" t="s">
        <v>28</v>
      </c>
      <c r="K22" s="2" t="s">
        <v>388</v>
      </c>
      <c r="L22" s="2" t="s">
        <v>31</v>
      </c>
      <c r="M22" s="2" t="s">
        <v>442</v>
      </c>
      <c r="N22" s="3">
        <v>1188</v>
      </c>
      <c r="O22" s="3">
        <v>1394</v>
      </c>
      <c r="P22" s="3">
        <v>1422</v>
      </c>
      <c r="Q22" s="2">
        <v>1590</v>
      </c>
      <c r="R22" s="3">
        <v>473</v>
      </c>
      <c r="S22" s="3">
        <v>555</v>
      </c>
      <c r="T22" s="3">
        <v>567</v>
      </c>
      <c r="U22" s="2">
        <v>633</v>
      </c>
      <c r="V22" s="2"/>
    </row>
    <row r="23" spans="2:22" ht="20" hidden="1" x14ac:dyDescent="0.25">
      <c r="B23" s="2" t="s">
        <v>439</v>
      </c>
      <c r="C23" s="2" t="s">
        <v>440</v>
      </c>
      <c r="D23" s="2" t="s">
        <v>431</v>
      </c>
      <c r="E23" s="2" t="s">
        <v>27</v>
      </c>
      <c r="F23" s="2" t="s">
        <v>441</v>
      </c>
      <c r="G23" s="2" t="s">
        <v>27</v>
      </c>
      <c r="H23" s="2">
        <v>70072</v>
      </c>
      <c r="I23" s="2">
        <v>70237</v>
      </c>
      <c r="J23" s="2" t="s">
        <v>28</v>
      </c>
      <c r="K23" s="2" t="s">
        <v>439</v>
      </c>
      <c r="L23" s="2" t="s">
        <v>30</v>
      </c>
      <c r="M23" s="2" t="s">
        <v>440</v>
      </c>
      <c r="N23" s="2">
        <v>1284</v>
      </c>
      <c r="O23" s="2">
        <v>1413</v>
      </c>
      <c r="P23" s="2">
        <v>1439</v>
      </c>
      <c r="Q23" s="3">
        <v>1583</v>
      </c>
      <c r="R23" s="2">
        <v>512</v>
      </c>
      <c r="S23" s="2">
        <v>563</v>
      </c>
      <c r="T23" s="2">
        <v>573</v>
      </c>
      <c r="U23" s="3">
        <v>631</v>
      </c>
      <c r="V23" s="3"/>
    </row>
    <row r="24" spans="2:22" ht="21" hidden="1" x14ac:dyDescent="0.25">
      <c r="B24" s="4" t="s">
        <v>963</v>
      </c>
      <c r="C24" s="4" t="s">
        <v>440</v>
      </c>
      <c r="D24" s="4" t="s">
        <v>441</v>
      </c>
      <c r="E24" s="4" t="s">
        <v>27</v>
      </c>
      <c r="F24" s="4" t="s">
        <v>445</v>
      </c>
      <c r="G24" s="4" t="s">
        <v>27</v>
      </c>
      <c r="H24" s="4">
        <v>70237</v>
      </c>
      <c r="I24" s="4">
        <v>70266</v>
      </c>
      <c r="J24" s="4" t="s">
        <v>28</v>
      </c>
      <c r="K24" s="4" t="s">
        <v>963</v>
      </c>
      <c r="L24" s="4" t="s">
        <v>29</v>
      </c>
      <c r="M24" s="4"/>
      <c r="N24" s="5">
        <v>1188</v>
      </c>
      <c r="O24" s="5">
        <v>1200</v>
      </c>
      <c r="P24" s="5">
        <v>1200</v>
      </c>
      <c r="Q24" s="5">
        <v>1200</v>
      </c>
      <c r="R24" s="5">
        <v>473</v>
      </c>
      <c r="S24" s="5">
        <v>478</v>
      </c>
      <c r="T24" s="5">
        <v>478</v>
      </c>
      <c r="U24" s="5">
        <v>478</v>
      </c>
      <c r="V24" s="5"/>
    </row>
    <row r="25" spans="2:22" ht="20" hidden="1" x14ac:dyDescent="0.25">
      <c r="B25" s="2" t="s">
        <v>963</v>
      </c>
      <c r="C25" s="2" t="s">
        <v>440</v>
      </c>
      <c r="D25" s="2" t="s">
        <v>441</v>
      </c>
      <c r="E25" s="2" t="s">
        <v>27</v>
      </c>
      <c r="F25" s="2" t="s">
        <v>445</v>
      </c>
      <c r="G25" s="2" t="s">
        <v>27</v>
      </c>
      <c r="H25" s="2">
        <v>70237</v>
      </c>
      <c r="I25" s="2">
        <v>70266</v>
      </c>
      <c r="J25" s="2" t="s">
        <v>28</v>
      </c>
      <c r="K25" s="2" t="s">
        <v>388</v>
      </c>
      <c r="L25" s="2" t="s">
        <v>31</v>
      </c>
      <c r="M25" s="2" t="s">
        <v>442</v>
      </c>
      <c r="N25" s="3">
        <v>1188</v>
      </c>
      <c r="O25" s="2">
        <v>1394</v>
      </c>
      <c r="P25" s="2">
        <v>1422</v>
      </c>
      <c r="Q25" s="2">
        <v>1590</v>
      </c>
      <c r="R25" s="3">
        <v>473</v>
      </c>
      <c r="S25" s="2">
        <v>555</v>
      </c>
      <c r="T25" s="2">
        <v>567</v>
      </c>
      <c r="U25" s="2">
        <v>633</v>
      </c>
      <c r="V25" s="2"/>
    </row>
    <row r="26" spans="2:22" ht="30" hidden="1" x14ac:dyDescent="0.25">
      <c r="B26" s="2" t="s">
        <v>963</v>
      </c>
      <c r="C26" s="2" t="s">
        <v>440</v>
      </c>
      <c r="D26" s="2" t="s">
        <v>441</v>
      </c>
      <c r="E26" s="2" t="s">
        <v>27</v>
      </c>
      <c r="F26" s="2" t="s">
        <v>445</v>
      </c>
      <c r="G26" s="2" t="s">
        <v>27</v>
      </c>
      <c r="H26" s="2">
        <v>70237</v>
      </c>
      <c r="I26" s="2">
        <v>70266</v>
      </c>
      <c r="J26" s="2" t="s">
        <v>28</v>
      </c>
      <c r="K26" s="2" t="s">
        <v>964</v>
      </c>
      <c r="L26" s="2" t="s">
        <v>36</v>
      </c>
      <c r="M26" s="2" t="s">
        <v>447</v>
      </c>
      <c r="N26" s="2">
        <v>1200</v>
      </c>
      <c r="O26" s="3">
        <v>1200</v>
      </c>
      <c r="P26" s="3">
        <v>1200</v>
      </c>
      <c r="Q26" s="3">
        <v>1200</v>
      </c>
      <c r="R26" s="2">
        <v>478</v>
      </c>
      <c r="S26" s="3">
        <v>478</v>
      </c>
      <c r="T26" s="3">
        <v>478</v>
      </c>
      <c r="U26" s="3">
        <v>478</v>
      </c>
      <c r="V26" s="3"/>
    </row>
    <row r="27" spans="2:22" ht="20" hidden="1" x14ac:dyDescent="0.25">
      <c r="B27" s="2" t="s">
        <v>963</v>
      </c>
      <c r="C27" s="2" t="s">
        <v>440</v>
      </c>
      <c r="D27" s="2" t="s">
        <v>441</v>
      </c>
      <c r="E27" s="2" t="s">
        <v>27</v>
      </c>
      <c r="F27" s="2" t="s">
        <v>445</v>
      </c>
      <c r="G27" s="2" t="s">
        <v>27</v>
      </c>
      <c r="H27" s="2">
        <v>70237</v>
      </c>
      <c r="I27" s="2">
        <v>70266</v>
      </c>
      <c r="J27" s="2" t="s">
        <v>28</v>
      </c>
      <c r="K27" s="2"/>
      <c r="L27" s="2" t="s">
        <v>301</v>
      </c>
      <c r="M27" s="2" t="s">
        <v>447</v>
      </c>
      <c r="N27" s="2">
        <v>1200</v>
      </c>
      <c r="O27" s="3">
        <v>1200</v>
      </c>
      <c r="P27" s="2">
        <v>1248</v>
      </c>
      <c r="Q27" s="2">
        <v>1248</v>
      </c>
      <c r="R27" s="2">
        <v>478</v>
      </c>
      <c r="S27" s="3">
        <v>478</v>
      </c>
      <c r="T27" s="2">
        <v>497</v>
      </c>
      <c r="U27" s="2">
        <v>497</v>
      </c>
      <c r="V27" s="2"/>
    </row>
    <row r="28" spans="2:22" ht="21" hidden="1" x14ac:dyDescent="0.25">
      <c r="B28" s="4" t="s">
        <v>429</v>
      </c>
      <c r="C28" s="4" t="s">
        <v>430</v>
      </c>
      <c r="D28" s="4" t="s">
        <v>431</v>
      </c>
      <c r="E28" s="4" t="s">
        <v>27</v>
      </c>
      <c r="F28" s="4" t="s">
        <v>365</v>
      </c>
      <c r="G28" s="4" t="s">
        <v>27</v>
      </c>
      <c r="H28" s="4">
        <v>70072</v>
      </c>
      <c r="I28" s="4">
        <v>70156</v>
      </c>
      <c r="J28" s="4" t="s">
        <v>28</v>
      </c>
      <c r="K28" s="4" t="s">
        <v>429</v>
      </c>
      <c r="L28" s="4" t="s">
        <v>29</v>
      </c>
      <c r="M28" s="4"/>
      <c r="N28" s="5">
        <v>1591</v>
      </c>
      <c r="O28" s="5">
        <v>1591</v>
      </c>
      <c r="P28" s="5">
        <v>1664</v>
      </c>
      <c r="Q28" s="5">
        <v>1664</v>
      </c>
      <c r="R28" s="5">
        <v>634</v>
      </c>
      <c r="S28" s="5">
        <v>634</v>
      </c>
      <c r="T28" s="5">
        <v>663</v>
      </c>
      <c r="U28" s="5">
        <v>663</v>
      </c>
      <c r="V28" s="5"/>
    </row>
    <row r="29" spans="2:22" ht="20" hidden="1" x14ac:dyDescent="0.25">
      <c r="B29" s="2" t="s">
        <v>429</v>
      </c>
      <c r="C29" s="2" t="s">
        <v>430</v>
      </c>
      <c r="D29" s="2" t="s">
        <v>431</v>
      </c>
      <c r="E29" s="2" t="s">
        <v>27</v>
      </c>
      <c r="F29" s="2" t="s">
        <v>365</v>
      </c>
      <c r="G29" s="2" t="s">
        <v>27</v>
      </c>
      <c r="H29" s="2">
        <v>70072</v>
      </c>
      <c r="I29" s="2">
        <v>70156</v>
      </c>
      <c r="J29" s="2" t="s">
        <v>28</v>
      </c>
      <c r="K29" s="2" t="s">
        <v>429</v>
      </c>
      <c r="L29" s="2" t="s">
        <v>30</v>
      </c>
      <c r="M29" s="2" t="s">
        <v>430</v>
      </c>
      <c r="N29" s="3">
        <v>1591</v>
      </c>
      <c r="O29" s="3">
        <v>1591</v>
      </c>
      <c r="P29" s="2">
        <v>1891</v>
      </c>
      <c r="Q29" s="2">
        <v>1891</v>
      </c>
      <c r="R29" s="3">
        <v>634</v>
      </c>
      <c r="S29" s="3">
        <v>634</v>
      </c>
      <c r="T29" s="2">
        <v>753</v>
      </c>
      <c r="U29" s="2">
        <v>753</v>
      </c>
      <c r="V29" s="2"/>
    </row>
    <row r="30" spans="2:22" ht="20" hidden="1" x14ac:dyDescent="0.25">
      <c r="B30" s="2" t="s">
        <v>429</v>
      </c>
      <c r="C30" s="2" t="s">
        <v>430</v>
      </c>
      <c r="D30" s="2" t="s">
        <v>431</v>
      </c>
      <c r="E30" s="2" t="s">
        <v>27</v>
      </c>
      <c r="F30" s="2" t="s">
        <v>365</v>
      </c>
      <c r="G30" s="2" t="s">
        <v>27</v>
      </c>
      <c r="H30" s="2">
        <v>70072</v>
      </c>
      <c r="I30" s="2">
        <v>70156</v>
      </c>
      <c r="J30" s="2" t="s">
        <v>28</v>
      </c>
      <c r="K30" s="2"/>
      <c r="L30" s="2" t="s">
        <v>301</v>
      </c>
      <c r="M30" s="2" t="s">
        <v>366</v>
      </c>
      <c r="N30" s="2">
        <v>1600</v>
      </c>
      <c r="O30" s="2">
        <v>1600</v>
      </c>
      <c r="P30" s="3">
        <v>1664</v>
      </c>
      <c r="Q30" s="3">
        <v>1664</v>
      </c>
      <c r="R30" s="2">
        <v>637</v>
      </c>
      <c r="S30" s="2">
        <v>637</v>
      </c>
      <c r="T30" s="3">
        <v>663</v>
      </c>
      <c r="U30" s="3">
        <v>663</v>
      </c>
      <c r="V30" s="3"/>
    </row>
    <row r="31" spans="2:22" ht="31.5" hidden="1" x14ac:dyDescent="0.25">
      <c r="B31" s="4" t="s">
        <v>1210</v>
      </c>
      <c r="C31" s="4" t="s">
        <v>1211</v>
      </c>
      <c r="D31" s="4" t="s">
        <v>1212</v>
      </c>
      <c r="E31" s="4" t="s">
        <v>27</v>
      </c>
      <c r="F31" s="4" t="s">
        <v>294</v>
      </c>
      <c r="G31" s="4" t="s">
        <v>27</v>
      </c>
      <c r="H31" s="4">
        <v>70369</v>
      </c>
      <c r="I31" s="4">
        <v>70107</v>
      </c>
      <c r="J31" s="4" t="s">
        <v>28</v>
      </c>
      <c r="K31" s="4" t="s">
        <v>1210</v>
      </c>
      <c r="L31" s="4" t="s">
        <v>29</v>
      </c>
      <c r="M31" s="4"/>
      <c r="N31" s="5">
        <v>944</v>
      </c>
      <c r="O31" s="5">
        <v>1038</v>
      </c>
      <c r="P31" s="5">
        <v>1152</v>
      </c>
      <c r="Q31" s="5">
        <v>1267</v>
      </c>
      <c r="R31" s="5">
        <v>376</v>
      </c>
      <c r="S31" s="5">
        <v>414</v>
      </c>
      <c r="T31" s="5">
        <v>459</v>
      </c>
      <c r="U31" s="5">
        <v>505</v>
      </c>
      <c r="V31" s="5"/>
    </row>
    <row r="32" spans="2:22" ht="30" hidden="1" x14ac:dyDescent="0.25">
      <c r="B32" s="2" t="s">
        <v>1210</v>
      </c>
      <c r="C32" s="2" t="s">
        <v>1211</v>
      </c>
      <c r="D32" s="2" t="s">
        <v>1212</v>
      </c>
      <c r="E32" s="2" t="s">
        <v>27</v>
      </c>
      <c r="F32" s="2" t="s">
        <v>294</v>
      </c>
      <c r="G32" s="2" t="s">
        <v>27</v>
      </c>
      <c r="H32" s="2">
        <v>70369</v>
      </c>
      <c r="I32" s="2">
        <v>70107</v>
      </c>
      <c r="J32" s="2" t="s">
        <v>28</v>
      </c>
      <c r="K32" s="2" t="s">
        <v>1210</v>
      </c>
      <c r="L32" s="2" t="s">
        <v>30</v>
      </c>
      <c r="M32" s="2" t="s">
        <v>1211</v>
      </c>
      <c r="N32" s="3">
        <v>944</v>
      </c>
      <c r="O32" s="3">
        <v>1038</v>
      </c>
      <c r="P32" s="3">
        <v>1152</v>
      </c>
      <c r="Q32" s="3">
        <v>1267</v>
      </c>
      <c r="R32" s="3">
        <v>376</v>
      </c>
      <c r="S32" s="3">
        <v>414</v>
      </c>
      <c r="T32" s="3">
        <v>459</v>
      </c>
      <c r="U32" s="3">
        <v>505</v>
      </c>
      <c r="V32" s="3"/>
    </row>
    <row r="33" spans="2:22" ht="21" hidden="1" x14ac:dyDescent="0.25">
      <c r="B33" s="4" t="s">
        <v>1213</v>
      </c>
      <c r="C33" s="4" t="s">
        <v>1211</v>
      </c>
      <c r="D33" s="4" t="s">
        <v>1212</v>
      </c>
      <c r="E33" s="4" t="s">
        <v>27</v>
      </c>
      <c r="F33" s="4" t="s">
        <v>983</v>
      </c>
      <c r="G33" s="4" t="s">
        <v>27</v>
      </c>
      <c r="H33" s="4">
        <v>70369</v>
      </c>
      <c r="I33" s="4">
        <v>70355</v>
      </c>
      <c r="J33" s="4" t="s">
        <v>28</v>
      </c>
      <c r="K33" s="4" t="s">
        <v>1213</v>
      </c>
      <c r="L33" s="4" t="s">
        <v>29</v>
      </c>
      <c r="M33" s="4"/>
      <c r="N33" s="5">
        <v>944</v>
      </c>
      <c r="O33" s="5">
        <v>1038</v>
      </c>
      <c r="P33" s="5">
        <v>1152</v>
      </c>
      <c r="Q33" s="5">
        <v>1200</v>
      </c>
      <c r="R33" s="5">
        <v>376</v>
      </c>
      <c r="S33" s="5">
        <v>414</v>
      </c>
      <c r="T33" s="5">
        <v>459</v>
      </c>
      <c r="U33" s="5">
        <v>478</v>
      </c>
      <c r="V33" s="5"/>
    </row>
    <row r="34" spans="2:22" ht="20" hidden="1" x14ac:dyDescent="0.25">
      <c r="B34" s="2" t="s">
        <v>1213</v>
      </c>
      <c r="C34" s="2" t="s">
        <v>1211</v>
      </c>
      <c r="D34" s="2" t="s">
        <v>1212</v>
      </c>
      <c r="E34" s="2" t="s">
        <v>27</v>
      </c>
      <c r="F34" s="2" t="s">
        <v>983</v>
      </c>
      <c r="G34" s="2" t="s">
        <v>27</v>
      </c>
      <c r="H34" s="2">
        <v>70369</v>
      </c>
      <c r="I34" s="2">
        <v>70355</v>
      </c>
      <c r="J34" s="2" t="s">
        <v>28</v>
      </c>
      <c r="K34" s="2" t="s">
        <v>1213</v>
      </c>
      <c r="L34" s="2" t="s">
        <v>30</v>
      </c>
      <c r="M34" s="2" t="s">
        <v>1211</v>
      </c>
      <c r="N34" s="3">
        <v>944</v>
      </c>
      <c r="O34" s="3">
        <v>1038</v>
      </c>
      <c r="P34" s="3">
        <v>1152</v>
      </c>
      <c r="Q34" s="2">
        <v>1267</v>
      </c>
      <c r="R34" s="3">
        <v>376</v>
      </c>
      <c r="S34" s="3">
        <v>414</v>
      </c>
      <c r="T34" s="3">
        <v>459</v>
      </c>
      <c r="U34" s="2">
        <v>505</v>
      </c>
      <c r="V34" s="2"/>
    </row>
    <row r="35" spans="2:22" ht="30" hidden="1" x14ac:dyDescent="0.25">
      <c r="B35" s="2" t="s">
        <v>1213</v>
      </c>
      <c r="C35" s="2" t="s">
        <v>1211</v>
      </c>
      <c r="D35" s="2" t="s">
        <v>1212</v>
      </c>
      <c r="E35" s="2" t="s">
        <v>27</v>
      </c>
      <c r="F35" s="2" t="s">
        <v>983</v>
      </c>
      <c r="G35" s="2" t="s">
        <v>27</v>
      </c>
      <c r="H35" s="2">
        <v>70369</v>
      </c>
      <c r="I35" s="2">
        <v>70355</v>
      </c>
      <c r="J35" s="2" t="s">
        <v>28</v>
      </c>
      <c r="K35" s="2" t="s">
        <v>1214</v>
      </c>
      <c r="L35" s="2" t="s">
        <v>36</v>
      </c>
      <c r="M35" s="2" t="s">
        <v>984</v>
      </c>
      <c r="N35" s="2">
        <v>1200</v>
      </c>
      <c r="O35" s="2">
        <v>1200</v>
      </c>
      <c r="P35" s="2">
        <v>1200</v>
      </c>
      <c r="Q35" s="3">
        <v>1200</v>
      </c>
      <c r="R35" s="2">
        <v>478</v>
      </c>
      <c r="S35" s="2">
        <v>478</v>
      </c>
      <c r="T35" s="2">
        <v>478</v>
      </c>
      <c r="U35" s="3">
        <v>478</v>
      </c>
      <c r="V35" s="3"/>
    </row>
    <row r="36" spans="2:22" ht="21" hidden="1" x14ac:dyDescent="0.25">
      <c r="B36" s="4" t="s">
        <v>487</v>
      </c>
      <c r="C36" s="4" t="s">
        <v>488</v>
      </c>
      <c r="D36" s="4" t="s">
        <v>489</v>
      </c>
      <c r="E36" s="4" t="s">
        <v>27</v>
      </c>
      <c r="F36" s="4" t="s">
        <v>490</v>
      </c>
      <c r="G36" s="4" t="s">
        <v>27</v>
      </c>
      <c r="H36" s="4">
        <v>70100</v>
      </c>
      <c r="I36" s="4">
        <v>70464</v>
      </c>
      <c r="J36" s="4" t="s">
        <v>28</v>
      </c>
      <c r="K36" s="4" t="s">
        <v>487</v>
      </c>
      <c r="L36" s="4" t="s">
        <v>29</v>
      </c>
      <c r="M36" s="4"/>
      <c r="N36" s="5">
        <v>1214</v>
      </c>
      <c r="O36" s="5">
        <v>1397</v>
      </c>
      <c r="P36" s="5">
        <v>1447</v>
      </c>
      <c r="Q36" s="5">
        <v>1592</v>
      </c>
      <c r="R36" s="5">
        <v>483</v>
      </c>
      <c r="S36" s="5">
        <v>557</v>
      </c>
      <c r="T36" s="5">
        <v>576</v>
      </c>
      <c r="U36" s="5">
        <v>634</v>
      </c>
      <c r="V36" s="5"/>
    </row>
    <row r="37" spans="2:22" ht="20" hidden="1" x14ac:dyDescent="0.25">
      <c r="B37" s="2" t="s">
        <v>487</v>
      </c>
      <c r="C37" s="2" t="s">
        <v>488</v>
      </c>
      <c r="D37" s="2" t="s">
        <v>489</v>
      </c>
      <c r="E37" s="2" t="s">
        <v>27</v>
      </c>
      <c r="F37" s="2" t="s">
        <v>490</v>
      </c>
      <c r="G37" s="2" t="s">
        <v>27</v>
      </c>
      <c r="H37" s="2">
        <v>70100</v>
      </c>
      <c r="I37" s="2">
        <v>70464</v>
      </c>
      <c r="J37" s="2" t="s">
        <v>28</v>
      </c>
      <c r="K37" s="2" t="s">
        <v>388</v>
      </c>
      <c r="L37" s="2" t="s">
        <v>31</v>
      </c>
      <c r="M37" s="2" t="s">
        <v>491</v>
      </c>
      <c r="N37" s="3">
        <v>1214</v>
      </c>
      <c r="O37" s="2">
        <v>1420</v>
      </c>
      <c r="P37" s="2">
        <v>1450</v>
      </c>
      <c r="Q37" s="2">
        <v>1619</v>
      </c>
      <c r="R37" s="3">
        <v>483</v>
      </c>
      <c r="S37" s="2">
        <v>566</v>
      </c>
      <c r="T37" s="2">
        <v>578</v>
      </c>
      <c r="U37" s="2">
        <v>645</v>
      </c>
      <c r="V37" s="2"/>
    </row>
    <row r="38" spans="2:22" ht="20" hidden="1" x14ac:dyDescent="0.25">
      <c r="B38" s="2" t="s">
        <v>487</v>
      </c>
      <c r="C38" s="2" t="s">
        <v>488</v>
      </c>
      <c r="D38" s="2" t="s">
        <v>489</v>
      </c>
      <c r="E38" s="2" t="s">
        <v>27</v>
      </c>
      <c r="F38" s="2" t="s">
        <v>490</v>
      </c>
      <c r="G38" s="2" t="s">
        <v>27</v>
      </c>
      <c r="H38" s="2">
        <v>70100</v>
      </c>
      <c r="I38" s="2">
        <v>70464</v>
      </c>
      <c r="J38" s="2" t="s">
        <v>28</v>
      </c>
      <c r="K38" s="2" t="s">
        <v>487</v>
      </c>
      <c r="L38" s="2" t="s">
        <v>30</v>
      </c>
      <c r="M38" s="2" t="s">
        <v>488</v>
      </c>
      <c r="N38" s="2">
        <v>1270</v>
      </c>
      <c r="O38" s="3">
        <v>1397</v>
      </c>
      <c r="P38" s="3">
        <v>1447</v>
      </c>
      <c r="Q38" s="3">
        <v>1592</v>
      </c>
      <c r="R38" s="2">
        <v>506</v>
      </c>
      <c r="S38" s="3">
        <v>557</v>
      </c>
      <c r="T38" s="3">
        <v>576</v>
      </c>
      <c r="U38" s="3">
        <v>634</v>
      </c>
      <c r="V38" s="3"/>
    </row>
    <row r="39" spans="2:22" ht="21" hidden="1" x14ac:dyDescent="0.25">
      <c r="B39" s="4" t="s">
        <v>1232</v>
      </c>
      <c r="C39" s="4" t="s">
        <v>488</v>
      </c>
      <c r="D39" s="4" t="s">
        <v>238</v>
      </c>
      <c r="E39" s="4" t="s">
        <v>27</v>
      </c>
      <c r="F39" s="4" t="s">
        <v>489</v>
      </c>
      <c r="G39" s="4" t="s">
        <v>27</v>
      </c>
      <c r="H39" s="4">
        <v>70018</v>
      </c>
      <c r="I39" s="4">
        <v>70100</v>
      </c>
      <c r="J39" s="4" t="s">
        <v>28</v>
      </c>
      <c r="K39" s="4" t="s">
        <v>1232</v>
      </c>
      <c r="L39" s="4" t="s">
        <v>29</v>
      </c>
      <c r="M39" s="4"/>
      <c r="N39" s="5">
        <v>1214</v>
      </c>
      <c r="O39" s="5">
        <v>1397</v>
      </c>
      <c r="P39" s="5">
        <v>1447</v>
      </c>
      <c r="Q39" s="5">
        <v>1592</v>
      </c>
      <c r="R39" s="5">
        <v>483</v>
      </c>
      <c r="S39" s="5">
        <v>557</v>
      </c>
      <c r="T39" s="5">
        <v>576</v>
      </c>
      <c r="U39" s="5">
        <v>634</v>
      </c>
      <c r="V39" s="5"/>
    </row>
    <row r="40" spans="2:22" ht="20" hidden="1" x14ac:dyDescent="0.25">
      <c r="B40" s="2" t="s">
        <v>1232</v>
      </c>
      <c r="C40" s="2" t="s">
        <v>488</v>
      </c>
      <c r="D40" s="2" t="s">
        <v>238</v>
      </c>
      <c r="E40" s="2" t="s">
        <v>27</v>
      </c>
      <c r="F40" s="2" t="s">
        <v>489</v>
      </c>
      <c r="G40" s="2" t="s">
        <v>27</v>
      </c>
      <c r="H40" s="2">
        <v>70018</v>
      </c>
      <c r="I40" s="2">
        <v>70100</v>
      </c>
      <c r="J40" s="2" t="s">
        <v>28</v>
      </c>
      <c r="K40" s="2" t="s">
        <v>388</v>
      </c>
      <c r="L40" s="2" t="s">
        <v>31</v>
      </c>
      <c r="M40" s="2" t="s">
        <v>491</v>
      </c>
      <c r="N40" s="3">
        <v>1214</v>
      </c>
      <c r="O40" s="2">
        <v>1420</v>
      </c>
      <c r="P40" s="2">
        <v>1450</v>
      </c>
      <c r="Q40" s="2">
        <v>1619</v>
      </c>
      <c r="R40" s="3">
        <v>483</v>
      </c>
      <c r="S40" s="2">
        <v>566</v>
      </c>
      <c r="T40" s="2">
        <v>578</v>
      </c>
      <c r="U40" s="2">
        <v>645</v>
      </c>
      <c r="V40" s="2"/>
    </row>
    <row r="41" spans="2:22" ht="20" hidden="1" x14ac:dyDescent="0.25">
      <c r="B41" s="2" t="s">
        <v>1232</v>
      </c>
      <c r="C41" s="2" t="s">
        <v>488</v>
      </c>
      <c r="D41" s="2" t="s">
        <v>238</v>
      </c>
      <c r="E41" s="2" t="s">
        <v>27</v>
      </c>
      <c r="F41" s="2" t="s">
        <v>489</v>
      </c>
      <c r="G41" s="2" t="s">
        <v>27</v>
      </c>
      <c r="H41" s="2">
        <v>70018</v>
      </c>
      <c r="I41" s="2">
        <v>70100</v>
      </c>
      <c r="J41" s="2" t="s">
        <v>28</v>
      </c>
      <c r="K41" s="2" t="s">
        <v>1232</v>
      </c>
      <c r="L41" s="2" t="s">
        <v>30</v>
      </c>
      <c r="M41" s="2" t="s">
        <v>488</v>
      </c>
      <c r="N41" s="2">
        <v>1270</v>
      </c>
      <c r="O41" s="3">
        <v>1397</v>
      </c>
      <c r="P41" s="3">
        <v>1447</v>
      </c>
      <c r="Q41" s="3">
        <v>1592</v>
      </c>
      <c r="R41" s="2">
        <v>506</v>
      </c>
      <c r="S41" s="3">
        <v>557</v>
      </c>
      <c r="T41" s="3">
        <v>576</v>
      </c>
      <c r="U41" s="3">
        <v>634</v>
      </c>
      <c r="V41" s="3"/>
    </row>
    <row r="42" spans="2:22" ht="21" hidden="1" x14ac:dyDescent="0.25">
      <c r="B42" s="4" t="s">
        <v>1018</v>
      </c>
      <c r="C42" s="4" t="s">
        <v>1019</v>
      </c>
      <c r="D42" s="4" t="s">
        <v>445</v>
      </c>
      <c r="E42" s="4" t="s">
        <v>27</v>
      </c>
      <c r="F42" s="4" t="s">
        <v>211</v>
      </c>
      <c r="G42" s="4" t="s">
        <v>27</v>
      </c>
      <c r="H42" s="4">
        <v>70266</v>
      </c>
      <c r="I42" s="4">
        <v>70570</v>
      </c>
      <c r="J42" s="4" t="s">
        <v>28</v>
      </c>
      <c r="K42" s="4" t="s">
        <v>1018</v>
      </c>
      <c r="L42" s="4" t="s">
        <v>29</v>
      </c>
      <c r="M42" s="4"/>
      <c r="N42" s="5">
        <v>1166</v>
      </c>
      <c r="O42" s="5">
        <v>1200</v>
      </c>
      <c r="P42" s="5">
        <v>1200</v>
      </c>
      <c r="Q42" s="5">
        <v>1200</v>
      </c>
      <c r="R42" s="5">
        <v>465</v>
      </c>
      <c r="S42" s="5">
        <v>478</v>
      </c>
      <c r="T42" s="5">
        <v>478</v>
      </c>
      <c r="U42" s="5">
        <v>478</v>
      </c>
      <c r="V42" s="5"/>
    </row>
    <row r="43" spans="2:22" ht="20" hidden="1" x14ac:dyDescent="0.25">
      <c r="B43" s="2" t="s">
        <v>1018</v>
      </c>
      <c r="C43" s="2" t="s">
        <v>1019</v>
      </c>
      <c r="D43" s="2" t="s">
        <v>445</v>
      </c>
      <c r="E43" s="2" t="s">
        <v>27</v>
      </c>
      <c r="F43" s="2" t="s">
        <v>211</v>
      </c>
      <c r="G43" s="2" t="s">
        <v>27</v>
      </c>
      <c r="H43" s="2">
        <v>70266</v>
      </c>
      <c r="I43" s="2">
        <v>70570</v>
      </c>
      <c r="J43" s="2" t="s">
        <v>28</v>
      </c>
      <c r="K43" s="2" t="s">
        <v>1018</v>
      </c>
      <c r="L43" s="2" t="s">
        <v>30</v>
      </c>
      <c r="M43" s="2" t="s">
        <v>1019</v>
      </c>
      <c r="N43" s="3">
        <v>1166</v>
      </c>
      <c r="O43" s="2">
        <v>1282</v>
      </c>
      <c r="P43" s="2">
        <v>1360</v>
      </c>
      <c r="Q43" s="2">
        <v>1496</v>
      </c>
      <c r="R43" s="3">
        <v>465</v>
      </c>
      <c r="S43" s="2">
        <v>511</v>
      </c>
      <c r="T43" s="2">
        <v>542</v>
      </c>
      <c r="U43" s="2">
        <v>596</v>
      </c>
      <c r="V43" s="2"/>
    </row>
    <row r="44" spans="2:22" ht="30" hidden="1" x14ac:dyDescent="0.25">
      <c r="B44" s="2" t="s">
        <v>1018</v>
      </c>
      <c r="C44" s="2" t="s">
        <v>1019</v>
      </c>
      <c r="D44" s="2" t="s">
        <v>445</v>
      </c>
      <c r="E44" s="2" t="s">
        <v>27</v>
      </c>
      <c r="F44" s="2" t="s">
        <v>211</v>
      </c>
      <c r="G44" s="2" t="s">
        <v>27</v>
      </c>
      <c r="H44" s="2">
        <v>70266</v>
      </c>
      <c r="I44" s="2">
        <v>70570</v>
      </c>
      <c r="J44" s="2" t="s">
        <v>28</v>
      </c>
      <c r="K44" s="2" t="s">
        <v>1020</v>
      </c>
      <c r="L44" s="2" t="s">
        <v>36</v>
      </c>
      <c r="M44" s="2" t="s">
        <v>447</v>
      </c>
      <c r="N44" s="2">
        <v>1200</v>
      </c>
      <c r="O44" s="3">
        <v>1200</v>
      </c>
      <c r="P44" s="3">
        <v>1200</v>
      </c>
      <c r="Q44" s="3">
        <v>1200</v>
      </c>
      <c r="R44" s="2">
        <v>478</v>
      </c>
      <c r="S44" s="3">
        <v>478</v>
      </c>
      <c r="T44" s="3">
        <v>478</v>
      </c>
      <c r="U44" s="3">
        <v>478</v>
      </c>
      <c r="V44" s="3"/>
    </row>
    <row r="45" spans="2:22" ht="21" hidden="1" x14ac:dyDescent="0.25">
      <c r="B45" s="4" t="s">
        <v>1021</v>
      </c>
      <c r="C45" s="4" t="s">
        <v>1022</v>
      </c>
      <c r="D45" s="4" t="s">
        <v>445</v>
      </c>
      <c r="E45" s="4" t="s">
        <v>27</v>
      </c>
      <c r="F45" s="4" t="s">
        <v>211</v>
      </c>
      <c r="G45" s="4" t="s">
        <v>27</v>
      </c>
      <c r="H45" s="4">
        <v>70266</v>
      </c>
      <c r="I45" s="4">
        <v>70570</v>
      </c>
      <c r="J45" s="4" t="s">
        <v>28</v>
      </c>
      <c r="K45" s="4" t="s">
        <v>1021</v>
      </c>
      <c r="L45" s="4" t="s">
        <v>29</v>
      </c>
      <c r="M45" s="4"/>
      <c r="N45" s="5">
        <v>1334</v>
      </c>
      <c r="O45" s="5">
        <v>1467</v>
      </c>
      <c r="P45" s="5">
        <v>1500</v>
      </c>
      <c r="Q45" s="5">
        <v>1650</v>
      </c>
      <c r="R45" s="5">
        <v>531</v>
      </c>
      <c r="S45" s="5">
        <v>584</v>
      </c>
      <c r="T45" s="5">
        <v>598</v>
      </c>
      <c r="U45" s="5">
        <v>657</v>
      </c>
      <c r="V45" s="5"/>
    </row>
    <row r="46" spans="2:22" ht="20" hidden="1" x14ac:dyDescent="0.25">
      <c r="B46" s="2" t="s">
        <v>1021</v>
      </c>
      <c r="C46" s="2" t="s">
        <v>1022</v>
      </c>
      <c r="D46" s="2" t="s">
        <v>445</v>
      </c>
      <c r="E46" s="2" t="s">
        <v>27</v>
      </c>
      <c r="F46" s="2" t="s">
        <v>211</v>
      </c>
      <c r="G46" s="2" t="s">
        <v>27</v>
      </c>
      <c r="H46" s="2">
        <v>70266</v>
      </c>
      <c r="I46" s="2">
        <v>70570</v>
      </c>
      <c r="J46" s="2" t="s">
        <v>28</v>
      </c>
      <c r="K46" s="2" t="s">
        <v>1021</v>
      </c>
      <c r="L46" s="2" t="s">
        <v>30</v>
      </c>
      <c r="M46" s="2" t="s">
        <v>1022</v>
      </c>
      <c r="N46" s="3">
        <v>1334</v>
      </c>
      <c r="O46" s="3">
        <v>1467</v>
      </c>
      <c r="P46" s="3">
        <v>1500</v>
      </c>
      <c r="Q46" s="3">
        <v>1650</v>
      </c>
      <c r="R46" s="3">
        <v>531</v>
      </c>
      <c r="S46" s="3">
        <v>584</v>
      </c>
      <c r="T46" s="3">
        <v>598</v>
      </c>
      <c r="U46" s="3">
        <v>657</v>
      </c>
      <c r="V46" s="3"/>
    </row>
    <row r="47" spans="2:22" ht="21" hidden="1" x14ac:dyDescent="0.25">
      <c r="B47" s="4" t="s">
        <v>1026</v>
      </c>
      <c r="C47" s="4" t="s">
        <v>1027</v>
      </c>
      <c r="D47" s="4" t="s">
        <v>445</v>
      </c>
      <c r="E47" s="4" t="s">
        <v>27</v>
      </c>
      <c r="F47" s="4" t="s">
        <v>983</v>
      </c>
      <c r="G47" s="4" t="s">
        <v>27</v>
      </c>
      <c r="H47" s="4">
        <v>70266</v>
      </c>
      <c r="I47" s="4">
        <v>70355</v>
      </c>
      <c r="J47" s="4" t="s">
        <v>28</v>
      </c>
      <c r="K47" s="4" t="s">
        <v>1026</v>
      </c>
      <c r="L47" s="4" t="s">
        <v>29</v>
      </c>
      <c r="M47" s="4"/>
      <c r="N47" s="5">
        <v>900</v>
      </c>
      <c r="O47" s="5">
        <v>990</v>
      </c>
      <c r="P47" s="5">
        <v>1157</v>
      </c>
      <c r="Q47" s="5">
        <v>1200</v>
      </c>
      <c r="R47" s="5">
        <v>359</v>
      </c>
      <c r="S47" s="5">
        <v>394</v>
      </c>
      <c r="T47" s="5">
        <v>461</v>
      </c>
      <c r="U47" s="5">
        <v>478</v>
      </c>
      <c r="V47" s="5"/>
    </row>
    <row r="48" spans="2:22" ht="20" hidden="1" x14ac:dyDescent="0.25">
      <c r="B48" s="2" t="s">
        <v>1026</v>
      </c>
      <c r="C48" s="2" t="s">
        <v>1027</v>
      </c>
      <c r="D48" s="2" t="s">
        <v>445</v>
      </c>
      <c r="E48" s="2" t="s">
        <v>27</v>
      </c>
      <c r="F48" s="2" t="s">
        <v>983</v>
      </c>
      <c r="G48" s="2" t="s">
        <v>27</v>
      </c>
      <c r="H48" s="2">
        <v>70266</v>
      </c>
      <c r="I48" s="2">
        <v>70355</v>
      </c>
      <c r="J48" s="2" t="s">
        <v>28</v>
      </c>
      <c r="K48" s="2" t="s">
        <v>1026</v>
      </c>
      <c r="L48" s="2" t="s">
        <v>30</v>
      </c>
      <c r="M48" s="2" t="s">
        <v>1027</v>
      </c>
      <c r="N48" s="3">
        <v>900</v>
      </c>
      <c r="O48" s="3">
        <v>990</v>
      </c>
      <c r="P48" s="3">
        <v>1157</v>
      </c>
      <c r="Q48" s="2">
        <v>1273</v>
      </c>
      <c r="R48" s="3">
        <v>359</v>
      </c>
      <c r="S48" s="3">
        <v>394</v>
      </c>
      <c r="T48" s="3">
        <v>461</v>
      </c>
      <c r="U48" s="2">
        <v>507</v>
      </c>
      <c r="V48" s="2"/>
    </row>
    <row r="49" spans="2:22" ht="30" hidden="1" x14ac:dyDescent="0.25">
      <c r="B49" s="2" t="s">
        <v>1026</v>
      </c>
      <c r="C49" s="2" t="s">
        <v>1027</v>
      </c>
      <c r="D49" s="2" t="s">
        <v>445</v>
      </c>
      <c r="E49" s="2" t="s">
        <v>27</v>
      </c>
      <c r="F49" s="2" t="s">
        <v>983</v>
      </c>
      <c r="G49" s="2" t="s">
        <v>27</v>
      </c>
      <c r="H49" s="2">
        <v>70266</v>
      </c>
      <c r="I49" s="2">
        <v>70355</v>
      </c>
      <c r="J49" s="2" t="s">
        <v>28</v>
      </c>
      <c r="K49" s="2" t="s">
        <v>1028</v>
      </c>
      <c r="L49" s="2" t="s">
        <v>36</v>
      </c>
      <c r="M49" s="2" t="s">
        <v>984</v>
      </c>
      <c r="N49" s="2">
        <v>1200</v>
      </c>
      <c r="O49" s="2">
        <v>1200</v>
      </c>
      <c r="P49" s="2">
        <v>1200</v>
      </c>
      <c r="Q49" s="3">
        <v>1200</v>
      </c>
      <c r="R49" s="2">
        <v>478</v>
      </c>
      <c r="S49" s="2">
        <v>478</v>
      </c>
      <c r="T49" s="2">
        <v>478</v>
      </c>
      <c r="U49" s="3">
        <v>478</v>
      </c>
      <c r="V49" s="3"/>
    </row>
    <row r="50" spans="2:22" ht="30" hidden="1" x14ac:dyDescent="0.25">
      <c r="B50" s="2" t="s">
        <v>1026</v>
      </c>
      <c r="C50" s="2" t="s">
        <v>1027</v>
      </c>
      <c r="D50" s="2" t="s">
        <v>445</v>
      </c>
      <c r="E50" s="2" t="s">
        <v>27</v>
      </c>
      <c r="F50" s="2" t="s">
        <v>983</v>
      </c>
      <c r="G50" s="2" t="s">
        <v>27</v>
      </c>
      <c r="H50" s="2">
        <v>70266</v>
      </c>
      <c r="I50" s="2">
        <v>70355</v>
      </c>
      <c r="J50" s="2" t="s">
        <v>28</v>
      </c>
      <c r="K50" s="2" t="s">
        <v>1029</v>
      </c>
      <c r="L50" s="2" t="s">
        <v>36</v>
      </c>
      <c r="M50" s="2" t="s">
        <v>447</v>
      </c>
      <c r="N50" s="2">
        <v>1200</v>
      </c>
      <c r="O50" s="2">
        <v>1200</v>
      </c>
      <c r="P50" s="2">
        <v>1200</v>
      </c>
      <c r="Q50" s="3">
        <v>1200</v>
      </c>
      <c r="R50" s="2">
        <v>478</v>
      </c>
      <c r="S50" s="2">
        <v>478</v>
      </c>
      <c r="T50" s="2">
        <v>478</v>
      </c>
      <c r="U50" s="3">
        <v>478</v>
      </c>
      <c r="V50" s="3"/>
    </row>
    <row r="51" spans="2:22" ht="21" hidden="1" x14ac:dyDescent="0.25">
      <c r="B51" s="4" t="s">
        <v>774</v>
      </c>
      <c r="C51" s="4" t="s">
        <v>775</v>
      </c>
      <c r="D51" s="4" t="s">
        <v>767</v>
      </c>
      <c r="E51" s="4" t="s">
        <v>27</v>
      </c>
      <c r="F51" s="4" t="s">
        <v>776</v>
      </c>
      <c r="G51" s="4" t="s">
        <v>40</v>
      </c>
      <c r="H51" s="4">
        <v>70192</v>
      </c>
      <c r="I51" s="4">
        <v>70605</v>
      </c>
      <c r="J51" s="4" t="s">
        <v>28</v>
      </c>
      <c r="K51" s="4" t="s">
        <v>774</v>
      </c>
      <c r="L51" s="4" t="s">
        <v>29</v>
      </c>
      <c r="M51" s="4"/>
      <c r="N51" s="5">
        <v>1270</v>
      </c>
      <c r="O51" s="5">
        <v>1397</v>
      </c>
      <c r="P51" s="5">
        <v>1447</v>
      </c>
      <c r="Q51" s="5">
        <v>1592</v>
      </c>
      <c r="R51" s="5">
        <v>506</v>
      </c>
      <c r="S51" s="5">
        <v>557</v>
      </c>
      <c r="T51" s="5">
        <v>576</v>
      </c>
      <c r="U51" s="5">
        <v>634</v>
      </c>
      <c r="V51" s="5"/>
    </row>
    <row r="52" spans="2:22" ht="20" hidden="1" x14ac:dyDescent="0.25">
      <c r="B52" s="2" t="s">
        <v>774</v>
      </c>
      <c r="C52" s="2" t="s">
        <v>775</v>
      </c>
      <c r="D52" s="2" t="s">
        <v>767</v>
      </c>
      <c r="E52" s="2" t="s">
        <v>27</v>
      </c>
      <c r="F52" s="2" t="s">
        <v>776</v>
      </c>
      <c r="G52" s="2" t="s">
        <v>40</v>
      </c>
      <c r="H52" s="2">
        <v>70192</v>
      </c>
      <c r="I52" s="2">
        <v>70605</v>
      </c>
      <c r="J52" s="2" t="s">
        <v>28</v>
      </c>
      <c r="K52" s="2" t="s">
        <v>774</v>
      </c>
      <c r="L52" s="2" t="s">
        <v>30</v>
      </c>
      <c r="M52" s="2" t="s">
        <v>775</v>
      </c>
      <c r="N52" s="3">
        <v>1270</v>
      </c>
      <c r="O52" s="3">
        <v>1397</v>
      </c>
      <c r="P52" s="3">
        <v>1447</v>
      </c>
      <c r="Q52" s="3">
        <v>1592</v>
      </c>
      <c r="R52" s="3">
        <v>506</v>
      </c>
      <c r="S52" s="3">
        <v>557</v>
      </c>
      <c r="T52" s="3">
        <v>576</v>
      </c>
      <c r="U52" s="3">
        <v>634</v>
      </c>
      <c r="V52" s="3"/>
    </row>
    <row r="53" spans="2:22" ht="31.5" hidden="1" x14ac:dyDescent="0.25">
      <c r="B53" s="4" t="s">
        <v>532</v>
      </c>
      <c r="C53" s="4" t="s">
        <v>533</v>
      </c>
      <c r="D53" s="4" t="s">
        <v>294</v>
      </c>
      <c r="E53" s="4" t="s">
        <v>27</v>
      </c>
      <c r="F53" s="4" t="s">
        <v>534</v>
      </c>
      <c r="G53" s="4" t="s">
        <v>27</v>
      </c>
      <c r="H53" s="4">
        <v>70107</v>
      </c>
      <c r="I53" s="4">
        <v>70609</v>
      </c>
      <c r="J53" s="4" t="s">
        <v>28</v>
      </c>
      <c r="K53" s="4" t="s">
        <v>532</v>
      </c>
      <c r="L53" s="4" t="s">
        <v>29</v>
      </c>
      <c r="M53" s="4"/>
      <c r="N53" s="5">
        <v>1271</v>
      </c>
      <c r="O53" s="5">
        <v>1398</v>
      </c>
      <c r="P53" s="5">
        <v>1448</v>
      </c>
      <c r="Q53" s="5">
        <v>1593</v>
      </c>
      <c r="R53" s="5">
        <v>506</v>
      </c>
      <c r="S53" s="5">
        <v>557</v>
      </c>
      <c r="T53" s="5">
        <v>577</v>
      </c>
      <c r="U53" s="5">
        <v>635</v>
      </c>
      <c r="V53" s="5"/>
    </row>
    <row r="54" spans="2:22" ht="30" hidden="1" x14ac:dyDescent="0.25">
      <c r="B54" s="2" t="s">
        <v>532</v>
      </c>
      <c r="C54" s="2" t="s">
        <v>533</v>
      </c>
      <c r="D54" s="2" t="s">
        <v>294</v>
      </c>
      <c r="E54" s="2" t="s">
        <v>27</v>
      </c>
      <c r="F54" s="2" t="s">
        <v>534</v>
      </c>
      <c r="G54" s="2" t="s">
        <v>27</v>
      </c>
      <c r="H54" s="2">
        <v>70107</v>
      </c>
      <c r="I54" s="2">
        <v>70609</v>
      </c>
      <c r="J54" s="2" t="s">
        <v>28</v>
      </c>
      <c r="K54" s="2" t="s">
        <v>532</v>
      </c>
      <c r="L54" s="2" t="s">
        <v>30</v>
      </c>
      <c r="M54" s="2" t="s">
        <v>533</v>
      </c>
      <c r="N54" s="3">
        <v>1271</v>
      </c>
      <c r="O54" s="3">
        <v>1398</v>
      </c>
      <c r="P54" s="3">
        <v>1448</v>
      </c>
      <c r="Q54" s="3">
        <v>1593</v>
      </c>
      <c r="R54" s="3">
        <v>506</v>
      </c>
      <c r="S54" s="3">
        <v>557</v>
      </c>
      <c r="T54" s="3">
        <v>577</v>
      </c>
      <c r="U54" s="3">
        <v>635</v>
      </c>
      <c r="V54" s="3"/>
    </row>
    <row r="55" spans="2:22" ht="31.5" hidden="1" x14ac:dyDescent="0.25">
      <c r="B55" s="4" t="s">
        <v>511</v>
      </c>
      <c r="C55" s="4" t="s">
        <v>512</v>
      </c>
      <c r="D55" s="4" t="s">
        <v>294</v>
      </c>
      <c r="E55" s="4" t="s">
        <v>27</v>
      </c>
      <c r="F55" s="4" t="s">
        <v>513</v>
      </c>
      <c r="G55" s="4" t="s">
        <v>27</v>
      </c>
      <c r="H55" s="4">
        <v>70107</v>
      </c>
      <c r="I55" s="4">
        <v>70324</v>
      </c>
      <c r="J55" s="4" t="s">
        <v>28</v>
      </c>
      <c r="K55" s="4" t="s">
        <v>511</v>
      </c>
      <c r="L55" s="4" t="s">
        <v>29</v>
      </c>
      <c r="M55" s="4"/>
      <c r="N55" s="5">
        <v>1943</v>
      </c>
      <c r="O55" s="5">
        <v>2295</v>
      </c>
      <c r="P55" s="5">
        <v>2200</v>
      </c>
      <c r="Q55" s="5">
        <v>2400</v>
      </c>
      <c r="R55" s="5">
        <v>774</v>
      </c>
      <c r="S55" s="5">
        <v>914</v>
      </c>
      <c r="T55" s="5">
        <v>876</v>
      </c>
      <c r="U55" s="5">
        <v>956</v>
      </c>
      <c r="V55" s="5"/>
    </row>
    <row r="56" spans="2:22" ht="30" hidden="1" x14ac:dyDescent="0.25">
      <c r="B56" s="2" t="s">
        <v>511</v>
      </c>
      <c r="C56" s="2" t="s">
        <v>512</v>
      </c>
      <c r="D56" s="2" t="s">
        <v>294</v>
      </c>
      <c r="E56" s="2" t="s">
        <v>27</v>
      </c>
      <c r="F56" s="2" t="s">
        <v>513</v>
      </c>
      <c r="G56" s="2" t="s">
        <v>27</v>
      </c>
      <c r="H56" s="2">
        <v>70107</v>
      </c>
      <c r="I56" s="2">
        <v>70324</v>
      </c>
      <c r="J56" s="2" t="s">
        <v>28</v>
      </c>
      <c r="K56" s="2" t="s">
        <v>514</v>
      </c>
      <c r="L56" s="2" t="s">
        <v>31</v>
      </c>
      <c r="M56" s="2" t="s">
        <v>515</v>
      </c>
      <c r="N56" s="3">
        <v>1943</v>
      </c>
      <c r="O56" s="3">
        <v>2295</v>
      </c>
      <c r="P56" s="2">
        <v>2340</v>
      </c>
      <c r="Q56" s="2">
        <v>2626</v>
      </c>
      <c r="R56" s="3">
        <v>774</v>
      </c>
      <c r="S56" s="3">
        <v>914</v>
      </c>
      <c r="T56" s="2">
        <v>932</v>
      </c>
      <c r="U56" s="2">
        <v>1046</v>
      </c>
      <c r="V56" s="2"/>
    </row>
    <row r="57" spans="2:22" ht="30" hidden="1" x14ac:dyDescent="0.25">
      <c r="B57" s="2" t="s">
        <v>511</v>
      </c>
      <c r="C57" s="2" t="s">
        <v>512</v>
      </c>
      <c r="D57" s="2" t="s">
        <v>294</v>
      </c>
      <c r="E57" s="2" t="s">
        <v>27</v>
      </c>
      <c r="F57" s="2" t="s">
        <v>513</v>
      </c>
      <c r="G57" s="2" t="s">
        <v>27</v>
      </c>
      <c r="H57" s="2">
        <v>70107</v>
      </c>
      <c r="I57" s="2">
        <v>70324</v>
      </c>
      <c r="J57" s="2" t="s">
        <v>28</v>
      </c>
      <c r="K57" s="2" t="s">
        <v>511</v>
      </c>
      <c r="L57" s="2" t="s">
        <v>30</v>
      </c>
      <c r="M57" s="2" t="s">
        <v>512</v>
      </c>
      <c r="N57" s="2">
        <v>2200</v>
      </c>
      <c r="O57" s="2">
        <v>2420</v>
      </c>
      <c r="P57" s="3">
        <v>2200</v>
      </c>
      <c r="Q57" s="2">
        <v>2420</v>
      </c>
      <c r="R57" s="2">
        <v>876</v>
      </c>
      <c r="S57" s="2">
        <v>964</v>
      </c>
      <c r="T57" s="3">
        <v>876</v>
      </c>
      <c r="U57" s="2">
        <v>964</v>
      </c>
      <c r="V57" s="2"/>
    </row>
    <row r="58" spans="2:22" ht="30" hidden="1" x14ac:dyDescent="0.25">
      <c r="B58" s="2" t="s">
        <v>511</v>
      </c>
      <c r="C58" s="2" t="s">
        <v>512</v>
      </c>
      <c r="D58" s="2" t="s">
        <v>294</v>
      </c>
      <c r="E58" s="2" t="s">
        <v>27</v>
      </c>
      <c r="F58" s="2" t="s">
        <v>513</v>
      </c>
      <c r="G58" s="2" t="s">
        <v>27</v>
      </c>
      <c r="H58" s="2">
        <v>70107</v>
      </c>
      <c r="I58" s="2">
        <v>70324</v>
      </c>
      <c r="J58" s="2" t="s">
        <v>28</v>
      </c>
      <c r="K58" s="2" t="s">
        <v>516</v>
      </c>
      <c r="L58" s="2" t="s">
        <v>36</v>
      </c>
      <c r="M58" s="2" t="s">
        <v>515</v>
      </c>
      <c r="N58" s="2">
        <v>2400</v>
      </c>
      <c r="O58" s="2">
        <v>2400</v>
      </c>
      <c r="P58" s="2">
        <v>2400</v>
      </c>
      <c r="Q58" s="3">
        <v>2400</v>
      </c>
      <c r="R58" s="2">
        <v>956</v>
      </c>
      <c r="S58" s="2">
        <v>956</v>
      </c>
      <c r="T58" s="2">
        <v>956</v>
      </c>
      <c r="U58" s="3">
        <v>956</v>
      </c>
      <c r="V58" s="3"/>
    </row>
    <row r="59" spans="2:22" ht="30" hidden="1" x14ac:dyDescent="0.25">
      <c r="B59" s="2" t="s">
        <v>511</v>
      </c>
      <c r="C59" s="2" t="s">
        <v>512</v>
      </c>
      <c r="D59" s="2" t="s">
        <v>294</v>
      </c>
      <c r="E59" s="2" t="s">
        <v>27</v>
      </c>
      <c r="F59" s="2" t="s">
        <v>513</v>
      </c>
      <c r="G59" s="2" t="s">
        <v>27</v>
      </c>
      <c r="H59" s="2">
        <v>70107</v>
      </c>
      <c r="I59" s="2">
        <v>70324</v>
      </c>
      <c r="J59" s="2" t="s">
        <v>28</v>
      </c>
      <c r="K59" s="2" t="s">
        <v>517</v>
      </c>
      <c r="L59" s="2" t="s">
        <v>36</v>
      </c>
      <c r="M59" s="2" t="s">
        <v>518</v>
      </c>
      <c r="N59" s="2">
        <v>2400</v>
      </c>
      <c r="O59" s="2">
        <v>2400</v>
      </c>
      <c r="P59" s="2">
        <v>2400</v>
      </c>
      <c r="Q59" s="3">
        <v>2400</v>
      </c>
      <c r="R59" s="2">
        <v>956</v>
      </c>
      <c r="S59" s="2">
        <v>956</v>
      </c>
      <c r="T59" s="2">
        <v>956</v>
      </c>
      <c r="U59" s="3">
        <v>956</v>
      </c>
      <c r="V59" s="3"/>
    </row>
    <row r="60" spans="2:22" ht="30" hidden="1" x14ac:dyDescent="0.25">
      <c r="B60" s="2" t="s">
        <v>511</v>
      </c>
      <c r="C60" s="2" t="s">
        <v>512</v>
      </c>
      <c r="D60" s="2" t="s">
        <v>294</v>
      </c>
      <c r="E60" s="2" t="s">
        <v>27</v>
      </c>
      <c r="F60" s="2" t="s">
        <v>513</v>
      </c>
      <c r="G60" s="2" t="s">
        <v>27</v>
      </c>
      <c r="H60" s="2">
        <v>70107</v>
      </c>
      <c r="I60" s="2">
        <v>70324</v>
      </c>
      <c r="J60" s="2" t="s">
        <v>28</v>
      </c>
      <c r="K60" s="2" t="s">
        <v>519</v>
      </c>
      <c r="L60" s="2" t="s">
        <v>36</v>
      </c>
      <c r="M60" s="2" t="s">
        <v>518</v>
      </c>
      <c r="N60" s="2">
        <v>2400</v>
      </c>
      <c r="O60" s="2">
        <v>2400</v>
      </c>
      <c r="P60" s="2">
        <v>2400</v>
      </c>
      <c r="Q60" s="3">
        <v>2400</v>
      </c>
      <c r="R60" s="2">
        <v>956</v>
      </c>
      <c r="S60" s="2">
        <v>956</v>
      </c>
      <c r="T60" s="2">
        <v>956</v>
      </c>
      <c r="U60" s="3">
        <v>956</v>
      </c>
      <c r="V60" s="3"/>
    </row>
    <row r="61" spans="2:22" ht="30" hidden="1" x14ac:dyDescent="0.25">
      <c r="B61" s="2" t="s">
        <v>511</v>
      </c>
      <c r="C61" s="2" t="s">
        <v>512</v>
      </c>
      <c r="D61" s="2" t="s">
        <v>294</v>
      </c>
      <c r="E61" s="2" t="s">
        <v>27</v>
      </c>
      <c r="F61" s="2" t="s">
        <v>513</v>
      </c>
      <c r="G61" s="2" t="s">
        <v>27</v>
      </c>
      <c r="H61" s="2">
        <v>70107</v>
      </c>
      <c r="I61" s="2">
        <v>70324</v>
      </c>
      <c r="J61" s="2" t="s">
        <v>28</v>
      </c>
      <c r="K61" s="2" t="s">
        <v>520</v>
      </c>
      <c r="L61" s="2" t="s">
        <v>36</v>
      </c>
      <c r="M61" s="2" t="s">
        <v>518</v>
      </c>
      <c r="N61" s="2">
        <v>2400</v>
      </c>
      <c r="O61" s="2">
        <v>2400</v>
      </c>
      <c r="P61" s="2">
        <v>2400</v>
      </c>
      <c r="Q61" s="3">
        <v>2400</v>
      </c>
      <c r="R61" s="2">
        <v>956</v>
      </c>
      <c r="S61" s="2">
        <v>956</v>
      </c>
      <c r="T61" s="2">
        <v>956</v>
      </c>
      <c r="U61" s="3">
        <v>956</v>
      </c>
      <c r="V61" s="3"/>
    </row>
    <row r="62" spans="2:22" ht="30" hidden="1" x14ac:dyDescent="0.25">
      <c r="B62" s="2" t="s">
        <v>511</v>
      </c>
      <c r="C62" s="2" t="s">
        <v>512</v>
      </c>
      <c r="D62" s="2" t="s">
        <v>294</v>
      </c>
      <c r="E62" s="2" t="s">
        <v>27</v>
      </c>
      <c r="F62" s="2" t="s">
        <v>513</v>
      </c>
      <c r="G62" s="2" t="s">
        <v>27</v>
      </c>
      <c r="H62" s="2">
        <v>70107</v>
      </c>
      <c r="I62" s="2">
        <v>70324</v>
      </c>
      <c r="J62" s="2" t="s">
        <v>28</v>
      </c>
      <c r="K62" s="2" t="s">
        <v>521</v>
      </c>
      <c r="L62" s="2" t="s">
        <v>39</v>
      </c>
      <c r="M62" s="2" t="s">
        <v>518</v>
      </c>
      <c r="N62" s="2">
        <v>2400</v>
      </c>
      <c r="O62" s="2">
        <v>2400</v>
      </c>
      <c r="P62" s="2">
        <v>2400</v>
      </c>
      <c r="Q62" s="3">
        <v>2400</v>
      </c>
      <c r="R62" s="2">
        <v>956</v>
      </c>
      <c r="S62" s="2">
        <v>956</v>
      </c>
      <c r="T62" s="2">
        <v>956</v>
      </c>
      <c r="U62" s="3">
        <v>956</v>
      </c>
      <c r="V62" s="3"/>
    </row>
    <row r="63" spans="2:22" ht="31.5" hidden="1" x14ac:dyDescent="0.25">
      <c r="B63" s="4" t="s">
        <v>291</v>
      </c>
      <c r="C63" s="4" t="s">
        <v>292</v>
      </c>
      <c r="D63" s="4" t="s">
        <v>293</v>
      </c>
      <c r="E63" s="4" t="s">
        <v>27</v>
      </c>
      <c r="F63" s="4" t="s">
        <v>294</v>
      </c>
      <c r="G63" s="4" t="s">
        <v>27</v>
      </c>
      <c r="H63" s="4">
        <v>70041</v>
      </c>
      <c r="I63" s="4">
        <v>70107</v>
      </c>
      <c r="J63" s="4" t="s">
        <v>28</v>
      </c>
      <c r="K63" s="4" t="s">
        <v>291</v>
      </c>
      <c r="L63" s="4" t="s">
        <v>29</v>
      </c>
      <c r="M63" s="4"/>
      <c r="N63" s="5">
        <v>1270</v>
      </c>
      <c r="O63" s="5">
        <v>1397</v>
      </c>
      <c r="P63" s="5">
        <v>1447</v>
      </c>
      <c r="Q63" s="5">
        <v>1592</v>
      </c>
      <c r="R63" s="5">
        <v>506</v>
      </c>
      <c r="S63" s="5">
        <v>557</v>
      </c>
      <c r="T63" s="5">
        <v>576</v>
      </c>
      <c r="U63" s="5">
        <v>634</v>
      </c>
      <c r="V63" s="5"/>
    </row>
    <row r="64" spans="2:22" ht="30" hidden="1" x14ac:dyDescent="0.25">
      <c r="B64" s="2" t="s">
        <v>291</v>
      </c>
      <c r="C64" s="2" t="s">
        <v>292</v>
      </c>
      <c r="D64" s="2" t="s">
        <v>293</v>
      </c>
      <c r="E64" s="2" t="s">
        <v>27</v>
      </c>
      <c r="F64" s="2" t="s">
        <v>294</v>
      </c>
      <c r="G64" s="2" t="s">
        <v>27</v>
      </c>
      <c r="H64" s="2">
        <v>70041</v>
      </c>
      <c r="I64" s="2">
        <v>70107</v>
      </c>
      <c r="J64" s="2" t="s">
        <v>28</v>
      </c>
      <c r="K64" s="2" t="s">
        <v>291</v>
      </c>
      <c r="L64" s="2" t="s">
        <v>30</v>
      </c>
      <c r="M64" s="2" t="s">
        <v>292</v>
      </c>
      <c r="N64" s="3">
        <v>1270</v>
      </c>
      <c r="O64" s="3">
        <v>1397</v>
      </c>
      <c r="P64" s="3">
        <v>1447</v>
      </c>
      <c r="Q64" s="3">
        <v>1592</v>
      </c>
      <c r="R64" s="3">
        <v>506</v>
      </c>
      <c r="S64" s="3">
        <v>557</v>
      </c>
      <c r="T64" s="3">
        <v>576</v>
      </c>
      <c r="U64" s="3">
        <v>634</v>
      </c>
      <c r="V64" s="3"/>
    </row>
    <row r="65" spans="2:22" ht="21" hidden="1" x14ac:dyDescent="0.25">
      <c r="B65" s="4" t="s">
        <v>1190</v>
      </c>
      <c r="C65" s="4" t="s">
        <v>292</v>
      </c>
      <c r="D65" s="4" t="s">
        <v>983</v>
      </c>
      <c r="E65" s="4" t="s">
        <v>27</v>
      </c>
      <c r="F65" s="4" t="s">
        <v>293</v>
      </c>
      <c r="G65" s="4" t="s">
        <v>27</v>
      </c>
      <c r="H65" s="4">
        <v>70355</v>
      </c>
      <c r="I65" s="4">
        <v>70041</v>
      </c>
      <c r="J65" s="4" t="s">
        <v>28</v>
      </c>
      <c r="K65" s="4" t="s">
        <v>1190</v>
      </c>
      <c r="L65" s="4" t="s">
        <v>29</v>
      </c>
      <c r="M65" s="4"/>
      <c r="N65" s="5">
        <v>1270</v>
      </c>
      <c r="O65" s="5">
        <v>1397</v>
      </c>
      <c r="P65" s="5">
        <v>1447</v>
      </c>
      <c r="Q65" s="5">
        <v>1592</v>
      </c>
      <c r="R65" s="5">
        <v>506</v>
      </c>
      <c r="S65" s="5">
        <v>557</v>
      </c>
      <c r="T65" s="5">
        <v>576</v>
      </c>
      <c r="U65" s="5">
        <v>634</v>
      </c>
      <c r="V65" s="5"/>
    </row>
    <row r="66" spans="2:22" ht="20" hidden="1" x14ac:dyDescent="0.25">
      <c r="B66" s="2" t="s">
        <v>1190</v>
      </c>
      <c r="C66" s="2" t="s">
        <v>292</v>
      </c>
      <c r="D66" s="2" t="s">
        <v>983</v>
      </c>
      <c r="E66" s="2" t="s">
        <v>27</v>
      </c>
      <c r="F66" s="2" t="s">
        <v>293</v>
      </c>
      <c r="G66" s="2" t="s">
        <v>27</v>
      </c>
      <c r="H66" s="2">
        <v>70355</v>
      </c>
      <c r="I66" s="2">
        <v>70041</v>
      </c>
      <c r="J66" s="2" t="s">
        <v>28</v>
      </c>
      <c r="K66" s="2" t="s">
        <v>1190</v>
      </c>
      <c r="L66" s="2" t="s">
        <v>30</v>
      </c>
      <c r="M66" s="2" t="s">
        <v>292</v>
      </c>
      <c r="N66" s="3">
        <v>1270</v>
      </c>
      <c r="O66" s="3">
        <v>1397</v>
      </c>
      <c r="P66" s="3">
        <v>1447</v>
      </c>
      <c r="Q66" s="3">
        <v>1592</v>
      </c>
      <c r="R66" s="3">
        <v>506</v>
      </c>
      <c r="S66" s="3">
        <v>557</v>
      </c>
      <c r="T66" s="3">
        <v>576</v>
      </c>
      <c r="U66" s="3">
        <v>634</v>
      </c>
      <c r="V66" s="3"/>
    </row>
    <row r="67" spans="2:22" ht="21" hidden="1" x14ac:dyDescent="0.25">
      <c r="B67" s="4" t="s">
        <v>628</v>
      </c>
      <c r="C67" s="4" t="s">
        <v>629</v>
      </c>
      <c r="D67" s="4" t="s">
        <v>616</v>
      </c>
      <c r="E67" s="4" t="s">
        <v>27</v>
      </c>
      <c r="F67" s="4" t="s">
        <v>630</v>
      </c>
      <c r="G67" s="4" t="s">
        <v>27</v>
      </c>
      <c r="H67" s="4">
        <v>70139</v>
      </c>
      <c r="I67" s="4">
        <v>70278</v>
      </c>
      <c r="J67" s="4" t="s">
        <v>28</v>
      </c>
      <c r="K67" s="4" t="s">
        <v>628</v>
      </c>
      <c r="L67" s="4" t="s">
        <v>29</v>
      </c>
      <c r="M67" s="4"/>
      <c r="N67" s="5">
        <v>1200</v>
      </c>
      <c r="O67" s="5">
        <v>1200</v>
      </c>
      <c r="P67" s="5">
        <v>1200</v>
      </c>
      <c r="Q67" s="5">
        <v>1200</v>
      </c>
      <c r="R67" s="5">
        <v>478</v>
      </c>
      <c r="S67" s="5">
        <v>478</v>
      </c>
      <c r="T67" s="5">
        <v>478</v>
      </c>
      <c r="U67" s="5">
        <v>478</v>
      </c>
      <c r="V67" s="5"/>
    </row>
    <row r="68" spans="2:22" ht="30" hidden="1" x14ac:dyDescent="0.25">
      <c r="B68" s="2" t="s">
        <v>628</v>
      </c>
      <c r="C68" s="2" t="s">
        <v>629</v>
      </c>
      <c r="D68" s="2" t="s">
        <v>616</v>
      </c>
      <c r="E68" s="2" t="s">
        <v>27</v>
      </c>
      <c r="F68" s="2" t="s">
        <v>630</v>
      </c>
      <c r="G68" s="2" t="s">
        <v>27</v>
      </c>
      <c r="H68" s="2">
        <v>70139</v>
      </c>
      <c r="I68" s="2">
        <v>70278</v>
      </c>
      <c r="J68" s="2" t="s">
        <v>28</v>
      </c>
      <c r="K68" s="2" t="s">
        <v>631</v>
      </c>
      <c r="L68" s="2" t="s">
        <v>36</v>
      </c>
      <c r="M68" s="2" t="s">
        <v>617</v>
      </c>
      <c r="N68" s="3">
        <v>1200</v>
      </c>
      <c r="O68" s="3">
        <v>1200</v>
      </c>
      <c r="P68" s="3">
        <v>1200</v>
      </c>
      <c r="Q68" s="3">
        <v>1200</v>
      </c>
      <c r="R68" s="3">
        <v>478</v>
      </c>
      <c r="S68" s="3">
        <v>478</v>
      </c>
      <c r="T68" s="3">
        <v>478</v>
      </c>
      <c r="U68" s="3">
        <v>478</v>
      </c>
      <c r="V68" s="3"/>
    </row>
    <row r="69" spans="2:22" ht="30" hidden="1" x14ac:dyDescent="0.25">
      <c r="B69" s="2" t="s">
        <v>628</v>
      </c>
      <c r="C69" s="2" t="s">
        <v>629</v>
      </c>
      <c r="D69" s="2" t="s">
        <v>616</v>
      </c>
      <c r="E69" s="2" t="s">
        <v>27</v>
      </c>
      <c r="F69" s="2" t="s">
        <v>630</v>
      </c>
      <c r="G69" s="2" t="s">
        <v>27</v>
      </c>
      <c r="H69" s="2">
        <v>70139</v>
      </c>
      <c r="I69" s="2">
        <v>70278</v>
      </c>
      <c r="J69" s="2" t="s">
        <v>28</v>
      </c>
      <c r="K69" s="2" t="s">
        <v>633</v>
      </c>
      <c r="L69" s="2" t="s">
        <v>36</v>
      </c>
      <c r="M69" s="2" t="s">
        <v>617</v>
      </c>
      <c r="N69" s="3">
        <v>1200</v>
      </c>
      <c r="O69" s="3">
        <v>1200</v>
      </c>
      <c r="P69" s="3">
        <v>1200</v>
      </c>
      <c r="Q69" s="3">
        <v>1200</v>
      </c>
      <c r="R69" s="3">
        <v>478</v>
      </c>
      <c r="S69" s="3">
        <v>478</v>
      </c>
      <c r="T69" s="3">
        <v>478</v>
      </c>
      <c r="U69" s="3">
        <v>478</v>
      </c>
      <c r="V69" s="3"/>
    </row>
    <row r="70" spans="2:22" ht="30" hidden="1" x14ac:dyDescent="0.25">
      <c r="B70" s="2" t="s">
        <v>628</v>
      </c>
      <c r="C70" s="2" t="s">
        <v>629</v>
      </c>
      <c r="D70" s="2" t="s">
        <v>616</v>
      </c>
      <c r="E70" s="2" t="s">
        <v>27</v>
      </c>
      <c r="F70" s="2" t="s">
        <v>630</v>
      </c>
      <c r="G70" s="2" t="s">
        <v>27</v>
      </c>
      <c r="H70" s="2">
        <v>70139</v>
      </c>
      <c r="I70" s="2">
        <v>70278</v>
      </c>
      <c r="J70" s="2" t="s">
        <v>28</v>
      </c>
      <c r="K70" s="2" t="s">
        <v>632</v>
      </c>
      <c r="L70" s="2" t="s">
        <v>36</v>
      </c>
      <c r="M70" s="2" t="s">
        <v>617</v>
      </c>
      <c r="N70" s="3">
        <v>1200</v>
      </c>
      <c r="O70" s="3">
        <v>1200</v>
      </c>
      <c r="P70" s="3">
        <v>1200</v>
      </c>
      <c r="Q70" s="3">
        <v>1200</v>
      </c>
      <c r="R70" s="3">
        <v>478</v>
      </c>
      <c r="S70" s="3">
        <v>478</v>
      </c>
      <c r="T70" s="3">
        <v>478</v>
      </c>
      <c r="U70" s="3">
        <v>478</v>
      </c>
      <c r="V70" s="3"/>
    </row>
    <row r="71" spans="2:22" ht="21" hidden="1" x14ac:dyDescent="0.25">
      <c r="B71" s="4" t="s">
        <v>1048</v>
      </c>
      <c r="C71" s="4" t="s">
        <v>629</v>
      </c>
      <c r="D71" s="4" t="s">
        <v>630</v>
      </c>
      <c r="E71" s="4" t="s">
        <v>27</v>
      </c>
      <c r="F71" s="4" t="s">
        <v>490</v>
      </c>
      <c r="G71" s="4" t="s">
        <v>27</v>
      </c>
      <c r="H71" s="4">
        <v>70278</v>
      </c>
      <c r="I71" s="4">
        <v>70464</v>
      </c>
      <c r="J71" s="4" t="s">
        <v>28</v>
      </c>
      <c r="K71" s="4" t="s">
        <v>1048</v>
      </c>
      <c r="L71" s="4" t="s">
        <v>29</v>
      </c>
      <c r="M71" s="4"/>
      <c r="N71" s="5">
        <v>1270</v>
      </c>
      <c r="O71" s="5">
        <v>1397</v>
      </c>
      <c r="P71" s="5">
        <v>1447</v>
      </c>
      <c r="Q71" s="5">
        <v>1592</v>
      </c>
      <c r="R71" s="5">
        <v>506</v>
      </c>
      <c r="S71" s="5">
        <v>557</v>
      </c>
      <c r="T71" s="5">
        <v>576</v>
      </c>
      <c r="U71" s="5">
        <v>634</v>
      </c>
      <c r="V71" s="5"/>
    </row>
    <row r="72" spans="2:22" ht="20" hidden="1" x14ac:dyDescent="0.25">
      <c r="B72" s="2" t="s">
        <v>1048</v>
      </c>
      <c r="C72" s="2" t="s">
        <v>629</v>
      </c>
      <c r="D72" s="2" t="s">
        <v>630</v>
      </c>
      <c r="E72" s="2" t="s">
        <v>27</v>
      </c>
      <c r="F72" s="2" t="s">
        <v>490</v>
      </c>
      <c r="G72" s="2" t="s">
        <v>27</v>
      </c>
      <c r="H72" s="2">
        <v>70278</v>
      </c>
      <c r="I72" s="2">
        <v>70464</v>
      </c>
      <c r="J72" s="2" t="s">
        <v>28</v>
      </c>
      <c r="K72" s="2" t="s">
        <v>1048</v>
      </c>
      <c r="L72" s="2" t="s">
        <v>30</v>
      </c>
      <c r="M72" s="2" t="s">
        <v>629</v>
      </c>
      <c r="N72" s="3">
        <v>1270</v>
      </c>
      <c r="O72" s="3">
        <v>1397</v>
      </c>
      <c r="P72" s="3">
        <v>1447</v>
      </c>
      <c r="Q72" s="3">
        <v>1592</v>
      </c>
      <c r="R72" s="3">
        <v>506</v>
      </c>
      <c r="S72" s="3">
        <v>557</v>
      </c>
      <c r="T72" s="3">
        <v>576</v>
      </c>
      <c r="U72" s="3">
        <v>634</v>
      </c>
      <c r="V72" s="3"/>
    </row>
    <row r="73" spans="2:22" ht="21" hidden="1" x14ac:dyDescent="0.25">
      <c r="B73" s="4" t="s">
        <v>261</v>
      </c>
      <c r="C73" s="4" t="s">
        <v>262</v>
      </c>
      <c r="D73" s="4" t="s">
        <v>33</v>
      </c>
      <c r="E73" s="4" t="s">
        <v>27</v>
      </c>
      <c r="F73" s="4" t="s">
        <v>263</v>
      </c>
      <c r="G73" s="4" t="s">
        <v>27</v>
      </c>
      <c r="H73" s="4">
        <v>70038</v>
      </c>
      <c r="I73" s="4">
        <v>2122</v>
      </c>
      <c r="J73" s="4" t="s">
        <v>28</v>
      </c>
      <c r="K73" s="4" t="s">
        <v>261</v>
      </c>
      <c r="L73" s="4" t="s">
        <v>29</v>
      </c>
      <c r="M73" s="4"/>
      <c r="N73" s="5">
        <v>1270</v>
      </c>
      <c r="O73" s="5">
        <v>1397</v>
      </c>
      <c r="P73" s="5">
        <v>1447</v>
      </c>
      <c r="Q73" s="5">
        <v>1592</v>
      </c>
      <c r="R73" s="5">
        <v>506</v>
      </c>
      <c r="S73" s="5">
        <v>557</v>
      </c>
      <c r="T73" s="5">
        <v>576</v>
      </c>
      <c r="U73" s="5">
        <v>634</v>
      </c>
      <c r="V73" s="5"/>
    </row>
    <row r="74" spans="2:22" ht="20" hidden="1" x14ac:dyDescent="0.25">
      <c r="B74" s="2" t="s">
        <v>261</v>
      </c>
      <c r="C74" s="2" t="s">
        <v>262</v>
      </c>
      <c r="D74" s="2" t="s">
        <v>33</v>
      </c>
      <c r="E74" s="2" t="s">
        <v>27</v>
      </c>
      <c r="F74" s="2" t="s">
        <v>263</v>
      </c>
      <c r="G74" s="2" t="s">
        <v>27</v>
      </c>
      <c r="H74" s="2">
        <v>70038</v>
      </c>
      <c r="I74" s="2">
        <v>2122</v>
      </c>
      <c r="J74" s="2" t="s">
        <v>28</v>
      </c>
      <c r="K74" s="2" t="s">
        <v>261</v>
      </c>
      <c r="L74" s="2" t="s">
        <v>30</v>
      </c>
      <c r="M74" s="2" t="s">
        <v>262</v>
      </c>
      <c r="N74" s="3">
        <v>1270</v>
      </c>
      <c r="O74" s="3">
        <v>1397</v>
      </c>
      <c r="P74" s="3">
        <v>1447</v>
      </c>
      <c r="Q74" s="3">
        <v>1592</v>
      </c>
      <c r="R74" s="3">
        <v>506</v>
      </c>
      <c r="S74" s="3">
        <v>557</v>
      </c>
      <c r="T74" s="3">
        <v>576</v>
      </c>
      <c r="U74" s="3">
        <v>634</v>
      </c>
      <c r="V74" s="3"/>
    </row>
    <row r="75" spans="2:22" ht="21" hidden="1" x14ac:dyDescent="0.25">
      <c r="B75" s="4" t="s">
        <v>645</v>
      </c>
      <c r="C75" s="4" t="s">
        <v>262</v>
      </c>
      <c r="D75" s="4" t="s">
        <v>616</v>
      </c>
      <c r="E75" s="4" t="s">
        <v>27</v>
      </c>
      <c r="F75" s="4" t="s">
        <v>646</v>
      </c>
      <c r="G75" s="4" t="s">
        <v>27</v>
      </c>
      <c r="H75" s="4">
        <v>70139</v>
      </c>
      <c r="I75" s="4">
        <v>70527</v>
      </c>
      <c r="J75" s="4" t="s">
        <v>28</v>
      </c>
      <c r="K75" s="4" t="s">
        <v>645</v>
      </c>
      <c r="L75" s="4" t="s">
        <v>29</v>
      </c>
      <c r="M75" s="4"/>
      <c r="N75" s="5">
        <v>1270</v>
      </c>
      <c r="O75" s="5">
        <v>1397</v>
      </c>
      <c r="P75" s="5">
        <v>1447</v>
      </c>
      <c r="Q75" s="5">
        <v>1592</v>
      </c>
      <c r="R75" s="5">
        <v>506</v>
      </c>
      <c r="S75" s="5">
        <v>557</v>
      </c>
      <c r="T75" s="5">
        <v>576</v>
      </c>
      <c r="U75" s="5">
        <v>634</v>
      </c>
      <c r="V75" s="5"/>
    </row>
    <row r="76" spans="2:22" ht="20" hidden="1" x14ac:dyDescent="0.25">
      <c r="B76" s="2" t="s">
        <v>645</v>
      </c>
      <c r="C76" s="2" t="s">
        <v>262</v>
      </c>
      <c r="D76" s="2" t="s">
        <v>616</v>
      </c>
      <c r="E76" s="2" t="s">
        <v>27</v>
      </c>
      <c r="F76" s="2" t="s">
        <v>646</v>
      </c>
      <c r="G76" s="2" t="s">
        <v>27</v>
      </c>
      <c r="H76" s="2">
        <v>70139</v>
      </c>
      <c r="I76" s="2">
        <v>70527</v>
      </c>
      <c r="J76" s="2" t="s">
        <v>28</v>
      </c>
      <c r="K76" s="2" t="s">
        <v>645</v>
      </c>
      <c r="L76" s="2" t="s">
        <v>30</v>
      </c>
      <c r="M76" s="2" t="s">
        <v>262</v>
      </c>
      <c r="N76" s="3">
        <v>1270</v>
      </c>
      <c r="O76" s="3">
        <v>1397</v>
      </c>
      <c r="P76" s="3">
        <v>1447</v>
      </c>
      <c r="Q76" s="3">
        <v>1592</v>
      </c>
      <c r="R76" s="3">
        <v>506</v>
      </c>
      <c r="S76" s="3">
        <v>557</v>
      </c>
      <c r="T76" s="3">
        <v>576</v>
      </c>
      <c r="U76" s="3">
        <v>634</v>
      </c>
      <c r="V76" s="3"/>
    </row>
    <row r="77" spans="2:22" ht="21" hidden="1" x14ac:dyDescent="0.25">
      <c r="B77" s="4" t="s">
        <v>1215</v>
      </c>
      <c r="C77" s="4" t="s">
        <v>262</v>
      </c>
      <c r="D77" s="4" t="s">
        <v>263</v>
      </c>
      <c r="E77" s="4" t="s">
        <v>27</v>
      </c>
      <c r="F77" s="4" t="s">
        <v>646</v>
      </c>
      <c r="G77" s="4" t="s">
        <v>27</v>
      </c>
      <c r="H77" s="4">
        <v>2122</v>
      </c>
      <c r="I77" s="4">
        <v>70527</v>
      </c>
      <c r="J77" s="4" t="s">
        <v>28</v>
      </c>
      <c r="K77" s="4" t="s">
        <v>1215</v>
      </c>
      <c r="L77" s="4" t="s">
        <v>29</v>
      </c>
      <c r="M77" s="4"/>
      <c r="N77" s="5">
        <v>1270</v>
      </c>
      <c r="O77" s="5">
        <v>1397</v>
      </c>
      <c r="P77" s="5">
        <v>1447</v>
      </c>
      <c r="Q77" s="5">
        <v>1592</v>
      </c>
      <c r="R77" s="5">
        <v>506</v>
      </c>
      <c r="S77" s="5">
        <v>557</v>
      </c>
      <c r="T77" s="5">
        <v>576</v>
      </c>
      <c r="U77" s="5">
        <v>634</v>
      </c>
      <c r="V77" s="5"/>
    </row>
    <row r="78" spans="2:22" ht="20" hidden="1" x14ac:dyDescent="0.25">
      <c r="B78" s="2" t="s">
        <v>1215</v>
      </c>
      <c r="C78" s="2" t="s">
        <v>262</v>
      </c>
      <c r="D78" s="2" t="s">
        <v>263</v>
      </c>
      <c r="E78" s="2" t="s">
        <v>27</v>
      </c>
      <c r="F78" s="2" t="s">
        <v>646</v>
      </c>
      <c r="G78" s="2" t="s">
        <v>27</v>
      </c>
      <c r="H78" s="2">
        <v>2122</v>
      </c>
      <c r="I78" s="2">
        <v>70527</v>
      </c>
      <c r="J78" s="2" t="s">
        <v>28</v>
      </c>
      <c r="K78" s="2" t="s">
        <v>1215</v>
      </c>
      <c r="L78" s="2" t="s">
        <v>30</v>
      </c>
      <c r="M78" s="2" t="s">
        <v>262</v>
      </c>
      <c r="N78" s="3">
        <v>1270</v>
      </c>
      <c r="O78" s="3">
        <v>1397</v>
      </c>
      <c r="P78" s="3">
        <v>1447</v>
      </c>
      <c r="Q78" s="3">
        <v>1592</v>
      </c>
      <c r="R78" s="3">
        <v>506</v>
      </c>
      <c r="S78" s="3">
        <v>557</v>
      </c>
      <c r="T78" s="3">
        <v>576</v>
      </c>
      <c r="U78" s="3">
        <v>634</v>
      </c>
      <c r="V78" s="3"/>
    </row>
    <row r="79" spans="2:22" ht="21" hidden="1" x14ac:dyDescent="0.25">
      <c r="B79" s="4" t="s">
        <v>652</v>
      </c>
      <c r="C79" s="4" t="s">
        <v>653</v>
      </c>
      <c r="D79" s="4" t="s">
        <v>616</v>
      </c>
      <c r="E79" s="4" t="s">
        <v>27</v>
      </c>
      <c r="F79" s="4" t="s">
        <v>490</v>
      </c>
      <c r="G79" s="4" t="s">
        <v>27</v>
      </c>
      <c r="H79" s="4">
        <v>70139</v>
      </c>
      <c r="I79" s="4">
        <v>70464</v>
      </c>
      <c r="J79" s="4" t="s">
        <v>28</v>
      </c>
      <c r="K79" s="4" t="s">
        <v>652</v>
      </c>
      <c r="L79" s="4" t="s">
        <v>29</v>
      </c>
      <c r="M79" s="4"/>
      <c r="N79" s="5">
        <v>1200</v>
      </c>
      <c r="O79" s="5">
        <v>1200</v>
      </c>
      <c r="P79" s="5">
        <v>1200</v>
      </c>
      <c r="Q79" s="5">
        <v>1200</v>
      </c>
      <c r="R79" s="5">
        <v>478</v>
      </c>
      <c r="S79" s="5">
        <v>478</v>
      </c>
      <c r="T79" s="5">
        <v>478</v>
      </c>
      <c r="U79" s="5">
        <v>478</v>
      </c>
      <c r="V79" s="5"/>
    </row>
    <row r="80" spans="2:22" ht="30" hidden="1" x14ac:dyDescent="0.25">
      <c r="B80" s="2" t="s">
        <v>652</v>
      </c>
      <c r="C80" s="2" t="s">
        <v>653</v>
      </c>
      <c r="D80" s="2" t="s">
        <v>616</v>
      </c>
      <c r="E80" s="2" t="s">
        <v>27</v>
      </c>
      <c r="F80" s="2" t="s">
        <v>490</v>
      </c>
      <c r="G80" s="2" t="s">
        <v>27</v>
      </c>
      <c r="H80" s="2">
        <v>70139</v>
      </c>
      <c r="I80" s="2">
        <v>70464</v>
      </c>
      <c r="J80" s="2" t="s">
        <v>28</v>
      </c>
      <c r="K80" s="2" t="s">
        <v>655</v>
      </c>
      <c r="L80" s="2" t="s">
        <v>36</v>
      </c>
      <c r="M80" s="2" t="s">
        <v>617</v>
      </c>
      <c r="N80" s="3">
        <v>1200</v>
      </c>
      <c r="O80" s="3">
        <v>1200</v>
      </c>
      <c r="P80" s="3">
        <v>1200</v>
      </c>
      <c r="Q80" s="3">
        <v>1200</v>
      </c>
      <c r="R80" s="3">
        <v>478</v>
      </c>
      <c r="S80" s="3">
        <v>478</v>
      </c>
      <c r="T80" s="3">
        <v>478</v>
      </c>
      <c r="U80" s="3">
        <v>478</v>
      </c>
      <c r="V80" s="3"/>
    </row>
    <row r="81" spans="2:22" ht="30" hidden="1" x14ac:dyDescent="0.25">
      <c r="B81" s="2" t="s">
        <v>652</v>
      </c>
      <c r="C81" s="2" t="s">
        <v>653</v>
      </c>
      <c r="D81" s="2" t="s">
        <v>616</v>
      </c>
      <c r="E81" s="2" t="s">
        <v>27</v>
      </c>
      <c r="F81" s="2" t="s">
        <v>490</v>
      </c>
      <c r="G81" s="2" t="s">
        <v>27</v>
      </c>
      <c r="H81" s="2">
        <v>70139</v>
      </c>
      <c r="I81" s="2">
        <v>70464</v>
      </c>
      <c r="J81" s="2" t="s">
        <v>28</v>
      </c>
      <c r="K81" s="2" t="s">
        <v>656</v>
      </c>
      <c r="L81" s="2" t="s">
        <v>36</v>
      </c>
      <c r="M81" s="2" t="s">
        <v>617</v>
      </c>
      <c r="N81" s="3">
        <v>1200</v>
      </c>
      <c r="O81" s="3">
        <v>1200</v>
      </c>
      <c r="P81" s="3">
        <v>1200</v>
      </c>
      <c r="Q81" s="3">
        <v>1200</v>
      </c>
      <c r="R81" s="3">
        <v>478</v>
      </c>
      <c r="S81" s="3">
        <v>478</v>
      </c>
      <c r="T81" s="3">
        <v>478</v>
      </c>
      <c r="U81" s="3">
        <v>478</v>
      </c>
      <c r="V81" s="3"/>
    </row>
    <row r="82" spans="2:22" ht="30" hidden="1" x14ac:dyDescent="0.25">
      <c r="B82" s="2" t="s">
        <v>652</v>
      </c>
      <c r="C82" s="2" t="s">
        <v>653</v>
      </c>
      <c r="D82" s="2" t="s">
        <v>616</v>
      </c>
      <c r="E82" s="2" t="s">
        <v>27</v>
      </c>
      <c r="F82" s="2" t="s">
        <v>490</v>
      </c>
      <c r="G82" s="2" t="s">
        <v>27</v>
      </c>
      <c r="H82" s="2">
        <v>70139</v>
      </c>
      <c r="I82" s="2">
        <v>70464</v>
      </c>
      <c r="J82" s="2" t="s">
        <v>28</v>
      </c>
      <c r="K82" s="2" t="s">
        <v>654</v>
      </c>
      <c r="L82" s="2" t="s">
        <v>36</v>
      </c>
      <c r="M82" s="2" t="s">
        <v>617</v>
      </c>
      <c r="N82" s="3">
        <v>1200</v>
      </c>
      <c r="O82" s="3">
        <v>1200</v>
      </c>
      <c r="P82" s="3">
        <v>1200</v>
      </c>
      <c r="Q82" s="3">
        <v>1200</v>
      </c>
      <c r="R82" s="3">
        <v>478</v>
      </c>
      <c r="S82" s="3">
        <v>478</v>
      </c>
      <c r="T82" s="3">
        <v>478</v>
      </c>
      <c r="U82" s="3">
        <v>478</v>
      </c>
      <c r="V82" s="3"/>
    </row>
    <row r="83" spans="2:22" ht="21" hidden="1" x14ac:dyDescent="0.25">
      <c r="B83" s="4" t="s">
        <v>641</v>
      </c>
      <c r="C83" s="4" t="s">
        <v>642</v>
      </c>
      <c r="D83" s="4" t="s">
        <v>616</v>
      </c>
      <c r="E83" s="4" t="s">
        <v>27</v>
      </c>
      <c r="F83" s="4" t="s">
        <v>643</v>
      </c>
      <c r="G83" s="4" t="s">
        <v>27</v>
      </c>
      <c r="H83" s="4">
        <v>70139</v>
      </c>
      <c r="I83" s="4">
        <v>70323</v>
      </c>
      <c r="J83" s="4" t="s">
        <v>28</v>
      </c>
      <c r="K83" s="4" t="s">
        <v>641</v>
      </c>
      <c r="L83" s="4" t="s">
        <v>29</v>
      </c>
      <c r="M83" s="4"/>
      <c r="N83" s="5">
        <v>1200</v>
      </c>
      <c r="O83" s="5">
        <v>1200</v>
      </c>
      <c r="P83" s="5">
        <v>1325</v>
      </c>
      <c r="Q83" s="5">
        <v>1325</v>
      </c>
      <c r="R83" s="5">
        <v>478</v>
      </c>
      <c r="S83" s="5">
        <v>478</v>
      </c>
      <c r="T83" s="5">
        <v>528</v>
      </c>
      <c r="U83" s="5">
        <v>528</v>
      </c>
      <c r="V83" s="5"/>
    </row>
    <row r="84" spans="2:22" ht="20" hidden="1" x14ac:dyDescent="0.25">
      <c r="B84" s="2" t="s">
        <v>641</v>
      </c>
      <c r="C84" s="2" t="s">
        <v>642</v>
      </c>
      <c r="D84" s="2" t="s">
        <v>616</v>
      </c>
      <c r="E84" s="2" t="s">
        <v>27</v>
      </c>
      <c r="F84" s="2" t="s">
        <v>643</v>
      </c>
      <c r="G84" s="2" t="s">
        <v>27</v>
      </c>
      <c r="H84" s="2">
        <v>70139</v>
      </c>
      <c r="I84" s="2">
        <v>70323</v>
      </c>
      <c r="J84" s="2" t="s">
        <v>28</v>
      </c>
      <c r="K84" s="2"/>
      <c r="L84" s="2" t="s">
        <v>301</v>
      </c>
      <c r="M84" s="2" t="s">
        <v>617</v>
      </c>
      <c r="N84" s="3">
        <v>1200</v>
      </c>
      <c r="O84" s="3">
        <v>1200</v>
      </c>
      <c r="P84" s="3">
        <v>1325</v>
      </c>
      <c r="Q84" s="3">
        <v>1325</v>
      </c>
      <c r="R84" s="3">
        <v>478</v>
      </c>
      <c r="S84" s="3">
        <v>478</v>
      </c>
      <c r="T84" s="3">
        <v>528</v>
      </c>
      <c r="U84" s="3">
        <v>528</v>
      </c>
      <c r="V84" s="3"/>
    </row>
    <row r="85" spans="2:22" ht="21" hidden="1" x14ac:dyDescent="0.25">
      <c r="B85" s="4" t="s">
        <v>871</v>
      </c>
      <c r="C85" s="4" t="s">
        <v>642</v>
      </c>
      <c r="D85" s="4" t="s">
        <v>548</v>
      </c>
      <c r="E85" s="4" t="s">
        <v>27</v>
      </c>
      <c r="F85" s="4" t="s">
        <v>643</v>
      </c>
      <c r="G85" s="4" t="s">
        <v>27</v>
      </c>
      <c r="H85" s="4">
        <v>70481</v>
      </c>
      <c r="I85" s="4">
        <v>70331</v>
      </c>
      <c r="J85" s="4" t="s">
        <v>28</v>
      </c>
      <c r="K85" s="4" t="s">
        <v>871</v>
      </c>
      <c r="L85" s="4" t="s">
        <v>29</v>
      </c>
      <c r="M85" s="4"/>
      <c r="N85" s="5">
        <v>1200</v>
      </c>
      <c r="O85" s="5">
        <v>1200</v>
      </c>
      <c r="P85" s="5">
        <v>1248</v>
      </c>
      <c r="Q85" s="5">
        <v>1248</v>
      </c>
      <c r="R85" s="5">
        <v>478</v>
      </c>
      <c r="S85" s="5">
        <v>478</v>
      </c>
      <c r="T85" s="5">
        <v>497</v>
      </c>
      <c r="U85" s="5">
        <v>497</v>
      </c>
      <c r="V85" s="5"/>
    </row>
    <row r="86" spans="2:22" ht="20" hidden="1" x14ac:dyDescent="0.25">
      <c r="B86" s="2" t="s">
        <v>871</v>
      </c>
      <c r="C86" s="2" t="s">
        <v>642</v>
      </c>
      <c r="D86" s="2" t="s">
        <v>548</v>
      </c>
      <c r="E86" s="2" t="s">
        <v>27</v>
      </c>
      <c r="F86" s="2" t="s">
        <v>643</v>
      </c>
      <c r="G86" s="2" t="s">
        <v>27</v>
      </c>
      <c r="H86" s="2">
        <v>70481</v>
      </c>
      <c r="I86" s="2">
        <v>70331</v>
      </c>
      <c r="J86" s="2" t="s">
        <v>28</v>
      </c>
      <c r="K86" s="2"/>
      <c r="L86" s="2" t="s">
        <v>301</v>
      </c>
      <c r="M86" s="2" t="s">
        <v>870</v>
      </c>
      <c r="N86" s="3">
        <v>1200</v>
      </c>
      <c r="O86" s="3">
        <v>1200</v>
      </c>
      <c r="P86" s="3">
        <v>1248</v>
      </c>
      <c r="Q86" s="3">
        <v>1248</v>
      </c>
      <c r="R86" s="3">
        <v>478</v>
      </c>
      <c r="S86" s="3">
        <v>478</v>
      </c>
      <c r="T86" s="3">
        <v>497</v>
      </c>
      <c r="U86" s="3">
        <v>497</v>
      </c>
      <c r="V86" s="3"/>
    </row>
    <row r="87" spans="2:22" ht="21" hidden="1" x14ac:dyDescent="0.25">
      <c r="B87" s="4" t="s">
        <v>634</v>
      </c>
      <c r="C87" s="4" t="s">
        <v>635</v>
      </c>
      <c r="D87" s="4" t="s">
        <v>616</v>
      </c>
      <c r="E87" s="4" t="s">
        <v>27</v>
      </c>
      <c r="F87" s="4" t="s">
        <v>636</v>
      </c>
      <c r="G87" s="4" t="s">
        <v>27</v>
      </c>
      <c r="H87" s="4">
        <v>70139</v>
      </c>
      <c r="I87" s="4">
        <v>70623</v>
      </c>
      <c r="J87" s="4" t="s">
        <v>28</v>
      </c>
      <c r="K87" s="4" t="s">
        <v>634</v>
      </c>
      <c r="L87" s="4" t="s">
        <v>29</v>
      </c>
      <c r="M87" s="4"/>
      <c r="N87" s="5">
        <v>1860</v>
      </c>
      <c r="O87" s="5">
        <v>2000</v>
      </c>
      <c r="P87" s="5">
        <v>2000</v>
      </c>
      <c r="Q87" s="5">
        <v>2000</v>
      </c>
      <c r="R87" s="5">
        <v>741</v>
      </c>
      <c r="S87" s="5">
        <v>797</v>
      </c>
      <c r="T87" s="5">
        <v>797</v>
      </c>
      <c r="U87" s="5">
        <v>797</v>
      </c>
      <c r="V87" s="5"/>
    </row>
    <row r="88" spans="2:22" ht="20" hidden="1" x14ac:dyDescent="0.25">
      <c r="B88" s="2" t="s">
        <v>634</v>
      </c>
      <c r="C88" s="2" t="s">
        <v>635</v>
      </c>
      <c r="D88" s="2" t="s">
        <v>616</v>
      </c>
      <c r="E88" s="2" t="s">
        <v>27</v>
      </c>
      <c r="F88" s="2" t="s">
        <v>636</v>
      </c>
      <c r="G88" s="2" t="s">
        <v>27</v>
      </c>
      <c r="H88" s="2">
        <v>70139</v>
      </c>
      <c r="I88" s="2">
        <v>70623</v>
      </c>
      <c r="J88" s="2" t="s">
        <v>28</v>
      </c>
      <c r="K88" s="2" t="s">
        <v>634</v>
      </c>
      <c r="L88" s="2" t="s">
        <v>30</v>
      </c>
      <c r="M88" s="2" t="s">
        <v>635</v>
      </c>
      <c r="N88" s="3">
        <v>1860</v>
      </c>
      <c r="O88" s="2">
        <v>2046</v>
      </c>
      <c r="P88" s="2">
        <v>2112</v>
      </c>
      <c r="Q88" s="2">
        <v>2324</v>
      </c>
      <c r="R88" s="3">
        <v>741</v>
      </c>
      <c r="S88" s="2">
        <v>815</v>
      </c>
      <c r="T88" s="2">
        <v>841</v>
      </c>
      <c r="U88" s="2">
        <v>926</v>
      </c>
      <c r="V88" s="2"/>
    </row>
    <row r="89" spans="2:22" ht="30" hidden="1" x14ac:dyDescent="0.25">
      <c r="B89" s="2" t="s">
        <v>634</v>
      </c>
      <c r="C89" s="2" t="s">
        <v>635</v>
      </c>
      <c r="D89" s="2" t="s">
        <v>616</v>
      </c>
      <c r="E89" s="2" t="s">
        <v>27</v>
      </c>
      <c r="F89" s="2" t="s">
        <v>636</v>
      </c>
      <c r="G89" s="2" t="s">
        <v>27</v>
      </c>
      <c r="H89" s="2">
        <v>70139</v>
      </c>
      <c r="I89" s="2">
        <v>70623</v>
      </c>
      <c r="J89" s="2" t="s">
        <v>28</v>
      </c>
      <c r="K89" s="2" t="s">
        <v>638</v>
      </c>
      <c r="L89" s="2" t="s">
        <v>36</v>
      </c>
      <c r="M89" s="2" t="s">
        <v>617</v>
      </c>
      <c r="N89" s="2">
        <v>2000</v>
      </c>
      <c r="O89" s="3">
        <v>2000</v>
      </c>
      <c r="P89" s="3">
        <v>2000</v>
      </c>
      <c r="Q89" s="3">
        <v>2000</v>
      </c>
      <c r="R89" s="2">
        <v>797</v>
      </c>
      <c r="S89" s="3">
        <v>797</v>
      </c>
      <c r="T89" s="3">
        <v>797</v>
      </c>
      <c r="U89" s="3">
        <v>797</v>
      </c>
      <c r="V89" s="3"/>
    </row>
    <row r="90" spans="2:22" ht="30" hidden="1" x14ac:dyDescent="0.25">
      <c r="B90" s="2" t="s">
        <v>634</v>
      </c>
      <c r="C90" s="2" t="s">
        <v>635</v>
      </c>
      <c r="D90" s="2" t="s">
        <v>616</v>
      </c>
      <c r="E90" s="2" t="s">
        <v>27</v>
      </c>
      <c r="F90" s="2" t="s">
        <v>636</v>
      </c>
      <c r="G90" s="2" t="s">
        <v>27</v>
      </c>
      <c r="H90" s="2">
        <v>70139</v>
      </c>
      <c r="I90" s="2">
        <v>70623</v>
      </c>
      <c r="J90" s="2" t="s">
        <v>28</v>
      </c>
      <c r="K90" s="2" t="s">
        <v>637</v>
      </c>
      <c r="L90" s="2" t="s">
        <v>36</v>
      </c>
      <c r="M90" s="2" t="s">
        <v>617</v>
      </c>
      <c r="N90" s="2">
        <v>2000</v>
      </c>
      <c r="O90" s="3">
        <v>2000</v>
      </c>
      <c r="P90" s="3">
        <v>2000</v>
      </c>
      <c r="Q90" s="3">
        <v>2000</v>
      </c>
      <c r="R90" s="2">
        <v>797</v>
      </c>
      <c r="S90" s="3">
        <v>797</v>
      </c>
      <c r="T90" s="3">
        <v>797</v>
      </c>
      <c r="U90" s="3">
        <v>797</v>
      </c>
      <c r="V90" s="3"/>
    </row>
    <row r="91" spans="2:22" ht="30" hidden="1" x14ac:dyDescent="0.25">
      <c r="B91" s="2" t="s">
        <v>634</v>
      </c>
      <c r="C91" s="2" t="s">
        <v>635</v>
      </c>
      <c r="D91" s="2" t="s">
        <v>616</v>
      </c>
      <c r="E91" s="2" t="s">
        <v>27</v>
      </c>
      <c r="F91" s="2" t="s">
        <v>636</v>
      </c>
      <c r="G91" s="2" t="s">
        <v>27</v>
      </c>
      <c r="H91" s="2">
        <v>70139</v>
      </c>
      <c r="I91" s="2">
        <v>70623</v>
      </c>
      <c r="J91" s="2" t="s">
        <v>28</v>
      </c>
      <c r="K91" s="2" t="s">
        <v>639</v>
      </c>
      <c r="L91" s="2" t="s">
        <v>36</v>
      </c>
      <c r="M91" s="2" t="s">
        <v>617</v>
      </c>
      <c r="N91" s="2">
        <v>2000</v>
      </c>
      <c r="O91" s="3">
        <v>2000</v>
      </c>
      <c r="P91" s="3">
        <v>2000</v>
      </c>
      <c r="Q91" s="3">
        <v>2000</v>
      </c>
      <c r="R91" s="2">
        <v>797</v>
      </c>
      <c r="S91" s="3">
        <v>797</v>
      </c>
      <c r="T91" s="3">
        <v>797</v>
      </c>
      <c r="U91" s="3">
        <v>797</v>
      </c>
      <c r="V91" s="3"/>
    </row>
    <row r="92" spans="2:22" ht="20" hidden="1" x14ac:dyDescent="0.25">
      <c r="B92" s="2" t="s">
        <v>634</v>
      </c>
      <c r="C92" s="2" t="s">
        <v>635</v>
      </c>
      <c r="D92" s="2" t="s">
        <v>616</v>
      </c>
      <c r="E92" s="2" t="s">
        <v>27</v>
      </c>
      <c r="F92" s="2" t="s">
        <v>636</v>
      </c>
      <c r="G92" s="2" t="s">
        <v>27</v>
      </c>
      <c r="H92" s="2">
        <v>70139</v>
      </c>
      <c r="I92" s="2">
        <v>70623</v>
      </c>
      <c r="J92" s="2" t="s">
        <v>28</v>
      </c>
      <c r="K92" s="2"/>
      <c r="L92" s="2" t="s">
        <v>301</v>
      </c>
      <c r="M92" s="2" t="s">
        <v>617</v>
      </c>
      <c r="N92" s="2">
        <v>2000</v>
      </c>
      <c r="O92" s="3">
        <v>2000</v>
      </c>
      <c r="P92" s="2">
        <v>2208</v>
      </c>
      <c r="Q92" s="2">
        <v>2208</v>
      </c>
      <c r="R92" s="2">
        <v>797</v>
      </c>
      <c r="S92" s="3">
        <v>797</v>
      </c>
      <c r="T92" s="2">
        <v>880</v>
      </c>
      <c r="U92" s="2">
        <v>880</v>
      </c>
      <c r="V92" s="2"/>
    </row>
    <row r="93" spans="2:22" ht="20" hidden="1" x14ac:dyDescent="0.25">
      <c r="B93" s="2" t="s">
        <v>634</v>
      </c>
      <c r="C93" s="2" t="s">
        <v>635</v>
      </c>
      <c r="D93" s="2" t="s">
        <v>616</v>
      </c>
      <c r="E93" s="2" t="s">
        <v>27</v>
      </c>
      <c r="F93" s="2" t="s">
        <v>636</v>
      </c>
      <c r="G93" s="2" t="s">
        <v>27</v>
      </c>
      <c r="H93" s="2">
        <v>70139</v>
      </c>
      <c r="I93" s="2">
        <v>70623</v>
      </c>
      <c r="J93" s="2" t="s">
        <v>28</v>
      </c>
      <c r="K93" s="2"/>
      <c r="L93" s="2" t="s">
        <v>301</v>
      </c>
      <c r="M93" s="2" t="s">
        <v>640</v>
      </c>
      <c r="N93" s="2">
        <v>2000</v>
      </c>
      <c r="O93" s="3">
        <v>2000</v>
      </c>
      <c r="P93" s="2">
        <v>2208</v>
      </c>
      <c r="Q93" s="2">
        <v>2208</v>
      </c>
      <c r="R93" s="2">
        <v>797</v>
      </c>
      <c r="S93" s="3">
        <v>797</v>
      </c>
      <c r="T93" s="2">
        <v>880</v>
      </c>
      <c r="U93" s="2">
        <v>880</v>
      </c>
      <c r="V93" s="2"/>
    </row>
    <row r="94" spans="2:22" ht="21" hidden="1" x14ac:dyDescent="0.25">
      <c r="B94" s="4" t="s">
        <v>647</v>
      </c>
      <c r="C94" s="4" t="s">
        <v>101</v>
      </c>
      <c r="D94" s="4" t="s">
        <v>616</v>
      </c>
      <c r="E94" s="4" t="s">
        <v>27</v>
      </c>
      <c r="F94" s="4" t="s">
        <v>648</v>
      </c>
      <c r="G94" s="4" t="s">
        <v>27</v>
      </c>
      <c r="H94" s="4">
        <v>70139</v>
      </c>
      <c r="I94" s="4">
        <v>70284</v>
      </c>
      <c r="J94" s="4" t="s">
        <v>28</v>
      </c>
      <c r="K94" s="4" t="s">
        <v>647</v>
      </c>
      <c r="L94" s="4" t="s">
        <v>29</v>
      </c>
      <c r="M94" s="4"/>
      <c r="N94" s="5">
        <v>1200</v>
      </c>
      <c r="O94" s="5">
        <v>1200</v>
      </c>
      <c r="P94" s="5">
        <v>1200</v>
      </c>
      <c r="Q94" s="5">
        <v>1200</v>
      </c>
      <c r="R94" s="5">
        <v>478</v>
      </c>
      <c r="S94" s="5">
        <v>478</v>
      </c>
      <c r="T94" s="5">
        <v>478</v>
      </c>
      <c r="U94" s="5">
        <v>478</v>
      </c>
      <c r="V94" s="5"/>
    </row>
    <row r="95" spans="2:22" ht="30" hidden="1" x14ac:dyDescent="0.25">
      <c r="B95" s="2" t="s">
        <v>647</v>
      </c>
      <c r="C95" s="2" t="s">
        <v>101</v>
      </c>
      <c r="D95" s="2" t="s">
        <v>616</v>
      </c>
      <c r="E95" s="2" t="s">
        <v>27</v>
      </c>
      <c r="F95" s="2" t="s">
        <v>648</v>
      </c>
      <c r="G95" s="2" t="s">
        <v>27</v>
      </c>
      <c r="H95" s="2">
        <v>70139</v>
      </c>
      <c r="I95" s="2">
        <v>70284</v>
      </c>
      <c r="J95" s="2" t="s">
        <v>28</v>
      </c>
      <c r="K95" s="2" t="s">
        <v>651</v>
      </c>
      <c r="L95" s="2" t="s">
        <v>36</v>
      </c>
      <c r="M95" s="2" t="s">
        <v>617</v>
      </c>
      <c r="N95" s="3">
        <v>1200</v>
      </c>
      <c r="O95" s="3">
        <v>1200</v>
      </c>
      <c r="P95" s="3">
        <v>1200</v>
      </c>
      <c r="Q95" s="3">
        <v>1200</v>
      </c>
      <c r="R95" s="3">
        <v>478</v>
      </c>
      <c r="S95" s="3">
        <v>478</v>
      </c>
      <c r="T95" s="3">
        <v>478</v>
      </c>
      <c r="U95" s="3">
        <v>478</v>
      </c>
      <c r="V95" s="3"/>
    </row>
    <row r="96" spans="2:22" ht="30" hidden="1" x14ac:dyDescent="0.25">
      <c r="B96" s="2" t="s">
        <v>647</v>
      </c>
      <c r="C96" s="2" t="s">
        <v>101</v>
      </c>
      <c r="D96" s="2" t="s">
        <v>616</v>
      </c>
      <c r="E96" s="2" t="s">
        <v>27</v>
      </c>
      <c r="F96" s="2" t="s">
        <v>648</v>
      </c>
      <c r="G96" s="2" t="s">
        <v>27</v>
      </c>
      <c r="H96" s="2">
        <v>70139</v>
      </c>
      <c r="I96" s="2">
        <v>70284</v>
      </c>
      <c r="J96" s="2" t="s">
        <v>28</v>
      </c>
      <c r="K96" s="2" t="s">
        <v>650</v>
      </c>
      <c r="L96" s="2" t="s">
        <v>36</v>
      </c>
      <c r="M96" s="2" t="s">
        <v>617</v>
      </c>
      <c r="N96" s="3">
        <v>1200</v>
      </c>
      <c r="O96" s="3">
        <v>1200</v>
      </c>
      <c r="P96" s="3">
        <v>1200</v>
      </c>
      <c r="Q96" s="3">
        <v>1200</v>
      </c>
      <c r="R96" s="3">
        <v>478</v>
      </c>
      <c r="S96" s="3">
        <v>478</v>
      </c>
      <c r="T96" s="3">
        <v>478</v>
      </c>
      <c r="U96" s="3">
        <v>478</v>
      </c>
      <c r="V96" s="3"/>
    </row>
    <row r="97" spans="2:22" ht="30" hidden="1" x14ac:dyDescent="0.25">
      <c r="B97" s="2" t="s">
        <v>647</v>
      </c>
      <c r="C97" s="2" t="s">
        <v>101</v>
      </c>
      <c r="D97" s="2" t="s">
        <v>616</v>
      </c>
      <c r="E97" s="2" t="s">
        <v>27</v>
      </c>
      <c r="F97" s="2" t="s">
        <v>648</v>
      </c>
      <c r="G97" s="2" t="s">
        <v>27</v>
      </c>
      <c r="H97" s="2">
        <v>70139</v>
      </c>
      <c r="I97" s="2">
        <v>70284</v>
      </c>
      <c r="J97" s="2" t="s">
        <v>28</v>
      </c>
      <c r="K97" s="2" t="s">
        <v>649</v>
      </c>
      <c r="L97" s="2" t="s">
        <v>36</v>
      </c>
      <c r="M97" s="2" t="s">
        <v>617</v>
      </c>
      <c r="N97" s="3">
        <v>1200</v>
      </c>
      <c r="O97" s="3">
        <v>1200</v>
      </c>
      <c r="P97" s="3">
        <v>1200</v>
      </c>
      <c r="Q97" s="3">
        <v>1200</v>
      </c>
      <c r="R97" s="3">
        <v>478</v>
      </c>
      <c r="S97" s="3">
        <v>478</v>
      </c>
      <c r="T97" s="3">
        <v>478</v>
      </c>
      <c r="U97" s="3">
        <v>478</v>
      </c>
      <c r="V97" s="3"/>
    </row>
    <row r="98" spans="2:22" hidden="1" x14ac:dyDescent="0.25">
      <c r="B98" s="4" t="s">
        <v>100</v>
      </c>
      <c r="C98" s="4" t="s">
        <v>101</v>
      </c>
      <c r="D98" s="4" t="s">
        <v>648</v>
      </c>
      <c r="E98" s="4" t="s">
        <v>27</v>
      </c>
      <c r="F98" s="4" t="s">
        <v>1246</v>
      </c>
      <c r="G98" s="4" t="s">
        <v>27</v>
      </c>
      <c r="H98" s="4">
        <v>70284</v>
      </c>
      <c r="I98" s="4">
        <v>70533</v>
      </c>
      <c r="J98" s="4" t="s">
        <v>28</v>
      </c>
      <c r="K98" s="4" t="s">
        <v>100</v>
      </c>
      <c r="L98" s="4" t="s">
        <v>29</v>
      </c>
      <c r="M98" s="4"/>
      <c r="N98" s="5">
        <v>1847</v>
      </c>
      <c r="O98" s="5">
        <v>2000</v>
      </c>
      <c r="P98" s="5">
        <v>2000</v>
      </c>
      <c r="Q98" s="5">
        <v>2000</v>
      </c>
      <c r="R98" s="5">
        <v>736</v>
      </c>
      <c r="S98" s="5">
        <v>797</v>
      </c>
      <c r="T98" s="5">
        <v>797</v>
      </c>
      <c r="U98" s="5">
        <v>797</v>
      </c>
      <c r="V98" s="5"/>
    </row>
    <row r="99" spans="2:22" ht="20" hidden="1" x14ac:dyDescent="0.25">
      <c r="B99" s="2" t="s">
        <v>100</v>
      </c>
      <c r="C99" s="2" t="s">
        <v>101</v>
      </c>
      <c r="D99" s="2" t="s">
        <v>648</v>
      </c>
      <c r="E99" s="2" t="s">
        <v>27</v>
      </c>
      <c r="F99" s="2" t="s">
        <v>1246</v>
      </c>
      <c r="G99" s="2" t="s">
        <v>27</v>
      </c>
      <c r="H99" s="2">
        <v>70284</v>
      </c>
      <c r="I99" s="2">
        <v>70533</v>
      </c>
      <c r="J99" s="2" t="s">
        <v>28</v>
      </c>
      <c r="K99" s="2" t="s">
        <v>960</v>
      </c>
      <c r="L99" s="2" t="s">
        <v>31</v>
      </c>
      <c r="M99" s="2" t="s">
        <v>1247</v>
      </c>
      <c r="N99" s="3">
        <v>1847</v>
      </c>
      <c r="O99" s="2">
        <v>2032</v>
      </c>
      <c r="P99" s="2">
        <v>2102</v>
      </c>
      <c r="Q99" s="2">
        <v>2312</v>
      </c>
      <c r="R99" s="3">
        <v>736</v>
      </c>
      <c r="S99" s="2">
        <v>809</v>
      </c>
      <c r="T99" s="2">
        <v>837</v>
      </c>
      <c r="U99" s="2">
        <v>921</v>
      </c>
      <c r="V99" s="2"/>
    </row>
    <row r="100" spans="2:22" ht="20" hidden="1" x14ac:dyDescent="0.25">
      <c r="B100" s="2" t="s">
        <v>100</v>
      </c>
      <c r="C100" s="2" t="s">
        <v>101</v>
      </c>
      <c r="D100" s="2" t="s">
        <v>648</v>
      </c>
      <c r="E100" s="2" t="s">
        <v>27</v>
      </c>
      <c r="F100" s="2" t="s">
        <v>1246</v>
      </c>
      <c r="G100" s="2" t="s">
        <v>27</v>
      </c>
      <c r="H100" s="2">
        <v>70284</v>
      </c>
      <c r="I100" s="2">
        <v>70533</v>
      </c>
      <c r="J100" s="2" t="s">
        <v>28</v>
      </c>
      <c r="K100" s="2" t="s">
        <v>107</v>
      </c>
      <c r="L100" s="2" t="s">
        <v>1315</v>
      </c>
      <c r="M100" s="2" t="s">
        <v>1247</v>
      </c>
      <c r="N100" s="2">
        <v>2000</v>
      </c>
      <c r="O100" s="3">
        <v>2000</v>
      </c>
      <c r="P100" s="3">
        <v>2000</v>
      </c>
      <c r="Q100" s="3">
        <v>2000</v>
      </c>
      <c r="R100" s="2">
        <v>797</v>
      </c>
      <c r="S100" s="3">
        <v>797</v>
      </c>
      <c r="T100" s="3">
        <v>797</v>
      </c>
      <c r="U100" s="3">
        <v>797</v>
      </c>
      <c r="V100" s="3"/>
    </row>
    <row r="101" spans="2:22" ht="20" hidden="1" x14ac:dyDescent="0.25">
      <c r="B101" s="2" t="s">
        <v>100</v>
      </c>
      <c r="C101" s="2" t="s">
        <v>101</v>
      </c>
      <c r="D101" s="2" t="s">
        <v>648</v>
      </c>
      <c r="E101" s="2" t="s">
        <v>27</v>
      </c>
      <c r="F101" s="2" t="s">
        <v>1246</v>
      </c>
      <c r="G101" s="2" t="s">
        <v>27</v>
      </c>
      <c r="H101" s="2">
        <v>70284</v>
      </c>
      <c r="I101" s="2">
        <v>70533</v>
      </c>
      <c r="J101" s="2" t="s">
        <v>28</v>
      </c>
      <c r="K101" s="2" t="s">
        <v>102</v>
      </c>
      <c r="L101" s="2" t="s">
        <v>1315</v>
      </c>
      <c r="M101" s="2" t="s">
        <v>1248</v>
      </c>
      <c r="N101" s="2">
        <v>2000</v>
      </c>
      <c r="O101" s="3">
        <v>2000</v>
      </c>
      <c r="P101" s="3">
        <v>2000</v>
      </c>
      <c r="Q101" s="3">
        <v>2000</v>
      </c>
      <c r="R101" s="2">
        <v>797</v>
      </c>
      <c r="S101" s="3">
        <v>797</v>
      </c>
      <c r="T101" s="3">
        <v>797</v>
      </c>
      <c r="U101" s="3">
        <v>797</v>
      </c>
      <c r="V101" s="3"/>
    </row>
    <row r="102" spans="2:22" ht="21" hidden="1" x14ac:dyDescent="0.25">
      <c r="B102" s="4" t="s">
        <v>112</v>
      </c>
      <c r="C102" s="4" t="s">
        <v>101</v>
      </c>
      <c r="D102" s="4" t="s">
        <v>962</v>
      </c>
      <c r="E102" s="4" t="s">
        <v>27</v>
      </c>
      <c r="F102" s="4" t="s">
        <v>1246</v>
      </c>
      <c r="G102" s="4" t="s">
        <v>27</v>
      </c>
      <c r="H102" s="4">
        <v>70524</v>
      </c>
      <c r="I102" s="4">
        <v>70533</v>
      </c>
      <c r="J102" s="4" t="s">
        <v>28</v>
      </c>
      <c r="K102" s="4" t="s">
        <v>112</v>
      </c>
      <c r="L102" s="4" t="s">
        <v>29</v>
      </c>
      <c r="M102" s="4"/>
      <c r="N102" s="5">
        <v>1807</v>
      </c>
      <c r="O102" s="5">
        <v>1988</v>
      </c>
      <c r="P102" s="5">
        <v>2000</v>
      </c>
      <c r="Q102" s="5">
        <v>2000</v>
      </c>
      <c r="R102" s="5">
        <v>720</v>
      </c>
      <c r="S102" s="5">
        <v>792</v>
      </c>
      <c r="T102" s="5">
        <v>797</v>
      </c>
      <c r="U102" s="5">
        <v>797</v>
      </c>
      <c r="V102" s="5"/>
    </row>
    <row r="103" spans="2:22" ht="20" hidden="1" x14ac:dyDescent="0.25">
      <c r="B103" s="2" t="s">
        <v>112</v>
      </c>
      <c r="C103" s="2" t="s">
        <v>101</v>
      </c>
      <c r="D103" s="2" t="s">
        <v>962</v>
      </c>
      <c r="E103" s="2" t="s">
        <v>27</v>
      </c>
      <c r="F103" s="2" t="s">
        <v>1246</v>
      </c>
      <c r="G103" s="2" t="s">
        <v>27</v>
      </c>
      <c r="H103" s="2">
        <v>70524</v>
      </c>
      <c r="I103" s="2">
        <v>70533</v>
      </c>
      <c r="J103" s="2" t="s">
        <v>28</v>
      </c>
      <c r="K103" s="2" t="s">
        <v>960</v>
      </c>
      <c r="L103" s="2" t="s">
        <v>31</v>
      </c>
      <c r="M103" s="2" t="s">
        <v>1261</v>
      </c>
      <c r="N103" s="3">
        <v>1807</v>
      </c>
      <c r="O103" s="3">
        <v>1988</v>
      </c>
      <c r="P103" s="2">
        <v>2056</v>
      </c>
      <c r="Q103" s="2">
        <v>2262</v>
      </c>
      <c r="R103" s="3">
        <v>720</v>
      </c>
      <c r="S103" s="3">
        <v>792</v>
      </c>
      <c r="T103" s="2">
        <v>819</v>
      </c>
      <c r="U103" s="2">
        <v>901</v>
      </c>
      <c r="V103" s="2"/>
    </row>
    <row r="104" spans="2:22" ht="20" hidden="1" x14ac:dyDescent="0.25">
      <c r="B104" s="2" t="s">
        <v>112</v>
      </c>
      <c r="C104" s="2" t="s">
        <v>101</v>
      </c>
      <c r="D104" s="2" t="s">
        <v>962</v>
      </c>
      <c r="E104" s="2" t="s">
        <v>27</v>
      </c>
      <c r="F104" s="2" t="s">
        <v>1246</v>
      </c>
      <c r="G104" s="2" t="s">
        <v>27</v>
      </c>
      <c r="H104" s="2">
        <v>70524</v>
      </c>
      <c r="I104" s="2">
        <v>70533</v>
      </c>
      <c r="J104" s="2" t="s">
        <v>28</v>
      </c>
      <c r="K104" s="2" t="s">
        <v>113</v>
      </c>
      <c r="L104" s="2" t="s">
        <v>1315</v>
      </c>
      <c r="M104" s="2" t="s">
        <v>1247</v>
      </c>
      <c r="N104" s="2">
        <v>2000</v>
      </c>
      <c r="O104" s="2">
        <v>2000</v>
      </c>
      <c r="P104" s="3">
        <v>2000</v>
      </c>
      <c r="Q104" s="3">
        <v>2000</v>
      </c>
      <c r="R104" s="2">
        <v>797</v>
      </c>
      <c r="S104" s="2">
        <v>797</v>
      </c>
      <c r="T104" s="3">
        <v>797</v>
      </c>
      <c r="U104" s="3">
        <v>797</v>
      </c>
      <c r="V104" s="3"/>
    </row>
    <row r="105" spans="2:22" ht="21" hidden="1" x14ac:dyDescent="0.25">
      <c r="B105" s="4" t="s">
        <v>622</v>
      </c>
      <c r="C105" s="4" t="s">
        <v>623</v>
      </c>
      <c r="D105" s="4" t="s">
        <v>616</v>
      </c>
      <c r="E105" s="4" t="s">
        <v>27</v>
      </c>
      <c r="F105" s="4" t="s">
        <v>624</v>
      </c>
      <c r="G105" s="4" t="s">
        <v>27</v>
      </c>
      <c r="H105" s="4">
        <v>70139</v>
      </c>
      <c r="I105" s="4">
        <v>73477</v>
      </c>
      <c r="J105" s="4" t="s">
        <v>28</v>
      </c>
      <c r="K105" s="4" t="s">
        <v>622</v>
      </c>
      <c r="L105" s="4" t="s">
        <v>29</v>
      </c>
      <c r="M105" s="4"/>
      <c r="N105" s="5">
        <v>1200</v>
      </c>
      <c r="O105" s="5">
        <v>1200</v>
      </c>
      <c r="P105" s="5">
        <v>1200</v>
      </c>
      <c r="Q105" s="5">
        <v>1200</v>
      </c>
      <c r="R105" s="5">
        <v>478</v>
      </c>
      <c r="S105" s="5">
        <v>478</v>
      </c>
      <c r="T105" s="5">
        <v>478</v>
      </c>
      <c r="U105" s="5">
        <v>478</v>
      </c>
      <c r="V105" s="5"/>
    </row>
    <row r="106" spans="2:22" ht="30" hidden="1" x14ac:dyDescent="0.25">
      <c r="B106" s="2" t="s">
        <v>622</v>
      </c>
      <c r="C106" s="2" t="s">
        <v>623</v>
      </c>
      <c r="D106" s="2" t="s">
        <v>616</v>
      </c>
      <c r="E106" s="2" t="s">
        <v>27</v>
      </c>
      <c r="F106" s="2" t="s">
        <v>624</v>
      </c>
      <c r="G106" s="2" t="s">
        <v>27</v>
      </c>
      <c r="H106" s="2">
        <v>70139</v>
      </c>
      <c r="I106" s="2">
        <v>73477</v>
      </c>
      <c r="J106" s="2" t="s">
        <v>28</v>
      </c>
      <c r="K106" s="2" t="s">
        <v>625</v>
      </c>
      <c r="L106" s="2" t="s">
        <v>36</v>
      </c>
      <c r="M106" s="2" t="s">
        <v>617</v>
      </c>
      <c r="N106" s="3">
        <v>1200</v>
      </c>
      <c r="O106" s="3">
        <v>1200</v>
      </c>
      <c r="P106" s="3">
        <v>1200</v>
      </c>
      <c r="Q106" s="3">
        <v>1200</v>
      </c>
      <c r="R106" s="3">
        <v>478</v>
      </c>
      <c r="S106" s="3">
        <v>478</v>
      </c>
      <c r="T106" s="3">
        <v>478</v>
      </c>
      <c r="U106" s="3">
        <v>478</v>
      </c>
      <c r="V106" s="3"/>
    </row>
    <row r="107" spans="2:22" ht="30" hidden="1" x14ac:dyDescent="0.25">
      <c r="B107" s="2" t="s">
        <v>622</v>
      </c>
      <c r="C107" s="2" t="s">
        <v>623</v>
      </c>
      <c r="D107" s="2" t="s">
        <v>616</v>
      </c>
      <c r="E107" s="2" t="s">
        <v>27</v>
      </c>
      <c r="F107" s="2" t="s">
        <v>624</v>
      </c>
      <c r="G107" s="2" t="s">
        <v>27</v>
      </c>
      <c r="H107" s="2">
        <v>70139</v>
      </c>
      <c r="I107" s="2">
        <v>73477</v>
      </c>
      <c r="J107" s="2" t="s">
        <v>28</v>
      </c>
      <c r="K107" s="2" t="s">
        <v>627</v>
      </c>
      <c r="L107" s="2" t="s">
        <v>36</v>
      </c>
      <c r="M107" s="2" t="s">
        <v>617</v>
      </c>
      <c r="N107" s="3">
        <v>1200</v>
      </c>
      <c r="O107" s="3">
        <v>1200</v>
      </c>
      <c r="P107" s="3">
        <v>1200</v>
      </c>
      <c r="Q107" s="3">
        <v>1200</v>
      </c>
      <c r="R107" s="3">
        <v>478</v>
      </c>
      <c r="S107" s="3">
        <v>478</v>
      </c>
      <c r="T107" s="3">
        <v>478</v>
      </c>
      <c r="U107" s="3">
        <v>478</v>
      </c>
      <c r="V107" s="3"/>
    </row>
    <row r="108" spans="2:22" ht="30" hidden="1" x14ac:dyDescent="0.25">
      <c r="B108" s="2" t="s">
        <v>622</v>
      </c>
      <c r="C108" s="2" t="s">
        <v>623</v>
      </c>
      <c r="D108" s="2" t="s">
        <v>616</v>
      </c>
      <c r="E108" s="2" t="s">
        <v>27</v>
      </c>
      <c r="F108" s="2" t="s">
        <v>624</v>
      </c>
      <c r="G108" s="2" t="s">
        <v>27</v>
      </c>
      <c r="H108" s="2">
        <v>70139</v>
      </c>
      <c r="I108" s="2">
        <v>73477</v>
      </c>
      <c r="J108" s="2" t="s">
        <v>28</v>
      </c>
      <c r="K108" s="2" t="s">
        <v>626</v>
      </c>
      <c r="L108" s="2" t="s">
        <v>36</v>
      </c>
      <c r="M108" s="2" t="s">
        <v>617</v>
      </c>
      <c r="N108" s="3">
        <v>1200</v>
      </c>
      <c r="O108" s="3">
        <v>1200</v>
      </c>
      <c r="P108" s="3">
        <v>1200</v>
      </c>
      <c r="Q108" s="3">
        <v>1200</v>
      </c>
      <c r="R108" s="3">
        <v>478</v>
      </c>
      <c r="S108" s="3">
        <v>478</v>
      </c>
      <c r="T108" s="3">
        <v>478</v>
      </c>
      <c r="U108" s="3">
        <v>478</v>
      </c>
      <c r="V108" s="3"/>
    </row>
    <row r="109" spans="2:22" ht="21" hidden="1" x14ac:dyDescent="0.25">
      <c r="B109" s="4" t="s">
        <v>824</v>
      </c>
      <c r="C109" s="4" t="s">
        <v>825</v>
      </c>
      <c r="D109" s="4" t="s">
        <v>826</v>
      </c>
      <c r="E109" s="4" t="s">
        <v>27</v>
      </c>
      <c r="F109" s="4" t="s">
        <v>45</v>
      </c>
      <c r="G109" s="4" t="s">
        <v>27</v>
      </c>
      <c r="H109" s="4">
        <v>70193</v>
      </c>
      <c r="I109" s="4">
        <v>70286</v>
      </c>
      <c r="J109" s="4" t="s">
        <v>28</v>
      </c>
      <c r="K109" s="4" t="s">
        <v>824</v>
      </c>
      <c r="L109" s="4" t="s">
        <v>29</v>
      </c>
      <c r="M109" s="4"/>
      <c r="N109" s="5">
        <v>1267</v>
      </c>
      <c r="O109" s="5">
        <v>1394</v>
      </c>
      <c r="P109" s="5">
        <v>1443</v>
      </c>
      <c r="Q109" s="5">
        <v>1500</v>
      </c>
      <c r="R109" s="5">
        <v>505</v>
      </c>
      <c r="S109" s="5">
        <v>555</v>
      </c>
      <c r="T109" s="5">
        <v>575</v>
      </c>
      <c r="U109" s="5">
        <v>598</v>
      </c>
      <c r="V109" s="5"/>
    </row>
    <row r="110" spans="2:22" ht="20" hidden="1" x14ac:dyDescent="0.25">
      <c r="B110" s="2" t="s">
        <v>824</v>
      </c>
      <c r="C110" s="2" t="s">
        <v>825</v>
      </c>
      <c r="D110" s="2" t="s">
        <v>826</v>
      </c>
      <c r="E110" s="2" t="s">
        <v>27</v>
      </c>
      <c r="F110" s="2" t="s">
        <v>45</v>
      </c>
      <c r="G110" s="2" t="s">
        <v>27</v>
      </c>
      <c r="H110" s="2">
        <v>70193</v>
      </c>
      <c r="I110" s="2">
        <v>70286</v>
      </c>
      <c r="J110" s="2" t="s">
        <v>28</v>
      </c>
      <c r="K110" s="2" t="s">
        <v>824</v>
      </c>
      <c r="L110" s="2" t="s">
        <v>30</v>
      </c>
      <c r="M110" s="2" t="s">
        <v>825</v>
      </c>
      <c r="N110" s="3">
        <v>1267</v>
      </c>
      <c r="O110" s="3">
        <v>1394</v>
      </c>
      <c r="P110" s="3">
        <v>1443</v>
      </c>
      <c r="Q110" s="2">
        <v>1587</v>
      </c>
      <c r="R110" s="3">
        <v>505</v>
      </c>
      <c r="S110" s="3">
        <v>555</v>
      </c>
      <c r="T110" s="3">
        <v>575</v>
      </c>
      <c r="U110" s="2">
        <v>632</v>
      </c>
      <c r="V110" s="2"/>
    </row>
    <row r="111" spans="2:22" ht="20" hidden="1" x14ac:dyDescent="0.25">
      <c r="B111" s="2" t="s">
        <v>824</v>
      </c>
      <c r="C111" s="2" t="s">
        <v>825</v>
      </c>
      <c r="D111" s="2" t="s">
        <v>826</v>
      </c>
      <c r="E111" s="2" t="s">
        <v>27</v>
      </c>
      <c r="F111" s="2" t="s">
        <v>45</v>
      </c>
      <c r="G111" s="2" t="s">
        <v>27</v>
      </c>
      <c r="H111" s="2">
        <v>70193</v>
      </c>
      <c r="I111" s="2">
        <v>70286</v>
      </c>
      <c r="J111" s="2" t="s">
        <v>28</v>
      </c>
      <c r="K111" s="2" t="s">
        <v>827</v>
      </c>
      <c r="L111" s="2" t="s">
        <v>39</v>
      </c>
      <c r="M111" s="2" t="s">
        <v>828</v>
      </c>
      <c r="N111" s="2">
        <v>1500</v>
      </c>
      <c r="O111" s="2">
        <v>1500</v>
      </c>
      <c r="P111" s="2">
        <v>1500</v>
      </c>
      <c r="Q111" s="3">
        <v>1500</v>
      </c>
      <c r="R111" s="2">
        <v>598</v>
      </c>
      <c r="S111" s="2">
        <v>598</v>
      </c>
      <c r="T111" s="2">
        <v>598</v>
      </c>
      <c r="U111" s="3">
        <v>598</v>
      </c>
      <c r="V111" s="3"/>
    </row>
    <row r="112" spans="2:22" ht="20" hidden="1" x14ac:dyDescent="0.25">
      <c r="B112" s="2" t="s">
        <v>824</v>
      </c>
      <c r="C112" s="2" t="s">
        <v>825</v>
      </c>
      <c r="D112" s="2" t="s">
        <v>826</v>
      </c>
      <c r="E112" s="2" t="s">
        <v>27</v>
      </c>
      <c r="F112" s="2" t="s">
        <v>45</v>
      </c>
      <c r="G112" s="2" t="s">
        <v>27</v>
      </c>
      <c r="H112" s="2">
        <v>70193</v>
      </c>
      <c r="I112" s="2">
        <v>70286</v>
      </c>
      <c r="J112" s="2" t="s">
        <v>28</v>
      </c>
      <c r="K112" s="2" t="s">
        <v>829</v>
      </c>
      <c r="L112" s="2" t="s">
        <v>39</v>
      </c>
      <c r="M112" s="2" t="s">
        <v>828</v>
      </c>
      <c r="N112" s="2">
        <v>1500</v>
      </c>
      <c r="O112" s="2">
        <v>1500</v>
      </c>
      <c r="P112" s="2">
        <v>1500</v>
      </c>
      <c r="Q112" s="3">
        <v>1500</v>
      </c>
      <c r="R112" s="2">
        <v>598</v>
      </c>
      <c r="S112" s="2">
        <v>598</v>
      </c>
      <c r="T112" s="2">
        <v>598</v>
      </c>
      <c r="U112" s="3">
        <v>598</v>
      </c>
      <c r="V112" s="3"/>
    </row>
    <row r="113" spans="2:22" ht="20" hidden="1" x14ac:dyDescent="0.25">
      <c r="B113" s="2" t="s">
        <v>824</v>
      </c>
      <c r="C113" s="2" t="s">
        <v>825</v>
      </c>
      <c r="D113" s="2" t="s">
        <v>826</v>
      </c>
      <c r="E113" s="2" t="s">
        <v>27</v>
      </c>
      <c r="F113" s="2" t="s">
        <v>45</v>
      </c>
      <c r="G113" s="2" t="s">
        <v>27</v>
      </c>
      <c r="H113" s="2">
        <v>70193</v>
      </c>
      <c r="I113" s="2">
        <v>70286</v>
      </c>
      <c r="J113" s="2" t="s">
        <v>28</v>
      </c>
      <c r="K113" s="2" t="s">
        <v>830</v>
      </c>
      <c r="L113" s="2" t="s">
        <v>39</v>
      </c>
      <c r="M113" s="2" t="s">
        <v>828</v>
      </c>
      <c r="N113" s="2">
        <v>1500</v>
      </c>
      <c r="O113" s="2">
        <v>1500</v>
      </c>
      <c r="P113" s="2">
        <v>1500</v>
      </c>
      <c r="Q113" s="3">
        <v>1500</v>
      </c>
      <c r="R113" s="2">
        <v>598</v>
      </c>
      <c r="S113" s="2">
        <v>598</v>
      </c>
      <c r="T113" s="2">
        <v>598</v>
      </c>
      <c r="U113" s="3">
        <v>598</v>
      </c>
      <c r="V113" s="3"/>
    </row>
    <row r="114" spans="2:22" ht="21" hidden="1" x14ac:dyDescent="0.25">
      <c r="B114" s="4" t="s">
        <v>1052</v>
      </c>
      <c r="C114" s="4" t="s">
        <v>1053</v>
      </c>
      <c r="D114" s="4" t="s">
        <v>45</v>
      </c>
      <c r="E114" s="4" t="s">
        <v>27</v>
      </c>
      <c r="F114" s="4" t="s">
        <v>624</v>
      </c>
      <c r="G114" s="4" t="s">
        <v>27</v>
      </c>
      <c r="H114" s="4">
        <v>70286</v>
      </c>
      <c r="I114" s="4">
        <v>73477</v>
      </c>
      <c r="J114" s="4" t="s">
        <v>28</v>
      </c>
      <c r="K114" s="4" t="s">
        <v>1052</v>
      </c>
      <c r="L114" s="4" t="s">
        <v>29</v>
      </c>
      <c r="M114" s="4"/>
      <c r="N114" s="5">
        <v>1200</v>
      </c>
      <c r="O114" s="5">
        <v>1200</v>
      </c>
      <c r="P114" s="5">
        <v>1200</v>
      </c>
      <c r="Q114" s="5">
        <v>1200</v>
      </c>
      <c r="R114" s="5">
        <v>478</v>
      </c>
      <c r="S114" s="5">
        <v>478</v>
      </c>
      <c r="T114" s="5">
        <v>478</v>
      </c>
      <c r="U114" s="5">
        <v>478</v>
      </c>
      <c r="V114" s="5"/>
    </row>
    <row r="115" spans="2:22" ht="30" hidden="1" x14ac:dyDescent="0.25">
      <c r="B115" s="2" t="s">
        <v>1052</v>
      </c>
      <c r="C115" s="2" t="s">
        <v>1053</v>
      </c>
      <c r="D115" s="2" t="s">
        <v>45</v>
      </c>
      <c r="E115" s="2" t="s">
        <v>27</v>
      </c>
      <c r="F115" s="2" t="s">
        <v>624</v>
      </c>
      <c r="G115" s="2" t="s">
        <v>27</v>
      </c>
      <c r="H115" s="2">
        <v>70286</v>
      </c>
      <c r="I115" s="2">
        <v>73477</v>
      </c>
      <c r="J115" s="2" t="s">
        <v>28</v>
      </c>
      <c r="K115" s="2" t="s">
        <v>1054</v>
      </c>
      <c r="L115" s="2" t="s">
        <v>36</v>
      </c>
      <c r="M115" s="2" t="s">
        <v>46</v>
      </c>
      <c r="N115" s="3">
        <v>1200</v>
      </c>
      <c r="O115" s="3">
        <v>1200</v>
      </c>
      <c r="P115" s="3">
        <v>1200</v>
      </c>
      <c r="Q115" s="3">
        <v>1200</v>
      </c>
      <c r="R115" s="3">
        <v>478</v>
      </c>
      <c r="S115" s="3">
        <v>478</v>
      </c>
      <c r="T115" s="3">
        <v>478</v>
      </c>
      <c r="U115" s="3">
        <v>478</v>
      </c>
      <c r="V115" s="3"/>
    </row>
    <row r="116" spans="2:22" hidden="1" x14ac:dyDescent="0.25">
      <c r="B116" s="4" t="s">
        <v>1043</v>
      </c>
      <c r="C116" s="4" t="s">
        <v>1044</v>
      </c>
      <c r="D116" s="4" t="s">
        <v>223</v>
      </c>
      <c r="E116" s="4" t="s">
        <v>27</v>
      </c>
      <c r="F116" s="4" t="s">
        <v>1045</v>
      </c>
      <c r="G116" s="4" t="s">
        <v>27</v>
      </c>
      <c r="H116" s="4">
        <v>70274</v>
      </c>
      <c r="I116" s="4">
        <v>70927</v>
      </c>
      <c r="J116" s="4" t="s">
        <v>28</v>
      </c>
      <c r="K116" s="4" t="s">
        <v>1043</v>
      </c>
      <c r="L116" s="4" t="s">
        <v>29</v>
      </c>
      <c r="M116" s="4"/>
      <c r="N116" s="5">
        <v>1200</v>
      </c>
      <c r="O116" s="5">
        <v>1200</v>
      </c>
      <c r="P116" s="5">
        <v>1248</v>
      </c>
      <c r="Q116" s="5">
        <v>1248</v>
      </c>
      <c r="R116" s="5">
        <v>478</v>
      </c>
      <c r="S116" s="5">
        <v>478</v>
      </c>
      <c r="T116" s="5">
        <v>497</v>
      </c>
      <c r="U116" s="5">
        <v>497</v>
      </c>
      <c r="V116" s="5"/>
    </row>
    <row r="117" spans="2:22" hidden="1" x14ac:dyDescent="0.25">
      <c r="B117" s="2" t="s">
        <v>1043</v>
      </c>
      <c r="C117" s="2" t="s">
        <v>1044</v>
      </c>
      <c r="D117" s="2" t="s">
        <v>223</v>
      </c>
      <c r="E117" s="2" t="s">
        <v>27</v>
      </c>
      <c r="F117" s="2" t="s">
        <v>1045</v>
      </c>
      <c r="G117" s="2" t="s">
        <v>27</v>
      </c>
      <c r="H117" s="2">
        <v>70274</v>
      </c>
      <c r="I117" s="2">
        <v>70927</v>
      </c>
      <c r="J117" s="2" t="s">
        <v>28</v>
      </c>
      <c r="K117" s="2"/>
      <c r="L117" s="2" t="s">
        <v>301</v>
      </c>
      <c r="M117" s="2" t="s">
        <v>250</v>
      </c>
      <c r="N117" s="3">
        <v>1200</v>
      </c>
      <c r="O117" s="3">
        <v>1200</v>
      </c>
      <c r="P117" s="3">
        <v>1248</v>
      </c>
      <c r="Q117" s="3">
        <v>1248</v>
      </c>
      <c r="R117" s="3">
        <v>478</v>
      </c>
      <c r="S117" s="3">
        <v>478</v>
      </c>
      <c r="T117" s="3">
        <v>497</v>
      </c>
      <c r="U117" s="3">
        <v>497</v>
      </c>
      <c r="V117" s="3"/>
    </row>
    <row r="118" spans="2:22" ht="21" hidden="1" x14ac:dyDescent="0.25">
      <c r="B118" s="4" t="s">
        <v>1038</v>
      </c>
      <c r="C118" s="4" t="s">
        <v>1039</v>
      </c>
      <c r="D118" s="4" t="s">
        <v>223</v>
      </c>
      <c r="E118" s="4" t="s">
        <v>27</v>
      </c>
      <c r="F118" s="4" t="s">
        <v>603</v>
      </c>
      <c r="G118" s="4" t="s">
        <v>27</v>
      </c>
      <c r="H118" s="4">
        <v>70274</v>
      </c>
      <c r="I118" s="4">
        <v>79004</v>
      </c>
      <c r="J118" s="4" t="s">
        <v>28</v>
      </c>
      <c r="K118" s="4" t="s">
        <v>1038</v>
      </c>
      <c r="L118" s="4" t="s">
        <v>29</v>
      </c>
      <c r="M118" s="4"/>
      <c r="N118" s="5">
        <v>900</v>
      </c>
      <c r="O118" s="5">
        <v>900</v>
      </c>
      <c r="P118" s="5">
        <v>900</v>
      </c>
      <c r="Q118" s="5">
        <v>900</v>
      </c>
      <c r="R118" s="5">
        <v>359</v>
      </c>
      <c r="S118" s="5">
        <v>359</v>
      </c>
      <c r="T118" s="5">
        <v>359</v>
      </c>
      <c r="U118" s="5">
        <v>359</v>
      </c>
      <c r="V118" s="5"/>
    </row>
    <row r="119" spans="2:22" ht="20" hidden="1" x14ac:dyDescent="0.25">
      <c r="B119" s="2" t="s">
        <v>1038</v>
      </c>
      <c r="C119" s="2" t="s">
        <v>1039</v>
      </c>
      <c r="D119" s="2" t="s">
        <v>223</v>
      </c>
      <c r="E119" s="2" t="s">
        <v>27</v>
      </c>
      <c r="F119" s="2" t="s">
        <v>603</v>
      </c>
      <c r="G119" s="2" t="s">
        <v>27</v>
      </c>
      <c r="H119" s="2">
        <v>70274</v>
      </c>
      <c r="I119" s="2">
        <v>79004</v>
      </c>
      <c r="J119" s="2" t="s">
        <v>28</v>
      </c>
      <c r="K119" s="2" t="s">
        <v>1040</v>
      </c>
      <c r="L119" s="2" t="s">
        <v>39</v>
      </c>
      <c r="M119" s="2" t="s">
        <v>605</v>
      </c>
      <c r="N119" s="3">
        <v>900</v>
      </c>
      <c r="O119" s="3">
        <v>900</v>
      </c>
      <c r="P119" s="3">
        <v>900</v>
      </c>
      <c r="Q119" s="3">
        <v>900</v>
      </c>
      <c r="R119" s="3">
        <v>359</v>
      </c>
      <c r="S119" s="3">
        <v>359</v>
      </c>
      <c r="T119" s="3">
        <v>359</v>
      </c>
      <c r="U119" s="3">
        <v>359</v>
      </c>
      <c r="V119" s="3"/>
    </row>
    <row r="120" spans="2:22" ht="20" hidden="1" x14ac:dyDescent="0.25">
      <c r="B120" s="2" t="s">
        <v>1038</v>
      </c>
      <c r="C120" s="2" t="s">
        <v>1039</v>
      </c>
      <c r="D120" s="2" t="s">
        <v>223</v>
      </c>
      <c r="E120" s="2" t="s">
        <v>27</v>
      </c>
      <c r="F120" s="2" t="s">
        <v>603</v>
      </c>
      <c r="G120" s="2" t="s">
        <v>27</v>
      </c>
      <c r="H120" s="2">
        <v>70274</v>
      </c>
      <c r="I120" s="2">
        <v>79004</v>
      </c>
      <c r="J120" s="2" t="s">
        <v>28</v>
      </c>
      <c r="K120" s="2" t="s">
        <v>1041</v>
      </c>
      <c r="L120" s="2" t="s">
        <v>39</v>
      </c>
      <c r="M120" s="2" t="s">
        <v>605</v>
      </c>
      <c r="N120" s="3">
        <v>900</v>
      </c>
      <c r="O120" s="3">
        <v>900</v>
      </c>
      <c r="P120" s="3">
        <v>900</v>
      </c>
      <c r="Q120" s="3">
        <v>900</v>
      </c>
      <c r="R120" s="3">
        <v>359</v>
      </c>
      <c r="S120" s="3">
        <v>359</v>
      </c>
      <c r="T120" s="3">
        <v>359</v>
      </c>
      <c r="U120" s="3">
        <v>359</v>
      </c>
      <c r="V120" s="3"/>
    </row>
    <row r="121" spans="2:22" ht="20" hidden="1" x14ac:dyDescent="0.25">
      <c r="B121" s="2" t="s">
        <v>1038</v>
      </c>
      <c r="C121" s="2" t="s">
        <v>1039</v>
      </c>
      <c r="D121" s="2" t="s">
        <v>223</v>
      </c>
      <c r="E121" s="2" t="s">
        <v>27</v>
      </c>
      <c r="F121" s="2" t="s">
        <v>603</v>
      </c>
      <c r="G121" s="2" t="s">
        <v>27</v>
      </c>
      <c r="H121" s="2">
        <v>70274</v>
      </c>
      <c r="I121" s="2">
        <v>79004</v>
      </c>
      <c r="J121" s="2" t="s">
        <v>28</v>
      </c>
      <c r="K121" s="2" t="s">
        <v>1042</v>
      </c>
      <c r="L121" s="2" t="s">
        <v>39</v>
      </c>
      <c r="M121" s="2" t="s">
        <v>605</v>
      </c>
      <c r="N121" s="3">
        <v>900</v>
      </c>
      <c r="O121" s="3">
        <v>900</v>
      </c>
      <c r="P121" s="3">
        <v>900</v>
      </c>
      <c r="Q121" s="3">
        <v>900</v>
      </c>
      <c r="R121" s="3">
        <v>359</v>
      </c>
      <c r="S121" s="3">
        <v>359</v>
      </c>
      <c r="T121" s="3">
        <v>359</v>
      </c>
      <c r="U121" s="3">
        <v>359</v>
      </c>
      <c r="V121" s="3"/>
    </row>
    <row r="122" spans="2:22" ht="21" hidden="1" x14ac:dyDescent="0.25">
      <c r="B122" s="4" t="s">
        <v>957</v>
      </c>
      <c r="C122" s="4" t="s">
        <v>117</v>
      </c>
      <c r="D122" s="4" t="s">
        <v>958</v>
      </c>
      <c r="E122" s="4" t="s">
        <v>27</v>
      </c>
      <c r="F122" s="4" t="s">
        <v>959</v>
      </c>
      <c r="G122" s="4" t="s">
        <v>27</v>
      </c>
      <c r="H122" s="4">
        <v>70513</v>
      </c>
      <c r="I122" s="4">
        <v>70551</v>
      </c>
      <c r="J122" s="4" t="s">
        <v>28</v>
      </c>
      <c r="K122" s="4" t="s">
        <v>957</v>
      </c>
      <c r="L122" s="4" t="s">
        <v>29</v>
      </c>
      <c r="M122" s="4"/>
      <c r="N122" s="5">
        <v>1849</v>
      </c>
      <c r="O122" s="5">
        <v>1918</v>
      </c>
      <c r="P122" s="5">
        <v>1918</v>
      </c>
      <c r="Q122" s="5">
        <v>1918</v>
      </c>
      <c r="R122" s="5">
        <v>736</v>
      </c>
      <c r="S122" s="5">
        <v>764</v>
      </c>
      <c r="T122" s="5">
        <v>764</v>
      </c>
      <c r="U122" s="5">
        <v>764</v>
      </c>
      <c r="V122" s="5"/>
    </row>
    <row r="123" spans="2:22" ht="20" hidden="1" x14ac:dyDescent="0.25">
      <c r="B123" s="2" t="s">
        <v>957</v>
      </c>
      <c r="C123" s="2" t="s">
        <v>117</v>
      </c>
      <c r="D123" s="2" t="s">
        <v>958</v>
      </c>
      <c r="E123" s="2" t="s">
        <v>27</v>
      </c>
      <c r="F123" s="2" t="s">
        <v>959</v>
      </c>
      <c r="G123" s="2" t="s">
        <v>27</v>
      </c>
      <c r="H123" s="2">
        <v>70513</v>
      </c>
      <c r="I123" s="2">
        <v>70551</v>
      </c>
      <c r="J123" s="2" t="s">
        <v>28</v>
      </c>
      <c r="K123" s="2" t="s">
        <v>960</v>
      </c>
      <c r="L123" s="2" t="s">
        <v>31</v>
      </c>
      <c r="M123" s="2" t="s">
        <v>961</v>
      </c>
      <c r="N123" s="3">
        <v>1849</v>
      </c>
      <c r="O123" s="2">
        <v>2034</v>
      </c>
      <c r="P123" s="2">
        <v>2104</v>
      </c>
      <c r="Q123" s="2">
        <v>2314</v>
      </c>
      <c r="R123" s="3">
        <v>736</v>
      </c>
      <c r="S123" s="2">
        <v>810</v>
      </c>
      <c r="T123" s="2">
        <v>838</v>
      </c>
      <c r="U123" s="2">
        <v>922</v>
      </c>
      <c r="V123" s="2"/>
    </row>
    <row r="124" spans="2:22" ht="20" hidden="1" x14ac:dyDescent="0.25">
      <c r="B124" s="2" t="s">
        <v>957</v>
      </c>
      <c r="C124" s="2" t="s">
        <v>117</v>
      </c>
      <c r="D124" s="2" t="s">
        <v>958</v>
      </c>
      <c r="E124" s="2" t="s">
        <v>27</v>
      </c>
      <c r="F124" s="2" t="s">
        <v>959</v>
      </c>
      <c r="G124" s="2" t="s">
        <v>27</v>
      </c>
      <c r="H124" s="2">
        <v>70513</v>
      </c>
      <c r="I124" s="2">
        <v>70551</v>
      </c>
      <c r="J124" s="2" t="s">
        <v>28</v>
      </c>
      <c r="K124" s="2" t="s">
        <v>957</v>
      </c>
      <c r="L124" s="2" t="s">
        <v>30</v>
      </c>
      <c r="M124" s="2" t="s">
        <v>117</v>
      </c>
      <c r="N124" s="2">
        <v>1860</v>
      </c>
      <c r="O124" s="3">
        <v>1918</v>
      </c>
      <c r="P124" s="3">
        <v>1918</v>
      </c>
      <c r="Q124" s="3">
        <v>1918</v>
      </c>
      <c r="R124" s="2">
        <v>741</v>
      </c>
      <c r="S124" s="3">
        <v>764</v>
      </c>
      <c r="T124" s="3">
        <v>764</v>
      </c>
      <c r="U124" s="3">
        <v>764</v>
      </c>
      <c r="V124" s="3"/>
    </row>
    <row r="125" spans="2:22" ht="21" hidden="1" x14ac:dyDescent="0.25">
      <c r="B125" s="4" t="s">
        <v>116</v>
      </c>
      <c r="C125" s="4" t="s">
        <v>117</v>
      </c>
      <c r="D125" s="4" t="s">
        <v>958</v>
      </c>
      <c r="E125" s="4" t="s">
        <v>27</v>
      </c>
      <c r="F125" s="4" t="s">
        <v>962</v>
      </c>
      <c r="G125" s="4" t="s">
        <v>27</v>
      </c>
      <c r="H125" s="4">
        <v>70513</v>
      </c>
      <c r="I125" s="4">
        <v>70524</v>
      </c>
      <c r="J125" s="4" t="s">
        <v>28</v>
      </c>
      <c r="K125" s="4" t="s">
        <v>116</v>
      </c>
      <c r="L125" s="4" t="s">
        <v>29</v>
      </c>
      <c r="M125" s="4"/>
      <c r="N125" s="5">
        <v>1849</v>
      </c>
      <c r="O125" s="5">
        <v>2000</v>
      </c>
      <c r="P125" s="5">
        <v>2000</v>
      </c>
      <c r="Q125" s="5">
        <v>2000</v>
      </c>
      <c r="R125" s="5">
        <v>736</v>
      </c>
      <c r="S125" s="5">
        <v>797</v>
      </c>
      <c r="T125" s="5">
        <v>797</v>
      </c>
      <c r="U125" s="5">
        <v>797</v>
      </c>
      <c r="V125" s="5"/>
    </row>
    <row r="126" spans="2:22" ht="20" hidden="1" x14ac:dyDescent="0.25">
      <c r="B126" s="2" t="s">
        <v>116</v>
      </c>
      <c r="C126" s="2" t="s">
        <v>117</v>
      </c>
      <c r="D126" s="2" t="s">
        <v>958</v>
      </c>
      <c r="E126" s="2" t="s">
        <v>27</v>
      </c>
      <c r="F126" s="2" t="s">
        <v>962</v>
      </c>
      <c r="G126" s="2" t="s">
        <v>27</v>
      </c>
      <c r="H126" s="2">
        <v>70513</v>
      </c>
      <c r="I126" s="2">
        <v>70524</v>
      </c>
      <c r="J126" s="2" t="s">
        <v>28</v>
      </c>
      <c r="K126" s="2" t="s">
        <v>960</v>
      </c>
      <c r="L126" s="2" t="s">
        <v>31</v>
      </c>
      <c r="M126" s="2" t="s">
        <v>961</v>
      </c>
      <c r="N126" s="3">
        <v>1849</v>
      </c>
      <c r="O126" s="2">
        <v>2034</v>
      </c>
      <c r="P126" s="2">
        <v>2104</v>
      </c>
      <c r="Q126" s="2">
        <v>2314</v>
      </c>
      <c r="R126" s="3">
        <v>736</v>
      </c>
      <c r="S126" s="2">
        <v>810</v>
      </c>
      <c r="T126" s="2">
        <v>838</v>
      </c>
      <c r="U126" s="2">
        <v>922</v>
      </c>
      <c r="V126" s="2"/>
    </row>
    <row r="127" spans="2:22" ht="20" hidden="1" x14ac:dyDescent="0.25">
      <c r="B127" s="2" t="s">
        <v>116</v>
      </c>
      <c r="C127" s="2" t="s">
        <v>117</v>
      </c>
      <c r="D127" s="2" t="s">
        <v>958</v>
      </c>
      <c r="E127" s="2" t="s">
        <v>27</v>
      </c>
      <c r="F127" s="2" t="s">
        <v>962</v>
      </c>
      <c r="G127" s="2" t="s">
        <v>27</v>
      </c>
      <c r="H127" s="2">
        <v>70513</v>
      </c>
      <c r="I127" s="2">
        <v>70524</v>
      </c>
      <c r="J127" s="2" t="s">
        <v>28</v>
      </c>
      <c r="K127" s="2" t="s">
        <v>118</v>
      </c>
      <c r="L127" s="2" t="s">
        <v>1315</v>
      </c>
      <c r="M127" s="2" t="s">
        <v>961</v>
      </c>
      <c r="N127" s="2">
        <v>2000</v>
      </c>
      <c r="O127" s="3">
        <v>2000</v>
      </c>
      <c r="P127" s="3">
        <v>2000</v>
      </c>
      <c r="Q127" s="3">
        <v>2000</v>
      </c>
      <c r="R127" s="2">
        <v>797</v>
      </c>
      <c r="S127" s="3">
        <v>797</v>
      </c>
      <c r="T127" s="3">
        <v>797</v>
      </c>
      <c r="U127" s="3">
        <v>797</v>
      </c>
      <c r="V127" s="3"/>
    </row>
    <row r="128" spans="2:22" ht="21" hidden="1" x14ac:dyDescent="0.25">
      <c r="B128" s="4" t="s">
        <v>123</v>
      </c>
      <c r="C128" s="4" t="s">
        <v>117</v>
      </c>
      <c r="D128" s="4" t="s">
        <v>422</v>
      </c>
      <c r="E128" s="4" t="s">
        <v>27</v>
      </c>
      <c r="F128" s="4" t="s">
        <v>959</v>
      </c>
      <c r="G128" s="4" t="s">
        <v>27</v>
      </c>
      <c r="H128" s="4">
        <v>70396</v>
      </c>
      <c r="I128" s="4">
        <v>70551</v>
      </c>
      <c r="J128" s="4" t="s">
        <v>28</v>
      </c>
      <c r="K128" s="4" t="s">
        <v>123</v>
      </c>
      <c r="L128" s="4" t="s">
        <v>29</v>
      </c>
      <c r="M128" s="4"/>
      <c r="N128" s="5">
        <v>1860</v>
      </c>
      <c r="O128" s="5">
        <v>2000</v>
      </c>
      <c r="P128" s="5">
        <v>2000</v>
      </c>
      <c r="Q128" s="5">
        <v>2000</v>
      </c>
      <c r="R128" s="5">
        <v>741</v>
      </c>
      <c r="S128" s="5">
        <v>797</v>
      </c>
      <c r="T128" s="5">
        <v>797</v>
      </c>
      <c r="U128" s="5">
        <v>797</v>
      </c>
      <c r="V128" s="5"/>
    </row>
    <row r="129" spans="2:22" ht="20" hidden="1" x14ac:dyDescent="0.25">
      <c r="B129" s="2" t="s">
        <v>123</v>
      </c>
      <c r="C129" s="2" t="s">
        <v>117</v>
      </c>
      <c r="D129" s="2" t="s">
        <v>422</v>
      </c>
      <c r="E129" s="2" t="s">
        <v>27</v>
      </c>
      <c r="F129" s="2" t="s">
        <v>959</v>
      </c>
      <c r="G129" s="2" t="s">
        <v>27</v>
      </c>
      <c r="H129" s="2">
        <v>70396</v>
      </c>
      <c r="I129" s="2">
        <v>70551</v>
      </c>
      <c r="J129" s="2" t="s">
        <v>28</v>
      </c>
      <c r="K129" s="2" t="s">
        <v>123</v>
      </c>
      <c r="L129" s="2" t="s">
        <v>30</v>
      </c>
      <c r="M129" s="2" t="s">
        <v>117</v>
      </c>
      <c r="N129" s="3">
        <v>1860</v>
      </c>
      <c r="O129" s="2">
        <v>2046</v>
      </c>
      <c r="P129" s="2">
        <v>2112</v>
      </c>
      <c r="Q129" s="2">
        <v>2323</v>
      </c>
      <c r="R129" s="3">
        <v>741</v>
      </c>
      <c r="S129" s="2">
        <v>815</v>
      </c>
      <c r="T129" s="2">
        <v>841</v>
      </c>
      <c r="U129" s="2">
        <v>925</v>
      </c>
      <c r="V129" s="2"/>
    </row>
    <row r="130" spans="2:22" ht="20" hidden="1" x14ac:dyDescent="0.25">
      <c r="B130" s="2" t="s">
        <v>123</v>
      </c>
      <c r="C130" s="2" t="s">
        <v>117</v>
      </c>
      <c r="D130" s="2" t="s">
        <v>422</v>
      </c>
      <c r="E130" s="2" t="s">
        <v>27</v>
      </c>
      <c r="F130" s="2" t="s">
        <v>959</v>
      </c>
      <c r="G130" s="2" t="s">
        <v>27</v>
      </c>
      <c r="H130" s="2">
        <v>70396</v>
      </c>
      <c r="I130" s="2">
        <v>70551</v>
      </c>
      <c r="J130" s="2" t="s">
        <v>28</v>
      </c>
      <c r="K130" s="2" t="s">
        <v>124</v>
      </c>
      <c r="L130" s="2" t="s">
        <v>1315</v>
      </c>
      <c r="M130" s="2" t="s">
        <v>1226</v>
      </c>
      <c r="N130" s="2">
        <v>2000</v>
      </c>
      <c r="O130" s="3">
        <v>2000</v>
      </c>
      <c r="P130" s="3">
        <v>2000</v>
      </c>
      <c r="Q130" s="3">
        <v>2000</v>
      </c>
      <c r="R130" s="2">
        <v>797</v>
      </c>
      <c r="S130" s="3">
        <v>797</v>
      </c>
      <c r="T130" s="3">
        <v>797</v>
      </c>
      <c r="U130" s="3">
        <v>797</v>
      </c>
      <c r="V130" s="3"/>
    </row>
    <row r="131" spans="2:22" ht="21" hidden="1" x14ac:dyDescent="0.25">
      <c r="B131" s="4" t="s">
        <v>1166</v>
      </c>
      <c r="C131" s="4" t="s">
        <v>1167</v>
      </c>
      <c r="D131" s="4" t="s">
        <v>1168</v>
      </c>
      <c r="E131" s="4" t="s">
        <v>27</v>
      </c>
      <c r="F131" s="4" t="s">
        <v>1120</v>
      </c>
      <c r="G131" s="4" t="s">
        <v>27</v>
      </c>
      <c r="H131" s="4">
        <v>70343</v>
      </c>
      <c r="I131" s="4">
        <v>70545</v>
      </c>
      <c r="J131" s="4" t="s">
        <v>28</v>
      </c>
      <c r="K131" s="4" t="s">
        <v>1166</v>
      </c>
      <c r="L131" s="4" t="s">
        <v>29</v>
      </c>
      <c r="M131" s="4"/>
      <c r="N131" s="5">
        <v>2000</v>
      </c>
      <c r="O131" s="5">
        <v>2000</v>
      </c>
      <c r="P131" s="5">
        <v>2080</v>
      </c>
      <c r="Q131" s="5">
        <v>2080</v>
      </c>
      <c r="R131" s="5">
        <v>797</v>
      </c>
      <c r="S131" s="5">
        <v>797</v>
      </c>
      <c r="T131" s="5">
        <v>829</v>
      </c>
      <c r="U131" s="5">
        <v>829</v>
      </c>
      <c r="V131" s="5"/>
    </row>
    <row r="132" spans="2:22" hidden="1" x14ac:dyDescent="0.25">
      <c r="B132" s="2" t="s">
        <v>1166</v>
      </c>
      <c r="C132" s="2" t="s">
        <v>1167</v>
      </c>
      <c r="D132" s="2" t="s">
        <v>1168</v>
      </c>
      <c r="E132" s="2" t="s">
        <v>27</v>
      </c>
      <c r="F132" s="2" t="s">
        <v>1120</v>
      </c>
      <c r="G132" s="2" t="s">
        <v>27</v>
      </c>
      <c r="H132" s="2">
        <v>70343</v>
      </c>
      <c r="I132" s="2">
        <v>70545</v>
      </c>
      <c r="J132" s="2" t="s">
        <v>28</v>
      </c>
      <c r="K132" s="2"/>
      <c r="L132" s="2" t="s">
        <v>301</v>
      </c>
      <c r="M132" s="2" t="s">
        <v>1169</v>
      </c>
      <c r="N132" s="3">
        <v>2000</v>
      </c>
      <c r="O132" s="3">
        <v>2000</v>
      </c>
      <c r="P132" s="3">
        <v>2080</v>
      </c>
      <c r="Q132" s="3">
        <v>2080</v>
      </c>
      <c r="R132" s="3">
        <v>797</v>
      </c>
      <c r="S132" s="3">
        <v>797</v>
      </c>
      <c r="T132" s="3">
        <v>829</v>
      </c>
      <c r="U132" s="3">
        <v>829</v>
      </c>
      <c r="V132" s="3"/>
    </row>
    <row r="133" spans="2:22" ht="21" hidden="1" x14ac:dyDescent="0.25">
      <c r="B133" s="4" t="s">
        <v>1170</v>
      </c>
      <c r="C133" s="4" t="s">
        <v>1167</v>
      </c>
      <c r="D133" s="4" t="s">
        <v>1168</v>
      </c>
      <c r="E133" s="4" t="s">
        <v>27</v>
      </c>
      <c r="F133" s="4" t="s">
        <v>422</v>
      </c>
      <c r="G133" s="4" t="s">
        <v>27</v>
      </c>
      <c r="H133" s="4">
        <v>70343</v>
      </c>
      <c r="I133" s="4">
        <v>70396</v>
      </c>
      <c r="J133" s="4" t="s">
        <v>28</v>
      </c>
      <c r="K133" s="4" t="s">
        <v>1170</v>
      </c>
      <c r="L133" s="4" t="s">
        <v>29</v>
      </c>
      <c r="M133" s="4"/>
      <c r="N133" s="5">
        <v>1904</v>
      </c>
      <c r="O133" s="5">
        <v>2000</v>
      </c>
      <c r="P133" s="5">
        <v>2167</v>
      </c>
      <c r="Q133" s="5">
        <v>2208</v>
      </c>
      <c r="R133" s="5">
        <v>758</v>
      </c>
      <c r="S133" s="5">
        <v>797</v>
      </c>
      <c r="T133" s="5">
        <v>863</v>
      </c>
      <c r="U133" s="5">
        <v>880</v>
      </c>
      <c r="V133" s="5"/>
    </row>
    <row r="134" spans="2:22" ht="20" hidden="1" x14ac:dyDescent="0.25">
      <c r="B134" s="2" t="s">
        <v>1170</v>
      </c>
      <c r="C134" s="2" t="s">
        <v>1167</v>
      </c>
      <c r="D134" s="2" t="s">
        <v>1168</v>
      </c>
      <c r="E134" s="2" t="s">
        <v>27</v>
      </c>
      <c r="F134" s="2" t="s">
        <v>422</v>
      </c>
      <c r="G134" s="2" t="s">
        <v>27</v>
      </c>
      <c r="H134" s="2">
        <v>70343</v>
      </c>
      <c r="I134" s="2">
        <v>70396</v>
      </c>
      <c r="J134" s="2" t="s">
        <v>28</v>
      </c>
      <c r="K134" s="2" t="s">
        <v>1170</v>
      </c>
      <c r="L134" s="2" t="s">
        <v>30</v>
      </c>
      <c r="M134" s="2" t="s">
        <v>1167</v>
      </c>
      <c r="N134" s="3">
        <v>1904</v>
      </c>
      <c r="O134" s="2">
        <v>2094</v>
      </c>
      <c r="P134" s="3">
        <v>2167</v>
      </c>
      <c r="Q134" s="2">
        <v>2384</v>
      </c>
      <c r="R134" s="3">
        <v>758</v>
      </c>
      <c r="S134" s="2">
        <v>834</v>
      </c>
      <c r="T134" s="3">
        <v>863</v>
      </c>
      <c r="U134" s="2">
        <v>950</v>
      </c>
      <c r="V134" s="2"/>
    </row>
    <row r="135" spans="2:22" ht="20" hidden="1" x14ac:dyDescent="0.25">
      <c r="B135" s="2" t="s">
        <v>1170</v>
      </c>
      <c r="C135" s="2" t="s">
        <v>1167</v>
      </c>
      <c r="D135" s="2" t="s">
        <v>1168</v>
      </c>
      <c r="E135" s="2" t="s">
        <v>27</v>
      </c>
      <c r="F135" s="2" t="s">
        <v>422</v>
      </c>
      <c r="G135" s="2" t="s">
        <v>27</v>
      </c>
      <c r="H135" s="2">
        <v>70343</v>
      </c>
      <c r="I135" s="2">
        <v>70396</v>
      </c>
      <c r="J135" s="2" t="s">
        <v>28</v>
      </c>
      <c r="K135" s="2"/>
      <c r="L135" s="2" t="s">
        <v>301</v>
      </c>
      <c r="M135" s="2" t="s">
        <v>424</v>
      </c>
      <c r="N135" s="2">
        <v>2000</v>
      </c>
      <c r="O135" s="3">
        <v>2000</v>
      </c>
      <c r="P135" s="2">
        <v>2208</v>
      </c>
      <c r="Q135" s="3">
        <v>2208</v>
      </c>
      <c r="R135" s="2">
        <v>797</v>
      </c>
      <c r="S135" s="3">
        <v>797</v>
      </c>
      <c r="T135" s="2">
        <v>880</v>
      </c>
      <c r="U135" s="3">
        <v>880</v>
      </c>
      <c r="V135" s="3"/>
    </row>
    <row r="136" spans="2:22" ht="21" hidden="1" x14ac:dyDescent="0.25">
      <c r="B136" s="4" t="s">
        <v>416</v>
      </c>
      <c r="C136" s="4" t="s">
        <v>417</v>
      </c>
      <c r="D136" s="4" t="s">
        <v>419</v>
      </c>
      <c r="E136" s="4" t="s">
        <v>27</v>
      </c>
      <c r="F136" s="4" t="s">
        <v>418</v>
      </c>
      <c r="G136" s="4" t="s">
        <v>27</v>
      </c>
      <c r="H136" s="4">
        <v>70067</v>
      </c>
      <c r="I136" s="4">
        <v>70512</v>
      </c>
      <c r="J136" s="4" t="s">
        <v>28</v>
      </c>
      <c r="K136" s="4" t="s">
        <v>416</v>
      </c>
      <c r="L136" s="4" t="s">
        <v>29</v>
      </c>
      <c r="M136" s="4"/>
      <c r="N136" s="5">
        <v>1263</v>
      </c>
      <c r="O136" s="5">
        <v>1389</v>
      </c>
      <c r="P136" s="5">
        <v>1416</v>
      </c>
      <c r="Q136" s="5">
        <v>1558</v>
      </c>
      <c r="R136" s="5">
        <v>503</v>
      </c>
      <c r="S136" s="5">
        <v>553</v>
      </c>
      <c r="T136" s="5">
        <v>564</v>
      </c>
      <c r="U136" s="5">
        <v>621</v>
      </c>
      <c r="V136" s="5"/>
    </row>
    <row r="137" spans="2:22" ht="20" hidden="1" x14ac:dyDescent="0.25">
      <c r="B137" s="2" t="s">
        <v>416</v>
      </c>
      <c r="C137" s="2" t="s">
        <v>417</v>
      </c>
      <c r="D137" s="2" t="s">
        <v>419</v>
      </c>
      <c r="E137" s="2" t="s">
        <v>27</v>
      </c>
      <c r="F137" s="2" t="s">
        <v>418</v>
      </c>
      <c r="G137" s="2" t="s">
        <v>27</v>
      </c>
      <c r="H137" s="2">
        <v>70067</v>
      </c>
      <c r="I137" s="2">
        <v>70512</v>
      </c>
      <c r="J137" s="2" t="s">
        <v>28</v>
      </c>
      <c r="K137" s="2" t="s">
        <v>416</v>
      </c>
      <c r="L137" s="2" t="s">
        <v>30</v>
      </c>
      <c r="M137" s="2" t="s">
        <v>417</v>
      </c>
      <c r="N137" s="3">
        <v>1263</v>
      </c>
      <c r="O137" s="3">
        <v>1389</v>
      </c>
      <c r="P137" s="3">
        <v>1416</v>
      </c>
      <c r="Q137" s="3">
        <v>1558</v>
      </c>
      <c r="R137" s="3">
        <v>503</v>
      </c>
      <c r="S137" s="3">
        <v>553</v>
      </c>
      <c r="T137" s="3">
        <v>564</v>
      </c>
      <c r="U137" s="3">
        <v>621</v>
      </c>
      <c r="V137" s="3"/>
    </row>
    <row r="138" spans="2:22" ht="21" hidden="1" x14ac:dyDescent="0.25">
      <c r="B138" s="4" t="s">
        <v>425</v>
      </c>
      <c r="C138" s="4" t="s">
        <v>417</v>
      </c>
      <c r="D138" s="4" t="s">
        <v>419</v>
      </c>
      <c r="E138" s="4" t="s">
        <v>27</v>
      </c>
      <c r="F138" s="4" t="s">
        <v>422</v>
      </c>
      <c r="G138" s="4" t="s">
        <v>27</v>
      </c>
      <c r="H138" s="4">
        <v>70046</v>
      </c>
      <c r="I138" s="4">
        <v>70396</v>
      </c>
      <c r="J138" s="4" t="s">
        <v>28</v>
      </c>
      <c r="K138" s="4" t="s">
        <v>425</v>
      </c>
      <c r="L138" s="4" t="s">
        <v>29</v>
      </c>
      <c r="M138" s="4"/>
      <c r="N138" s="5">
        <v>1270</v>
      </c>
      <c r="O138" s="5">
        <v>1397</v>
      </c>
      <c r="P138" s="5">
        <v>1447</v>
      </c>
      <c r="Q138" s="5">
        <v>1592</v>
      </c>
      <c r="R138" s="5">
        <v>506</v>
      </c>
      <c r="S138" s="5">
        <v>557</v>
      </c>
      <c r="T138" s="5">
        <v>576</v>
      </c>
      <c r="U138" s="5">
        <v>634</v>
      </c>
      <c r="V138" s="5"/>
    </row>
    <row r="139" spans="2:22" ht="20" hidden="1" x14ac:dyDescent="0.25">
      <c r="B139" s="2" t="s">
        <v>425</v>
      </c>
      <c r="C139" s="2" t="s">
        <v>417</v>
      </c>
      <c r="D139" s="2" t="s">
        <v>419</v>
      </c>
      <c r="E139" s="2" t="s">
        <v>27</v>
      </c>
      <c r="F139" s="2" t="s">
        <v>422</v>
      </c>
      <c r="G139" s="2" t="s">
        <v>27</v>
      </c>
      <c r="H139" s="2">
        <v>70046</v>
      </c>
      <c r="I139" s="2">
        <v>70396</v>
      </c>
      <c r="J139" s="2" t="s">
        <v>28</v>
      </c>
      <c r="K139" s="2" t="s">
        <v>425</v>
      </c>
      <c r="L139" s="2" t="s">
        <v>30</v>
      </c>
      <c r="M139" s="2" t="s">
        <v>417</v>
      </c>
      <c r="N139" s="3">
        <v>1270</v>
      </c>
      <c r="O139" s="3">
        <v>1397</v>
      </c>
      <c r="P139" s="3">
        <v>1447</v>
      </c>
      <c r="Q139" s="3">
        <v>1592</v>
      </c>
      <c r="R139" s="3">
        <v>506</v>
      </c>
      <c r="S139" s="3">
        <v>557</v>
      </c>
      <c r="T139" s="3">
        <v>576</v>
      </c>
      <c r="U139" s="3">
        <v>634</v>
      </c>
      <c r="V139" s="3"/>
    </row>
    <row r="140" spans="2:22" ht="21" hidden="1" x14ac:dyDescent="0.25">
      <c r="B140" s="4" t="s">
        <v>1259</v>
      </c>
      <c r="C140" s="4" t="s">
        <v>417</v>
      </c>
      <c r="D140" s="4" t="s">
        <v>1006</v>
      </c>
      <c r="E140" s="4" t="s">
        <v>27</v>
      </c>
      <c r="F140" s="4" t="s">
        <v>418</v>
      </c>
      <c r="G140" s="4" t="s">
        <v>27</v>
      </c>
      <c r="H140" s="4">
        <v>70417</v>
      </c>
      <c r="I140" s="4">
        <v>70512</v>
      </c>
      <c r="J140" s="4" t="s">
        <v>28</v>
      </c>
      <c r="K140" s="4" t="s">
        <v>1259</v>
      </c>
      <c r="L140" s="4" t="s">
        <v>29</v>
      </c>
      <c r="M140" s="4"/>
      <c r="N140" s="5">
        <v>1266</v>
      </c>
      <c r="O140" s="5">
        <v>1393</v>
      </c>
      <c r="P140" s="5">
        <v>1443</v>
      </c>
      <c r="Q140" s="5">
        <v>1587</v>
      </c>
      <c r="R140" s="5">
        <v>504</v>
      </c>
      <c r="S140" s="5">
        <v>555</v>
      </c>
      <c r="T140" s="5">
        <v>575</v>
      </c>
      <c r="U140" s="5">
        <v>632</v>
      </c>
      <c r="V140" s="5"/>
    </row>
    <row r="141" spans="2:22" ht="20" hidden="1" x14ac:dyDescent="0.25">
      <c r="B141" s="2" t="s">
        <v>1259</v>
      </c>
      <c r="C141" s="2" t="s">
        <v>417</v>
      </c>
      <c r="D141" s="2" t="s">
        <v>1006</v>
      </c>
      <c r="E141" s="2" t="s">
        <v>27</v>
      </c>
      <c r="F141" s="2" t="s">
        <v>418</v>
      </c>
      <c r="G141" s="2" t="s">
        <v>27</v>
      </c>
      <c r="H141" s="2">
        <v>70417</v>
      </c>
      <c r="I141" s="2">
        <v>70512</v>
      </c>
      <c r="J141" s="2" t="s">
        <v>28</v>
      </c>
      <c r="K141" s="2" t="s">
        <v>1259</v>
      </c>
      <c r="L141" s="2" t="s">
        <v>30</v>
      </c>
      <c r="M141" s="2" t="s">
        <v>417</v>
      </c>
      <c r="N141" s="3">
        <v>1266</v>
      </c>
      <c r="O141" s="3">
        <v>1393</v>
      </c>
      <c r="P141" s="3">
        <v>1443</v>
      </c>
      <c r="Q141" s="3">
        <v>1587</v>
      </c>
      <c r="R141" s="3">
        <v>504</v>
      </c>
      <c r="S141" s="3">
        <v>555</v>
      </c>
      <c r="T141" s="3">
        <v>575</v>
      </c>
      <c r="U141" s="3">
        <v>632</v>
      </c>
      <c r="V141" s="3"/>
    </row>
    <row r="142" spans="2:22" ht="21" hidden="1" x14ac:dyDescent="0.25">
      <c r="B142" s="4" t="s">
        <v>129</v>
      </c>
      <c r="C142" s="4" t="s">
        <v>130</v>
      </c>
      <c r="D142" s="4" t="s">
        <v>550</v>
      </c>
      <c r="E142" s="4" t="s">
        <v>27</v>
      </c>
      <c r="F142" s="4" t="s">
        <v>973</v>
      </c>
      <c r="G142" s="4" t="s">
        <v>27</v>
      </c>
      <c r="H142" s="4">
        <v>70241</v>
      </c>
      <c r="I142" s="4">
        <v>70313</v>
      </c>
      <c r="J142" s="4" t="s">
        <v>28</v>
      </c>
      <c r="K142" s="4" t="s">
        <v>129</v>
      </c>
      <c r="L142" s="4" t="s">
        <v>29</v>
      </c>
      <c r="M142" s="4"/>
      <c r="N142" s="5">
        <v>1420</v>
      </c>
      <c r="O142" s="5">
        <v>1562</v>
      </c>
      <c r="P142" s="5">
        <v>1600</v>
      </c>
      <c r="Q142" s="5">
        <v>1600</v>
      </c>
      <c r="R142" s="5">
        <v>566</v>
      </c>
      <c r="S142" s="5">
        <v>622</v>
      </c>
      <c r="T142" s="5">
        <v>637</v>
      </c>
      <c r="U142" s="5">
        <v>637</v>
      </c>
      <c r="V142" s="5"/>
    </row>
    <row r="143" spans="2:22" ht="20" hidden="1" x14ac:dyDescent="0.25">
      <c r="B143" s="2" t="s">
        <v>129</v>
      </c>
      <c r="C143" s="2" t="s">
        <v>130</v>
      </c>
      <c r="D143" s="2" t="s">
        <v>550</v>
      </c>
      <c r="E143" s="2" t="s">
        <v>27</v>
      </c>
      <c r="F143" s="2" t="s">
        <v>973</v>
      </c>
      <c r="G143" s="2" t="s">
        <v>27</v>
      </c>
      <c r="H143" s="2">
        <v>70241</v>
      </c>
      <c r="I143" s="2">
        <v>70313</v>
      </c>
      <c r="J143" s="2" t="s">
        <v>28</v>
      </c>
      <c r="K143" s="2" t="s">
        <v>388</v>
      </c>
      <c r="L143" s="2" t="s">
        <v>31</v>
      </c>
      <c r="M143" s="2" t="s">
        <v>974</v>
      </c>
      <c r="N143" s="3">
        <v>1420</v>
      </c>
      <c r="O143" s="3">
        <v>1562</v>
      </c>
      <c r="P143" s="2">
        <v>1618</v>
      </c>
      <c r="Q143" s="2">
        <v>1780</v>
      </c>
      <c r="R143" s="3">
        <v>566</v>
      </c>
      <c r="S143" s="3">
        <v>622</v>
      </c>
      <c r="T143" s="2">
        <v>645</v>
      </c>
      <c r="U143" s="2">
        <v>709</v>
      </c>
      <c r="V143" s="2"/>
    </row>
    <row r="144" spans="2:22" ht="20" hidden="1" x14ac:dyDescent="0.25">
      <c r="B144" s="2" t="s">
        <v>129</v>
      </c>
      <c r="C144" s="2" t="s">
        <v>130</v>
      </c>
      <c r="D144" s="2" t="s">
        <v>550</v>
      </c>
      <c r="E144" s="2" t="s">
        <v>27</v>
      </c>
      <c r="F144" s="2" t="s">
        <v>973</v>
      </c>
      <c r="G144" s="2" t="s">
        <v>27</v>
      </c>
      <c r="H144" s="2">
        <v>70241</v>
      </c>
      <c r="I144" s="2">
        <v>70313</v>
      </c>
      <c r="J144" s="2" t="s">
        <v>28</v>
      </c>
      <c r="K144" s="2" t="s">
        <v>131</v>
      </c>
      <c r="L144" s="2" t="s">
        <v>1315</v>
      </c>
      <c r="M144" s="2" t="s">
        <v>975</v>
      </c>
      <c r="N144" s="2">
        <v>1600</v>
      </c>
      <c r="O144" s="2">
        <v>1600</v>
      </c>
      <c r="P144" s="3">
        <v>1600</v>
      </c>
      <c r="Q144" s="3">
        <v>1600</v>
      </c>
      <c r="R144" s="2">
        <v>637</v>
      </c>
      <c r="S144" s="2">
        <v>637</v>
      </c>
      <c r="T144" s="3">
        <v>637</v>
      </c>
      <c r="U144" s="3">
        <v>637</v>
      </c>
      <c r="V144" s="3"/>
    </row>
    <row r="145" spans="2:22" ht="21" hidden="1" x14ac:dyDescent="0.25">
      <c r="B145" s="4" t="s">
        <v>136</v>
      </c>
      <c r="C145" s="4" t="s">
        <v>130</v>
      </c>
      <c r="D145" s="4" t="s">
        <v>1050</v>
      </c>
      <c r="E145" s="4" t="s">
        <v>27</v>
      </c>
      <c r="F145" s="4" t="s">
        <v>973</v>
      </c>
      <c r="G145" s="4" t="s">
        <v>27</v>
      </c>
      <c r="H145" s="4">
        <v>70283</v>
      </c>
      <c r="I145" s="4">
        <v>70313</v>
      </c>
      <c r="J145" s="4" t="s">
        <v>28</v>
      </c>
      <c r="K145" s="4" t="s">
        <v>136</v>
      </c>
      <c r="L145" s="4" t="s">
        <v>29</v>
      </c>
      <c r="M145" s="4"/>
      <c r="N145" s="5">
        <v>1600</v>
      </c>
      <c r="O145" s="5">
        <v>1600</v>
      </c>
      <c r="P145" s="5">
        <v>1600</v>
      </c>
      <c r="Q145" s="5">
        <v>1600</v>
      </c>
      <c r="R145" s="5">
        <v>637</v>
      </c>
      <c r="S145" s="5">
        <v>637</v>
      </c>
      <c r="T145" s="5">
        <v>637</v>
      </c>
      <c r="U145" s="5">
        <v>637</v>
      </c>
      <c r="V145" s="5"/>
    </row>
    <row r="146" spans="2:22" ht="20" hidden="1" x14ac:dyDescent="0.25">
      <c r="B146" s="2" t="s">
        <v>136</v>
      </c>
      <c r="C146" s="2" t="s">
        <v>130</v>
      </c>
      <c r="D146" s="2" t="s">
        <v>1050</v>
      </c>
      <c r="E146" s="2" t="s">
        <v>27</v>
      </c>
      <c r="F146" s="2" t="s">
        <v>973</v>
      </c>
      <c r="G146" s="2" t="s">
        <v>27</v>
      </c>
      <c r="H146" s="2">
        <v>70283</v>
      </c>
      <c r="I146" s="2">
        <v>70313</v>
      </c>
      <c r="J146" s="2" t="s">
        <v>28</v>
      </c>
      <c r="K146" s="2" t="s">
        <v>142</v>
      </c>
      <c r="L146" s="2" t="s">
        <v>1315</v>
      </c>
      <c r="M146" s="2" t="s">
        <v>1051</v>
      </c>
      <c r="N146" s="3">
        <v>1600</v>
      </c>
      <c r="O146" s="3">
        <v>1600</v>
      </c>
      <c r="P146" s="3">
        <v>1600</v>
      </c>
      <c r="Q146" s="3">
        <v>1600</v>
      </c>
      <c r="R146" s="3">
        <v>637</v>
      </c>
      <c r="S146" s="3">
        <v>637</v>
      </c>
      <c r="T146" s="3">
        <v>637</v>
      </c>
      <c r="U146" s="3">
        <v>637</v>
      </c>
      <c r="V146" s="3"/>
    </row>
    <row r="147" spans="2:22" ht="20" hidden="1" x14ac:dyDescent="0.25">
      <c r="B147" s="2" t="s">
        <v>136</v>
      </c>
      <c r="C147" s="2" t="s">
        <v>130</v>
      </c>
      <c r="D147" s="2" t="s">
        <v>1050</v>
      </c>
      <c r="E147" s="2" t="s">
        <v>27</v>
      </c>
      <c r="F147" s="2" t="s">
        <v>973</v>
      </c>
      <c r="G147" s="2" t="s">
        <v>27</v>
      </c>
      <c r="H147" s="2">
        <v>70283</v>
      </c>
      <c r="I147" s="2">
        <v>70313</v>
      </c>
      <c r="J147" s="2" t="s">
        <v>28</v>
      </c>
      <c r="K147" s="2" t="s">
        <v>137</v>
      </c>
      <c r="L147" s="2" t="s">
        <v>1315</v>
      </c>
      <c r="M147" s="2" t="s">
        <v>975</v>
      </c>
      <c r="N147" s="3">
        <v>1600</v>
      </c>
      <c r="O147" s="3">
        <v>1600</v>
      </c>
      <c r="P147" s="3">
        <v>1600</v>
      </c>
      <c r="Q147" s="3">
        <v>1600</v>
      </c>
      <c r="R147" s="3">
        <v>637</v>
      </c>
      <c r="S147" s="3">
        <v>637</v>
      </c>
      <c r="T147" s="3">
        <v>637</v>
      </c>
      <c r="U147" s="3">
        <v>637</v>
      </c>
      <c r="V147" s="3"/>
    </row>
    <row r="148" spans="2:22" ht="21" hidden="1" x14ac:dyDescent="0.25">
      <c r="B148" s="4" t="s">
        <v>147</v>
      </c>
      <c r="C148" s="4" t="s">
        <v>130</v>
      </c>
      <c r="D148" s="4" t="s">
        <v>1050</v>
      </c>
      <c r="E148" s="4" t="s">
        <v>27</v>
      </c>
      <c r="F148" s="4" t="s">
        <v>422</v>
      </c>
      <c r="G148" s="4" t="s">
        <v>27</v>
      </c>
      <c r="H148" s="4">
        <v>70283</v>
      </c>
      <c r="I148" s="4">
        <v>70396</v>
      </c>
      <c r="J148" s="4" t="s">
        <v>28</v>
      </c>
      <c r="K148" s="4" t="s">
        <v>147</v>
      </c>
      <c r="L148" s="4" t="s">
        <v>29</v>
      </c>
      <c r="M148" s="4"/>
      <c r="N148" s="5">
        <v>1417</v>
      </c>
      <c r="O148" s="5">
        <v>1558</v>
      </c>
      <c r="P148" s="5">
        <v>1600</v>
      </c>
      <c r="Q148" s="5">
        <v>1600</v>
      </c>
      <c r="R148" s="5">
        <v>564</v>
      </c>
      <c r="S148" s="5">
        <v>621</v>
      </c>
      <c r="T148" s="5">
        <v>637</v>
      </c>
      <c r="U148" s="5">
        <v>637</v>
      </c>
      <c r="V148" s="5"/>
    </row>
    <row r="149" spans="2:22" ht="20" hidden="1" x14ac:dyDescent="0.25">
      <c r="B149" s="2" t="s">
        <v>147</v>
      </c>
      <c r="C149" s="2" t="s">
        <v>130</v>
      </c>
      <c r="D149" s="2" t="s">
        <v>1050</v>
      </c>
      <c r="E149" s="2" t="s">
        <v>27</v>
      </c>
      <c r="F149" s="2" t="s">
        <v>422</v>
      </c>
      <c r="G149" s="2" t="s">
        <v>27</v>
      </c>
      <c r="H149" s="2">
        <v>70283</v>
      </c>
      <c r="I149" s="2">
        <v>70396</v>
      </c>
      <c r="J149" s="2" t="s">
        <v>28</v>
      </c>
      <c r="K149" s="2" t="s">
        <v>388</v>
      </c>
      <c r="L149" s="2" t="s">
        <v>31</v>
      </c>
      <c r="M149" s="2" t="s">
        <v>424</v>
      </c>
      <c r="N149" s="3">
        <v>1417</v>
      </c>
      <c r="O149" s="3">
        <v>1558</v>
      </c>
      <c r="P149" s="2">
        <v>1615</v>
      </c>
      <c r="Q149" s="2">
        <v>1776</v>
      </c>
      <c r="R149" s="3">
        <v>564</v>
      </c>
      <c r="S149" s="3">
        <v>621</v>
      </c>
      <c r="T149" s="2">
        <v>643</v>
      </c>
      <c r="U149" s="2">
        <v>708</v>
      </c>
      <c r="V149" s="2"/>
    </row>
    <row r="150" spans="2:22" ht="20" hidden="1" x14ac:dyDescent="0.25">
      <c r="B150" s="2" t="s">
        <v>147</v>
      </c>
      <c r="C150" s="2" t="s">
        <v>130</v>
      </c>
      <c r="D150" s="2" t="s">
        <v>1050</v>
      </c>
      <c r="E150" s="2" t="s">
        <v>27</v>
      </c>
      <c r="F150" s="2" t="s">
        <v>422</v>
      </c>
      <c r="G150" s="2" t="s">
        <v>27</v>
      </c>
      <c r="H150" s="2">
        <v>70283</v>
      </c>
      <c r="I150" s="2">
        <v>70396</v>
      </c>
      <c r="J150" s="2" t="s">
        <v>28</v>
      </c>
      <c r="K150" s="2" t="s">
        <v>148</v>
      </c>
      <c r="L150" s="2" t="s">
        <v>1315</v>
      </c>
      <c r="M150" s="2" t="s">
        <v>1051</v>
      </c>
      <c r="N150" s="2">
        <v>1600</v>
      </c>
      <c r="O150" s="2">
        <v>1600</v>
      </c>
      <c r="P150" s="3">
        <v>1600</v>
      </c>
      <c r="Q150" s="3">
        <v>1600</v>
      </c>
      <c r="R150" s="2">
        <v>637</v>
      </c>
      <c r="S150" s="2">
        <v>637</v>
      </c>
      <c r="T150" s="3">
        <v>637</v>
      </c>
      <c r="U150" s="3">
        <v>637</v>
      </c>
      <c r="V150" s="3"/>
    </row>
    <row r="151" spans="2:22" ht="21" hidden="1" x14ac:dyDescent="0.25">
      <c r="B151" s="4" t="s">
        <v>151</v>
      </c>
      <c r="C151" s="4" t="s">
        <v>152</v>
      </c>
      <c r="D151" s="4" t="s">
        <v>422</v>
      </c>
      <c r="E151" s="4" t="s">
        <v>27</v>
      </c>
      <c r="F151" s="4" t="s">
        <v>1227</v>
      </c>
      <c r="G151" s="4" t="s">
        <v>27</v>
      </c>
      <c r="H151" s="4">
        <v>70396</v>
      </c>
      <c r="I151" s="4">
        <v>70532</v>
      </c>
      <c r="J151" s="4" t="s">
        <v>28</v>
      </c>
      <c r="K151" s="4" t="s">
        <v>151</v>
      </c>
      <c r="L151" s="4" t="s">
        <v>29</v>
      </c>
      <c r="M151" s="4"/>
      <c r="N151" s="5">
        <v>2000</v>
      </c>
      <c r="O151" s="5">
        <v>2000</v>
      </c>
      <c r="P151" s="5">
        <v>2000</v>
      </c>
      <c r="Q151" s="5">
        <v>2000</v>
      </c>
      <c r="R151" s="5">
        <v>797</v>
      </c>
      <c r="S151" s="5">
        <v>797</v>
      </c>
      <c r="T151" s="5">
        <v>797</v>
      </c>
      <c r="U151" s="5">
        <v>797</v>
      </c>
      <c r="V151" s="5"/>
    </row>
    <row r="152" spans="2:22" ht="20" hidden="1" x14ac:dyDescent="0.25">
      <c r="B152" s="2" t="s">
        <v>151</v>
      </c>
      <c r="C152" s="2" t="s">
        <v>152</v>
      </c>
      <c r="D152" s="2" t="s">
        <v>422</v>
      </c>
      <c r="E152" s="2" t="s">
        <v>27</v>
      </c>
      <c r="F152" s="2" t="s">
        <v>1227</v>
      </c>
      <c r="G152" s="2" t="s">
        <v>27</v>
      </c>
      <c r="H152" s="2">
        <v>70396</v>
      </c>
      <c r="I152" s="2">
        <v>70532</v>
      </c>
      <c r="J152" s="2" t="s">
        <v>28</v>
      </c>
      <c r="K152" s="2" t="s">
        <v>153</v>
      </c>
      <c r="L152" s="2" t="s">
        <v>1315</v>
      </c>
      <c r="M152" s="2" t="s">
        <v>1228</v>
      </c>
      <c r="N152" s="3">
        <v>2000</v>
      </c>
      <c r="O152" s="3">
        <v>2000</v>
      </c>
      <c r="P152" s="3">
        <v>2000</v>
      </c>
      <c r="Q152" s="3">
        <v>2000</v>
      </c>
      <c r="R152" s="3">
        <v>797</v>
      </c>
      <c r="S152" s="3">
        <v>797</v>
      </c>
      <c r="T152" s="3">
        <v>797</v>
      </c>
      <c r="U152" s="3">
        <v>797</v>
      </c>
      <c r="V152" s="3"/>
    </row>
    <row r="153" spans="2:22" ht="21" hidden="1" x14ac:dyDescent="0.25">
      <c r="B153" s="4" t="s">
        <v>1244</v>
      </c>
      <c r="C153" s="4" t="s">
        <v>152</v>
      </c>
      <c r="D153" s="4" t="s">
        <v>908</v>
      </c>
      <c r="E153" s="4" t="s">
        <v>27</v>
      </c>
      <c r="F153" s="4" t="s">
        <v>1227</v>
      </c>
      <c r="G153" s="4" t="s">
        <v>27</v>
      </c>
      <c r="H153" s="4">
        <v>70528</v>
      </c>
      <c r="I153" s="4">
        <v>70532</v>
      </c>
      <c r="J153" s="4" t="s">
        <v>28</v>
      </c>
      <c r="K153" s="4" t="s">
        <v>1244</v>
      </c>
      <c r="L153" s="4" t="s">
        <v>29</v>
      </c>
      <c r="M153" s="4"/>
      <c r="N153" s="5">
        <v>1800</v>
      </c>
      <c r="O153" s="5">
        <v>1800</v>
      </c>
      <c r="P153" s="5">
        <v>1800</v>
      </c>
      <c r="Q153" s="5">
        <v>1800</v>
      </c>
      <c r="R153" s="5">
        <v>717</v>
      </c>
      <c r="S153" s="5">
        <v>717</v>
      </c>
      <c r="T153" s="5">
        <v>717</v>
      </c>
      <c r="U153" s="5">
        <v>717</v>
      </c>
      <c r="V153" s="5"/>
    </row>
    <row r="154" spans="2:22" ht="30" hidden="1" x14ac:dyDescent="0.25">
      <c r="B154" s="2" t="s">
        <v>1244</v>
      </c>
      <c r="C154" s="2" t="s">
        <v>152</v>
      </c>
      <c r="D154" s="2" t="s">
        <v>908</v>
      </c>
      <c r="E154" s="2" t="s">
        <v>27</v>
      </c>
      <c r="F154" s="2" t="s">
        <v>1227</v>
      </c>
      <c r="G154" s="2" t="s">
        <v>27</v>
      </c>
      <c r="H154" s="2">
        <v>70528</v>
      </c>
      <c r="I154" s="2">
        <v>70532</v>
      </c>
      <c r="J154" s="2" t="s">
        <v>28</v>
      </c>
      <c r="K154" s="2" t="s">
        <v>1245</v>
      </c>
      <c r="L154" s="2" t="s">
        <v>36</v>
      </c>
      <c r="M154" s="2" t="s">
        <v>911</v>
      </c>
      <c r="N154" s="3">
        <v>1800</v>
      </c>
      <c r="O154" s="3">
        <v>1800</v>
      </c>
      <c r="P154" s="3">
        <v>1800</v>
      </c>
      <c r="Q154" s="3">
        <v>1800</v>
      </c>
      <c r="R154" s="3">
        <v>717</v>
      </c>
      <c r="S154" s="3">
        <v>717</v>
      </c>
      <c r="T154" s="3">
        <v>717</v>
      </c>
      <c r="U154" s="3">
        <v>717</v>
      </c>
      <c r="V154" s="3"/>
    </row>
    <row r="155" spans="2:22" ht="21" hidden="1" x14ac:dyDescent="0.25">
      <c r="B155" s="4" t="s">
        <v>1229</v>
      </c>
      <c r="C155" s="4" t="s">
        <v>1230</v>
      </c>
      <c r="D155" s="4" t="s">
        <v>422</v>
      </c>
      <c r="E155" s="4" t="s">
        <v>27</v>
      </c>
      <c r="F155" s="4" t="s">
        <v>908</v>
      </c>
      <c r="G155" s="4" t="s">
        <v>27</v>
      </c>
      <c r="H155" s="4">
        <v>70396</v>
      </c>
      <c r="I155" s="4">
        <v>70528</v>
      </c>
      <c r="J155" s="4" t="s">
        <v>28</v>
      </c>
      <c r="K155" s="4" t="s">
        <v>1229</v>
      </c>
      <c r="L155" s="4" t="s">
        <v>29</v>
      </c>
      <c r="M155" s="4"/>
      <c r="N155" s="5">
        <v>1800</v>
      </c>
      <c r="O155" s="5">
        <v>1800</v>
      </c>
      <c r="P155" s="5">
        <v>1800</v>
      </c>
      <c r="Q155" s="5">
        <v>1800</v>
      </c>
      <c r="R155" s="5">
        <v>717</v>
      </c>
      <c r="S155" s="5">
        <v>717</v>
      </c>
      <c r="T155" s="5">
        <v>717</v>
      </c>
      <c r="U155" s="5">
        <v>717</v>
      </c>
      <c r="V155" s="5"/>
    </row>
    <row r="156" spans="2:22" ht="30" hidden="1" x14ac:dyDescent="0.25">
      <c r="B156" s="2" t="s">
        <v>1229</v>
      </c>
      <c r="C156" s="2" t="s">
        <v>1230</v>
      </c>
      <c r="D156" s="2" t="s">
        <v>422</v>
      </c>
      <c r="E156" s="2" t="s">
        <v>27</v>
      </c>
      <c r="F156" s="2" t="s">
        <v>908</v>
      </c>
      <c r="G156" s="2" t="s">
        <v>27</v>
      </c>
      <c r="H156" s="2">
        <v>70396</v>
      </c>
      <c r="I156" s="2">
        <v>70528</v>
      </c>
      <c r="J156" s="2" t="s">
        <v>28</v>
      </c>
      <c r="K156" s="2" t="s">
        <v>1231</v>
      </c>
      <c r="L156" s="2" t="s">
        <v>36</v>
      </c>
      <c r="M156" s="2" t="s">
        <v>911</v>
      </c>
      <c r="N156" s="3">
        <v>1800</v>
      </c>
      <c r="O156" s="3">
        <v>1800</v>
      </c>
      <c r="P156" s="3">
        <v>1800</v>
      </c>
      <c r="Q156" s="3">
        <v>1800</v>
      </c>
      <c r="R156" s="3">
        <v>717</v>
      </c>
      <c r="S156" s="3">
        <v>717</v>
      </c>
      <c r="T156" s="3">
        <v>717</v>
      </c>
      <c r="U156" s="3">
        <v>717</v>
      </c>
      <c r="V156" s="3"/>
    </row>
    <row r="157" spans="2:22" ht="21" hidden="1" x14ac:dyDescent="0.25">
      <c r="B157" s="4" t="s">
        <v>939</v>
      </c>
      <c r="C157" s="4" t="s">
        <v>940</v>
      </c>
      <c r="D157" s="4" t="s">
        <v>938</v>
      </c>
      <c r="E157" s="4" t="s">
        <v>27</v>
      </c>
      <c r="F157" s="4" t="s">
        <v>422</v>
      </c>
      <c r="G157" s="4" t="s">
        <v>27</v>
      </c>
      <c r="H157" s="4">
        <v>70596</v>
      </c>
      <c r="I157" s="4">
        <v>70396</v>
      </c>
      <c r="J157" s="4" t="s">
        <v>28</v>
      </c>
      <c r="K157" s="4" t="s">
        <v>939</v>
      </c>
      <c r="L157" s="4" t="s">
        <v>29</v>
      </c>
      <c r="M157" s="4"/>
      <c r="N157" s="5">
        <v>2856</v>
      </c>
      <c r="O157" s="5">
        <v>2880</v>
      </c>
      <c r="P157" s="5">
        <v>2880</v>
      </c>
      <c r="Q157" s="5">
        <v>2880</v>
      </c>
      <c r="R157" s="5">
        <v>1138</v>
      </c>
      <c r="S157" s="5">
        <v>1147</v>
      </c>
      <c r="T157" s="5">
        <v>1147</v>
      </c>
      <c r="U157" s="5">
        <v>1147</v>
      </c>
      <c r="V157" s="5"/>
    </row>
    <row r="158" spans="2:22" ht="20" hidden="1" x14ac:dyDescent="0.25">
      <c r="B158" s="2" t="s">
        <v>939</v>
      </c>
      <c r="C158" s="2" t="s">
        <v>940</v>
      </c>
      <c r="D158" s="2" t="s">
        <v>938</v>
      </c>
      <c r="E158" s="2" t="s">
        <v>27</v>
      </c>
      <c r="F158" s="2" t="s">
        <v>422</v>
      </c>
      <c r="G158" s="2" t="s">
        <v>27</v>
      </c>
      <c r="H158" s="2">
        <v>70596</v>
      </c>
      <c r="I158" s="2">
        <v>70396</v>
      </c>
      <c r="J158" s="2" t="s">
        <v>28</v>
      </c>
      <c r="K158" s="2" t="s">
        <v>604</v>
      </c>
      <c r="L158" s="2" t="s">
        <v>31</v>
      </c>
      <c r="M158" s="2" t="s">
        <v>941</v>
      </c>
      <c r="N158" s="3">
        <v>2856</v>
      </c>
      <c r="O158" s="2">
        <v>3142</v>
      </c>
      <c r="P158" s="2">
        <v>3256</v>
      </c>
      <c r="Q158" s="2">
        <v>3582</v>
      </c>
      <c r="R158" s="3">
        <v>1138</v>
      </c>
      <c r="S158" s="2">
        <v>1252</v>
      </c>
      <c r="T158" s="2">
        <v>1297</v>
      </c>
      <c r="U158" s="2">
        <v>1427</v>
      </c>
      <c r="V158" s="2"/>
    </row>
    <row r="159" spans="2:22" ht="30" hidden="1" x14ac:dyDescent="0.25">
      <c r="B159" s="2" t="s">
        <v>939</v>
      </c>
      <c r="C159" s="2" t="s">
        <v>940</v>
      </c>
      <c r="D159" s="2" t="s">
        <v>938</v>
      </c>
      <c r="E159" s="2" t="s">
        <v>27</v>
      </c>
      <c r="F159" s="2" t="s">
        <v>422</v>
      </c>
      <c r="G159" s="2" t="s">
        <v>27</v>
      </c>
      <c r="H159" s="2">
        <v>70596</v>
      </c>
      <c r="I159" s="2">
        <v>70396</v>
      </c>
      <c r="J159" s="2" t="s">
        <v>28</v>
      </c>
      <c r="K159" s="2" t="s">
        <v>942</v>
      </c>
      <c r="L159" s="2" t="s">
        <v>36</v>
      </c>
      <c r="M159" s="2" t="s">
        <v>424</v>
      </c>
      <c r="N159" s="2">
        <v>2880</v>
      </c>
      <c r="O159" s="3">
        <v>2880</v>
      </c>
      <c r="P159" s="3">
        <v>2880</v>
      </c>
      <c r="Q159" s="3">
        <v>2880</v>
      </c>
      <c r="R159" s="2">
        <v>1147</v>
      </c>
      <c r="S159" s="3">
        <v>1147</v>
      </c>
      <c r="T159" s="3">
        <v>1147</v>
      </c>
      <c r="U159" s="3">
        <v>1147</v>
      </c>
      <c r="V159" s="3"/>
    </row>
    <row r="160" spans="2:22" ht="21" hidden="1" x14ac:dyDescent="0.25">
      <c r="B160" s="4" t="s">
        <v>777</v>
      </c>
      <c r="C160" s="4" t="s">
        <v>778</v>
      </c>
      <c r="D160" s="4" t="s">
        <v>767</v>
      </c>
      <c r="E160" s="4" t="s">
        <v>27</v>
      </c>
      <c r="F160" s="4" t="s">
        <v>779</v>
      </c>
      <c r="G160" s="4" t="s">
        <v>40</v>
      </c>
      <c r="H160" s="4">
        <v>70192</v>
      </c>
      <c r="I160" s="4">
        <v>70529</v>
      </c>
      <c r="J160" s="4" t="s">
        <v>28</v>
      </c>
      <c r="K160" s="4" t="s">
        <v>777</v>
      </c>
      <c r="L160" s="4" t="s">
        <v>29</v>
      </c>
      <c r="M160" s="4"/>
      <c r="N160" s="5">
        <v>1446</v>
      </c>
      <c r="O160" s="5">
        <v>1591</v>
      </c>
      <c r="P160" s="5">
        <v>1599</v>
      </c>
      <c r="Q160" s="5">
        <v>1627</v>
      </c>
      <c r="R160" s="5">
        <v>576</v>
      </c>
      <c r="S160" s="5">
        <v>634</v>
      </c>
      <c r="T160" s="5">
        <v>637</v>
      </c>
      <c r="U160" s="5">
        <v>648</v>
      </c>
      <c r="V160" s="5"/>
    </row>
    <row r="161" spans="2:22" ht="20" hidden="1" x14ac:dyDescent="0.25">
      <c r="B161" s="2" t="s">
        <v>777</v>
      </c>
      <c r="C161" s="2" t="s">
        <v>778</v>
      </c>
      <c r="D161" s="2" t="s">
        <v>767</v>
      </c>
      <c r="E161" s="2" t="s">
        <v>27</v>
      </c>
      <c r="F161" s="2" t="s">
        <v>779</v>
      </c>
      <c r="G161" s="2" t="s">
        <v>40</v>
      </c>
      <c r="H161" s="2">
        <v>70192</v>
      </c>
      <c r="I161" s="2">
        <v>70529</v>
      </c>
      <c r="J161" s="2" t="s">
        <v>28</v>
      </c>
      <c r="K161" s="2" t="s">
        <v>777</v>
      </c>
      <c r="L161" s="2" t="s">
        <v>30</v>
      </c>
      <c r="M161" s="2" t="s">
        <v>778</v>
      </c>
      <c r="N161" s="3">
        <v>1446</v>
      </c>
      <c r="O161" s="3">
        <v>1591</v>
      </c>
      <c r="P161" s="33">
        <v>1648</v>
      </c>
      <c r="Q161" s="33">
        <v>1813</v>
      </c>
      <c r="R161" s="3">
        <v>576</v>
      </c>
      <c r="S161" s="3">
        <v>634</v>
      </c>
      <c r="T161" s="33">
        <v>657</v>
      </c>
      <c r="U161" s="33">
        <v>722</v>
      </c>
      <c r="V161" s="3"/>
    </row>
    <row r="162" spans="2:22" ht="20" hidden="1" x14ac:dyDescent="0.25">
      <c r="B162" s="2" t="s">
        <v>777</v>
      </c>
      <c r="C162" s="2" t="s">
        <v>778</v>
      </c>
      <c r="D162" s="2" t="s">
        <v>767</v>
      </c>
      <c r="E162" s="2" t="s">
        <v>27</v>
      </c>
      <c r="F162" s="2" t="s">
        <v>779</v>
      </c>
      <c r="G162" s="2" t="s">
        <v>40</v>
      </c>
      <c r="H162" s="2">
        <v>70192</v>
      </c>
      <c r="I162" s="2">
        <v>70529</v>
      </c>
      <c r="J162" s="2" t="s">
        <v>28</v>
      </c>
      <c r="K162" s="2" t="s">
        <v>213</v>
      </c>
      <c r="L162" s="2" t="s">
        <v>213</v>
      </c>
      <c r="M162" s="2" t="s">
        <v>780</v>
      </c>
      <c r="N162" s="2">
        <v>1599</v>
      </c>
      <c r="O162" s="2">
        <v>1627</v>
      </c>
      <c r="P162" s="3">
        <v>1599</v>
      </c>
      <c r="Q162" s="3">
        <v>1627</v>
      </c>
      <c r="R162" s="2">
        <v>637</v>
      </c>
      <c r="S162" s="2">
        <v>648</v>
      </c>
      <c r="T162" s="3">
        <v>637</v>
      </c>
      <c r="U162" s="3">
        <v>648</v>
      </c>
      <c r="V162" s="3"/>
    </row>
    <row r="163" spans="2:22" ht="21" hidden="1" x14ac:dyDescent="0.25">
      <c r="B163" s="4" t="s">
        <v>1239</v>
      </c>
      <c r="C163" s="4" t="s">
        <v>1240</v>
      </c>
      <c r="D163" s="4" t="s">
        <v>908</v>
      </c>
      <c r="E163" s="4" t="s">
        <v>27</v>
      </c>
      <c r="F163" s="4" t="s">
        <v>723</v>
      </c>
      <c r="G163" s="4" t="s">
        <v>27</v>
      </c>
      <c r="H163" s="4">
        <v>70528</v>
      </c>
      <c r="I163" s="4">
        <v>70539</v>
      </c>
      <c r="J163" s="4" t="s">
        <v>28</v>
      </c>
      <c r="K163" s="4" t="s">
        <v>1239</v>
      </c>
      <c r="L163" s="4" t="s">
        <v>29</v>
      </c>
      <c r="M163" s="4"/>
      <c r="N163" s="5">
        <v>1800</v>
      </c>
      <c r="O163" s="5">
        <v>1800</v>
      </c>
      <c r="P163" s="5">
        <v>1800</v>
      </c>
      <c r="Q163" s="5">
        <v>1800</v>
      </c>
      <c r="R163" s="5">
        <v>717</v>
      </c>
      <c r="S163" s="5">
        <v>717</v>
      </c>
      <c r="T163" s="5">
        <v>717</v>
      </c>
      <c r="U163" s="5">
        <v>717</v>
      </c>
      <c r="V163" s="5"/>
    </row>
    <row r="164" spans="2:22" ht="30" hidden="1" x14ac:dyDescent="0.25">
      <c r="B164" s="2" t="s">
        <v>1239</v>
      </c>
      <c r="C164" s="2" t="s">
        <v>1240</v>
      </c>
      <c r="D164" s="2" t="s">
        <v>908</v>
      </c>
      <c r="E164" s="2" t="s">
        <v>27</v>
      </c>
      <c r="F164" s="2" t="s">
        <v>723</v>
      </c>
      <c r="G164" s="2" t="s">
        <v>27</v>
      </c>
      <c r="H164" s="2">
        <v>70528</v>
      </c>
      <c r="I164" s="2">
        <v>70539</v>
      </c>
      <c r="J164" s="2" t="s">
        <v>28</v>
      </c>
      <c r="K164" s="2" t="s">
        <v>1241</v>
      </c>
      <c r="L164" s="2" t="s">
        <v>36</v>
      </c>
      <c r="M164" s="2" t="s">
        <v>911</v>
      </c>
      <c r="N164" s="3">
        <v>1800</v>
      </c>
      <c r="O164" s="3">
        <v>1800</v>
      </c>
      <c r="P164" s="3">
        <v>1800</v>
      </c>
      <c r="Q164" s="3">
        <v>1800</v>
      </c>
      <c r="R164" s="3">
        <v>717</v>
      </c>
      <c r="S164" s="3">
        <v>717</v>
      </c>
      <c r="T164" s="3">
        <v>717</v>
      </c>
      <c r="U164" s="3">
        <v>717</v>
      </c>
      <c r="V164" s="3"/>
    </row>
    <row r="165" spans="2:22" ht="21" hidden="1" x14ac:dyDescent="0.25">
      <c r="B165" s="4" t="s">
        <v>156</v>
      </c>
      <c r="C165" s="4" t="s">
        <v>157</v>
      </c>
      <c r="D165" s="4" t="s">
        <v>908</v>
      </c>
      <c r="E165" s="4" t="s">
        <v>27</v>
      </c>
      <c r="F165" s="4" t="s">
        <v>1242</v>
      </c>
      <c r="G165" s="4" t="s">
        <v>27</v>
      </c>
      <c r="H165" s="4">
        <v>70528</v>
      </c>
      <c r="I165" s="4">
        <v>70530</v>
      </c>
      <c r="J165" s="4" t="s">
        <v>28</v>
      </c>
      <c r="K165" s="4" t="s">
        <v>156</v>
      </c>
      <c r="L165" s="4" t="s">
        <v>29</v>
      </c>
      <c r="M165" s="4"/>
      <c r="N165" s="5">
        <v>1422</v>
      </c>
      <c r="O165" s="5">
        <v>1565</v>
      </c>
      <c r="P165" s="5">
        <v>1600</v>
      </c>
      <c r="Q165" s="5">
        <v>1600</v>
      </c>
      <c r="R165" s="5">
        <v>567</v>
      </c>
      <c r="S165" s="5">
        <v>623</v>
      </c>
      <c r="T165" s="5">
        <v>637</v>
      </c>
      <c r="U165" s="5">
        <v>637</v>
      </c>
      <c r="V165" s="5"/>
    </row>
    <row r="166" spans="2:22" ht="20" hidden="1" x14ac:dyDescent="0.25">
      <c r="B166" s="2" t="s">
        <v>156</v>
      </c>
      <c r="C166" s="2" t="s">
        <v>157</v>
      </c>
      <c r="D166" s="2" t="s">
        <v>908</v>
      </c>
      <c r="E166" s="2" t="s">
        <v>27</v>
      </c>
      <c r="F166" s="2" t="s">
        <v>1242</v>
      </c>
      <c r="G166" s="2" t="s">
        <v>27</v>
      </c>
      <c r="H166" s="2">
        <v>70528</v>
      </c>
      <c r="I166" s="2">
        <v>70530</v>
      </c>
      <c r="J166" s="2" t="s">
        <v>28</v>
      </c>
      <c r="K166" s="2" t="s">
        <v>388</v>
      </c>
      <c r="L166" s="2" t="s">
        <v>31</v>
      </c>
      <c r="M166" s="2" t="s">
        <v>1243</v>
      </c>
      <c r="N166" s="3">
        <v>1422</v>
      </c>
      <c r="O166" s="3">
        <v>1565</v>
      </c>
      <c r="P166" s="2">
        <v>1621</v>
      </c>
      <c r="Q166" s="2">
        <v>1783</v>
      </c>
      <c r="R166" s="3">
        <v>567</v>
      </c>
      <c r="S166" s="3">
        <v>623</v>
      </c>
      <c r="T166" s="2">
        <v>646</v>
      </c>
      <c r="U166" s="2">
        <v>710</v>
      </c>
      <c r="V166" s="2"/>
    </row>
    <row r="167" spans="2:22" ht="20" hidden="1" x14ac:dyDescent="0.25">
      <c r="B167" s="2" t="s">
        <v>156</v>
      </c>
      <c r="C167" s="2" t="s">
        <v>157</v>
      </c>
      <c r="D167" s="2" t="s">
        <v>908</v>
      </c>
      <c r="E167" s="2" t="s">
        <v>27</v>
      </c>
      <c r="F167" s="2" t="s">
        <v>1242</v>
      </c>
      <c r="G167" s="2" t="s">
        <v>27</v>
      </c>
      <c r="H167" s="2">
        <v>70528</v>
      </c>
      <c r="I167" s="2">
        <v>70530</v>
      </c>
      <c r="J167" s="2" t="s">
        <v>28</v>
      </c>
      <c r="K167" s="2" t="s">
        <v>158</v>
      </c>
      <c r="L167" s="2" t="s">
        <v>1315</v>
      </c>
      <c r="M167" s="2" t="s">
        <v>1243</v>
      </c>
      <c r="N167" s="2">
        <v>1600</v>
      </c>
      <c r="O167" s="2">
        <v>1600</v>
      </c>
      <c r="P167" s="3">
        <v>1600</v>
      </c>
      <c r="Q167" s="3">
        <v>1600</v>
      </c>
      <c r="R167" s="2">
        <v>637</v>
      </c>
      <c r="S167" s="2">
        <v>637</v>
      </c>
      <c r="T167" s="3">
        <v>637</v>
      </c>
      <c r="U167" s="3">
        <v>637</v>
      </c>
      <c r="V167" s="3"/>
    </row>
    <row r="168" spans="2:22" ht="21" hidden="1" x14ac:dyDescent="0.25">
      <c r="B168" s="4" t="s">
        <v>163</v>
      </c>
      <c r="C168" s="4" t="s">
        <v>157</v>
      </c>
      <c r="D168" s="4" t="s">
        <v>1266</v>
      </c>
      <c r="E168" s="4" t="s">
        <v>27</v>
      </c>
      <c r="F168" s="4" t="s">
        <v>723</v>
      </c>
      <c r="G168" s="4" t="s">
        <v>27</v>
      </c>
      <c r="H168" s="4">
        <v>70432</v>
      </c>
      <c r="I168" s="4">
        <v>70539</v>
      </c>
      <c r="J168" s="4" t="s">
        <v>28</v>
      </c>
      <c r="K168" s="4" t="s">
        <v>163</v>
      </c>
      <c r="L168" s="4" t="s">
        <v>29</v>
      </c>
      <c r="M168" s="4"/>
      <c r="N168" s="5">
        <v>1423</v>
      </c>
      <c r="O168" s="5">
        <v>1566</v>
      </c>
      <c r="P168" s="5">
        <v>1600</v>
      </c>
      <c r="Q168" s="5">
        <v>1600</v>
      </c>
      <c r="R168" s="5">
        <v>567</v>
      </c>
      <c r="S168" s="5">
        <v>624</v>
      </c>
      <c r="T168" s="5">
        <v>637</v>
      </c>
      <c r="U168" s="5">
        <v>637</v>
      </c>
      <c r="V168" s="5"/>
    </row>
    <row r="169" spans="2:22" ht="20" hidden="1" x14ac:dyDescent="0.25">
      <c r="B169" s="2" t="s">
        <v>163</v>
      </c>
      <c r="C169" s="2" t="s">
        <v>157</v>
      </c>
      <c r="D169" s="2" t="s">
        <v>1266</v>
      </c>
      <c r="E169" s="2" t="s">
        <v>27</v>
      </c>
      <c r="F169" s="2" t="s">
        <v>723</v>
      </c>
      <c r="G169" s="2" t="s">
        <v>27</v>
      </c>
      <c r="H169" s="2">
        <v>70432</v>
      </c>
      <c r="I169" s="2">
        <v>70539</v>
      </c>
      <c r="J169" s="2" t="s">
        <v>28</v>
      </c>
      <c r="K169" s="2" t="s">
        <v>388</v>
      </c>
      <c r="L169" s="2" t="s">
        <v>31</v>
      </c>
      <c r="M169" s="2" t="s">
        <v>1267</v>
      </c>
      <c r="N169" s="3">
        <v>1423</v>
      </c>
      <c r="O169" s="3">
        <v>1566</v>
      </c>
      <c r="P169" s="2">
        <v>1622</v>
      </c>
      <c r="Q169" s="2">
        <v>1784</v>
      </c>
      <c r="R169" s="3">
        <v>567</v>
      </c>
      <c r="S169" s="3">
        <v>624</v>
      </c>
      <c r="T169" s="2">
        <v>646</v>
      </c>
      <c r="U169" s="2">
        <v>711</v>
      </c>
      <c r="V169" s="2"/>
    </row>
    <row r="170" spans="2:22" ht="20" hidden="1" x14ac:dyDescent="0.25">
      <c r="B170" s="2" t="s">
        <v>163</v>
      </c>
      <c r="C170" s="2" t="s">
        <v>157</v>
      </c>
      <c r="D170" s="2" t="s">
        <v>1266</v>
      </c>
      <c r="E170" s="2" t="s">
        <v>27</v>
      </c>
      <c r="F170" s="2" t="s">
        <v>723</v>
      </c>
      <c r="G170" s="2" t="s">
        <v>27</v>
      </c>
      <c r="H170" s="2">
        <v>70432</v>
      </c>
      <c r="I170" s="2">
        <v>70539</v>
      </c>
      <c r="J170" s="2" t="s">
        <v>28</v>
      </c>
      <c r="K170" s="2" t="s">
        <v>164</v>
      </c>
      <c r="L170" s="2" t="s">
        <v>1315</v>
      </c>
      <c r="M170" s="2" t="s">
        <v>1267</v>
      </c>
      <c r="N170" s="2">
        <v>1600</v>
      </c>
      <c r="O170" s="2">
        <v>1600</v>
      </c>
      <c r="P170" s="3">
        <v>1600</v>
      </c>
      <c r="Q170" s="3">
        <v>1600</v>
      </c>
      <c r="R170" s="2">
        <v>637</v>
      </c>
      <c r="S170" s="2">
        <v>637</v>
      </c>
      <c r="T170" s="3">
        <v>637</v>
      </c>
      <c r="U170" s="3">
        <v>637</v>
      </c>
      <c r="V170" s="3"/>
    </row>
    <row r="171" spans="2:22" ht="21" hidden="1" x14ac:dyDescent="0.25">
      <c r="B171" s="4" t="s">
        <v>168</v>
      </c>
      <c r="C171" s="4" t="s">
        <v>157</v>
      </c>
      <c r="D171" s="4" t="s">
        <v>1266</v>
      </c>
      <c r="E171" s="4" t="s">
        <v>27</v>
      </c>
      <c r="F171" s="4" t="s">
        <v>1242</v>
      </c>
      <c r="G171" s="4" t="s">
        <v>27</v>
      </c>
      <c r="H171" s="4">
        <v>70432</v>
      </c>
      <c r="I171" s="4">
        <v>70530</v>
      </c>
      <c r="J171" s="4" t="s">
        <v>28</v>
      </c>
      <c r="K171" s="4" t="s">
        <v>168</v>
      </c>
      <c r="L171" s="4" t="s">
        <v>29</v>
      </c>
      <c r="M171" s="4"/>
      <c r="N171" s="5">
        <v>1422</v>
      </c>
      <c r="O171" s="5">
        <v>1565</v>
      </c>
      <c r="P171" s="5">
        <v>1600</v>
      </c>
      <c r="Q171" s="5">
        <v>1600</v>
      </c>
      <c r="R171" s="5">
        <v>567</v>
      </c>
      <c r="S171" s="5">
        <v>623</v>
      </c>
      <c r="T171" s="5">
        <v>637</v>
      </c>
      <c r="U171" s="5">
        <v>637</v>
      </c>
      <c r="V171" s="5"/>
    </row>
    <row r="172" spans="2:22" ht="20" hidden="1" x14ac:dyDescent="0.25">
      <c r="B172" s="2" t="s">
        <v>168</v>
      </c>
      <c r="C172" s="2" t="s">
        <v>157</v>
      </c>
      <c r="D172" s="2" t="s">
        <v>1266</v>
      </c>
      <c r="E172" s="2" t="s">
        <v>27</v>
      </c>
      <c r="F172" s="2" t="s">
        <v>1242</v>
      </c>
      <c r="G172" s="2" t="s">
        <v>27</v>
      </c>
      <c r="H172" s="2">
        <v>70432</v>
      </c>
      <c r="I172" s="2">
        <v>70530</v>
      </c>
      <c r="J172" s="2" t="s">
        <v>28</v>
      </c>
      <c r="K172" s="2" t="s">
        <v>388</v>
      </c>
      <c r="L172" s="2" t="s">
        <v>31</v>
      </c>
      <c r="M172" s="2" t="s">
        <v>1243</v>
      </c>
      <c r="N172" s="3">
        <v>1422</v>
      </c>
      <c r="O172" s="3">
        <v>1565</v>
      </c>
      <c r="P172" s="2">
        <v>1621</v>
      </c>
      <c r="Q172" s="2">
        <v>1783</v>
      </c>
      <c r="R172" s="3">
        <v>567</v>
      </c>
      <c r="S172" s="3">
        <v>623</v>
      </c>
      <c r="T172" s="2">
        <v>646</v>
      </c>
      <c r="U172" s="2">
        <v>710</v>
      </c>
      <c r="V172" s="2"/>
    </row>
    <row r="173" spans="2:22" ht="20" hidden="1" x14ac:dyDescent="0.25">
      <c r="B173" s="2" t="s">
        <v>168</v>
      </c>
      <c r="C173" s="2" t="s">
        <v>157</v>
      </c>
      <c r="D173" s="2" t="s">
        <v>1266</v>
      </c>
      <c r="E173" s="2" t="s">
        <v>27</v>
      </c>
      <c r="F173" s="2" t="s">
        <v>1242</v>
      </c>
      <c r="G173" s="2" t="s">
        <v>27</v>
      </c>
      <c r="H173" s="2">
        <v>70432</v>
      </c>
      <c r="I173" s="2">
        <v>70530</v>
      </c>
      <c r="J173" s="2" t="s">
        <v>28</v>
      </c>
      <c r="K173" s="2" t="s">
        <v>173</v>
      </c>
      <c r="L173" s="2" t="s">
        <v>1315</v>
      </c>
      <c r="M173" s="2" t="s">
        <v>1267</v>
      </c>
      <c r="N173" s="2">
        <v>1600</v>
      </c>
      <c r="O173" s="2">
        <v>1600</v>
      </c>
      <c r="P173" s="3">
        <v>1600</v>
      </c>
      <c r="Q173" s="3">
        <v>1600</v>
      </c>
      <c r="R173" s="2">
        <v>637</v>
      </c>
      <c r="S173" s="2">
        <v>637</v>
      </c>
      <c r="T173" s="3">
        <v>637</v>
      </c>
      <c r="U173" s="3">
        <v>637</v>
      </c>
      <c r="V173" s="3"/>
    </row>
    <row r="174" spans="2:22" ht="20" hidden="1" x14ac:dyDescent="0.25">
      <c r="B174" s="2" t="s">
        <v>168</v>
      </c>
      <c r="C174" s="2" t="s">
        <v>157</v>
      </c>
      <c r="D174" s="2" t="s">
        <v>1266</v>
      </c>
      <c r="E174" s="2" t="s">
        <v>27</v>
      </c>
      <c r="F174" s="2" t="s">
        <v>1242</v>
      </c>
      <c r="G174" s="2" t="s">
        <v>27</v>
      </c>
      <c r="H174" s="2">
        <v>70432</v>
      </c>
      <c r="I174" s="2">
        <v>70530</v>
      </c>
      <c r="J174" s="2" t="s">
        <v>28</v>
      </c>
      <c r="K174" s="2" t="s">
        <v>169</v>
      </c>
      <c r="L174" s="2" t="s">
        <v>1315</v>
      </c>
      <c r="M174" s="2" t="s">
        <v>1243</v>
      </c>
      <c r="N174" s="2">
        <v>1600</v>
      </c>
      <c r="O174" s="2">
        <v>1600</v>
      </c>
      <c r="P174" s="3">
        <v>1600</v>
      </c>
      <c r="Q174" s="3">
        <v>1600</v>
      </c>
      <c r="R174" s="2">
        <v>637</v>
      </c>
      <c r="S174" s="2">
        <v>637</v>
      </c>
      <c r="T174" s="3">
        <v>637</v>
      </c>
      <c r="U174" s="3">
        <v>637</v>
      </c>
      <c r="V174" s="3"/>
    </row>
    <row r="175" spans="2:22" ht="21" hidden="1" x14ac:dyDescent="0.25">
      <c r="B175" s="4" t="s">
        <v>965</v>
      </c>
      <c r="C175" s="4" t="s">
        <v>966</v>
      </c>
      <c r="D175" s="4" t="s">
        <v>889</v>
      </c>
      <c r="E175" s="4" t="s">
        <v>27</v>
      </c>
      <c r="F175" s="4" t="s">
        <v>908</v>
      </c>
      <c r="G175" s="4" t="s">
        <v>27</v>
      </c>
      <c r="H175" s="4">
        <v>70526</v>
      </c>
      <c r="I175" s="4">
        <v>70528</v>
      </c>
      <c r="J175" s="4" t="s">
        <v>28</v>
      </c>
      <c r="K175" s="4" t="s">
        <v>965</v>
      </c>
      <c r="L175" s="4" t="s">
        <v>29</v>
      </c>
      <c r="M175" s="4"/>
      <c r="N175" s="5">
        <v>1423</v>
      </c>
      <c r="O175" s="5">
        <v>1565</v>
      </c>
      <c r="P175" s="5">
        <v>1622</v>
      </c>
      <c r="Q175" s="5">
        <v>1784</v>
      </c>
      <c r="R175" s="5">
        <v>567</v>
      </c>
      <c r="S175" s="5">
        <v>624</v>
      </c>
      <c r="T175" s="5">
        <v>646</v>
      </c>
      <c r="U175" s="5">
        <v>711</v>
      </c>
      <c r="V175" s="5"/>
    </row>
    <row r="176" spans="2:22" ht="20" hidden="1" x14ac:dyDescent="0.25">
      <c r="B176" s="2" t="s">
        <v>965</v>
      </c>
      <c r="C176" s="2" t="s">
        <v>966</v>
      </c>
      <c r="D176" s="2" t="s">
        <v>889</v>
      </c>
      <c r="E176" s="2" t="s">
        <v>27</v>
      </c>
      <c r="F176" s="2" t="s">
        <v>908</v>
      </c>
      <c r="G176" s="2" t="s">
        <v>27</v>
      </c>
      <c r="H176" s="2">
        <v>70526</v>
      </c>
      <c r="I176" s="2">
        <v>70528</v>
      </c>
      <c r="J176" s="2" t="s">
        <v>28</v>
      </c>
      <c r="K176" s="2" t="s">
        <v>388</v>
      </c>
      <c r="L176" s="2" t="s">
        <v>31</v>
      </c>
      <c r="M176" s="2" t="s">
        <v>890</v>
      </c>
      <c r="N176" s="3">
        <v>1423</v>
      </c>
      <c r="O176" s="3">
        <v>1565</v>
      </c>
      <c r="P176" s="3">
        <v>1622</v>
      </c>
      <c r="Q176" s="3">
        <v>1784</v>
      </c>
      <c r="R176" s="3">
        <v>567</v>
      </c>
      <c r="S176" s="3">
        <v>624</v>
      </c>
      <c r="T176" s="3">
        <v>646</v>
      </c>
      <c r="U176" s="3">
        <v>711</v>
      </c>
      <c r="V176" s="3"/>
    </row>
    <row r="177" spans="2:22" ht="21" hidden="1" x14ac:dyDescent="0.25">
      <c r="B177" s="4" t="s">
        <v>108</v>
      </c>
      <c r="C177" s="4" t="s">
        <v>109</v>
      </c>
      <c r="D177" s="4" t="s">
        <v>299</v>
      </c>
      <c r="E177" s="4" t="s">
        <v>40</v>
      </c>
      <c r="F177" s="4" t="s">
        <v>208</v>
      </c>
      <c r="G177" s="4" t="s">
        <v>27</v>
      </c>
      <c r="H177" s="4">
        <v>79250</v>
      </c>
      <c r="I177" s="4">
        <v>70358</v>
      </c>
      <c r="J177" s="4" t="s">
        <v>42</v>
      </c>
      <c r="K177" s="4" t="s">
        <v>108</v>
      </c>
      <c r="L177" s="4" t="s">
        <v>29</v>
      </c>
      <c r="M177" s="4"/>
      <c r="N177" s="5">
        <v>399</v>
      </c>
      <c r="O177" s="5">
        <v>400</v>
      </c>
      <c r="P177" s="5">
        <v>399</v>
      </c>
      <c r="Q177" s="5">
        <v>442</v>
      </c>
      <c r="R177" s="5">
        <v>159</v>
      </c>
      <c r="S177" s="5">
        <v>159</v>
      </c>
      <c r="T177" s="5">
        <v>159</v>
      </c>
      <c r="U177" s="5">
        <v>176</v>
      </c>
      <c r="V177" s="5"/>
    </row>
    <row r="178" spans="2:22" ht="20" hidden="1" x14ac:dyDescent="0.25">
      <c r="B178" s="2" t="s">
        <v>108</v>
      </c>
      <c r="C178" s="2" t="s">
        <v>109</v>
      </c>
      <c r="D178" s="2" t="s">
        <v>299</v>
      </c>
      <c r="E178" s="2" t="s">
        <v>40</v>
      </c>
      <c r="F178" s="2" t="s">
        <v>208</v>
      </c>
      <c r="G178" s="2" t="s">
        <v>27</v>
      </c>
      <c r="H178" s="2">
        <v>79250</v>
      </c>
      <c r="I178" s="2">
        <v>70358</v>
      </c>
      <c r="J178" s="2" t="s">
        <v>42</v>
      </c>
      <c r="K178" s="2" t="s">
        <v>213</v>
      </c>
      <c r="L178" s="2" t="s">
        <v>213</v>
      </c>
      <c r="M178" s="2" t="s">
        <v>300</v>
      </c>
      <c r="N178" s="3">
        <v>399</v>
      </c>
      <c r="O178" s="2">
        <v>515</v>
      </c>
      <c r="P178" s="3">
        <v>399</v>
      </c>
      <c r="Q178" s="2">
        <v>515</v>
      </c>
      <c r="R178" s="3">
        <v>159</v>
      </c>
      <c r="S178" s="2">
        <v>205</v>
      </c>
      <c r="T178" s="3">
        <v>159</v>
      </c>
      <c r="U178" s="2">
        <v>205</v>
      </c>
      <c r="V178" s="2"/>
    </row>
    <row r="179" spans="2:22" ht="20" hidden="1" x14ac:dyDescent="0.25">
      <c r="B179" s="2" t="s">
        <v>108</v>
      </c>
      <c r="C179" s="2" t="s">
        <v>109</v>
      </c>
      <c r="D179" s="2" t="s">
        <v>299</v>
      </c>
      <c r="E179" s="2" t="s">
        <v>40</v>
      </c>
      <c r="F179" s="2" t="s">
        <v>208</v>
      </c>
      <c r="G179" s="2" t="s">
        <v>27</v>
      </c>
      <c r="H179" s="2">
        <v>79250</v>
      </c>
      <c r="I179" s="2">
        <v>70358</v>
      </c>
      <c r="J179" s="2" t="s">
        <v>42</v>
      </c>
      <c r="K179" s="2"/>
      <c r="L179" s="2" t="s">
        <v>301</v>
      </c>
      <c r="M179" s="2" t="s">
        <v>210</v>
      </c>
      <c r="N179" s="2">
        <v>400</v>
      </c>
      <c r="O179" s="3">
        <v>400</v>
      </c>
      <c r="P179" s="2">
        <v>442</v>
      </c>
      <c r="Q179" s="3">
        <v>442</v>
      </c>
      <c r="R179" s="2">
        <v>159</v>
      </c>
      <c r="S179" s="3">
        <v>159</v>
      </c>
      <c r="T179" s="2">
        <v>176</v>
      </c>
      <c r="U179" s="3">
        <v>176</v>
      </c>
      <c r="V179" s="3"/>
    </row>
    <row r="180" spans="2:22" ht="21" hidden="1" x14ac:dyDescent="0.25">
      <c r="B180" s="4" t="s">
        <v>1108</v>
      </c>
      <c r="C180" s="4" t="s">
        <v>1109</v>
      </c>
      <c r="D180" s="4" t="s">
        <v>456</v>
      </c>
      <c r="E180" s="4" t="s">
        <v>27</v>
      </c>
      <c r="F180" s="4" t="s">
        <v>208</v>
      </c>
      <c r="G180" s="4" t="s">
        <v>27</v>
      </c>
      <c r="H180" s="4">
        <v>70309</v>
      </c>
      <c r="I180" s="4">
        <v>70358</v>
      </c>
      <c r="J180" s="4" t="s">
        <v>28</v>
      </c>
      <c r="K180" s="4" t="s">
        <v>1108</v>
      </c>
      <c r="L180" s="4" t="s">
        <v>29</v>
      </c>
      <c r="M180" s="4"/>
      <c r="N180" s="5">
        <v>1085</v>
      </c>
      <c r="O180" s="5">
        <v>1200</v>
      </c>
      <c r="P180" s="5">
        <v>1200</v>
      </c>
      <c r="Q180" s="5">
        <v>1200</v>
      </c>
      <c r="R180" s="5">
        <v>432</v>
      </c>
      <c r="S180" s="5">
        <v>478</v>
      </c>
      <c r="T180" s="5">
        <v>478</v>
      </c>
      <c r="U180" s="5">
        <v>478</v>
      </c>
      <c r="V180" s="5"/>
    </row>
    <row r="181" spans="2:22" ht="20" hidden="1" x14ac:dyDescent="0.25">
      <c r="B181" s="2" t="s">
        <v>1108</v>
      </c>
      <c r="C181" s="2" t="s">
        <v>1109</v>
      </c>
      <c r="D181" s="2" t="s">
        <v>456</v>
      </c>
      <c r="E181" s="2" t="s">
        <v>27</v>
      </c>
      <c r="F181" s="2" t="s">
        <v>208</v>
      </c>
      <c r="G181" s="2" t="s">
        <v>27</v>
      </c>
      <c r="H181" s="2">
        <v>70309</v>
      </c>
      <c r="I181" s="2">
        <v>70358</v>
      </c>
      <c r="J181" s="2" t="s">
        <v>28</v>
      </c>
      <c r="K181" s="2" t="s">
        <v>249</v>
      </c>
      <c r="L181" s="2" t="s">
        <v>31</v>
      </c>
      <c r="M181" s="2" t="s">
        <v>210</v>
      </c>
      <c r="N181" s="3">
        <v>1085</v>
      </c>
      <c r="O181" s="2">
        <v>1265</v>
      </c>
      <c r="P181" s="2">
        <v>1296</v>
      </c>
      <c r="Q181" s="2">
        <v>1441</v>
      </c>
      <c r="R181" s="3">
        <v>432</v>
      </c>
      <c r="S181" s="2">
        <v>504</v>
      </c>
      <c r="T181" s="2">
        <v>516</v>
      </c>
      <c r="U181" s="2">
        <v>574</v>
      </c>
      <c r="V181" s="2"/>
    </row>
    <row r="182" spans="2:22" ht="20" hidden="1" x14ac:dyDescent="0.25">
      <c r="B182" s="2" t="s">
        <v>1108</v>
      </c>
      <c r="C182" s="2" t="s">
        <v>1109</v>
      </c>
      <c r="D182" s="2" t="s">
        <v>456</v>
      </c>
      <c r="E182" s="2" t="s">
        <v>27</v>
      </c>
      <c r="F182" s="2" t="s">
        <v>208</v>
      </c>
      <c r="G182" s="2" t="s">
        <v>27</v>
      </c>
      <c r="H182" s="2">
        <v>70309</v>
      </c>
      <c r="I182" s="2">
        <v>70358</v>
      </c>
      <c r="J182" s="2" t="s">
        <v>28</v>
      </c>
      <c r="K182" s="2" t="s">
        <v>1110</v>
      </c>
      <c r="L182" s="2" t="s">
        <v>39</v>
      </c>
      <c r="M182" s="2" t="s">
        <v>210</v>
      </c>
      <c r="N182" s="2">
        <v>1200</v>
      </c>
      <c r="O182" s="3">
        <v>1200</v>
      </c>
      <c r="P182" s="3">
        <v>1200</v>
      </c>
      <c r="Q182" s="3">
        <v>1200</v>
      </c>
      <c r="R182" s="2">
        <v>478</v>
      </c>
      <c r="S182" s="3">
        <v>478</v>
      </c>
      <c r="T182" s="3">
        <v>478</v>
      </c>
      <c r="U182" s="3">
        <v>478</v>
      </c>
      <c r="V182" s="3"/>
    </row>
    <row r="183" spans="2:22" ht="20" hidden="1" x14ac:dyDescent="0.25">
      <c r="B183" s="2" t="s">
        <v>1108</v>
      </c>
      <c r="C183" s="2" t="s">
        <v>1109</v>
      </c>
      <c r="D183" s="2" t="s">
        <v>456</v>
      </c>
      <c r="E183" s="2" t="s">
        <v>27</v>
      </c>
      <c r="F183" s="2" t="s">
        <v>208</v>
      </c>
      <c r="G183" s="2" t="s">
        <v>27</v>
      </c>
      <c r="H183" s="2">
        <v>70309</v>
      </c>
      <c r="I183" s="2">
        <v>70358</v>
      </c>
      <c r="J183" s="2" t="s">
        <v>28</v>
      </c>
      <c r="K183" s="2" t="s">
        <v>1111</v>
      </c>
      <c r="L183" s="2" t="s">
        <v>39</v>
      </c>
      <c r="M183" s="2" t="s">
        <v>210</v>
      </c>
      <c r="N183" s="2">
        <v>1200</v>
      </c>
      <c r="O183" s="3">
        <v>1200</v>
      </c>
      <c r="P183" s="3">
        <v>1200</v>
      </c>
      <c r="Q183" s="3">
        <v>1200</v>
      </c>
      <c r="R183" s="2">
        <v>478</v>
      </c>
      <c r="S183" s="3">
        <v>478</v>
      </c>
      <c r="T183" s="3">
        <v>478</v>
      </c>
      <c r="U183" s="3">
        <v>478</v>
      </c>
      <c r="V183" s="3"/>
    </row>
    <row r="184" spans="2:22" ht="20" hidden="1" x14ac:dyDescent="0.25">
      <c r="B184" s="2" t="s">
        <v>1108</v>
      </c>
      <c r="C184" s="2" t="s">
        <v>1109</v>
      </c>
      <c r="D184" s="2" t="s">
        <v>456</v>
      </c>
      <c r="E184" s="2" t="s">
        <v>27</v>
      </c>
      <c r="F184" s="2" t="s">
        <v>208</v>
      </c>
      <c r="G184" s="2" t="s">
        <v>27</v>
      </c>
      <c r="H184" s="2">
        <v>70309</v>
      </c>
      <c r="I184" s="2">
        <v>70358</v>
      </c>
      <c r="J184" s="2" t="s">
        <v>28</v>
      </c>
      <c r="K184" s="2" t="s">
        <v>1112</v>
      </c>
      <c r="L184" s="2" t="s">
        <v>39</v>
      </c>
      <c r="M184" s="2" t="s">
        <v>210</v>
      </c>
      <c r="N184" s="2">
        <v>1200</v>
      </c>
      <c r="O184" s="3">
        <v>1200</v>
      </c>
      <c r="P184" s="3">
        <v>1200</v>
      </c>
      <c r="Q184" s="3">
        <v>1200</v>
      </c>
      <c r="R184" s="2">
        <v>478</v>
      </c>
      <c r="S184" s="3">
        <v>478</v>
      </c>
      <c r="T184" s="3">
        <v>478</v>
      </c>
      <c r="U184" s="3">
        <v>478</v>
      </c>
      <c r="V184" s="3"/>
    </row>
    <row r="185" spans="2:22" ht="20" hidden="1" x14ac:dyDescent="0.25">
      <c r="B185" s="2" t="s">
        <v>1108</v>
      </c>
      <c r="C185" s="2" t="s">
        <v>1109</v>
      </c>
      <c r="D185" s="2" t="s">
        <v>456</v>
      </c>
      <c r="E185" s="2" t="s">
        <v>27</v>
      </c>
      <c r="F185" s="2" t="s">
        <v>208</v>
      </c>
      <c r="G185" s="2" t="s">
        <v>27</v>
      </c>
      <c r="H185" s="2">
        <v>70309</v>
      </c>
      <c r="I185" s="2">
        <v>70358</v>
      </c>
      <c r="J185" s="2" t="s">
        <v>28</v>
      </c>
      <c r="K185" s="2" t="s">
        <v>1113</v>
      </c>
      <c r="L185" s="2" t="s">
        <v>39</v>
      </c>
      <c r="M185" s="2" t="s">
        <v>210</v>
      </c>
      <c r="N185" s="2">
        <v>1200</v>
      </c>
      <c r="O185" s="3">
        <v>1200</v>
      </c>
      <c r="P185" s="3">
        <v>1200</v>
      </c>
      <c r="Q185" s="3">
        <v>1200</v>
      </c>
      <c r="R185" s="2">
        <v>478</v>
      </c>
      <c r="S185" s="3">
        <v>478</v>
      </c>
      <c r="T185" s="3">
        <v>478</v>
      </c>
      <c r="U185" s="3">
        <v>478</v>
      </c>
      <c r="V185" s="3"/>
    </row>
    <row r="186" spans="2:22" ht="20" hidden="1" x14ac:dyDescent="0.25">
      <c r="B186" s="2" t="s">
        <v>1108</v>
      </c>
      <c r="C186" s="2" t="s">
        <v>1109</v>
      </c>
      <c r="D186" s="2" t="s">
        <v>456</v>
      </c>
      <c r="E186" s="2" t="s">
        <v>27</v>
      </c>
      <c r="F186" s="2" t="s">
        <v>208</v>
      </c>
      <c r="G186" s="2" t="s">
        <v>27</v>
      </c>
      <c r="H186" s="2">
        <v>70309</v>
      </c>
      <c r="I186" s="2">
        <v>70358</v>
      </c>
      <c r="J186" s="2" t="s">
        <v>28</v>
      </c>
      <c r="K186" s="2"/>
      <c r="L186" s="2" t="s">
        <v>301</v>
      </c>
      <c r="M186" s="2" t="s">
        <v>457</v>
      </c>
      <c r="N186" s="2">
        <v>1200</v>
      </c>
      <c r="O186" s="3">
        <v>1200</v>
      </c>
      <c r="P186" s="2">
        <v>1248</v>
      </c>
      <c r="Q186" s="2">
        <v>1248</v>
      </c>
      <c r="R186" s="2">
        <v>478</v>
      </c>
      <c r="S186" s="3">
        <v>478</v>
      </c>
      <c r="T186" s="2">
        <v>497</v>
      </c>
      <c r="U186" s="2">
        <v>497</v>
      </c>
      <c r="V186" s="2"/>
    </row>
    <row r="187" spans="2:22" ht="20" hidden="1" x14ac:dyDescent="0.25">
      <c r="B187" s="2" t="s">
        <v>1108</v>
      </c>
      <c r="C187" s="2" t="s">
        <v>1109</v>
      </c>
      <c r="D187" s="2" t="s">
        <v>456</v>
      </c>
      <c r="E187" s="2" t="s">
        <v>27</v>
      </c>
      <c r="F187" s="2" t="s">
        <v>208</v>
      </c>
      <c r="G187" s="2" t="s">
        <v>27</v>
      </c>
      <c r="H187" s="2">
        <v>70309</v>
      </c>
      <c r="I187" s="2">
        <v>70358</v>
      </c>
      <c r="J187" s="2" t="s">
        <v>28</v>
      </c>
      <c r="K187" s="2"/>
      <c r="L187" s="2" t="s">
        <v>301</v>
      </c>
      <c r="M187" s="2" t="s">
        <v>210</v>
      </c>
      <c r="N187" s="2">
        <v>1200</v>
      </c>
      <c r="O187" s="3">
        <v>1200</v>
      </c>
      <c r="P187" s="2">
        <v>1248</v>
      </c>
      <c r="Q187" s="2">
        <v>1248</v>
      </c>
      <c r="R187" s="2">
        <v>478</v>
      </c>
      <c r="S187" s="3">
        <v>478</v>
      </c>
      <c r="T187" s="2">
        <v>497</v>
      </c>
      <c r="U187" s="2">
        <v>497</v>
      </c>
      <c r="V187" s="2"/>
    </row>
    <row r="188" spans="2:22" ht="21" hidden="1" x14ac:dyDescent="0.25">
      <c r="B188" s="4" t="s">
        <v>98</v>
      </c>
      <c r="C188" s="4" t="s">
        <v>99</v>
      </c>
      <c r="D188" s="4" t="s">
        <v>58</v>
      </c>
      <c r="E188" s="4" t="s">
        <v>27</v>
      </c>
      <c r="F188" s="4" t="s">
        <v>208</v>
      </c>
      <c r="G188" s="4" t="s">
        <v>27</v>
      </c>
      <c r="H188" s="4">
        <v>70232</v>
      </c>
      <c r="I188" s="4">
        <v>70358</v>
      </c>
      <c r="J188" s="4" t="s">
        <v>28</v>
      </c>
      <c r="K188" s="4" t="s">
        <v>98</v>
      </c>
      <c r="L188" s="4" t="s">
        <v>29</v>
      </c>
      <c r="M188" s="4"/>
      <c r="N188" s="5">
        <v>1085</v>
      </c>
      <c r="O188" s="5">
        <v>1200</v>
      </c>
      <c r="P188" s="5">
        <v>1200</v>
      </c>
      <c r="Q188" s="5">
        <v>1200</v>
      </c>
      <c r="R188" s="5">
        <v>432</v>
      </c>
      <c r="S188" s="5">
        <v>478</v>
      </c>
      <c r="T188" s="5">
        <v>478</v>
      </c>
      <c r="U188" s="5">
        <v>478</v>
      </c>
      <c r="V188" s="5"/>
    </row>
    <row r="189" spans="2:22" ht="20" hidden="1" x14ac:dyDescent="0.25">
      <c r="B189" s="2" t="s">
        <v>98</v>
      </c>
      <c r="C189" s="2" t="s">
        <v>99</v>
      </c>
      <c r="D189" s="2" t="s">
        <v>58</v>
      </c>
      <c r="E189" s="2" t="s">
        <v>27</v>
      </c>
      <c r="F189" s="2" t="s">
        <v>208</v>
      </c>
      <c r="G189" s="2" t="s">
        <v>27</v>
      </c>
      <c r="H189" s="2">
        <v>70232</v>
      </c>
      <c r="I189" s="2">
        <v>70358</v>
      </c>
      <c r="J189" s="2" t="s">
        <v>28</v>
      </c>
      <c r="K189" s="2" t="s">
        <v>249</v>
      </c>
      <c r="L189" s="2" t="s">
        <v>31</v>
      </c>
      <c r="M189" s="2" t="s">
        <v>210</v>
      </c>
      <c r="N189" s="3">
        <v>1085</v>
      </c>
      <c r="O189" s="2">
        <v>1265</v>
      </c>
      <c r="P189" s="2">
        <v>1296</v>
      </c>
      <c r="Q189" s="2">
        <v>1441</v>
      </c>
      <c r="R189" s="3">
        <v>432</v>
      </c>
      <c r="S189" s="2">
        <v>504</v>
      </c>
      <c r="T189" s="2">
        <v>516</v>
      </c>
      <c r="U189" s="2">
        <v>574</v>
      </c>
      <c r="V189" s="2"/>
    </row>
    <row r="190" spans="2:22" ht="30" hidden="1" x14ac:dyDescent="0.25">
      <c r="B190" s="2" t="s">
        <v>98</v>
      </c>
      <c r="C190" s="2" t="s">
        <v>99</v>
      </c>
      <c r="D190" s="2" t="s">
        <v>58</v>
      </c>
      <c r="E190" s="2" t="s">
        <v>27</v>
      </c>
      <c r="F190" s="2" t="s">
        <v>208</v>
      </c>
      <c r="G190" s="2" t="s">
        <v>27</v>
      </c>
      <c r="H190" s="2">
        <v>70232</v>
      </c>
      <c r="I190" s="2">
        <v>70358</v>
      </c>
      <c r="J190" s="2" t="s">
        <v>28</v>
      </c>
      <c r="K190" s="2" t="s">
        <v>209</v>
      </c>
      <c r="L190" s="2" t="s">
        <v>36</v>
      </c>
      <c r="M190" s="2" t="s">
        <v>210</v>
      </c>
      <c r="N190" s="33">
        <v>1200</v>
      </c>
      <c r="O190" s="34">
        <v>1200</v>
      </c>
      <c r="P190" s="34">
        <v>1200</v>
      </c>
      <c r="Q190" s="34">
        <v>1200</v>
      </c>
      <c r="R190" s="33">
        <v>478</v>
      </c>
      <c r="S190" s="34">
        <v>478</v>
      </c>
      <c r="T190" s="34">
        <v>478</v>
      </c>
      <c r="U190" s="34">
        <v>478</v>
      </c>
      <c r="V190" s="2"/>
    </row>
    <row r="191" spans="2:22" ht="21" hidden="1" x14ac:dyDescent="0.25">
      <c r="B191" s="4" t="s">
        <v>918</v>
      </c>
      <c r="C191" s="4" t="s">
        <v>919</v>
      </c>
      <c r="D191" s="4" t="s">
        <v>920</v>
      </c>
      <c r="E191" s="4" t="s">
        <v>27</v>
      </c>
      <c r="F191" s="4" t="s">
        <v>223</v>
      </c>
      <c r="G191" s="4" t="s">
        <v>27</v>
      </c>
      <c r="H191" s="4">
        <v>2053</v>
      </c>
      <c r="I191" s="4">
        <v>70274</v>
      </c>
      <c r="J191" s="4" t="s">
        <v>28</v>
      </c>
      <c r="K191" s="4" t="s">
        <v>918</v>
      </c>
      <c r="L191" s="4" t="s">
        <v>29</v>
      </c>
      <c r="M191" s="4"/>
      <c r="N191" s="5">
        <v>1104</v>
      </c>
      <c r="O191" s="5">
        <v>1214</v>
      </c>
      <c r="P191" s="5">
        <v>1258</v>
      </c>
      <c r="Q191" s="5">
        <v>1384</v>
      </c>
      <c r="R191" s="5">
        <v>440</v>
      </c>
      <c r="S191" s="5">
        <v>484</v>
      </c>
      <c r="T191" s="5">
        <v>501</v>
      </c>
      <c r="U191" s="5">
        <v>551</v>
      </c>
      <c r="V191" s="5"/>
    </row>
    <row r="192" spans="2:22" ht="20" hidden="1" x14ac:dyDescent="0.25">
      <c r="B192" s="2" t="s">
        <v>918</v>
      </c>
      <c r="C192" s="2" t="s">
        <v>919</v>
      </c>
      <c r="D192" s="2" t="s">
        <v>920</v>
      </c>
      <c r="E192" s="2" t="s">
        <v>27</v>
      </c>
      <c r="F192" s="2" t="s">
        <v>223</v>
      </c>
      <c r="G192" s="2" t="s">
        <v>27</v>
      </c>
      <c r="H192" s="2">
        <v>2053</v>
      </c>
      <c r="I192" s="2">
        <v>70274</v>
      </c>
      <c r="J192" s="2" t="s">
        <v>28</v>
      </c>
      <c r="K192" s="2" t="s">
        <v>918</v>
      </c>
      <c r="L192" s="2" t="s">
        <v>30</v>
      </c>
      <c r="M192" s="2" t="s">
        <v>919</v>
      </c>
      <c r="N192" s="3">
        <v>1104</v>
      </c>
      <c r="O192" s="3">
        <v>1214</v>
      </c>
      <c r="P192" s="3">
        <v>1258</v>
      </c>
      <c r="Q192" s="3">
        <v>1384</v>
      </c>
      <c r="R192" s="3">
        <v>440</v>
      </c>
      <c r="S192" s="3">
        <v>484</v>
      </c>
      <c r="T192" s="3">
        <v>501</v>
      </c>
      <c r="U192" s="3">
        <v>551</v>
      </c>
      <c r="V192" s="3"/>
    </row>
    <row r="193" spans="2:22" ht="21" hidden="1" x14ac:dyDescent="0.25">
      <c r="B193" s="4" t="s">
        <v>955</v>
      </c>
      <c r="C193" s="4" t="s">
        <v>919</v>
      </c>
      <c r="D193" s="4" t="s">
        <v>58</v>
      </c>
      <c r="E193" s="4" t="s">
        <v>27</v>
      </c>
      <c r="F193" s="4" t="s">
        <v>920</v>
      </c>
      <c r="G193" s="4" t="s">
        <v>27</v>
      </c>
      <c r="H193" s="4">
        <v>70232</v>
      </c>
      <c r="I193" s="4">
        <v>2053</v>
      </c>
      <c r="J193" s="4" t="s">
        <v>28</v>
      </c>
      <c r="K193" s="4" t="s">
        <v>955</v>
      </c>
      <c r="L193" s="4" t="s">
        <v>29</v>
      </c>
      <c r="M193" s="4"/>
      <c r="N193" s="5">
        <v>1104</v>
      </c>
      <c r="O193" s="5">
        <v>1214</v>
      </c>
      <c r="P193" s="5">
        <v>1258</v>
      </c>
      <c r="Q193" s="5">
        <v>1384</v>
      </c>
      <c r="R193" s="5">
        <v>440</v>
      </c>
      <c r="S193" s="5">
        <v>484</v>
      </c>
      <c r="T193" s="5">
        <v>501</v>
      </c>
      <c r="U193" s="5">
        <v>551</v>
      </c>
      <c r="V193" s="5"/>
    </row>
    <row r="194" spans="2:22" ht="20" hidden="1" x14ac:dyDescent="0.25">
      <c r="B194" s="2" t="s">
        <v>955</v>
      </c>
      <c r="C194" s="2" t="s">
        <v>919</v>
      </c>
      <c r="D194" s="2" t="s">
        <v>58</v>
      </c>
      <c r="E194" s="2" t="s">
        <v>27</v>
      </c>
      <c r="F194" s="2" t="s">
        <v>920</v>
      </c>
      <c r="G194" s="2" t="s">
        <v>27</v>
      </c>
      <c r="H194" s="2">
        <v>70232</v>
      </c>
      <c r="I194" s="2">
        <v>2053</v>
      </c>
      <c r="J194" s="2" t="s">
        <v>28</v>
      </c>
      <c r="K194" s="2" t="s">
        <v>955</v>
      </c>
      <c r="L194" s="2" t="s">
        <v>30</v>
      </c>
      <c r="M194" s="2" t="s">
        <v>919</v>
      </c>
      <c r="N194" s="3">
        <v>1104</v>
      </c>
      <c r="O194" s="3">
        <v>1214</v>
      </c>
      <c r="P194" s="3">
        <v>1258</v>
      </c>
      <c r="Q194" s="3">
        <v>1384</v>
      </c>
      <c r="R194" s="3">
        <v>440</v>
      </c>
      <c r="S194" s="3">
        <v>484</v>
      </c>
      <c r="T194" s="3">
        <v>501</v>
      </c>
      <c r="U194" s="3">
        <v>551</v>
      </c>
      <c r="V194" s="3"/>
    </row>
    <row r="195" spans="2:22" ht="21" hidden="1" x14ac:dyDescent="0.25">
      <c r="B195" s="4" t="s">
        <v>1136</v>
      </c>
      <c r="C195" s="4" t="s">
        <v>1137</v>
      </c>
      <c r="D195" s="4" t="s">
        <v>211</v>
      </c>
      <c r="E195" s="4" t="s">
        <v>27</v>
      </c>
      <c r="F195" s="4" t="s">
        <v>1138</v>
      </c>
      <c r="G195" s="4" t="s">
        <v>27</v>
      </c>
      <c r="H195" s="4">
        <v>70570</v>
      </c>
      <c r="I195" s="4">
        <v>2100</v>
      </c>
      <c r="J195" s="4" t="s">
        <v>28</v>
      </c>
      <c r="K195" s="4" t="s">
        <v>1136</v>
      </c>
      <c r="L195" s="4" t="s">
        <v>29</v>
      </c>
      <c r="M195" s="4"/>
      <c r="N195" s="5">
        <v>800</v>
      </c>
      <c r="O195" s="5">
        <v>800</v>
      </c>
      <c r="P195" s="5">
        <v>800</v>
      </c>
      <c r="Q195" s="5">
        <v>800</v>
      </c>
      <c r="R195" s="5">
        <v>319</v>
      </c>
      <c r="S195" s="5">
        <v>319</v>
      </c>
      <c r="T195" s="5">
        <v>319</v>
      </c>
      <c r="U195" s="5">
        <v>319</v>
      </c>
      <c r="V195" s="5"/>
    </row>
    <row r="196" spans="2:22" ht="30" hidden="1" x14ac:dyDescent="0.25">
      <c r="B196" s="2" t="s">
        <v>1136</v>
      </c>
      <c r="C196" s="2" t="s">
        <v>1137</v>
      </c>
      <c r="D196" s="2" t="s">
        <v>211</v>
      </c>
      <c r="E196" s="2" t="s">
        <v>27</v>
      </c>
      <c r="F196" s="2" t="s">
        <v>1138</v>
      </c>
      <c r="G196" s="2" t="s">
        <v>27</v>
      </c>
      <c r="H196" s="2">
        <v>70570</v>
      </c>
      <c r="I196" s="2">
        <v>2100</v>
      </c>
      <c r="J196" s="2" t="s">
        <v>28</v>
      </c>
      <c r="K196" s="2" t="s">
        <v>1139</v>
      </c>
      <c r="L196" s="2" t="s">
        <v>36</v>
      </c>
      <c r="M196" s="2" t="s">
        <v>1140</v>
      </c>
      <c r="N196" s="3">
        <v>800</v>
      </c>
      <c r="O196" s="3">
        <v>800</v>
      </c>
      <c r="P196" s="3">
        <v>800</v>
      </c>
      <c r="Q196" s="3">
        <v>800</v>
      </c>
      <c r="R196" s="3">
        <v>319</v>
      </c>
      <c r="S196" s="3">
        <v>319</v>
      </c>
      <c r="T196" s="3">
        <v>319</v>
      </c>
      <c r="U196" s="3">
        <v>319</v>
      </c>
      <c r="V196" s="3"/>
    </row>
    <row r="197" spans="2:22" ht="20" hidden="1" x14ac:dyDescent="0.25">
      <c r="B197" s="2" t="s">
        <v>1136</v>
      </c>
      <c r="C197" s="2" t="s">
        <v>1137</v>
      </c>
      <c r="D197" s="2" t="s">
        <v>211</v>
      </c>
      <c r="E197" s="2" t="s">
        <v>27</v>
      </c>
      <c r="F197" s="2" t="s">
        <v>1138</v>
      </c>
      <c r="G197" s="2" t="s">
        <v>27</v>
      </c>
      <c r="H197" s="2">
        <v>70570</v>
      </c>
      <c r="I197" s="2">
        <v>2100</v>
      </c>
      <c r="J197" s="2" t="s">
        <v>28</v>
      </c>
      <c r="K197" s="2" t="s">
        <v>1141</v>
      </c>
      <c r="L197" s="2" t="s">
        <v>39</v>
      </c>
      <c r="M197" s="2" t="s">
        <v>1140</v>
      </c>
      <c r="N197" s="3">
        <v>800</v>
      </c>
      <c r="O197" s="3">
        <v>800</v>
      </c>
      <c r="P197" s="3">
        <v>800</v>
      </c>
      <c r="Q197" s="3">
        <v>800</v>
      </c>
      <c r="R197" s="3">
        <v>319</v>
      </c>
      <c r="S197" s="3">
        <v>319</v>
      </c>
      <c r="T197" s="3">
        <v>319</v>
      </c>
      <c r="U197" s="3">
        <v>319</v>
      </c>
      <c r="V197" s="3"/>
    </row>
    <row r="198" spans="2:22" ht="30" hidden="1" x14ac:dyDescent="0.25">
      <c r="B198" s="2" t="s">
        <v>1136</v>
      </c>
      <c r="C198" s="2" t="s">
        <v>1137</v>
      </c>
      <c r="D198" s="2" t="s">
        <v>211</v>
      </c>
      <c r="E198" s="2" t="s">
        <v>27</v>
      </c>
      <c r="F198" s="2" t="s">
        <v>1138</v>
      </c>
      <c r="G198" s="2" t="s">
        <v>27</v>
      </c>
      <c r="H198" s="2">
        <v>70570</v>
      </c>
      <c r="I198" s="2">
        <v>2100</v>
      </c>
      <c r="J198" s="2" t="s">
        <v>28</v>
      </c>
      <c r="K198" s="2" t="s">
        <v>1142</v>
      </c>
      <c r="L198" s="2" t="s">
        <v>36</v>
      </c>
      <c r="M198" s="2" t="s">
        <v>1140</v>
      </c>
      <c r="N198" s="3">
        <v>800</v>
      </c>
      <c r="O198" s="3">
        <v>800</v>
      </c>
      <c r="P198" s="3">
        <v>800</v>
      </c>
      <c r="Q198" s="3">
        <v>800</v>
      </c>
      <c r="R198" s="3">
        <v>319</v>
      </c>
      <c r="S198" s="3">
        <v>319</v>
      </c>
      <c r="T198" s="3">
        <v>319</v>
      </c>
      <c r="U198" s="3">
        <v>319</v>
      </c>
      <c r="V198" s="3"/>
    </row>
    <row r="199" spans="2:22" ht="20" hidden="1" x14ac:dyDescent="0.25">
      <c r="B199" s="2" t="s">
        <v>1136</v>
      </c>
      <c r="C199" s="2" t="s">
        <v>1137</v>
      </c>
      <c r="D199" s="2" t="s">
        <v>211</v>
      </c>
      <c r="E199" s="2" t="s">
        <v>27</v>
      </c>
      <c r="F199" s="2" t="s">
        <v>1138</v>
      </c>
      <c r="G199" s="2" t="s">
        <v>27</v>
      </c>
      <c r="H199" s="2">
        <v>70570</v>
      </c>
      <c r="I199" s="2">
        <v>2100</v>
      </c>
      <c r="J199" s="2" t="s">
        <v>28</v>
      </c>
      <c r="K199" s="2" t="s">
        <v>1143</v>
      </c>
      <c r="L199" s="2" t="s">
        <v>39</v>
      </c>
      <c r="M199" s="2" t="s">
        <v>1140</v>
      </c>
      <c r="N199" s="3">
        <v>800</v>
      </c>
      <c r="O199" s="3">
        <v>800</v>
      </c>
      <c r="P199" s="3">
        <v>800</v>
      </c>
      <c r="Q199" s="3">
        <v>800</v>
      </c>
      <c r="R199" s="3">
        <v>319</v>
      </c>
      <c r="S199" s="3">
        <v>319</v>
      </c>
      <c r="T199" s="3">
        <v>319</v>
      </c>
      <c r="U199" s="3">
        <v>319</v>
      </c>
      <c r="V199" s="3"/>
    </row>
    <row r="200" spans="2:22" ht="20" hidden="1" x14ac:dyDescent="0.25">
      <c r="B200" s="2" t="s">
        <v>1136</v>
      </c>
      <c r="C200" s="2" t="s">
        <v>1137</v>
      </c>
      <c r="D200" s="2" t="s">
        <v>211</v>
      </c>
      <c r="E200" s="2" t="s">
        <v>27</v>
      </c>
      <c r="F200" s="2" t="s">
        <v>1138</v>
      </c>
      <c r="G200" s="2" t="s">
        <v>27</v>
      </c>
      <c r="H200" s="2">
        <v>70570</v>
      </c>
      <c r="I200" s="2">
        <v>2100</v>
      </c>
      <c r="J200" s="2" t="s">
        <v>28</v>
      </c>
      <c r="K200" s="2" t="s">
        <v>1144</v>
      </c>
      <c r="L200" s="2" t="s">
        <v>39</v>
      </c>
      <c r="M200" s="2" t="s">
        <v>1140</v>
      </c>
      <c r="N200" s="3">
        <v>800</v>
      </c>
      <c r="O200" s="3">
        <v>800</v>
      </c>
      <c r="P200" s="3">
        <v>800</v>
      </c>
      <c r="Q200" s="3">
        <v>800</v>
      </c>
      <c r="R200" s="3">
        <v>319</v>
      </c>
      <c r="S200" s="3">
        <v>319</v>
      </c>
      <c r="T200" s="3">
        <v>319</v>
      </c>
      <c r="U200" s="3">
        <v>319</v>
      </c>
      <c r="V200" s="3"/>
    </row>
    <row r="201" spans="2:22" ht="30" hidden="1" x14ac:dyDescent="0.25">
      <c r="B201" s="2" t="s">
        <v>1136</v>
      </c>
      <c r="C201" s="2" t="s">
        <v>1137</v>
      </c>
      <c r="D201" s="2" t="s">
        <v>211</v>
      </c>
      <c r="E201" s="2" t="s">
        <v>27</v>
      </c>
      <c r="F201" s="2" t="s">
        <v>1138</v>
      </c>
      <c r="G201" s="2" t="s">
        <v>27</v>
      </c>
      <c r="H201" s="2">
        <v>70570</v>
      </c>
      <c r="I201" s="2">
        <v>2100</v>
      </c>
      <c r="J201" s="2" t="s">
        <v>28</v>
      </c>
      <c r="K201" s="2" t="s">
        <v>1145</v>
      </c>
      <c r="L201" s="2" t="s">
        <v>36</v>
      </c>
      <c r="M201" s="2" t="s">
        <v>1140</v>
      </c>
      <c r="N201" s="3">
        <v>800</v>
      </c>
      <c r="O201" s="3">
        <v>800</v>
      </c>
      <c r="P201" s="3">
        <v>800</v>
      </c>
      <c r="Q201" s="3">
        <v>800</v>
      </c>
      <c r="R201" s="3">
        <v>319</v>
      </c>
      <c r="S201" s="3">
        <v>319</v>
      </c>
      <c r="T201" s="3">
        <v>319</v>
      </c>
      <c r="U201" s="3">
        <v>319</v>
      </c>
      <c r="V201" s="3"/>
    </row>
    <row r="202" spans="2:22" ht="21" hidden="1" x14ac:dyDescent="0.25">
      <c r="B202" s="4" t="s">
        <v>105</v>
      </c>
      <c r="C202" s="4" t="s">
        <v>106</v>
      </c>
      <c r="D202" s="4" t="s">
        <v>43</v>
      </c>
      <c r="E202" s="4" t="s">
        <v>27</v>
      </c>
      <c r="F202" s="4" t="s">
        <v>330</v>
      </c>
      <c r="G202" s="4" t="s">
        <v>27</v>
      </c>
      <c r="H202" s="4">
        <v>70399</v>
      </c>
      <c r="I202" s="4">
        <v>73192</v>
      </c>
      <c r="J202" s="4" t="s">
        <v>28</v>
      </c>
      <c r="K202" s="4" t="s">
        <v>105</v>
      </c>
      <c r="L202" s="4" t="s">
        <v>29</v>
      </c>
      <c r="M202" s="4"/>
      <c r="N202" s="5">
        <v>693</v>
      </c>
      <c r="O202" s="5">
        <v>693</v>
      </c>
      <c r="P202" s="5">
        <v>693</v>
      </c>
      <c r="Q202" s="5">
        <v>693</v>
      </c>
      <c r="R202" s="5">
        <v>276</v>
      </c>
      <c r="S202" s="5">
        <v>276</v>
      </c>
      <c r="T202" s="5">
        <v>276</v>
      </c>
      <c r="U202" s="5">
        <v>276</v>
      </c>
      <c r="V202" s="5"/>
    </row>
    <row r="203" spans="2:22" ht="20" hidden="1" x14ac:dyDescent="0.25">
      <c r="B203" s="2" t="s">
        <v>105</v>
      </c>
      <c r="C203" s="2" t="s">
        <v>106</v>
      </c>
      <c r="D203" s="2" t="s">
        <v>43</v>
      </c>
      <c r="E203" s="2" t="s">
        <v>27</v>
      </c>
      <c r="F203" s="2" t="s">
        <v>330</v>
      </c>
      <c r="G203" s="2" t="s">
        <v>27</v>
      </c>
      <c r="H203" s="2">
        <v>70399</v>
      </c>
      <c r="I203" s="2">
        <v>73192</v>
      </c>
      <c r="J203" s="2" t="s">
        <v>28</v>
      </c>
      <c r="K203" s="2" t="s">
        <v>213</v>
      </c>
      <c r="L203" s="2" t="s">
        <v>213</v>
      </c>
      <c r="M203" s="2" t="s">
        <v>331</v>
      </c>
      <c r="N203" s="3">
        <v>693</v>
      </c>
      <c r="O203" s="3">
        <v>693</v>
      </c>
      <c r="P203" s="3">
        <v>693</v>
      </c>
      <c r="Q203" s="3">
        <v>693</v>
      </c>
      <c r="R203" s="3">
        <v>276</v>
      </c>
      <c r="S203" s="3">
        <v>276</v>
      </c>
      <c r="T203" s="3">
        <v>276</v>
      </c>
      <c r="U203" s="3">
        <v>276</v>
      </c>
      <c r="V203" s="3"/>
    </row>
    <row r="204" spans="2:22" ht="21" hidden="1" x14ac:dyDescent="0.25">
      <c r="B204" s="4" t="s">
        <v>110</v>
      </c>
      <c r="C204" s="4" t="s">
        <v>111</v>
      </c>
      <c r="D204" s="4" t="s">
        <v>211</v>
      </c>
      <c r="E204" s="4" t="s">
        <v>27</v>
      </c>
      <c r="F204" s="4" t="s">
        <v>212</v>
      </c>
      <c r="G204" s="4" t="s">
        <v>27</v>
      </c>
      <c r="H204" s="4">
        <v>70570</v>
      </c>
      <c r="I204" s="4">
        <v>2099</v>
      </c>
      <c r="J204" s="4" t="s">
        <v>28</v>
      </c>
      <c r="K204" s="4" t="s">
        <v>110</v>
      </c>
      <c r="L204" s="4" t="s">
        <v>29</v>
      </c>
      <c r="M204" s="4"/>
      <c r="N204" s="5">
        <v>400</v>
      </c>
      <c r="O204" s="5">
        <v>400</v>
      </c>
      <c r="P204" s="5">
        <v>400</v>
      </c>
      <c r="Q204" s="5">
        <v>400</v>
      </c>
      <c r="R204" s="5">
        <v>159</v>
      </c>
      <c r="S204" s="5">
        <v>159</v>
      </c>
      <c r="T204" s="5">
        <v>159</v>
      </c>
      <c r="U204" s="5">
        <v>159</v>
      </c>
      <c r="V204" s="5"/>
    </row>
    <row r="205" spans="2:22" ht="20" hidden="1" x14ac:dyDescent="0.25">
      <c r="B205" s="2" t="s">
        <v>110</v>
      </c>
      <c r="C205" s="2" t="s">
        <v>111</v>
      </c>
      <c r="D205" s="2" t="s">
        <v>211</v>
      </c>
      <c r="E205" s="2" t="s">
        <v>27</v>
      </c>
      <c r="F205" s="2" t="s">
        <v>212</v>
      </c>
      <c r="G205" s="2" t="s">
        <v>27</v>
      </c>
      <c r="H205" s="2">
        <v>70570</v>
      </c>
      <c r="I205" s="2">
        <v>2099</v>
      </c>
      <c r="J205" s="2" t="s">
        <v>28</v>
      </c>
      <c r="K205" s="2" t="s">
        <v>213</v>
      </c>
      <c r="L205" s="2" t="s">
        <v>213</v>
      </c>
      <c r="M205" s="2" t="s">
        <v>214</v>
      </c>
      <c r="N205" s="3">
        <v>400</v>
      </c>
      <c r="O205" s="3">
        <v>400</v>
      </c>
      <c r="P205" s="3">
        <v>400</v>
      </c>
      <c r="Q205" s="3">
        <v>400</v>
      </c>
      <c r="R205" s="3">
        <v>159</v>
      </c>
      <c r="S205" s="3">
        <v>159</v>
      </c>
      <c r="T205" s="3">
        <v>159</v>
      </c>
      <c r="U205" s="3">
        <v>159</v>
      </c>
      <c r="V205" s="3"/>
    </row>
    <row r="206" spans="2:22" ht="21" hidden="1" x14ac:dyDescent="0.25">
      <c r="B206" s="4" t="s">
        <v>906</v>
      </c>
      <c r="C206" s="4" t="s">
        <v>907</v>
      </c>
      <c r="D206" s="4" t="s">
        <v>312</v>
      </c>
      <c r="E206" s="4" t="s">
        <v>27</v>
      </c>
      <c r="F206" s="4" t="s">
        <v>908</v>
      </c>
      <c r="G206" s="4" t="s">
        <v>27</v>
      </c>
      <c r="H206" s="4">
        <v>70048</v>
      </c>
      <c r="I206" s="4">
        <v>70528</v>
      </c>
      <c r="J206" s="4" t="s">
        <v>28</v>
      </c>
      <c r="K206" s="4" t="s">
        <v>906</v>
      </c>
      <c r="L206" s="4" t="s">
        <v>29</v>
      </c>
      <c r="M206" s="4"/>
      <c r="N206" s="5">
        <v>1800</v>
      </c>
      <c r="O206" s="5">
        <v>1800</v>
      </c>
      <c r="P206" s="5">
        <v>1800</v>
      </c>
      <c r="Q206" s="5">
        <v>1800</v>
      </c>
      <c r="R206" s="5">
        <v>717</v>
      </c>
      <c r="S206" s="5">
        <v>717</v>
      </c>
      <c r="T206" s="5">
        <v>717</v>
      </c>
      <c r="U206" s="5">
        <v>717</v>
      </c>
      <c r="V206" s="5"/>
    </row>
    <row r="207" spans="2:22" ht="30" hidden="1" x14ac:dyDescent="0.25">
      <c r="B207" s="2" t="s">
        <v>906</v>
      </c>
      <c r="C207" s="2" t="s">
        <v>907</v>
      </c>
      <c r="D207" s="2" t="s">
        <v>312</v>
      </c>
      <c r="E207" s="2" t="s">
        <v>27</v>
      </c>
      <c r="F207" s="2" t="s">
        <v>908</v>
      </c>
      <c r="G207" s="2" t="s">
        <v>27</v>
      </c>
      <c r="H207" s="2">
        <v>70048</v>
      </c>
      <c r="I207" s="2">
        <v>70528</v>
      </c>
      <c r="J207" s="2" t="s">
        <v>28</v>
      </c>
      <c r="K207" s="2" t="s">
        <v>909</v>
      </c>
      <c r="L207" s="2" t="s">
        <v>36</v>
      </c>
      <c r="M207" s="2" t="s">
        <v>894</v>
      </c>
      <c r="N207" s="3">
        <v>1800</v>
      </c>
      <c r="O207" s="3">
        <v>1800</v>
      </c>
      <c r="P207" s="3">
        <v>1800</v>
      </c>
      <c r="Q207" s="3">
        <v>1800</v>
      </c>
      <c r="R207" s="3">
        <v>717</v>
      </c>
      <c r="S207" s="3">
        <v>717</v>
      </c>
      <c r="T207" s="3">
        <v>717</v>
      </c>
      <c r="U207" s="3">
        <v>717</v>
      </c>
      <c r="V207" s="3"/>
    </row>
    <row r="208" spans="2:22" ht="30" hidden="1" x14ac:dyDescent="0.25">
      <c r="B208" s="2" t="s">
        <v>906</v>
      </c>
      <c r="C208" s="2" t="s">
        <v>907</v>
      </c>
      <c r="D208" s="2" t="s">
        <v>312</v>
      </c>
      <c r="E208" s="2" t="s">
        <v>27</v>
      </c>
      <c r="F208" s="2" t="s">
        <v>908</v>
      </c>
      <c r="G208" s="2" t="s">
        <v>27</v>
      </c>
      <c r="H208" s="2">
        <v>70048</v>
      </c>
      <c r="I208" s="2">
        <v>70528</v>
      </c>
      <c r="J208" s="2" t="s">
        <v>28</v>
      </c>
      <c r="K208" s="2" t="s">
        <v>910</v>
      </c>
      <c r="L208" s="2" t="s">
        <v>36</v>
      </c>
      <c r="M208" s="2" t="s">
        <v>911</v>
      </c>
      <c r="N208" s="3">
        <v>1800</v>
      </c>
      <c r="O208" s="3">
        <v>1800</v>
      </c>
      <c r="P208" s="3">
        <v>1800</v>
      </c>
      <c r="Q208" s="3">
        <v>1800</v>
      </c>
      <c r="R208" s="3">
        <v>717</v>
      </c>
      <c r="S208" s="3">
        <v>717</v>
      </c>
      <c r="T208" s="3">
        <v>717</v>
      </c>
      <c r="U208" s="3">
        <v>717</v>
      </c>
      <c r="V208" s="3"/>
    </row>
    <row r="209" spans="2:22" ht="21" hidden="1" x14ac:dyDescent="0.25">
      <c r="B209" s="4" t="s">
        <v>898</v>
      </c>
      <c r="C209" s="4" t="s">
        <v>899</v>
      </c>
      <c r="D209" s="4" t="s">
        <v>312</v>
      </c>
      <c r="E209" s="4" t="s">
        <v>27</v>
      </c>
      <c r="F209" s="4" t="s">
        <v>900</v>
      </c>
      <c r="G209" s="4" t="s">
        <v>27</v>
      </c>
      <c r="H209" s="4">
        <v>70048</v>
      </c>
      <c r="I209" s="4">
        <v>70590</v>
      </c>
      <c r="J209" s="4" t="s">
        <v>28</v>
      </c>
      <c r="K209" s="4" t="s">
        <v>898</v>
      </c>
      <c r="L209" s="4" t="s">
        <v>29</v>
      </c>
      <c r="M209" s="4"/>
      <c r="N209" s="5">
        <v>1800</v>
      </c>
      <c r="O209" s="5">
        <v>1800</v>
      </c>
      <c r="P209" s="5">
        <v>1800</v>
      </c>
      <c r="Q209" s="5">
        <v>1800</v>
      </c>
      <c r="R209" s="5">
        <v>717</v>
      </c>
      <c r="S209" s="5">
        <v>717</v>
      </c>
      <c r="T209" s="5">
        <v>717</v>
      </c>
      <c r="U209" s="5">
        <v>717</v>
      </c>
      <c r="V209" s="5"/>
    </row>
    <row r="210" spans="2:22" ht="30" hidden="1" x14ac:dyDescent="0.25">
      <c r="B210" s="2" t="s">
        <v>898</v>
      </c>
      <c r="C210" s="2" t="s">
        <v>899</v>
      </c>
      <c r="D210" s="2" t="s">
        <v>312</v>
      </c>
      <c r="E210" s="2" t="s">
        <v>27</v>
      </c>
      <c r="F210" s="2" t="s">
        <v>900</v>
      </c>
      <c r="G210" s="2" t="s">
        <v>27</v>
      </c>
      <c r="H210" s="2">
        <v>70048</v>
      </c>
      <c r="I210" s="2">
        <v>70590</v>
      </c>
      <c r="J210" s="2" t="s">
        <v>28</v>
      </c>
      <c r="K210" s="2" t="s">
        <v>901</v>
      </c>
      <c r="L210" s="2" t="s">
        <v>36</v>
      </c>
      <c r="M210" s="2" t="s">
        <v>894</v>
      </c>
      <c r="N210" s="3">
        <v>1800</v>
      </c>
      <c r="O210" s="3">
        <v>1800</v>
      </c>
      <c r="P210" s="3">
        <v>1800</v>
      </c>
      <c r="Q210" s="3">
        <v>1800</v>
      </c>
      <c r="R210" s="3">
        <v>717</v>
      </c>
      <c r="S210" s="3">
        <v>717</v>
      </c>
      <c r="T210" s="3">
        <v>717</v>
      </c>
      <c r="U210" s="3">
        <v>717</v>
      </c>
      <c r="V210" s="3"/>
    </row>
    <row r="211" spans="2:22" ht="21" hidden="1" x14ac:dyDescent="0.25">
      <c r="B211" s="4" t="s">
        <v>902</v>
      </c>
      <c r="C211" s="4" t="s">
        <v>903</v>
      </c>
      <c r="D211" s="4" t="s">
        <v>312</v>
      </c>
      <c r="E211" s="4" t="s">
        <v>27</v>
      </c>
      <c r="F211" s="4" t="s">
        <v>904</v>
      </c>
      <c r="G211" s="4" t="s">
        <v>27</v>
      </c>
      <c r="H211" s="4">
        <v>70048</v>
      </c>
      <c r="I211" s="4">
        <v>70392</v>
      </c>
      <c r="J211" s="4" t="s">
        <v>28</v>
      </c>
      <c r="K211" s="4" t="s">
        <v>902</v>
      </c>
      <c r="L211" s="4" t="s">
        <v>29</v>
      </c>
      <c r="M211" s="4"/>
      <c r="N211" s="5">
        <v>1215</v>
      </c>
      <c r="O211" s="5">
        <v>1393</v>
      </c>
      <c r="P211" s="5">
        <v>1442</v>
      </c>
      <c r="Q211" s="5">
        <v>1587</v>
      </c>
      <c r="R211" s="5">
        <v>484</v>
      </c>
      <c r="S211" s="5">
        <v>555</v>
      </c>
      <c r="T211" s="5">
        <v>574</v>
      </c>
      <c r="U211" s="5">
        <v>632</v>
      </c>
      <c r="V211" s="5"/>
    </row>
    <row r="212" spans="2:22" ht="20" hidden="1" x14ac:dyDescent="0.25">
      <c r="B212" s="2" t="s">
        <v>902</v>
      </c>
      <c r="C212" s="2" t="s">
        <v>903</v>
      </c>
      <c r="D212" s="2" t="s">
        <v>312</v>
      </c>
      <c r="E212" s="2" t="s">
        <v>27</v>
      </c>
      <c r="F212" s="2" t="s">
        <v>904</v>
      </c>
      <c r="G212" s="2" t="s">
        <v>27</v>
      </c>
      <c r="H212" s="2">
        <v>70048</v>
      </c>
      <c r="I212" s="2">
        <v>70392</v>
      </c>
      <c r="J212" s="2" t="s">
        <v>28</v>
      </c>
      <c r="K212" s="2" t="s">
        <v>388</v>
      </c>
      <c r="L212" s="2" t="s">
        <v>31</v>
      </c>
      <c r="M212" s="2" t="s">
        <v>905</v>
      </c>
      <c r="N212" s="3">
        <v>1215</v>
      </c>
      <c r="O212" s="2">
        <v>1422</v>
      </c>
      <c r="P212" s="2">
        <v>1452</v>
      </c>
      <c r="Q212" s="2">
        <v>1621</v>
      </c>
      <c r="R212" s="3">
        <v>484</v>
      </c>
      <c r="S212" s="2">
        <v>566</v>
      </c>
      <c r="T212" s="2">
        <v>578</v>
      </c>
      <c r="U212" s="2">
        <v>646</v>
      </c>
      <c r="V212" s="2"/>
    </row>
    <row r="213" spans="2:22" ht="20" hidden="1" x14ac:dyDescent="0.25">
      <c r="B213" s="2" t="s">
        <v>902</v>
      </c>
      <c r="C213" s="2" t="s">
        <v>903</v>
      </c>
      <c r="D213" s="2" t="s">
        <v>312</v>
      </c>
      <c r="E213" s="2" t="s">
        <v>27</v>
      </c>
      <c r="F213" s="2" t="s">
        <v>904</v>
      </c>
      <c r="G213" s="2" t="s">
        <v>27</v>
      </c>
      <c r="H213" s="2">
        <v>70048</v>
      </c>
      <c r="I213" s="2">
        <v>70392</v>
      </c>
      <c r="J213" s="2" t="s">
        <v>28</v>
      </c>
      <c r="K213" s="2" t="s">
        <v>902</v>
      </c>
      <c r="L213" s="2" t="s">
        <v>30</v>
      </c>
      <c r="M213" s="2" t="s">
        <v>903</v>
      </c>
      <c r="N213" s="2">
        <v>1266</v>
      </c>
      <c r="O213" s="3">
        <v>1393</v>
      </c>
      <c r="P213" s="3">
        <v>1442</v>
      </c>
      <c r="Q213" s="3">
        <v>1587</v>
      </c>
      <c r="R213" s="2">
        <v>504</v>
      </c>
      <c r="S213" s="3">
        <v>555</v>
      </c>
      <c r="T213" s="3">
        <v>574</v>
      </c>
      <c r="U213" s="3">
        <v>632</v>
      </c>
      <c r="V213" s="3"/>
    </row>
    <row r="214" spans="2:22" ht="21" hidden="1" x14ac:dyDescent="0.25">
      <c r="B214" s="4" t="s">
        <v>887</v>
      </c>
      <c r="C214" s="4" t="s">
        <v>888</v>
      </c>
      <c r="D214" s="4" t="s">
        <v>312</v>
      </c>
      <c r="E214" s="4" t="s">
        <v>27</v>
      </c>
      <c r="F214" s="4" t="s">
        <v>889</v>
      </c>
      <c r="G214" s="4" t="s">
        <v>27</v>
      </c>
      <c r="H214" s="4">
        <v>70048</v>
      </c>
      <c r="I214" s="4">
        <v>70526</v>
      </c>
      <c r="J214" s="4" t="s">
        <v>28</v>
      </c>
      <c r="K214" s="4" t="s">
        <v>887</v>
      </c>
      <c r="L214" s="4" t="s">
        <v>29</v>
      </c>
      <c r="M214" s="4"/>
      <c r="N214" s="5">
        <v>1423</v>
      </c>
      <c r="O214" s="5">
        <v>1565</v>
      </c>
      <c r="P214" s="5">
        <v>1622</v>
      </c>
      <c r="Q214" s="5">
        <v>1784</v>
      </c>
      <c r="R214" s="5">
        <v>567</v>
      </c>
      <c r="S214" s="5">
        <v>624</v>
      </c>
      <c r="T214" s="5">
        <v>646</v>
      </c>
      <c r="U214" s="5">
        <v>711</v>
      </c>
      <c r="V214" s="5"/>
    </row>
    <row r="215" spans="2:22" ht="20" hidden="1" x14ac:dyDescent="0.25">
      <c r="B215" s="2" t="s">
        <v>887</v>
      </c>
      <c r="C215" s="2" t="s">
        <v>888</v>
      </c>
      <c r="D215" s="2" t="s">
        <v>312</v>
      </c>
      <c r="E215" s="2" t="s">
        <v>27</v>
      </c>
      <c r="F215" s="2" t="s">
        <v>889</v>
      </c>
      <c r="G215" s="2" t="s">
        <v>27</v>
      </c>
      <c r="H215" s="2">
        <v>70048</v>
      </c>
      <c r="I215" s="2">
        <v>70526</v>
      </c>
      <c r="J215" s="2" t="s">
        <v>28</v>
      </c>
      <c r="K215" s="2" t="s">
        <v>388</v>
      </c>
      <c r="L215" s="2" t="s">
        <v>31</v>
      </c>
      <c r="M215" s="2" t="s">
        <v>890</v>
      </c>
      <c r="N215" s="3">
        <v>1423</v>
      </c>
      <c r="O215" s="3">
        <v>1565</v>
      </c>
      <c r="P215" s="3">
        <v>1622</v>
      </c>
      <c r="Q215" s="3">
        <v>1784</v>
      </c>
      <c r="R215" s="3">
        <v>567</v>
      </c>
      <c r="S215" s="3">
        <v>624</v>
      </c>
      <c r="T215" s="3">
        <v>646</v>
      </c>
      <c r="U215" s="3">
        <v>711</v>
      </c>
      <c r="V215" s="3"/>
    </row>
    <row r="216" spans="2:22" ht="21" hidden="1" x14ac:dyDescent="0.25">
      <c r="B216" s="4" t="s">
        <v>891</v>
      </c>
      <c r="C216" s="4" t="s">
        <v>892</v>
      </c>
      <c r="D216" s="4" t="s">
        <v>312</v>
      </c>
      <c r="E216" s="4" t="s">
        <v>27</v>
      </c>
      <c r="F216" s="4" t="s">
        <v>809</v>
      </c>
      <c r="G216" s="4" t="s">
        <v>27</v>
      </c>
      <c r="H216" s="4">
        <v>70048</v>
      </c>
      <c r="I216" s="4">
        <v>70820</v>
      </c>
      <c r="J216" s="4" t="s">
        <v>28</v>
      </c>
      <c r="K216" s="4" t="s">
        <v>891</v>
      </c>
      <c r="L216" s="4" t="s">
        <v>29</v>
      </c>
      <c r="M216" s="4"/>
      <c r="N216" s="5">
        <v>1800</v>
      </c>
      <c r="O216" s="5">
        <v>1800</v>
      </c>
      <c r="P216" s="5">
        <v>1800</v>
      </c>
      <c r="Q216" s="5">
        <v>1800</v>
      </c>
      <c r="R216" s="5">
        <v>717</v>
      </c>
      <c r="S216" s="5">
        <v>717</v>
      </c>
      <c r="T216" s="5">
        <v>717</v>
      </c>
      <c r="U216" s="5">
        <v>717</v>
      </c>
      <c r="V216" s="5"/>
    </row>
    <row r="217" spans="2:22" ht="30" hidden="1" x14ac:dyDescent="0.25">
      <c r="B217" s="2" t="s">
        <v>891</v>
      </c>
      <c r="C217" s="2" t="s">
        <v>892</v>
      </c>
      <c r="D217" s="2" t="s">
        <v>312</v>
      </c>
      <c r="E217" s="2" t="s">
        <v>27</v>
      </c>
      <c r="F217" s="2" t="s">
        <v>809</v>
      </c>
      <c r="G217" s="2" t="s">
        <v>27</v>
      </c>
      <c r="H217" s="2">
        <v>70048</v>
      </c>
      <c r="I217" s="2">
        <v>70820</v>
      </c>
      <c r="J217" s="2" t="s">
        <v>28</v>
      </c>
      <c r="K217" s="2" t="s">
        <v>893</v>
      </c>
      <c r="L217" s="2" t="s">
        <v>36</v>
      </c>
      <c r="M217" s="2" t="s">
        <v>894</v>
      </c>
      <c r="N217" s="3">
        <v>1800</v>
      </c>
      <c r="O217" s="3">
        <v>1800</v>
      </c>
      <c r="P217" s="3">
        <v>1800</v>
      </c>
      <c r="Q217" s="3">
        <v>1800</v>
      </c>
      <c r="R217" s="3">
        <v>717</v>
      </c>
      <c r="S217" s="3">
        <v>717</v>
      </c>
      <c r="T217" s="3">
        <v>717</v>
      </c>
      <c r="U217" s="3">
        <v>717</v>
      </c>
      <c r="V217" s="3"/>
    </row>
    <row r="218" spans="2:22" ht="21" hidden="1" x14ac:dyDescent="0.25">
      <c r="B218" s="4" t="s">
        <v>1004</v>
      </c>
      <c r="C218" s="4" t="s">
        <v>1005</v>
      </c>
      <c r="D218" s="4" t="s">
        <v>923</v>
      </c>
      <c r="E218" s="4" t="s">
        <v>27</v>
      </c>
      <c r="F218" s="4" t="s">
        <v>1006</v>
      </c>
      <c r="G218" s="4" t="s">
        <v>27</v>
      </c>
      <c r="H218" s="4">
        <v>70260</v>
      </c>
      <c r="I218" s="4">
        <v>70417</v>
      </c>
      <c r="J218" s="4" t="s">
        <v>28</v>
      </c>
      <c r="K218" s="4" t="s">
        <v>1004</v>
      </c>
      <c r="L218" s="4" t="s">
        <v>29</v>
      </c>
      <c r="M218" s="4"/>
      <c r="N218" s="5">
        <v>995</v>
      </c>
      <c r="O218" s="5">
        <v>1095</v>
      </c>
      <c r="P218" s="5">
        <v>1180</v>
      </c>
      <c r="Q218" s="5">
        <v>1298</v>
      </c>
      <c r="R218" s="5">
        <v>396</v>
      </c>
      <c r="S218" s="5">
        <v>436</v>
      </c>
      <c r="T218" s="5">
        <v>470</v>
      </c>
      <c r="U218" s="5">
        <v>517</v>
      </c>
      <c r="V218" s="5"/>
    </row>
    <row r="219" spans="2:22" ht="20" hidden="1" x14ac:dyDescent="0.25">
      <c r="B219" s="2" t="s">
        <v>1004</v>
      </c>
      <c r="C219" s="2" t="s">
        <v>1005</v>
      </c>
      <c r="D219" s="2" t="s">
        <v>923</v>
      </c>
      <c r="E219" s="2" t="s">
        <v>27</v>
      </c>
      <c r="F219" s="2" t="s">
        <v>1006</v>
      </c>
      <c r="G219" s="2" t="s">
        <v>27</v>
      </c>
      <c r="H219" s="2">
        <v>70260</v>
      </c>
      <c r="I219" s="2">
        <v>70417</v>
      </c>
      <c r="J219" s="2" t="s">
        <v>28</v>
      </c>
      <c r="K219" s="2" t="s">
        <v>1004</v>
      </c>
      <c r="L219" s="2" t="s">
        <v>30</v>
      </c>
      <c r="M219" s="2" t="s">
        <v>1005</v>
      </c>
      <c r="N219" s="3">
        <v>995</v>
      </c>
      <c r="O219" s="3">
        <v>1095</v>
      </c>
      <c r="P219" s="3">
        <v>1180</v>
      </c>
      <c r="Q219" s="3">
        <v>1298</v>
      </c>
      <c r="R219" s="3">
        <v>396</v>
      </c>
      <c r="S219" s="3">
        <v>436</v>
      </c>
      <c r="T219" s="3">
        <v>470</v>
      </c>
      <c r="U219" s="3">
        <v>517</v>
      </c>
      <c r="V219" s="3"/>
    </row>
    <row r="220" spans="2:22" ht="21" hidden="1" x14ac:dyDescent="0.25">
      <c r="B220" s="4" t="s">
        <v>737</v>
      </c>
      <c r="C220" s="4" t="s">
        <v>738</v>
      </c>
      <c r="D220" s="4" t="s">
        <v>684</v>
      </c>
      <c r="E220" s="4" t="s">
        <v>27</v>
      </c>
      <c r="F220" s="4" t="s">
        <v>739</v>
      </c>
      <c r="G220" s="4" t="s">
        <v>27</v>
      </c>
      <c r="H220" s="4">
        <v>70163</v>
      </c>
      <c r="I220" s="4">
        <v>70291</v>
      </c>
      <c r="J220" s="4" t="s">
        <v>28</v>
      </c>
      <c r="K220" s="4" t="s">
        <v>737</v>
      </c>
      <c r="L220" s="4" t="s">
        <v>29</v>
      </c>
      <c r="M220" s="4"/>
      <c r="N220" s="5">
        <v>1000</v>
      </c>
      <c r="O220" s="5">
        <v>1100</v>
      </c>
      <c r="P220" s="5">
        <v>1000</v>
      </c>
      <c r="Q220" s="5">
        <v>1100</v>
      </c>
      <c r="R220" s="5">
        <v>398</v>
      </c>
      <c r="S220" s="5">
        <v>438</v>
      </c>
      <c r="T220" s="5">
        <v>398</v>
      </c>
      <c r="U220" s="5">
        <v>438</v>
      </c>
      <c r="V220" s="5"/>
    </row>
    <row r="221" spans="2:22" ht="20" hidden="1" x14ac:dyDescent="0.25">
      <c r="B221" s="2" t="s">
        <v>737</v>
      </c>
      <c r="C221" s="2" t="s">
        <v>738</v>
      </c>
      <c r="D221" s="2" t="s">
        <v>684</v>
      </c>
      <c r="E221" s="2" t="s">
        <v>27</v>
      </c>
      <c r="F221" s="2" t="s">
        <v>739</v>
      </c>
      <c r="G221" s="2" t="s">
        <v>27</v>
      </c>
      <c r="H221" s="2">
        <v>70163</v>
      </c>
      <c r="I221" s="2">
        <v>70291</v>
      </c>
      <c r="J221" s="2" t="s">
        <v>28</v>
      </c>
      <c r="K221" s="2" t="s">
        <v>737</v>
      </c>
      <c r="L221" s="2" t="s">
        <v>30</v>
      </c>
      <c r="M221" s="2" t="s">
        <v>738</v>
      </c>
      <c r="N221" s="3">
        <v>1000</v>
      </c>
      <c r="O221" s="3">
        <v>1100</v>
      </c>
      <c r="P221" s="3">
        <v>1000</v>
      </c>
      <c r="Q221" s="3">
        <v>1100</v>
      </c>
      <c r="R221" s="3">
        <v>398</v>
      </c>
      <c r="S221" s="3">
        <v>438</v>
      </c>
      <c r="T221" s="3">
        <v>398</v>
      </c>
      <c r="U221" s="3">
        <v>438</v>
      </c>
      <c r="V221" s="3"/>
    </row>
    <row r="222" spans="2:22" ht="21" hidden="1" x14ac:dyDescent="0.25">
      <c r="B222" s="4" t="s">
        <v>1001</v>
      </c>
      <c r="C222" s="4" t="s">
        <v>738</v>
      </c>
      <c r="D222" s="4" t="s">
        <v>923</v>
      </c>
      <c r="E222" s="4" t="s">
        <v>27</v>
      </c>
      <c r="F222" s="4" t="s">
        <v>739</v>
      </c>
      <c r="G222" s="4" t="s">
        <v>27</v>
      </c>
      <c r="H222" s="4">
        <v>70260</v>
      </c>
      <c r="I222" s="4">
        <v>70291</v>
      </c>
      <c r="J222" s="4" t="s">
        <v>28</v>
      </c>
      <c r="K222" s="4" t="s">
        <v>1001</v>
      </c>
      <c r="L222" s="4" t="s">
        <v>29</v>
      </c>
      <c r="M222" s="4"/>
      <c r="N222" s="5">
        <v>1000</v>
      </c>
      <c r="O222" s="5">
        <v>1100</v>
      </c>
      <c r="P222" s="5">
        <v>1000</v>
      </c>
      <c r="Q222" s="5">
        <v>1100</v>
      </c>
      <c r="R222" s="5">
        <v>398</v>
      </c>
      <c r="S222" s="5">
        <v>438</v>
      </c>
      <c r="T222" s="5">
        <v>398</v>
      </c>
      <c r="U222" s="5">
        <v>438</v>
      </c>
      <c r="V222" s="5"/>
    </row>
    <row r="223" spans="2:22" ht="20" hidden="1" x14ac:dyDescent="0.25">
      <c r="B223" s="2" t="s">
        <v>1001</v>
      </c>
      <c r="C223" s="2" t="s">
        <v>738</v>
      </c>
      <c r="D223" s="2" t="s">
        <v>923</v>
      </c>
      <c r="E223" s="2" t="s">
        <v>27</v>
      </c>
      <c r="F223" s="2" t="s">
        <v>739</v>
      </c>
      <c r="G223" s="2" t="s">
        <v>27</v>
      </c>
      <c r="H223" s="2">
        <v>70260</v>
      </c>
      <c r="I223" s="2">
        <v>70291</v>
      </c>
      <c r="J223" s="2" t="s">
        <v>28</v>
      </c>
      <c r="K223" s="2" t="s">
        <v>1001</v>
      </c>
      <c r="L223" s="2" t="s">
        <v>30</v>
      </c>
      <c r="M223" s="2" t="s">
        <v>738</v>
      </c>
      <c r="N223" s="3">
        <v>1000</v>
      </c>
      <c r="O223" s="3">
        <v>1100</v>
      </c>
      <c r="P223" s="3">
        <v>1000</v>
      </c>
      <c r="Q223" s="3">
        <v>1100</v>
      </c>
      <c r="R223" s="3">
        <v>398</v>
      </c>
      <c r="S223" s="3">
        <v>438</v>
      </c>
      <c r="T223" s="3">
        <v>398</v>
      </c>
      <c r="U223" s="3">
        <v>438</v>
      </c>
      <c r="V223" s="3"/>
    </row>
    <row r="224" spans="2:22" ht="21" hidden="1" x14ac:dyDescent="0.25">
      <c r="B224" s="4" t="s">
        <v>420</v>
      </c>
      <c r="C224" s="4" t="s">
        <v>421</v>
      </c>
      <c r="D224" s="4" t="s">
        <v>419</v>
      </c>
      <c r="E224" s="4" t="s">
        <v>27</v>
      </c>
      <c r="F224" s="4" t="s">
        <v>422</v>
      </c>
      <c r="G224" s="4" t="s">
        <v>27</v>
      </c>
      <c r="H224" s="4">
        <v>70067</v>
      </c>
      <c r="I224" s="4">
        <v>70396</v>
      </c>
      <c r="J224" s="4" t="s">
        <v>28</v>
      </c>
      <c r="K224" s="4" t="s">
        <v>420</v>
      </c>
      <c r="L224" s="4" t="s">
        <v>29</v>
      </c>
      <c r="M224" s="4"/>
      <c r="N224" s="5">
        <v>1270</v>
      </c>
      <c r="O224" s="5">
        <v>1397</v>
      </c>
      <c r="P224" s="5">
        <v>1440</v>
      </c>
      <c r="Q224" s="5">
        <v>1440</v>
      </c>
      <c r="R224" s="5">
        <v>506</v>
      </c>
      <c r="S224" s="5">
        <v>557</v>
      </c>
      <c r="T224" s="5">
        <v>574</v>
      </c>
      <c r="U224" s="5">
        <v>574</v>
      </c>
      <c r="V224" s="5"/>
    </row>
    <row r="225" spans="2:22" ht="20" hidden="1" x14ac:dyDescent="0.25">
      <c r="B225" s="2" t="s">
        <v>420</v>
      </c>
      <c r="C225" s="2" t="s">
        <v>421</v>
      </c>
      <c r="D225" s="2" t="s">
        <v>419</v>
      </c>
      <c r="E225" s="2" t="s">
        <v>27</v>
      </c>
      <c r="F225" s="2" t="s">
        <v>422</v>
      </c>
      <c r="G225" s="2" t="s">
        <v>27</v>
      </c>
      <c r="H225" s="2">
        <v>70067</v>
      </c>
      <c r="I225" s="2">
        <v>70396</v>
      </c>
      <c r="J225" s="2" t="s">
        <v>28</v>
      </c>
      <c r="K225" s="2" t="s">
        <v>420</v>
      </c>
      <c r="L225" s="2" t="s">
        <v>30</v>
      </c>
      <c r="M225" s="2" t="s">
        <v>421</v>
      </c>
      <c r="N225" s="3">
        <v>1270</v>
      </c>
      <c r="O225" s="3">
        <v>1397</v>
      </c>
      <c r="P225" s="2">
        <v>1447</v>
      </c>
      <c r="Q225" s="2">
        <v>1592</v>
      </c>
      <c r="R225" s="3">
        <v>506</v>
      </c>
      <c r="S225" s="3">
        <v>557</v>
      </c>
      <c r="T225" s="2">
        <v>576</v>
      </c>
      <c r="U225" s="2">
        <v>634</v>
      </c>
      <c r="V225" s="2"/>
    </row>
    <row r="226" spans="2:22" ht="30" hidden="1" x14ac:dyDescent="0.25">
      <c r="B226" s="2" t="s">
        <v>420</v>
      </c>
      <c r="C226" s="2" t="s">
        <v>421</v>
      </c>
      <c r="D226" s="2" t="s">
        <v>419</v>
      </c>
      <c r="E226" s="2" t="s">
        <v>27</v>
      </c>
      <c r="F226" s="2" t="s">
        <v>422</v>
      </c>
      <c r="G226" s="2" t="s">
        <v>27</v>
      </c>
      <c r="H226" s="2">
        <v>70067</v>
      </c>
      <c r="I226" s="2">
        <v>70396</v>
      </c>
      <c r="J226" s="2" t="s">
        <v>28</v>
      </c>
      <c r="K226" s="2" t="s">
        <v>423</v>
      </c>
      <c r="L226" s="2" t="s">
        <v>36</v>
      </c>
      <c r="M226" s="2" t="s">
        <v>424</v>
      </c>
      <c r="N226" s="2">
        <v>1440</v>
      </c>
      <c r="O226" s="2">
        <v>1440</v>
      </c>
      <c r="P226" s="3">
        <v>1440</v>
      </c>
      <c r="Q226" s="3">
        <v>1440</v>
      </c>
      <c r="R226" s="2">
        <v>574</v>
      </c>
      <c r="S226" s="2">
        <v>574</v>
      </c>
      <c r="T226" s="3">
        <v>574</v>
      </c>
      <c r="U226" s="3">
        <v>574</v>
      </c>
      <c r="V226" s="3"/>
    </row>
    <row r="227" spans="2:22" ht="21" hidden="1" x14ac:dyDescent="0.25">
      <c r="B227" s="4" t="s">
        <v>426</v>
      </c>
      <c r="C227" s="4" t="s">
        <v>421</v>
      </c>
      <c r="D227" s="4" t="s">
        <v>419</v>
      </c>
      <c r="E227" s="4" t="s">
        <v>27</v>
      </c>
      <c r="F227" s="4" t="s">
        <v>427</v>
      </c>
      <c r="G227" s="4" t="s">
        <v>27</v>
      </c>
      <c r="H227" s="4">
        <v>70046</v>
      </c>
      <c r="I227" s="4">
        <v>70491</v>
      </c>
      <c r="J227" s="4" t="s">
        <v>28</v>
      </c>
      <c r="K227" s="4" t="s">
        <v>426</v>
      </c>
      <c r="L227" s="4" t="s">
        <v>29</v>
      </c>
      <c r="M227" s="4"/>
      <c r="N227" s="5">
        <v>1214</v>
      </c>
      <c r="O227" s="5">
        <v>1397</v>
      </c>
      <c r="P227" s="5">
        <v>1447</v>
      </c>
      <c r="Q227" s="5">
        <v>1592</v>
      </c>
      <c r="R227" s="5">
        <v>484</v>
      </c>
      <c r="S227" s="5">
        <v>557</v>
      </c>
      <c r="T227" s="5">
        <v>576</v>
      </c>
      <c r="U227" s="5">
        <v>634</v>
      </c>
      <c r="V227" s="5"/>
    </row>
    <row r="228" spans="2:22" ht="20" hidden="1" x14ac:dyDescent="0.25">
      <c r="B228" s="2" t="s">
        <v>426</v>
      </c>
      <c r="C228" s="2" t="s">
        <v>421</v>
      </c>
      <c r="D228" s="2" t="s">
        <v>419</v>
      </c>
      <c r="E228" s="2" t="s">
        <v>27</v>
      </c>
      <c r="F228" s="2" t="s">
        <v>427</v>
      </c>
      <c r="G228" s="2" t="s">
        <v>27</v>
      </c>
      <c r="H228" s="2">
        <v>70046</v>
      </c>
      <c r="I228" s="2">
        <v>70491</v>
      </c>
      <c r="J228" s="2" t="s">
        <v>28</v>
      </c>
      <c r="K228" s="2" t="s">
        <v>388</v>
      </c>
      <c r="L228" s="2" t="s">
        <v>31</v>
      </c>
      <c r="M228" s="2" t="s">
        <v>428</v>
      </c>
      <c r="N228" s="3">
        <v>1214</v>
      </c>
      <c r="O228" s="2">
        <v>1421</v>
      </c>
      <c r="P228" s="2">
        <v>1450</v>
      </c>
      <c r="Q228" s="2">
        <v>1619</v>
      </c>
      <c r="R228" s="3">
        <v>484</v>
      </c>
      <c r="S228" s="2">
        <v>566</v>
      </c>
      <c r="T228" s="2">
        <v>578</v>
      </c>
      <c r="U228" s="2">
        <v>645</v>
      </c>
      <c r="V228" s="2"/>
    </row>
    <row r="229" spans="2:22" ht="20" hidden="1" x14ac:dyDescent="0.25">
      <c r="B229" s="2" t="s">
        <v>426</v>
      </c>
      <c r="C229" s="2" t="s">
        <v>421</v>
      </c>
      <c r="D229" s="2" t="s">
        <v>419</v>
      </c>
      <c r="E229" s="2" t="s">
        <v>27</v>
      </c>
      <c r="F229" s="2" t="s">
        <v>427</v>
      </c>
      <c r="G229" s="2" t="s">
        <v>27</v>
      </c>
      <c r="H229" s="2">
        <v>70046</v>
      </c>
      <c r="I229" s="2">
        <v>70491</v>
      </c>
      <c r="J229" s="2" t="s">
        <v>28</v>
      </c>
      <c r="K229" s="2" t="s">
        <v>426</v>
      </c>
      <c r="L229" s="2" t="s">
        <v>30</v>
      </c>
      <c r="M229" s="2" t="s">
        <v>421</v>
      </c>
      <c r="N229" s="2">
        <v>1270</v>
      </c>
      <c r="O229" s="3">
        <v>1397</v>
      </c>
      <c r="P229" s="3">
        <v>1447</v>
      </c>
      <c r="Q229" s="3">
        <v>1592</v>
      </c>
      <c r="R229" s="2">
        <v>506</v>
      </c>
      <c r="S229" s="3">
        <v>557</v>
      </c>
      <c r="T229" s="3">
        <v>576</v>
      </c>
      <c r="U229" s="3">
        <v>634</v>
      </c>
      <c r="V229" s="3"/>
    </row>
    <row r="230" spans="2:22" ht="21" hidden="1" x14ac:dyDescent="0.25">
      <c r="B230" s="4" t="s">
        <v>967</v>
      </c>
      <c r="C230" s="4" t="s">
        <v>421</v>
      </c>
      <c r="D230" s="4" t="s">
        <v>418</v>
      </c>
      <c r="E230" s="4" t="s">
        <v>27</v>
      </c>
      <c r="F230" s="4" t="s">
        <v>923</v>
      </c>
      <c r="G230" s="4" t="s">
        <v>27</v>
      </c>
      <c r="H230" s="4">
        <v>70239</v>
      </c>
      <c r="I230" s="4">
        <v>70260</v>
      </c>
      <c r="J230" s="4" t="s">
        <v>28</v>
      </c>
      <c r="K230" s="4" t="s">
        <v>967</v>
      </c>
      <c r="L230" s="4" t="s">
        <v>29</v>
      </c>
      <c r="M230" s="4"/>
      <c r="N230" s="5">
        <v>1266</v>
      </c>
      <c r="O230" s="5">
        <v>1393</v>
      </c>
      <c r="P230" s="5">
        <v>1440</v>
      </c>
      <c r="Q230" s="5">
        <v>1440</v>
      </c>
      <c r="R230" s="5">
        <v>504</v>
      </c>
      <c r="S230" s="5">
        <v>555</v>
      </c>
      <c r="T230" s="5">
        <v>574</v>
      </c>
      <c r="U230" s="5">
        <v>574</v>
      </c>
      <c r="V230" s="5"/>
    </row>
    <row r="231" spans="2:22" ht="20" hidden="1" x14ac:dyDescent="0.25">
      <c r="B231" s="2" t="s">
        <v>967</v>
      </c>
      <c r="C231" s="2" t="s">
        <v>421</v>
      </c>
      <c r="D231" s="2" t="s">
        <v>418</v>
      </c>
      <c r="E231" s="2" t="s">
        <v>27</v>
      </c>
      <c r="F231" s="2" t="s">
        <v>923</v>
      </c>
      <c r="G231" s="2" t="s">
        <v>27</v>
      </c>
      <c r="H231" s="2">
        <v>70239</v>
      </c>
      <c r="I231" s="2">
        <v>70260</v>
      </c>
      <c r="J231" s="2" t="s">
        <v>28</v>
      </c>
      <c r="K231" s="2" t="s">
        <v>967</v>
      </c>
      <c r="L231" s="2" t="s">
        <v>30</v>
      </c>
      <c r="M231" s="2" t="s">
        <v>421</v>
      </c>
      <c r="N231" s="3">
        <v>1266</v>
      </c>
      <c r="O231" s="3">
        <v>1393</v>
      </c>
      <c r="P231" s="2">
        <v>1443</v>
      </c>
      <c r="Q231" s="2">
        <v>1587</v>
      </c>
      <c r="R231" s="3">
        <v>504</v>
      </c>
      <c r="S231" s="3">
        <v>555</v>
      </c>
      <c r="T231" s="2">
        <v>575</v>
      </c>
      <c r="U231" s="2">
        <v>632</v>
      </c>
      <c r="V231" s="2"/>
    </row>
    <row r="232" spans="2:22" ht="30" hidden="1" x14ac:dyDescent="0.25">
      <c r="B232" s="2" t="s">
        <v>967</v>
      </c>
      <c r="C232" s="2" t="s">
        <v>421</v>
      </c>
      <c r="D232" s="2" t="s">
        <v>418</v>
      </c>
      <c r="E232" s="2" t="s">
        <v>27</v>
      </c>
      <c r="F232" s="2" t="s">
        <v>923</v>
      </c>
      <c r="G232" s="2" t="s">
        <v>27</v>
      </c>
      <c r="H232" s="2">
        <v>70239</v>
      </c>
      <c r="I232" s="2">
        <v>70260</v>
      </c>
      <c r="J232" s="2" t="s">
        <v>28</v>
      </c>
      <c r="K232" s="2" t="s">
        <v>968</v>
      </c>
      <c r="L232" s="2" t="s">
        <v>36</v>
      </c>
      <c r="M232" s="2" t="s">
        <v>969</v>
      </c>
      <c r="N232" s="2">
        <v>1440</v>
      </c>
      <c r="O232" s="2">
        <v>1440</v>
      </c>
      <c r="P232" s="3">
        <v>1440</v>
      </c>
      <c r="Q232" s="3">
        <v>1440</v>
      </c>
      <c r="R232" s="2">
        <v>574</v>
      </c>
      <c r="S232" s="2">
        <v>574</v>
      </c>
      <c r="T232" s="3">
        <v>574</v>
      </c>
      <c r="U232" s="3">
        <v>574</v>
      </c>
      <c r="V232" s="3"/>
    </row>
    <row r="233" spans="2:22" ht="21" hidden="1" x14ac:dyDescent="0.25">
      <c r="B233" s="4" t="s">
        <v>970</v>
      </c>
      <c r="C233" s="4" t="s">
        <v>421</v>
      </c>
      <c r="D233" s="4" t="s">
        <v>418</v>
      </c>
      <c r="E233" s="4" t="s">
        <v>27</v>
      </c>
      <c r="F233" s="4" t="s">
        <v>427</v>
      </c>
      <c r="G233" s="4" t="s">
        <v>27</v>
      </c>
      <c r="H233" s="4">
        <v>70239</v>
      </c>
      <c r="I233" s="4">
        <v>70491</v>
      </c>
      <c r="J233" s="4" t="s">
        <v>28</v>
      </c>
      <c r="K233" s="4" t="s">
        <v>970</v>
      </c>
      <c r="L233" s="4" t="s">
        <v>29</v>
      </c>
      <c r="M233" s="4"/>
      <c r="N233" s="5">
        <v>1214</v>
      </c>
      <c r="O233" s="5">
        <v>1389</v>
      </c>
      <c r="P233" s="5">
        <v>1416</v>
      </c>
      <c r="Q233" s="5">
        <v>1558</v>
      </c>
      <c r="R233" s="5">
        <v>484</v>
      </c>
      <c r="S233" s="5">
        <v>553</v>
      </c>
      <c r="T233" s="5">
        <v>564</v>
      </c>
      <c r="U233" s="5">
        <v>621</v>
      </c>
      <c r="V233" s="5"/>
    </row>
    <row r="234" spans="2:22" ht="20" hidden="1" x14ac:dyDescent="0.25">
      <c r="B234" s="2" t="s">
        <v>970</v>
      </c>
      <c r="C234" s="2" t="s">
        <v>421</v>
      </c>
      <c r="D234" s="2" t="s">
        <v>418</v>
      </c>
      <c r="E234" s="2" t="s">
        <v>27</v>
      </c>
      <c r="F234" s="2" t="s">
        <v>427</v>
      </c>
      <c r="G234" s="2" t="s">
        <v>27</v>
      </c>
      <c r="H234" s="2">
        <v>70239</v>
      </c>
      <c r="I234" s="2">
        <v>70491</v>
      </c>
      <c r="J234" s="2" t="s">
        <v>28</v>
      </c>
      <c r="K234" s="2" t="s">
        <v>388</v>
      </c>
      <c r="L234" s="2" t="s">
        <v>31</v>
      </c>
      <c r="M234" s="2" t="s">
        <v>428</v>
      </c>
      <c r="N234" s="3">
        <v>1214</v>
      </c>
      <c r="O234" s="2">
        <v>1421</v>
      </c>
      <c r="P234" s="2">
        <v>1450</v>
      </c>
      <c r="Q234" s="2">
        <v>1619</v>
      </c>
      <c r="R234" s="3">
        <v>484</v>
      </c>
      <c r="S234" s="2">
        <v>566</v>
      </c>
      <c r="T234" s="2">
        <v>578</v>
      </c>
      <c r="U234" s="2">
        <v>645</v>
      </c>
      <c r="V234" s="2"/>
    </row>
    <row r="235" spans="2:22" ht="20" hidden="1" x14ac:dyDescent="0.25">
      <c r="B235" s="2" t="s">
        <v>970</v>
      </c>
      <c r="C235" s="2" t="s">
        <v>421</v>
      </c>
      <c r="D235" s="2" t="s">
        <v>418</v>
      </c>
      <c r="E235" s="2" t="s">
        <v>27</v>
      </c>
      <c r="F235" s="2" t="s">
        <v>427</v>
      </c>
      <c r="G235" s="2" t="s">
        <v>27</v>
      </c>
      <c r="H235" s="2">
        <v>70239</v>
      </c>
      <c r="I235" s="2">
        <v>70491</v>
      </c>
      <c r="J235" s="2" t="s">
        <v>28</v>
      </c>
      <c r="K235" s="2" t="s">
        <v>970</v>
      </c>
      <c r="L235" s="2" t="s">
        <v>30</v>
      </c>
      <c r="M235" s="2" t="s">
        <v>421</v>
      </c>
      <c r="N235" s="2">
        <v>1263</v>
      </c>
      <c r="O235" s="3">
        <v>1389</v>
      </c>
      <c r="P235" s="3">
        <v>1416</v>
      </c>
      <c r="Q235" s="3">
        <v>1558</v>
      </c>
      <c r="R235" s="2">
        <v>503</v>
      </c>
      <c r="S235" s="3">
        <v>553</v>
      </c>
      <c r="T235" s="3">
        <v>564</v>
      </c>
      <c r="U235" s="3">
        <v>621</v>
      </c>
      <c r="V235" s="3"/>
    </row>
    <row r="236" spans="2:22" ht="21" hidden="1" x14ac:dyDescent="0.25">
      <c r="B236" s="4" t="s">
        <v>804</v>
      </c>
      <c r="C236" s="4" t="s">
        <v>805</v>
      </c>
      <c r="D236" s="4" t="s">
        <v>768</v>
      </c>
      <c r="E236" s="4" t="s">
        <v>27</v>
      </c>
      <c r="F236" s="4" t="s">
        <v>806</v>
      </c>
      <c r="G236" s="4" t="s">
        <v>27</v>
      </c>
      <c r="H236" s="4">
        <v>70410</v>
      </c>
      <c r="I236" s="4">
        <v>70544</v>
      </c>
      <c r="J236" s="4" t="s">
        <v>28</v>
      </c>
      <c r="K236" s="4" t="s">
        <v>804</v>
      </c>
      <c r="L236" s="4" t="s">
        <v>29</v>
      </c>
      <c r="M236" s="4"/>
      <c r="N236" s="5">
        <v>1318</v>
      </c>
      <c r="O236" s="5">
        <v>1450</v>
      </c>
      <c r="P236" s="5">
        <v>1486</v>
      </c>
      <c r="Q236" s="5">
        <v>1635</v>
      </c>
      <c r="R236" s="5">
        <v>525</v>
      </c>
      <c r="S236" s="5">
        <v>578</v>
      </c>
      <c r="T236" s="5">
        <v>592</v>
      </c>
      <c r="U236" s="5">
        <v>651</v>
      </c>
      <c r="V236" s="5"/>
    </row>
    <row r="237" spans="2:22" ht="20" hidden="1" x14ac:dyDescent="0.25">
      <c r="B237" s="2" t="s">
        <v>804</v>
      </c>
      <c r="C237" s="2" t="s">
        <v>805</v>
      </c>
      <c r="D237" s="2" t="s">
        <v>768</v>
      </c>
      <c r="E237" s="2" t="s">
        <v>27</v>
      </c>
      <c r="F237" s="2" t="s">
        <v>806</v>
      </c>
      <c r="G237" s="2" t="s">
        <v>27</v>
      </c>
      <c r="H237" s="2">
        <v>70410</v>
      </c>
      <c r="I237" s="2">
        <v>70544</v>
      </c>
      <c r="J237" s="2" t="s">
        <v>28</v>
      </c>
      <c r="K237" s="2" t="s">
        <v>804</v>
      </c>
      <c r="L237" s="2" t="s">
        <v>30</v>
      </c>
      <c r="M237" s="2" t="s">
        <v>805</v>
      </c>
      <c r="N237" s="3">
        <v>1318</v>
      </c>
      <c r="O237" s="3">
        <v>1450</v>
      </c>
      <c r="P237" s="3">
        <v>1486</v>
      </c>
      <c r="Q237" s="3">
        <v>1635</v>
      </c>
      <c r="R237" s="3">
        <v>525</v>
      </c>
      <c r="S237" s="3">
        <v>578</v>
      </c>
      <c r="T237" s="3">
        <v>592</v>
      </c>
      <c r="U237" s="3">
        <v>651</v>
      </c>
      <c r="V237" s="3"/>
    </row>
    <row r="238" spans="2:22" ht="31.5" hidden="1" x14ac:dyDescent="0.25">
      <c r="B238" s="4" t="s">
        <v>529</v>
      </c>
      <c r="C238" s="4" t="s">
        <v>530</v>
      </c>
      <c r="D238" s="4" t="s">
        <v>294</v>
      </c>
      <c r="E238" s="4" t="s">
        <v>27</v>
      </c>
      <c r="F238" s="4" t="s">
        <v>531</v>
      </c>
      <c r="G238" s="4" t="s">
        <v>27</v>
      </c>
      <c r="H238" s="4">
        <v>70107</v>
      </c>
      <c r="I238" s="4">
        <v>70362</v>
      </c>
      <c r="J238" s="4" t="s">
        <v>28</v>
      </c>
      <c r="K238" s="4" t="s">
        <v>529</v>
      </c>
      <c r="L238" s="4" t="s">
        <v>29</v>
      </c>
      <c r="M238" s="4"/>
      <c r="N238" s="5">
        <v>1271</v>
      </c>
      <c r="O238" s="5">
        <v>1398</v>
      </c>
      <c r="P238" s="5">
        <v>1448</v>
      </c>
      <c r="Q238" s="5">
        <v>1593</v>
      </c>
      <c r="R238" s="5">
        <v>506</v>
      </c>
      <c r="S238" s="5">
        <v>557</v>
      </c>
      <c r="T238" s="5">
        <v>577</v>
      </c>
      <c r="U238" s="5">
        <v>635</v>
      </c>
      <c r="V238" s="5"/>
    </row>
    <row r="239" spans="2:22" ht="30" hidden="1" x14ac:dyDescent="0.25">
      <c r="B239" s="2" t="s">
        <v>529</v>
      </c>
      <c r="C239" s="2" t="s">
        <v>530</v>
      </c>
      <c r="D239" s="2" t="s">
        <v>294</v>
      </c>
      <c r="E239" s="2" t="s">
        <v>27</v>
      </c>
      <c r="F239" s="2" t="s">
        <v>531</v>
      </c>
      <c r="G239" s="2" t="s">
        <v>27</v>
      </c>
      <c r="H239" s="2">
        <v>70107</v>
      </c>
      <c r="I239" s="2">
        <v>70362</v>
      </c>
      <c r="J239" s="2" t="s">
        <v>28</v>
      </c>
      <c r="K239" s="2" t="s">
        <v>529</v>
      </c>
      <c r="L239" s="2" t="s">
        <v>30</v>
      </c>
      <c r="M239" s="2" t="s">
        <v>530</v>
      </c>
      <c r="N239" s="3">
        <v>1271</v>
      </c>
      <c r="O239" s="3">
        <v>1398</v>
      </c>
      <c r="P239" s="3">
        <v>1448</v>
      </c>
      <c r="Q239" s="3">
        <v>1593</v>
      </c>
      <c r="R239" s="3">
        <v>506</v>
      </c>
      <c r="S239" s="3">
        <v>557</v>
      </c>
      <c r="T239" s="3">
        <v>577</v>
      </c>
      <c r="U239" s="3">
        <v>635</v>
      </c>
      <c r="V239" s="3"/>
    </row>
    <row r="240" spans="2:22" ht="21" hidden="1" x14ac:dyDescent="0.25">
      <c r="B240" s="4" t="s">
        <v>1191</v>
      </c>
      <c r="C240" s="4" t="s">
        <v>530</v>
      </c>
      <c r="D240" s="4" t="s">
        <v>531</v>
      </c>
      <c r="E240" s="4" t="s">
        <v>27</v>
      </c>
      <c r="F240" s="4" t="s">
        <v>776</v>
      </c>
      <c r="G240" s="4" t="s">
        <v>40</v>
      </c>
      <c r="H240" s="4">
        <v>70362</v>
      </c>
      <c r="I240" s="4">
        <v>70605</v>
      </c>
      <c r="J240" s="4" t="s">
        <v>28</v>
      </c>
      <c r="K240" s="4" t="s">
        <v>1191</v>
      </c>
      <c r="L240" s="4" t="s">
        <v>29</v>
      </c>
      <c r="M240" s="4"/>
      <c r="N240" s="5">
        <v>1270</v>
      </c>
      <c r="O240" s="5">
        <v>1397</v>
      </c>
      <c r="P240" s="5">
        <v>1447</v>
      </c>
      <c r="Q240" s="5">
        <v>1592</v>
      </c>
      <c r="R240" s="5">
        <v>506</v>
      </c>
      <c r="S240" s="5">
        <v>557</v>
      </c>
      <c r="T240" s="5">
        <v>576</v>
      </c>
      <c r="U240" s="5">
        <v>634</v>
      </c>
      <c r="V240" s="5"/>
    </row>
    <row r="241" spans="2:22" ht="20" hidden="1" x14ac:dyDescent="0.25">
      <c r="B241" s="2" t="s">
        <v>1191</v>
      </c>
      <c r="C241" s="2" t="s">
        <v>530</v>
      </c>
      <c r="D241" s="2" t="s">
        <v>531</v>
      </c>
      <c r="E241" s="2" t="s">
        <v>27</v>
      </c>
      <c r="F241" s="2" t="s">
        <v>776</v>
      </c>
      <c r="G241" s="2" t="s">
        <v>40</v>
      </c>
      <c r="H241" s="2">
        <v>70362</v>
      </c>
      <c r="I241" s="2">
        <v>70605</v>
      </c>
      <c r="J241" s="2" t="s">
        <v>28</v>
      </c>
      <c r="K241" s="2" t="s">
        <v>1191</v>
      </c>
      <c r="L241" s="2" t="s">
        <v>30</v>
      </c>
      <c r="M241" s="2" t="s">
        <v>530</v>
      </c>
      <c r="N241" s="3">
        <v>1270</v>
      </c>
      <c r="O241" s="3">
        <v>1397</v>
      </c>
      <c r="P241" s="3">
        <v>1447</v>
      </c>
      <c r="Q241" s="3">
        <v>1592</v>
      </c>
      <c r="R241" s="3">
        <v>506</v>
      </c>
      <c r="S241" s="3">
        <v>557</v>
      </c>
      <c r="T241" s="3">
        <v>576</v>
      </c>
      <c r="U241" s="3">
        <v>634</v>
      </c>
      <c r="V241" s="3"/>
    </row>
    <row r="242" spans="2:22" ht="21" hidden="1" x14ac:dyDescent="0.25">
      <c r="B242" s="4" t="s">
        <v>765</v>
      </c>
      <c r="C242" s="4" t="s">
        <v>766</v>
      </c>
      <c r="D242" s="4" t="s">
        <v>767</v>
      </c>
      <c r="E242" s="4" t="s">
        <v>27</v>
      </c>
      <c r="F242" s="4" t="s">
        <v>768</v>
      </c>
      <c r="G242" s="4" t="s">
        <v>27</v>
      </c>
      <c r="H242" s="4">
        <v>70192</v>
      </c>
      <c r="I242" s="4">
        <v>70410</v>
      </c>
      <c r="J242" s="4" t="s">
        <v>28</v>
      </c>
      <c r="K242" s="4" t="s">
        <v>765</v>
      </c>
      <c r="L242" s="4" t="s">
        <v>29</v>
      </c>
      <c r="M242" s="4"/>
      <c r="N242" s="5">
        <v>1276</v>
      </c>
      <c r="O242" s="5">
        <v>1404</v>
      </c>
      <c r="P242" s="5">
        <v>1440</v>
      </c>
      <c r="Q242" s="5">
        <v>1440</v>
      </c>
      <c r="R242" s="5">
        <v>509</v>
      </c>
      <c r="S242" s="5">
        <v>559</v>
      </c>
      <c r="T242" s="5">
        <v>574</v>
      </c>
      <c r="U242" s="5">
        <v>574</v>
      </c>
      <c r="V242" s="5"/>
    </row>
    <row r="243" spans="2:22" ht="20" hidden="1" x14ac:dyDescent="0.25">
      <c r="B243" s="2" t="s">
        <v>765</v>
      </c>
      <c r="C243" s="2" t="s">
        <v>766</v>
      </c>
      <c r="D243" s="2" t="s">
        <v>767</v>
      </c>
      <c r="E243" s="2" t="s">
        <v>27</v>
      </c>
      <c r="F243" s="2" t="s">
        <v>768</v>
      </c>
      <c r="G243" s="2" t="s">
        <v>27</v>
      </c>
      <c r="H243" s="2">
        <v>70192</v>
      </c>
      <c r="I243" s="2">
        <v>70410</v>
      </c>
      <c r="J243" s="2" t="s">
        <v>28</v>
      </c>
      <c r="K243" s="2" t="s">
        <v>41</v>
      </c>
      <c r="L243" s="2" t="s">
        <v>31</v>
      </c>
      <c r="M243" s="2" t="s">
        <v>769</v>
      </c>
      <c r="N243" s="3">
        <v>1276</v>
      </c>
      <c r="O243" s="3">
        <v>1404</v>
      </c>
      <c r="P243" s="2">
        <v>1454</v>
      </c>
      <c r="Q243" s="2">
        <v>1599</v>
      </c>
      <c r="R243" s="3">
        <v>509</v>
      </c>
      <c r="S243" s="3">
        <v>559</v>
      </c>
      <c r="T243" s="2">
        <v>579</v>
      </c>
      <c r="U243" s="2">
        <v>637</v>
      </c>
      <c r="V243" s="2"/>
    </row>
    <row r="244" spans="2:22" ht="30" hidden="1" x14ac:dyDescent="0.25">
      <c r="B244" s="2" t="s">
        <v>765</v>
      </c>
      <c r="C244" s="2" t="s">
        <v>766</v>
      </c>
      <c r="D244" s="2" t="s">
        <v>767</v>
      </c>
      <c r="E244" s="2" t="s">
        <v>27</v>
      </c>
      <c r="F244" s="2" t="s">
        <v>768</v>
      </c>
      <c r="G244" s="2" t="s">
        <v>27</v>
      </c>
      <c r="H244" s="2">
        <v>70192</v>
      </c>
      <c r="I244" s="2">
        <v>70410</v>
      </c>
      <c r="J244" s="2" t="s">
        <v>28</v>
      </c>
      <c r="K244" s="2" t="s">
        <v>770</v>
      </c>
      <c r="L244" s="2" t="s">
        <v>36</v>
      </c>
      <c r="M244" s="2" t="s">
        <v>771</v>
      </c>
      <c r="N244" s="2">
        <v>1440</v>
      </c>
      <c r="O244" s="2">
        <v>1440</v>
      </c>
      <c r="P244" s="3">
        <v>1440</v>
      </c>
      <c r="Q244" s="3">
        <v>1440</v>
      </c>
      <c r="R244" s="2">
        <v>574</v>
      </c>
      <c r="S244" s="2">
        <v>574</v>
      </c>
      <c r="T244" s="3">
        <v>574</v>
      </c>
      <c r="U244" s="3">
        <v>574</v>
      </c>
      <c r="V244" s="3"/>
    </row>
    <row r="245" spans="2:22" ht="21" hidden="1" x14ac:dyDescent="0.25">
      <c r="B245" s="4" t="s">
        <v>820</v>
      </c>
      <c r="C245" s="4" t="s">
        <v>115</v>
      </c>
      <c r="D245" s="4" t="s">
        <v>768</v>
      </c>
      <c r="E245" s="4" t="s">
        <v>27</v>
      </c>
      <c r="F245" s="4" t="s">
        <v>215</v>
      </c>
      <c r="G245" s="4" t="s">
        <v>27</v>
      </c>
      <c r="H245" s="4">
        <v>70410</v>
      </c>
      <c r="I245" s="4">
        <v>70474</v>
      </c>
      <c r="J245" s="4" t="s">
        <v>42</v>
      </c>
      <c r="K245" s="4" t="s">
        <v>820</v>
      </c>
      <c r="L245" s="4" t="s">
        <v>29</v>
      </c>
      <c r="M245" s="4"/>
      <c r="N245" s="5">
        <v>1433</v>
      </c>
      <c r="O245" s="5">
        <v>1576</v>
      </c>
      <c r="P245" s="5">
        <v>1632</v>
      </c>
      <c r="Q245" s="5">
        <v>1796</v>
      </c>
      <c r="R245" s="5">
        <v>571</v>
      </c>
      <c r="S245" s="5">
        <v>628</v>
      </c>
      <c r="T245" s="5">
        <v>650</v>
      </c>
      <c r="U245" s="5">
        <v>715</v>
      </c>
      <c r="V245" s="5"/>
    </row>
    <row r="246" spans="2:22" ht="20" hidden="1" x14ac:dyDescent="0.25">
      <c r="B246" s="2" t="s">
        <v>820</v>
      </c>
      <c r="C246" s="2" t="s">
        <v>115</v>
      </c>
      <c r="D246" s="2" t="s">
        <v>768</v>
      </c>
      <c r="E246" s="2" t="s">
        <v>27</v>
      </c>
      <c r="F246" s="2" t="s">
        <v>215</v>
      </c>
      <c r="G246" s="2" t="s">
        <v>27</v>
      </c>
      <c r="H246" s="2">
        <v>70410</v>
      </c>
      <c r="I246" s="2">
        <v>70474</v>
      </c>
      <c r="J246" s="2" t="s">
        <v>42</v>
      </c>
      <c r="K246" s="2" t="s">
        <v>388</v>
      </c>
      <c r="L246" s="2" t="s">
        <v>31</v>
      </c>
      <c r="M246" s="2" t="s">
        <v>769</v>
      </c>
      <c r="N246" s="3">
        <v>1433</v>
      </c>
      <c r="O246" s="3">
        <v>1576</v>
      </c>
      <c r="P246" s="3">
        <v>1632</v>
      </c>
      <c r="Q246" s="3">
        <v>1796</v>
      </c>
      <c r="R246" s="3">
        <v>571</v>
      </c>
      <c r="S246" s="3">
        <v>628</v>
      </c>
      <c r="T246" s="3">
        <v>650</v>
      </c>
      <c r="U246" s="3">
        <v>715</v>
      </c>
      <c r="V246" s="3"/>
    </row>
    <row r="247" spans="2:22" ht="21" hidden="1" x14ac:dyDescent="0.25">
      <c r="B247" s="4" t="s">
        <v>114</v>
      </c>
      <c r="C247" s="4" t="s">
        <v>115</v>
      </c>
      <c r="D247" s="4" t="s">
        <v>215</v>
      </c>
      <c r="E247" s="4" t="s">
        <v>27</v>
      </c>
      <c r="F247" s="4" t="s">
        <v>216</v>
      </c>
      <c r="G247" s="4" t="s">
        <v>40</v>
      </c>
      <c r="H247" s="4">
        <v>70474</v>
      </c>
      <c r="I247" s="4">
        <v>73011</v>
      </c>
      <c r="J247" s="4" t="s">
        <v>28</v>
      </c>
      <c r="K247" s="4" t="s">
        <v>114</v>
      </c>
      <c r="L247" s="4" t="s">
        <v>29</v>
      </c>
      <c r="M247" s="4"/>
      <c r="N247" s="5">
        <v>1445</v>
      </c>
      <c r="O247" s="5">
        <v>1590</v>
      </c>
      <c r="P247" s="5">
        <v>1592</v>
      </c>
      <c r="Q247" s="5">
        <v>1592</v>
      </c>
      <c r="R247" s="5">
        <v>576</v>
      </c>
      <c r="S247" s="5">
        <v>633</v>
      </c>
      <c r="T247" s="5">
        <v>634</v>
      </c>
      <c r="U247" s="5">
        <v>634</v>
      </c>
      <c r="V247" s="5"/>
    </row>
    <row r="248" spans="2:22" ht="20" hidden="1" x14ac:dyDescent="0.25">
      <c r="B248" s="2" t="s">
        <v>114</v>
      </c>
      <c r="C248" s="2" t="s">
        <v>115</v>
      </c>
      <c r="D248" s="2" t="s">
        <v>215</v>
      </c>
      <c r="E248" s="2" t="s">
        <v>27</v>
      </c>
      <c r="F248" s="2" t="s">
        <v>216</v>
      </c>
      <c r="G248" s="2" t="s">
        <v>40</v>
      </c>
      <c r="H248" s="2">
        <v>70474</v>
      </c>
      <c r="I248" s="2">
        <v>73011</v>
      </c>
      <c r="J248" s="2" t="s">
        <v>28</v>
      </c>
      <c r="K248" s="2" t="s">
        <v>114</v>
      </c>
      <c r="L248" s="2" t="s">
        <v>30</v>
      </c>
      <c r="M248" s="2" t="s">
        <v>115</v>
      </c>
      <c r="N248" s="3">
        <v>1445</v>
      </c>
      <c r="O248" s="3">
        <v>1590</v>
      </c>
      <c r="P248" s="33">
        <v>1648</v>
      </c>
      <c r="Q248" s="33">
        <v>1813</v>
      </c>
      <c r="R248" s="3">
        <v>576</v>
      </c>
      <c r="S248" s="3">
        <v>633</v>
      </c>
      <c r="T248" s="33">
        <v>657</v>
      </c>
      <c r="U248" s="33">
        <v>722</v>
      </c>
      <c r="V248" s="3"/>
    </row>
    <row r="249" spans="2:22" ht="20" hidden="1" x14ac:dyDescent="0.25">
      <c r="B249" s="2" t="s">
        <v>114</v>
      </c>
      <c r="C249" s="2" t="s">
        <v>115</v>
      </c>
      <c r="D249" s="2" t="s">
        <v>215</v>
      </c>
      <c r="E249" s="2" t="s">
        <v>27</v>
      </c>
      <c r="F249" s="2" t="s">
        <v>216</v>
      </c>
      <c r="G249" s="2" t="s">
        <v>40</v>
      </c>
      <c r="H249" s="2">
        <v>70474</v>
      </c>
      <c r="I249" s="2">
        <v>73011</v>
      </c>
      <c r="J249" s="2" t="s">
        <v>28</v>
      </c>
      <c r="K249" s="2" t="s">
        <v>213</v>
      </c>
      <c r="L249" s="2" t="s">
        <v>213</v>
      </c>
      <c r="M249" s="2" t="s">
        <v>115</v>
      </c>
      <c r="N249" s="33">
        <v>1592</v>
      </c>
      <c r="O249" s="33">
        <v>1592</v>
      </c>
      <c r="P249" s="3">
        <v>1592</v>
      </c>
      <c r="Q249" s="3">
        <v>1592</v>
      </c>
      <c r="R249" s="33">
        <v>634</v>
      </c>
      <c r="S249" s="33">
        <v>634</v>
      </c>
      <c r="T249" s="3">
        <v>634</v>
      </c>
      <c r="U249" s="3">
        <v>634</v>
      </c>
      <c r="V249" s="35"/>
    </row>
    <row r="250" spans="2:22" ht="21" hidden="1" x14ac:dyDescent="0.25">
      <c r="B250" s="4" t="s">
        <v>815</v>
      </c>
      <c r="C250" s="4" t="s">
        <v>816</v>
      </c>
      <c r="D250" s="4" t="s">
        <v>768</v>
      </c>
      <c r="E250" s="4" t="s">
        <v>27</v>
      </c>
      <c r="F250" s="4" t="s">
        <v>817</v>
      </c>
      <c r="G250" s="4" t="s">
        <v>27</v>
      </c>
      <c r="H250" s="4">
        <v>70410</v>
      </c>
      <c r="I250" s="4">
        <v>70471</v>
      </c>
      <c r="J250" s="4" t="s">
        <v>28</v>
      </c>
      <c r="K250" s="4" t="s">
        <v>815</v>
      </c>
      <c r="L250" s="4" t="s">
        <v>29</v>
      </c>
      <c r="M250" s="4"/>
      <c r="N250" s="5">
        <v>1433</v>
      </c>
      <c r="O250" s="5">
        <v>1440</v>
      </c>
      <c r="P250" s="5">
        <v>1440</v>
      </c>
      <c r="Q250" s="5">
        <v>1440</v>
      </c>
      <c r="R250" s="5">
        <v>571</v>
      </c>
      <c r="S250" s="5">
        <v>574</v>
      </c>
      <c r="T250" s="5">
        <v>574</v>
      </c>
      <c r="U250" s="5">
        <v>574</v>
      </c>
      <c r="V250" s="5"/>
    </row>
    <row r="251" spans="2:22" ht="20" hidden="1" x14ac:dyDescent="0.25">
      <c r="B251" s="2" t="s">
        <v>815</v>
      </c>
      <c r="C251" s="2" t="s">
        <v>816</v>
      </c>
      <c r="D251" s="2" t="s">
        <v>768</v>
      </c>
      <c r="E251" s="2" t="s">
        <v>27</v>
      </c>
      <c r="F251" s="2" t="s">
        <v>817</v>
      </c>
      <c r="G251" s="2" t="s">
        <v>27</v>
      </c>
      <c r="H251" s="2">
        <v>70410</v>
      </c>
      <c r="I251" s="2">
        <v>70471</v>
      </c>
      <c r="J251" s="2" t="s">
        <v>28</v>
      </c>
      <c r="K251" s="2" t="s">
        <v>388</v>
      </c>
      <c r="L251" s="2" t="s">
        <v>31</v>
      </c>
      <c r="M251" s="2" t="s">
        <v>769</v>
      </c>
      <c r="N251" s="3">
        <v>1433</v>
      </c>
      <c r="O251" s="2">
        <v>1576</v>
      </c>
      <c r="P251" s="2">
        <v>1632</v>
      </c>
      <c r="Q251" s="2">
        <v>1796</v>
      </c>
      <c r="R251" s="3">
        <v>571</v>
      </c>
      <c r="S251" s="2">
        <v>628</v>
      </c>
      <c r="T251" s="2">
        <v>650</v>
      </c>
      <c r="U251" s="2">
        <v>715</v>
      </c>
      <c r="V251" s="2"/>
    </row>
    <row r="252" spans="2:22" ht="30" hidden="1" x14ac:dyDescent="0.25">
      <c r="B252" s="2" t="s">
        <v>815</v>
      </c>
      <c r="C252" s="2" t="s">
        <v>816</v>
      </c>
      <c r="D252" s="2" t="s">
        <v>768</v>
      </c>
      <c r="E252" s="2" t="s">
        <v>27</v>
      </c>
      <c r="F252" s="2" t="s">
        <v>817</v>
      </c>
      <c r="G252" s="2" t="s">
        <v>27</v>
      </c>
      <c r="H252" s="2">
        <v>70410</v>
      </c>
      <c r="I252" s="2">
        <v>70471</v>
      </c>
      <c r="J252" s="2" t="s">
        <v>28</v>
      </c>
      <c r="K252" s="2" t="s">
        <v>818</v>
      </c>
      <c r="L252" s="2" t="s">
        <v>36</v>
      </c>
      <c r="M252" s="2" t="s">
        <v>53</v>
      </c>
      <c r="N252" s="2">
        <v>1440</v>
      </c>
      <c r="O252" s="3">
        <v>1440</v>
      </c>
      <c r="P252" s="3">
        <v>1440</v>
      </c>
      <c r="Q252" s="3">
        <v>1440</v>
      </c>
      <c r="R252" s="2">
        <v>574</v>
      </c>
      <c r="S252" s="3">
        <v>574</v>
      </c>
      <c r="T252" s="3">
        <v>574</v>
      </c>
      <c r="U252" s="3">
        <v>574</v>
      </c>
      <c r="V252" s="3"/>
    </row>
    <row r="253" spans="2:22" ht="30" hidden="1" x14ac:dyDescent="0.25">
      <c r="B253" s="2" t="s">
        <v>815</v>
      </c>
      <c r="C253" s="2" t="s">
        <v>816</v>
      </c>
      <c r="D253" s="2" t="s">
        <v>768</v>
      </c>
      <c r="E253" s="2" t="s">
        <v>27</v>
      </c>
      <c r="F253" s="2" t="s">
        <v>817</v>
      </c>
      <c r="G253" s="2" t="s">
        <v>27</v>
      </c>
      <c r="H253" s="2">
        <v>70410</v>
      </c>
      <c r="I253" s="2">
        <v>70471</v>
      </c>
      <c r="J253" s="2" t="s">
        <v>28</v>
      </c>
      <c r="K253" s="2" t="s">
        <v>819</v>
      </c>
      <c r="L253" s="2" t="s">
        <v>36</v>
      </c>
      <c r="M253" s="2" t="s">
        <v>53</v>
      </c>
      <c r="N253" s="2">
        <v>1440</v>
      </c>
      <c r="O253" s="3">
        <v>1440</v>
      </c>
      <c r="P253" s="3">
        <v>1440</v>
      </c>
      <c r="Q253" s="3">
        <v>1440</v>
      </c>
      <c r="R253" s="2">
        <v>574</v>
      </c>
      <c r="S253" s="3">
        <v>574</v>
      </c>
      <c r="T253" s="3">
        <v>574</v>
      </c>
      <c r="U253" s="3">
        <v>574</v>
      </c>
      <c r="V253" s="3"/>
    </row>
    <row r="254" spans="2:22" ht="21" hidden="1" x14ac:dyDescent="0.25">
      <c r="B254" s="4" t="s">
        <v>807</v>
      </c>
      <c r="C254" s="4" t="s">
        <v>808</v>
      </c>
      <c r="D254" s="4" t="s">
        <v>768</v>
      </c>
      <c r="E254" s="4" t="s">
        <v>27</v>
      </c>
      <c r="F254" s="4" t="s">
        <v>809</v>
      </c>
      <c r="G254" s="4" t="s">
        <v>27</v>
      </c>
      <c r="H254" s="4">
        <v>70410</v>
      </c>
      <c r="I254" s="4">
        <v>70820</v>
      </c>
      <c r="J254" s="4" t="s">
        <v>28</v>
      </c>
      <c r="K254" s="4" t="s">
        <v>807</v>
      </c>
      <c r="L254" s="4" t="s">
        <v>29</v>
      </c>
      <c r="M254" s="4"/>
      <c r="N254" s="5">
        <v>1915</v>
      </c>
      <c r="O254" s="5">
        <v>2273</v>
      </c>
      <c r="P254" s="5">
        <v>2312</v>
      </c>
      <c r="Q254" s="5">
        <v>2400</v>
      </c>
      <c r="R254" s="5">
        <v>763</v>
      </c>
      <c r="S254" s="5">
        <v>906</v>
      </c>
      <c r="T254" s="5">
        <v>921</v>
      </c>
      <c r="U254" s="5">
        <v>956</v>
      </c>
      <c r="V254" s="5"/>
    </row>
    <row r="255" spans="2:22" ht="20" hidden="1" x14ac:dyDescent="0.25">
      <c r="B255" s="2" t="s">
        <v>807</v>
      </c>
      <c r="C255" s="2" t="s">
        <v>808</v>
      </c>
      <c r="D255" s="2" t="s">
        <v>768</v>
      </c>
      <c r="E255" s="2" t="s">
        <v>27</v>
      </c>
      <c r="F255" s="2" t="s">
        <v>809</v>
      </c>
      <c r="G255" s="2" t="s">
        <v>27</v>
      </c>
      <c r="H255" s="2">
        <v>70410</v>
      </c>
      <c r="I255" s="2">
        <v>70820</v>
      </c>
      <c r="J255" s="2" t="s">
        <v>28</v>
      </c>
      <c r="K255" s="2" t="s">
        <v>246</v>
      </c>
      <c r="L255" s="2" t="s">
        <v>31</v>
      </c>
      <c r="M255" s="2" t="s">
        <v>769</v>
      </c>
      <c r="N255" s="3">
        <v>1915</v>
      </c>
      <c r="O255" s="3">
        <v>2273</v>
      </c>
      <c r="P255" s="3">
        <v>2312</v>
      </c>
      <c r="Q255" s="2">
        <v>2603</v>
      </c>
      <c r="R255" s="3">
        <v>763</v>
      </c>
      <c r="S255" s="3">
        <v>906</v>
      </c>
      <c r="T255" s="3">
        <v>921</v>
      </c>
      <c r="U255" s="2">
        <v>1037</v>
      </c>
      <c r="V255" s="2"/>
    </row>
    <row r="256" spans="2:22" ht="30" hidden="1" x14ac:dyDescent="0.25">
      <c r="B256" s="2" t="s">
        <v>807</v>
      </c>
      <c r="C256" s="2" t="s">
        <v>808</v>
      </c>
      <c r="D256" s="2" t="s">
        <v>768</v>
      </c>
      <c r="E256" s="2" t="s">
        <v>27</v>
      </c>
      <c r="F256" s="2" t="s">
        <v>809</v>
      </c>
      <c r="G256" s="2" t="s">
        <v>27</v>
      </c>
      <c r="H256" s="2">
        <v>70410</v>
      </c>
      <c r="I256" s="2">
        <v>70820</v>
      </c>
      <c r="J256" s="2" t="s">
        <v>28</v>
      </c>
      <c r="K256" s="2" t="s">
        <v>811</v>
      </c>
      <c r="L256" s="2" t="s">
        <v>36</v>
      </c>
      <c r="M256" s="2" t="s">
        <v>769</v>
      </c>
      <c r="N256" s="2">
        <v>2400</v>
      </c>
      <c r="O256" s="2">
        <v>2400</v>
      </c>
      <c r="P256" s="2">
        <v>2400</v>
      </c>
      <c r="Q256" s="3">
        <v>2400</v>
      </c>
      <c r="R256" s="2">
        <v>956</v>
      </c>
      <c r="S256" s="2">
        <v>956</v>
      </c>
      <c r="T256" s="2">
        <v>956</v>
      </c>
      <c r="U256" s="3">
        <v>956</v>
      </c>
      <c r="V256" s="3"/>
    </row>
    <row r="257" spans="2:22" ht="30" hidden="1" x14ac:dyDescent="0.25">
      <c r="B257" s="2" t="s">
        <v>807</v>
      </c>
      <c r="C257" s="2" t="s">
        <v>808</v>
      </c>
      <c r="D257" s="2" t="s">
        <v>768</v>
      </c>
      <c r="E257" s="2" t="s">
        <v>27</v>
      </c>
      <c r="F257" s="2" t="s">
        <v>809</v>
      </c>
      <c r="G257" s="2" t="s">
        <v>27</v>
      </c>
      <c r="H257" s="2">
        <v>70410</v>
      </c>
      <c r="I257" s="2">
        <v>70820</v>
      </c>
      <c r="J257" s="2" t="s">
        <v>28</v>
      </c>
      <c r="K257" s="2" t="s">
        <v>810</v>
      </c>
      <c r="L257" s="2" t="s">
        <v>36</v>
      </c>
      <c r="M257" s="2" t="s">
        <v>769</v>
      </c>
      <c r="N257" s="2">
        <v>2400</v>
      </c>
      <c r="O257" s="2">
        <v>2400</v>
      </c>
      <c r="P257" s="2">
        <v>2400</v>
      </c>
      <c r="Q257" s="3">
        <v>2400</v>
      </c>
      <c r="R257" s="2">
        <v>956</v>
      </c>
      <c r="S257" s="2">
        <v>956</v>
      </c>
      <c r="T257" s="2">
        <v>956</v>
      </c>
      <c r="U257" s="3">
        <v>956</v>
      </c>
      <c r="V257" s="3"/>
    </row>
    <row r="258" spans="2:22" ht="21" hidden="1" x14ac:dyDescent="0.25">
      <c r="B258" s="4" t="s">
        <v>772</v>
      </c>
      <c r="C258" s="4" t="s">
        <v>773</v>
      </c>
      <c r="D258" s="4" t="s">
        <v>767</v>
      </c>
      <c r="E258" s="4" t="s">
        <v>27</v>
      </c>
      <c r="F258" s="4" t="s">
        <v>768</v>
      </c>
      <c r="G258" s="4" t="s">
        <v>27</v>
      </c>
      <c r="H258" s="4">
        <v>70192</v>
      </c>
      <c r="I258" s="4">
        <v>70410</v>
      </c>
      <c r="J258" s="4" t="s">
        <v>28</v>
      </c>
      <c r="K258" s="4" t="s">
        <v>772</v>
      </c>
      <c r="L258" s="4" t="s">
        <v>29</v>
      </c>
      <c r="M258" s="4"/>
      <c r="N258" s="5">
        <v>1276</v>
      </c>
      <c r="O258" s="5">
        <v>1404</v>
      </c>
      <c r="P258" s="5">
        <v>1454</v>
      </c>
      <c r="Q258" s="5">
        <v>1599</v>
      </c>
      <c r="R258" s="5">
        <v>509</v>
      </c>
      <c r="S258" s="5">
        <v>559</v>
      </c>
      <c r="T258" s="5">
        <v>579</v>
      </c>
      <c r="U258" s="5">
        <v>637</v>
      </c>
      <c r="V258" s="5"/>
    </row>
    <row r="259" spans="2:22" ht="20" hidden="1" x14ac:dyDescent="0.25">
      <c r="B259" s="2" t="s">
        <v>772</v>
      </c>
      <c r="C259" s="2" t="s">
        <v>773</v>
      </c>
      <c r="D259" s="2" t="s">
        <v>767</v>
      </c>
      <c r="E259" s="2" t="s">
        <v>27</v>
      </c>
      <c r="F259" s="2" t="s">
        <v>768</v>
      </c>
      <c r="G259" s="2" t="s">
        <v>27</v>
      </c>
      <c r="H259" s="2">
        <v>70192</v>
      </c>
      <c r="I259" s="2">
        <v>70410</v>
      </c>
      <c r="J259" s="2" t="s">
        <v>28</v>
      </c>
      <c r="K259" s="2" t="s">
        <v>41</v>
      </c>
      <c r="L259" s="2" t="s">
        <v>31</v>
      </c>
      <c r="M259" s="2" t="s">
        <v>769</v>
      </c>
      <c r="N259" s="3">
        <v>1276</v>
      </c>
      <c r="O259" s="3">
        <v>1404</v>
      </c>
      <c r="P259" s="3">
        <v>1454</v>
      </c>
      <c r="Q259" s="3">
        <v>1599</v>
      </c>
      <c r="R259" s="3">
        <v>509</v>
      </c>
      <c r="S259" s="3">
        <v>559</v>
      </c>
      <c r="T259" s="3">
        <v>579</v>
      </c>
      <c r="U259" s="3">
        <v>637</v>
      </c>
      <c r="V259" s="3"/>
    </row>
    <row r="260" spans="2:22" ht="21" hidden="1" x14ac:dyDescent="0.25">
      <c r="B260" s="4" t="s">
        <v>358</v>
      </c>
      <c r="C260" s="4" t="s">
        <v>359</v>
      </c>
      <c r="D260" s="4" t="s">
        <v>349</v>
      </c>
      <c r="E260" s="4" t="s">
        <v>27</v>
      </c>
      <c r="F260" s="4" t="s">
        <v>45</v>
      </c>
      <c r="G260" s="4" t="s">
        <v>27</v>
      </c>
      <c r="H260" s="4">
        <v>70061</v>
      </c>
      <c r="I260" s="4">
        <v>70286</v>
      </c>
      <c r="J260" s="4" t="s">
        <v>28</v>
      </c>
      <c r="K260" s="4" t="s">
        <v>358</v>
      </c>
      <c r="L260" s="4" t="s">
        <v>29</v>
      </c>
      <c r="M260" s="4"/>
      <c r="N260" s="5">
        <v>1062</v>
      </c>
      <c r="O260" s="5">
        <v>1062</v>
      </c>
      <c r="P260" s="5">
        <v>1200</v>
      </c>
      <c r="Q260" s="5">
        <v>1200</v>
      </c>
      <c r="R260" s="5">
        <v>423</v>
      </c>
      <c r="S260" s="5">
        <v>423</v>
      </c>
      <c r="T260" s="5">
        <v>478</v>
      </c>
      <c r="U260" s="5">
        <v>478</v>
      </c>
      <c r="V260" s="5"/>
    </row>
    <row r="261" spans="2:22" hidden="1" x14ac:dyDescent="0.25">
      <c r="B261" s="2" t="s">
        <v>358</v>
      </c>
      <c r="C261" s="2" t="s">
        <v>359</v>
      </c>
      <c r="D261" s="2" t="s">
        <v>349</v>
      </c>
      <c r="E261" s="2" t="s">
        <v>27</v>
      </c>
      <c r="F261" s="2" t="s">
        <v>45</v>
      </c>
      <c r="G261" s="2" t="s">
        <v>27</v>
      </c>
      <c r="H261" s="2">
        <v>70061</v>
      </c>
      <c r="I261" s="2">
        <v>70286</v>
      </c>
      <c r="J261" s="2" t="s">
        <v>28</v>
      </c>
      <c r="K261" s="2" t="s">
        <v>358</v>
      </c>
      <c r="L261" s="2" t="s">
        <v>30</v>
      </c>
      <c r="M261" s="2" t="s">
        <v>359</v>
      </c>
      <c r="N261" s="3">
        <v>1062</v>
      </c>
      <c r="O261" s="3">
        <v>1062</v>
      </c>
      <c r="P261" s="2">
        <v>1348</v>
      </c>
      <c r="Q261" s="2">
        <v>1348</v>
      </c>
      <c r="R261" s="3">
        <v>423</v>
      </c>
      <c r="S261" s="3">
        <v>423</v>
      </c>
      <c r="T261" s="2">
        <v>537</v>
      </c>
      <c r="U261" s="2">
        <v>537</v>
      </c>
      <c r="V261" s="2"/>
    </row>
    <row r="262" spans="2:22" ht="30" hidden="1" x14ac:dyDescent="0.25">
      <c r="B262" s="2" t="s">
        <v>358</v>
      </c>
      <c r="C262" s="2" t="s">
        <v>359</v>
      </c>
      <c r="D262" s="2" t="s">
        <v>349</v>
      </c>
      <c r="E262" s="2" t="s">
        <v>27</v>
      </c>
      <c r="F262" s="2" t="s">
        <v>45</v>
      </c>
      <c r="G262" s="2" t="s">
        <v>27</v>
      </c>
      <c r="H262" s="2">
        <v>70061</v>
      </c>
      <c r="I262" s="2">
        <v>70286</v>
      </c>
      <c r="J262" s="2" t="s">
        <v>28</v>
      </c>
      <c r="K262" s="2" t="s">
        <v>360</v>
      </c>
      <c r="L262" s="2" t="s">
        <v>36</v>
      </c>
      <c r="M262" s="2" t="s">
        <v>46</v>
      </c>
      <c r="N262" s="2">
        <v>1200</v>
      </c>
      <c r="O262" s="2">
        <v>1200</v>
      </c>
      <c r="P262" s="3">
        <v>1200</v>
      </c>
      <c r="Q262" s="3">
        <v>1200</v>
      </c>
      <c r="R262" s="2">
        <v>478</v>
      </c>
      <c r="S262" s="2">
        <v>478</v>
      </c>
      <c r="T262" s="3">
        <v>478</v>
      </c>
      <c r="U262" s="3">
        <v>478</v>
      </c>
      <c r="V262" s="3"/>
    </row>
    <row r="263" spans="2:22" ht="30" hidden="1" x14ac:dyDescent="0.25">
      <c r="B263" s="2" t="s">
        <v>358</v>
      </c>
      <c r="C263" s="2" t="s">
        <v>359</v>
      </c>
      <c r="D263" s="2" t="s">
        <v>349</v>
      </c>
      <c r="E263" s="2" t="s">
        <v>27</v>
      </c>
      <c r="F263" s="2" t="s">
        <v>45</v>
      </c>
      <c r="G263" s="2" t="s">
        <v>27</v>
      </c>
      <c r="H263" s="2">
        <v>70061</v>
      </c>
      <c r="I263" s="2">
        <v>70286</v>
      </c>
      <c r="J263" s="2" t="s">
        <v>28</v>
      </c>
      <c r="K263" s="2" t="s">
        <v>361</v>
      </c>
      <c r="L263" s="2" t="s">
        <v>36</v>
      </c>
      <c r="M263" s="2" t="s">
        <v>354</v>
      </c>
      <c r="N263" s="2">
        <v>1200</v>
      </c>
      <c r="O263" s="2">
        <v>1200</v>
      </c>
      <c r="P263" s="3">
        <v>1200</v>
      </c>
      <c r="Q263" s="3">
        <v>1200</v>
      </c>
      <c r="R263" s="2">
        <v>478</v>
      </c>
      <c r="S263" s="2">
        <v>478</v>
      </c>
      <c r="T263" s="3">
        <v>478</v>
      </c>
      <c r="U263" s="3">
        <v>478</v>
      </c>
      <c r="V263" s="3"/>
    </row>
    <row r="264" spans="2:22" ht="30" hidden="1" x14ac:dyDescent="0.25">
      <c r="B264" s="2" t="s">
        <v>358</v>
      </c>
      <c r="C264" s="2" t="s">
        <v>359</v>
      </c>
      <c r="D264" s="2" t="s">
        <v>349</v>
      </c>
      <c r="E264" s="2" t="s">
        <v>27</v>
      </c>
      <c r="F264" s="2" t="s">
        <v>45</v>
      </c>
      <c r="G264" s="2" t="s">
        <v>27</v>
      </c>
      <c r="H264" s="2">
        <v>70061</v>
      </c>
      <c r="I264" s="2">
        <v>70286</v>
      </c>
      <c r="J264" s="2" t="s">
        <v>28</v>
      </c>
      <c r="K264" s="2" t="s">
        <v>362</v>
      </c>
      <c r="L264" s="2" t="s">
        <v>36</v>
      </c>
      <c r="M264" s="2" t="s">
        <v>46</v>
      </c>
      <c r="N264" s="2">
        <v>1200</v>
      </c>
      <c r="O264" s="2">
        <v>1200</v>
      </c>
      <c r="P264" s="3">
        <v>1200</v>
      </c>
      <c r="Q264" s="3">
        <v>1200</v>
      </c>
      <c r="R264" s="2">
        <v>478</v>
      </c>
      <c r="S264" s="2">
        <v>478</v>
      </c>
      <c r="T264" s="3">
        <v>478</v>
      </c>
      <c r="U264" s="3">
        <v>478</v>
      </c>
      <c r="V264" s="3"/>
    </row>
    <row r="265" spans="2:22" ht="21" hidden="1" x14ac:dyDescent="0.25">
      <c r="B265" s="4" t="s">
        <v>351</v>
      </c>
      <c r="C265" s="4" t="s">
        <v>352</v>
      </c>
      <c r="D265" s="4" t="s">
        <v>349</v>
      </c>
      <c r="E265" s="4" t="s">
        <v>27</v>
      </c>
      <c r="F265" s="4" t="s">
        <v>44</v>
      </c>
      <c r="G265" s="4" t="s">
        <v>27</v>
      </c>
      <c r="H265" s="4">
        <v>70061</v>
      </c>
      <c r="I265" s="4">
        <v>70254</v>
      </c>
      <c r="J265" s="4" t="s">
        <v>42</v>
      </c>
      <c r="K265" s="4" t="s">
        <v>351</v>
      </c>
      <c r="L265" s="4" t="s">
        <v>29</v>
      </c>
      <c r="M265" s="4"/>
      <c r="N265" s="5">
        <v>1200</v>
      </c>
      <c r="O265" s="5">
        <v>1200</v>
      </c>
      <c r="P265" s="5">
        <v>1200</v>
      </c>
      <c r="Q265" s="5">
        <v>1200</v>
      </c>
      <c r="R265" s="5">
        <v>478</v>
      </c>
      <c r="S265" s="5">
        <v>478</v>
      </c>
      <c r="T265" s="5">
        <v>478</v>
      </c>
      <c r="U265" s="5">
        <v>478</v>
      </c>
      <c r="V265" s="5"/>
    </row>
    <row r="266" spans="2:22" ht="20" hidden="1" x14ac:dyDescent="0.25">
      <c r="B266" s="2" t="s">
        <v>351</v>
      </c>
      <c r="C266" s="2" t="s">
        <v>352</v>
      </c>
      <c r="D266" s="2" t="s">
        <v>349</v>
      </c>
      <c r="E266" s="2" t="s">
        <v>27</v>
      </c>
      <c r="F266" s="2" t="s">
        <v>44</v>
      </c>
      <c r="G266" s="2" t="s">
        <v>27</v>
      </c>
      <c r="H266" s="2">
        <v>70061</v>
      </c>
      <c r="I266" s="2">
        <v>70254</v>
      </c>
      <c r="J266" s="2" t="s">
        <v>42</v>
      </c>
      <c r="K266" s="2" t="s">
        <v>353</v>
      </c>
      <c r="L266" s="2" t="s">
        <v>39</v>
      </c>
      <c r="M266" s="2" t="s">
        <v>354</v>
      </c>
      <c r="N266" s="3">
        <v>1200</v>
      </c>
      <c r="O266" s="3">
        <v>1200</v>
      </c>
      <c r="P266" s="3">
        <v>1200</v>
      </c>
      <c r="Q266" s="3">
        <v>1200</v>
      </c>
      <c r="R266" s="3">
        <v>478</v>
      </c>
      <c r="S266" s="3">
        <v>478</v>
      </c>
      <c r="T266" s="3">
        <v>478</v>
      </c>
      <c r="U266" s="3">
        <v>478</v>
      </c>
      <c r="V266" s="3"/>
    </row>
    <row r="267" spans="2:22" ht="20" hidden="1" x14ac:dyDescent="0.25">
      <c r="B267" s="2" t="s">
        <v>351</v>
      </c>
      <c r="C267" s="2" t="s">
        <v>352</v>
      </c>
      <c r="D267" s="2" t="s">
        <v>349</v>
      </c>
      <c r="E267" s="2" t="s">
        <v>27</v>
      </c>
      <c r="F267" s="2" t="s">
        <v>44</v>
      </c>
      <c r="G267" s="2" t="s">
        <v>27</v>
      </c>
      <c r="H267" s="2">
        <v>70061</v>
      </c>
      <c r="I267" s="2">
        <v>70254</v>
      </c>
      <c r="J267" s="2" t="s">
        <v>42</v>
      </c>
      <c r="K267" s="2" t="s">
        <v>355</v>
      </c>
      <c r="L267" s="2" t="s">
        <v>39</v>
      </c>
      <c r="M267" s="2" t="s">
        <v>354</v>
      </c>
      <c r="N267" s="3">
        <v>1200</v>
      </c>
      <c r="O267" s="3">
        <v>1200</v>
      </c>
      <c r="P267" s="3">
        <v>1200</v>
      </c>
      <c r="Q267" s="3">
        <v>1200</v>
      </c>
      <c r="R267" s="3">
        <v>478</v>
      </c>
      <c r="S267" s="3">
        <v>478</v>
      </c>
      <c r="T267" s="3">
        <v>478</v>
      </c>
      <c r="U267" s="3">
        <v>478</v>
      </c>
      <c r="V267" s="3"/>
    </row>
    <row r="268" spans="2:22" ht="20" hidden="1" x14ac:dyDescent="0.25">
      <c r="B268" s="2" t="s">
        <v>351</v>
      </c>
      <c r="C268" s="2" t="s">
        <v>352</v>
      </c>
      <c r="D268" s="2" t="s">
        <v>349</v>
      </c>
      <c r="E268" s="2" t="s">
        <v>27</v>
      </c>
      <c r="F268" s="2" t="s">
        <v>44</v>
      </c>
      <c r="G268" s="2" t="s">
        <v>27</v>
      </c>
      <c r="H268" s="2">
        <v>70061</v>
      </c>
      <c r="I268" s="2">
        <v>70254</v>
      </c>
      <c r="J268" s="2" t="s">
        <v>42</v>
      </c>
      <c r="K268" s="2" t="s">
        <v>356</v>
      </c>
      <c r="L268" s="2" t="s">
        <v>39</v>
      </c>
      <c r="M268" s="2" t="s">
        <v>354</v>
      </c>
      <c r="N268" s="3">
        <v>1200</v>
      </c>
      <c r="O268" s="3">
        <v>1200</v>
      </c>
      <c r="P268" s="3">
        <v>1200</v>
      </c>
      <c r="Q268" s="3">
        <v>1200</v>
      </c>
      <c r="R268" s="3">
        <v>478</v>
      </c>
      <c r="S268" s="3">
        <v>478</v>
      </c>
      <c r="T268" s="3">
        <v>478</v>
      </c>
      <c r="U268" s="3">
        <v>478</v>
      </c>
      <c r="V268" s="3"/>
    </row>
    <row r="269" spans="2:22" ht="30" hidden="1" x14ac:dyDescent="0.25">
      <c r="B269" s="2" t="s">
        <v>351</v>
      </c>
      <c r="C269" s="2" t="s">
        <v>352</v>
      </c>
      <c r="D269" s="2" t="s">
        <v>349</v>
      </c>
      <c r="E269" s="2" t="s">
        <v>27</v>
      </c>
      <c r="F269" s="2" t="s">
        <v>44</v>
      </c>
      <c r="G269" s="2" t="s">
        <v>27</v>
      </c>
      <c r="H269" s="2">
        <v>70061</v>
      </c>
      <c r="I269" s="2">
        <v>70254</v>
      </c>
      <c r="J269" s="2" t="s">
        <v>42</v>
      </c>
      <c r="K269" s="2" t="s">
        <v>357</v>
      </c>
      <c r="L269" s="2" t="s">
        <v>36</v>
      </c>
      <c r="M269" s="2" t="s">
        <v>354</v>
      </c>
      <c r="N269" s="3">
        <v>1200</v>
      </c>
      <c r="O269" s="3">
        <v>1200</v>
      </c>
      <c r="P269" s="3">
        <v>1200</v>
      </c>
      <c r="Q269" s="3">
        <v>1200</v>
      </c>
      <c r="R269" s="3">
        <v>478</v>
      </c>
      <c r="S269" s="3">
        <v>478</v>
      </c>
      <c r="T269" s="3">
        <v>478</v>
      </c>
      <c r="U269" s="3">
        <v>478</v>
      </c>
      <c r="V269" s="3"/>
    </row>
    <row r="270" spans="2:22" ht="21" hidden="1" x14ac:dyDescent="0.25">
      <c r="B270" s="4" t="s">
        <v>363</v>
      </c>
      <c r="C270" s="4" t="s">
        <v>364</v>
      </c>
      <c r="D270" s="4" t="s">
        <v>245</v>
      </c>
      <c r="E270" s="4" t="s">
        <v>27</v>
      </c>
      <c r="F270" s="4" t="s">
        <v>365</v>
      </c>
      <c r="G270" s="4" t="s">
        <v>27</v>
      </c>
      <c r="H270" s="4">
        <v>70064</v>
      </c>
      <c r="I270" s="4">
        <v>70156</v>
      </c>
      <c r="J270" s="4" t="s">
        <v>28</v>
      </c>
      <c r="K270" s="4" t="s">
        <v>363</v>
      </c>
      <c r="L270" s="4" t="s">
        <v>29</v>
      </c>
      <c r="M270" s="4"/>
      <c r="N270" s="5">
        <v>1964</v>
      </c>
      <c r="O270" s="5">
        <v>2000</v>
      </c>
      <c r="P270" s="5">
        <v>2143</v>
      </c>
      <c r="Q270" s="5">
        <v>2208</v>
      </c>
      <c r="R270" s="5">
        <v>782</v>
      </c>
      <c r="S270" s="5">
        <v>797</v>
      </c>
      <c r="T270" s="5">
        <v>854</v>
      </c>
      <c r="U270" s="5">
        <v>880</v>
      </c>
      <c r="V270" s="5"/>
    </row>
    <row r="271" spans="2:22" ht="20" hidden="1" x14ac:dyDescent="0.25">
      <c r="B271" s="2" t="s">
        <v>363</v>
      </c>
      <c r="C271" s="2" t="s">
        <v>364</v>
      </c>
      <c r="D271" s="2" t="s">
        <v>245</v>
      </c>
      <c r="E271" s="2" t="s">
        <v>27</v>
      </c>
      <c r="F271" s="2" t="s">
        <v>365</v>
      </c>
      <c r="G271" s="2" t="s">
        <v>27</v>
      </c>
      <c r="H271" s="2">
        <v>70064</v>
      </c>
      <c r="I271" s="2">
        <v>70156</v>
      </c>
      <c r="J271" s="2" t="s">
        <v>28</v>
      </c>
      <c r="K271" s="2" t="s">
        <v>363</v>
      </c>
      <c r="L271" s="2" t="s">
        <v>30</v>
      </c>
      <c r="M271" s="2" t="s">
        <v>364</v>
      </c>
      <c r="N271" s="3">
        <v>1964</v>
      </c>
      <c r="O271" s="2">
        <v>2161</v>
      </c>
      <c r="P271" s="3">
        <v>2143</v>
      </c>
      <c r="Q271" s="2">
        <v>2358</v>
      </c>
      <c r="R271" s="3">
        <v>782</v>
      </c>
      <c r="S271" s="2">
        <v>861</v>
      </c>
      <c r="T271" s="3">
        <v>854</v>
      </c>
      <c r="U271" s="2">
        <v>939</v>
      </c>
      <c r="V271" s="2"/>
    </row>
    <row r="272" spans="2:22" ht="20" hidden="1" x14ac:dyDescent="0.25">
      <c r="B272" s="2" t="s">
        <v>363</v>
      </c>
      <c r="C272" s="2" t="s">
        <v>364</v>
      </c>
      <c r="D272" s="2" t="s">
        <v>245</v>
      </c>
      <c r="E272" s="2" t="s">
        <v>27</v>
      </c>
      <c r="F272" s="2" t="s">
        <v>365</v>
      </c>
      <c r="G272" s="2" t="s">
        <v>27</v>
      </c>
      <c r="H272" s="2">
        <v>70064</v>
      </c>
      <c r="I272" s="2">
        <v>70156</v>
      </c>
      <c r="J272" s="2" t="s">
        <v>28</v>
      </c>
      <c r="K272" s="2"/>
      <c r="L272" s="2" t="s">
        <v>301</v>
      </c>
      <c r="M272" s="2" t="s">
        <v>366</v>
      </c>
      <c r="N272" s="2">
        <v>2000</v>
      </c>
      <c r="O272" s="3">
        <v>2000</v>
      </c>
      <c r="P272" s="2">
        <v>2208</v>
      </c>
      <c r="Q272" s="3">
        <v>2208</v>
      </c>
      <c r="R272" s="2">
        <v>797</v>
      </c>
      <c r="S272" s="3">
        <v>797</v>
      </c>
      <c r="T272" s="2">
        <v>880</v>
      </c>
      <c r="U272" s="3">
        <v>880</v>
      </c>
      <c r="V272" s="3"/>
    </row>
    <row r="273" spans="2:22" ht="21" hidden="1" x14ac:dyDescent="0.25">
      <c r="B273" s="4" t="s">
        <v>670</v>
      </c>
      <c r="C273" s="4" t="s">
        <v>671</v>
      </c>
      <c r="D273" s="4" t="s">
        <v>365</v>
      </c>
      <c r="E273" s="4" t="s">
        <v>27</v>
      </c>
      <c r="F273" s="4" t="s">
        <v>672</v>
      </c>
      <c r="G273" s="4" t="s">
        <v>27</v>
      </c>
      <c r="H273" s="4">
        <v>70156</v>
      </c>
      <c r="I273" s="4">
        <v>2102</v>
      </c>
      <c r="J273" s="4" t="s">
        <v>28</v>
      </c>
      <c r="K273" s="4" t="s">
        <v>670</v>
      </c>
      <c r="L273" s="4" t="s">
        <v>29</v>
      </c>
      <c r="M273" s="4"/>
      <c r="N273" s="5">
        <v>1270</v>
      </c>
      <c r="O273" s="5">
        <v>1397</v>
      </c>
      <c r="P273" s="5">
        <v>1447</v>
      </c>
      <c r="Q273" s="5">
        <v>1592</v>
      </c>
      <c r="R273" s="5">
        <v>506</v>
      </c>
      <c r="S273" s="5">
        <v>557</v>
      </c>
      <c r="T273" s="5">
        <v>576</v>
      </c>
      <c r="U273" s="5">
        <v>634</v>
      </c>
      <c r="V273" s="5"/>
    </row>
    <row r="274" spans="2:22" hidden="1" x14ac:dyDescent="0.25">
      <c r="B274" s="2" t="s">
        <v>670</v>
      </c>
      <c r="C274" s="2" t="s">
        <v>671</v>
      </c>
      <c r="D274" s="2" t="s">
        <v>365</v>
      </c>
      <c r="E274" s="2" t="s">
        <v>27</v>
      </c>
      <c r="F274" s="2" t="s">
        <v>672</v>
      </c>
      <c r="G274" s="2" t="s">
        <v>27</v>
      </c>
      <c r="H274" s="2">
        <v>70156</v>
      </c>
      <c r="I274" s="2">
        <v>2102</v>
      </c>
      <c r="J274" s="2" t="s">
        <v>28</v>
      </c>
      <c r="K274" s="2" t="s">
        <v>670</v>
      </c>
      <c r="L274" s="2" t="s">
        <v>30</v>
      </c>
      <c r="M274" s="2" t="s">
        <v>671</v>
      </c>
      <c r="N274" s="3">
        <v>1270</v>
      </c>
      <c r="O274" s="3">
        <v>1397</v>
      </c>
      <c r="P274" s="3">
        <v>1447</v>
      </c>
      <c r="Q274" s="3">
        <v>1592</v>
      </c>
      <c r="R274" s="3">
        <v>506</v>
      </c>
      <c r="S274" s="3">
        <v>557</v>
      </c>
      <c r="T274" s="3">
        <v>576</v>
      </c>
      <c r="U274" s="3">
        <v>634</v>
      </c>
      <c r="V274" s="3"/>
    </row>
    <row r="275" spans="2:22" ht="21" hidden="1" x14ac:dyDescent="0.25">
      <c r="B275" s="4" t="s">
        <v>1164</v>
      </c>
      <c r="C275" s="4" t="s">
        <v>1165</v>
      </c>
      <c r="D275" s="4" t="s">
        <v>672</v>
      </c>
      <c r="E275" s="4" t="s">
        <v>27</v>
      </c>
      <c r="F275" s="4" t="s">
        <v>343</v>
      </c>
      <c r="G275" s="4" t="s">
        <v>27</v>
      </c>
      <c r="H275" s="4">
        <v>2102</v>
      </c>
      <c r="I275" s="4">
        <v>70053</v>
      </c>
      <c r="J275" s="4" t="s">
        <v>42</v>
      </c>
      <c r="K275" s="4" t="s">
        <v>1164</v>
      </c>
      <c r="L275" s="4" t="s">
        <v>29</v>
      </c>
      <c r="M275" s="4"/>
      <c r="N275" s="5">
        <v>1270</v>
      </c>
      <c r="O275" s="5">
        <v>1397</v>
      </c>
      <c r="P275" s="5">
        <v>1447</v>
      </c>
      <c r="Q275" s="5">
        <v>1592</v>
      </c>
      <c r="R275" s="5">
        <v>506</v>
      </c>
      <c r="S275" s="5">
        <v>557</v>
      </c>
      <c r="T275" s="5">
        <v>576</v>
      </c>
      <c r="U275" s="5">
        <v>634</v>
      </c>
      <c r="V275" s="5"/>
    </row>
    <row r="276" spans="2:22" ht="20" hidden="1" x14ac:dyDescent="0.25">
      <c r="B276" s="2" t="s">
        <v>1164</v>
      </c>
      <c r="C276" s="2" t="s">
        <v>1165</v>
      </c>
      <c r="D276" s="2" t="s">
        <v>672</v>
      </c>
      <c r="E276" s="2" t="s">
        <v>27</v>
      </c>
      <c r="F276" s="2" t="s">
        <v>343</v>
      </c>
      <c r="G276" s="2" t="s">
        <v>27</v>
      </c>
      <c r="H276" s="2">
        <v>2102</v>
      </c>
      <c r="I276" s="2">
        <v>70053</v>
      </c>
      <c r="J276" s="2" t="s">
        <v>42</v>
      </c>
      <c r="K276" s="2" t="s">
        <v>1164</v>
      </c>
      <c r="L276" s="2" t="s">
        <v>30</v>
      </c>
      <c r="M276" s="2" t="s">
        <v>1165</v>
      </c>
      <c r="N276" s="3">
        <v>1270</v>
      </c>
      <c r="O276" s="3">
        <v>1397</v>
      </c>
      <c r="P276" s="3">
        <v>1447</v>
      </c>
      <c r="Q276" s="3">
        <v>1592</v>
      </c>
      <c r="R276" s="3">
        <v>506</v>
      </c>
      <c r="S276" s="3">
        <v>557</v>
      </c>
      <c r="T276" s="3">
        <v>576</v>
      </c>
      <c r="U276" s="3">
        <v>634</v>
      </c>
      <c r="V276" s="3"/>
    </row>
    <row r="277" spans="2:22" ht="31.5" hidden="1" x14ac:dyDescent="0.25">
      <c r="B277" s="4" t="s">
        <v>1298</v>
      </c>
      <c r="C277" s="4" t="s">
        <v>1299</v>
      </c>
      <c r="D277" s="4" t="s">
        <v>381</v>
      </c>
      <c r="E277" s="4" t="s">
        <v>27</v>
      </c>
      <c r="F277" s="4" t="s">
        <v>814</v>
      </c>
      <c r="G277" s="4" t="s">
        <v>27</v>
      </c>
      <c r="H277" s="4">
        <v>70447</v>
      </c>
      <c r="I277" s="4">
        <v>70592</v>
      </c>
      <c r="J277" s="4" t="s">
        <v>28</v>
      </c>
      <c r="K277" s="4" t="s">
        <v>1298</v>
      </c>
      <c r="L277" s="4" t="s">
        <v>29</v>
      </c>
      <c r="M277" s="4"/>
      <c r="N277" s="5">
        <v>1318</v>
      </c>
      <c r="O277" s="5">
        <v>1450</v>
      </c>
      <c r="P277" s="5">
        <v>1486</v>
      </c>
      <c r="Q277" s="5">
        <v>1635</v>
      </c>
      <c r="R277" s="5">
        <v>525</v>
      </c>
      <c r="S277" s="5">
        <v>578</v>
      </c>
      <c r="T277" s="5">
        <v>592</v>
      </c>
      <c r="U277" s="5">
        <v>651</v>
      </c>
      <c r="V277" s="5"/>
    </row>
    <row r="278" spans="2:22" ht="30" hidden="1" x14ac:dyDescent="0.25">
      <c r="B278" s="2" t="s">
        <v>1298</v>
      </c>
      <c r="C278" s="2" t="s">
        <v>1299</v>
      </c>
      <c r="D278" s="2" t="s">
        <v>381</v>
      </c>
      <c r="E278" s="2" t="s">
        <v>27</v>
      </c>
      <c r="F278" s="2" t="s">
        <v>814</v>
      </c>
      <c r="G278" s="2" t="s">
        <v>27</v>
      </c>
      <c r="H278" s="2">
        <v>70447</v>
      </c>
      <c r="I278" s="2">
        <v>70592</v>
      </c>
      <c r="J278" s="2" t="s">
        <v>28</v>
      </c>
      <c r="K278" s="2" t="s">
        <v>1298</v>
      </c>
      <c r="L278" s="2" t="s">
        <v>30</v>
      </c>
      <c r="M278" s="2" t="s">
        <v>1299</v>
      </c>
      <c r="N278" s="3">
        <v>1318</v>
      </c>
      <c r="O278" s="3">
        <v>1450</v>
      </c>
      <c r="P278" s="3">
        <v>1486</v>
      </c>
      <c r="Q278" s="3">
        <v>1635</v>
      </c>
      <c r="R278" s="3">
        <v>525</v>
      </c>
      <c r="S278" s="3">
        <v>578</v>
      </c>
      <c r="T278" s="3">
        <v>592</v>
      </c>
      <c r="U278" s="3">
        <v>651</v>
      </c>
      <c r="V278" s="3"/>
    </row>
    <row r="279" spans="2:22" ht="21" hidden="1" x14ac:dyDescent="0.25">
      <c r="B279" s="4" t="s">
        <v>1062</v>
      </c>
      <c r="C279" s="4" t="s">
        <v>1063</v>
      </c>
      <c r="D279" s="4" t="s">
        <v>1064</v>
      </c>
      <c r="E279" s="4" t="s">
        <v>27</v>
      </c>
      <c r="F279" s="4" t="s">
        <v>211</v>
      </c>
      <c r="G279" s="4" t="s">
        <v>27</v>
      </c>
      <c r="H279" s="4">
        <v>70574</v>
      </c>
      <c r="I279" s="4">
        <v>70570</v>
      </c>
      <c r="J279" s="4" t="s">
        <v>28</v>
      </c>
      <c r="K279" s="4" t="s">
        <v>1062</v>
      </c>
      <c r="L279" s="4" t="s">
        <v>29</v>
      </c>
      <c r="M279" s="4"/>
      <c r="N279" s="5">
        <v>1271</v>
      </c>
      <c r="O279" s="5">
        <v>1398</v>
      </c>
      <c r="P279" s="5">
        <v>1435</v>
      </c>
      <c r="Q279" s="5">
        <v>1579</v>
      </c>
      <c r="R279" s="5">
        <v>506</v>
      </c>
      <c r="S279" s="5">
        <v>557</v>
      </c>
      <c r="T279" s="5">
        <v>572</v>
      </c>
      <c r="U279" s="5">
        <v>629</v>
      </c>
      <c r="V279" s="5"/>
    </row>
    <row r="280" spans="2:22" ht="20" hidden="1" x14ac:dyDescent="0.25">
      <c r="B280" s="2" t="s">
        <v>1062</v>
      </c>
      <c r="C280" s="2" t="s">
        <v>1063</v>
      </c>
      <c r="D280" s="2" t="s">
        <v>1064</v>
      </c>
      <c r="E280" s="2" t="s">
        <v>27</v>
      </c>
      <c r="F280" s="2" t="s">
        <v>211</v>
      </c>
      <c r="G280" s="2" t="s">
        <v>27</v>
      </c>
      <c r="H280" s="2">
        <v>70574</v>
      </c>
      <c r="I280" s="2">
        <v>70570</v>
      </c>
      <c r="J280" s="2" t="s">
        <v>28</v>
      </c>
      <c r="K280" s="2" t="s">
        <v>1062</v>
      </c>
      <c r="L280" s="2" t="s">
        <v>30</v>
      </c>
      <c r="M280" s="2" t="s">
        <v>1063</v>
      </c>
      <c r="N280" s="3">
        <v>1271</v>
      </c>
      <c r="O280" s="3">
        <v>1398</v>
      </c>
      <c r="P280" s="3">
        <v>1435</v>
      </c>
      <c r="Q280" s="3">
        <v>1579</v>
      </c>
      <c r="R280" s="3">
        <v>506</v>
      </c>
      <c r="S280" s="3">
        <v>557</v>
      </c>
      <c r="T280" s="3">
        <v>572</v>
      </c>
      <c r="U280" s="3">
        <v>629</v>
      </c>
      <c r="V280" s="3"/>
    </row>
    <row r="281" spans="2:22" ht="21" hidden="1" x14ac:dyDescent="0.25">
      <c r="B281" s="4" t="s">
        <v>1065</v>
      </c>
      <c r="C281" s="4" t="s">
        <v>1063</v>
      </c>
      <c r="D281" s="4" t="s">
        <v>1064</v>
      </c>
      <c r="E281" s="4" t="s">
        <v>27</v>
      </c>
      <c r="F281" s="4" t="s">
        <v>1066</v>
      </c>
      <c r="G281" s="4" t="s">
        <v>27</v>
      </c>
      <c r="H281" s="4">
        <v>70574</v>
      </c>
      <c r="I281" s="4">
        <v>70543</v>
      </c>
      <c r="J281" s="4" t="s">
        <v>28</v>
      </c>
      <c r="K281" s="4" t="s">
        <v>1065</v>
      </c>
      <c r="L281" s="4" t="s">
        <v>29</v>
      </c>
      <c r="M281" s="4"/>
      <c r="N281" s="5">
        <v>1261</v>
      </c>
      <c r="O281" s="5">
        <v>1387</v>
      </c>
      <c r="P281" s="5">
        <v>1435</v>
      </c>
      <c r="Q281" s="5">
        <v>1579</v>
      </c>
      <c r="R281" s="5">
        <v>502</v>
      </c>
      <c r="S281" s="5">
        <v>553</v>
      </c>
      <c r="T281" s="5">
        <v>572</v>
      </c>
      <c r="U281" s="5">
        <v>629</v>
      </c>
      <c r="V281" s="5"/>
    </row>
    <row r="282" spans="2:22" ht="20" hidden="1" x14ac:dyDescent="0.25">
      <c r="B282" s="2" t="s">
        <v>1065</v>
      </c>
      <c r="C282" s="2" t="s">
        <v>1063</v>
      </c>
      <c r="D282" s="2" t="s">
        <v>1064</v>
      </c>
      <c r="E282" s="2" t="s">
        <v>27</v>
      </c>
      <c r="F282" s="2" t="s">
        <v>1066</v>
      </c>
      <c r="G282" s="2" t="s">
        <v>27</v>
      </c>
      <c r="H282" s="2">
        <v>70574</v>
      </c>
      <c r="I282" s="2">
        <v>70543</v>
      </c>
      <c r="J282" s="2" t="s">
        <v>28</v>
      </c>
      <c r="K282" s="2" t="s">
        <v>1065</v>
      </c>
      <c r="L282" s="2" t="s">
        <v>30</v>
      </c>
      <c r="M282" s="2" t="s">
        <v>1063</v>
      </c>
      <c r="N282" s="3">
        <v>1261</v>
      </c>
      <c r="O282" s="3">
        <v>1387</v>
      </c>
      <c r="P282" s="3">
        <v>1435</v>
      </c>
      <c r="Q282" s="3">
        <v>1579</v>
      </c>
      <c r="R282" s="3">
        <v>502</v>
      </c>
      <c r="S282" s="3">
        <v>553</v>
      </c>
      <c r="T282" s="3">
        <v>572</v>
      </c>
      <c r="U282" s="3">
        <v>629</v>
      </c>
      <c r="V282" s="3"/>
    </row>
    <row r="283" spans="2:22" ht="31.5" hidden="1" x14ac:dyDescent="0.25">
      <c r="B283" s="4" t="s">
        <v>1297</v>
      </c>
      <c r="C283" s="4" t="s">
        <v>1063</v>
      </c>
      <c r="D283" s="4" t="s">
        <v>381</v>
      </c>
      <c r="E283" s="4" t="s">
        <v>27</v>
      </c>
      <c r="F283" s="4" t="s">
        <v>1066</v>
      </c>
      <c r="G283" s="4" t="s">
        <v>27</v>
      </c>
      <c r="H283" s="4">
        <v>70447</v>
      </c>
      <c r="I283" s="4">
        <v>70543</v>
      </c>
      <c r="J283" s="4" t="s">
        <v>28</v>
      </c>
      <c r="K283" s="4" t="s">
        <v>1297</v>
      </c>
      <c r="L283" s="4" t="s">
        <v>29</v>
      </c>
      <c r="M283" s="4"/>
      <c r="N283" s="5">
        <v>1207</v>
      </c>
      <c r="O283" s="5">
        <v>1328</v>
      </c>
      <c r="P283" s="5">
        <v>1395</v>
      </c>
      <c r="Q283" s="5">
        <v>1535</v>
      </c>
      <c r="R283" s="5">
        <v>481</v>
      </c>
      <c r="S283" s="5">
        <v>529</v>
      </c>
      <c r="T283" s="5">
        <v>556</v>
      </c>
      <c r="U283" s="5">
        <v>612</v>
      </c>
      <c r="V283" s="5"/>
    </row>
    <row r="284" spans="2:22" ht="30" hidden="1" x14ac:dyDescent="0.25">
      <c r="B284" s="2" t="s">
        <v>1297</v>
      </c>
      <c r="C284" s="2" t="s">
        <v>1063</v>
      </c>
      <c r="D284" s="2" t="s">
        <v>381</v>
      </c>
      <c r="E284" s="2" t="s">
        <v>27</v>
      </c>
      <c r="F284" s="2" t="s">
        <v>1066</v>
      </c>
      <c r="G284" s="2" t="s">
        <v>27</v>
      </c>
      <c r="H284" s="2">
        <v>70447</v>
      </c>
      <c r="I284" s="2">
        <v>70543</v>
      </c>
      <c r="J284" s="2" t="s">
        <v>28</v>
      </c>
      <c r="K284" s="2" t="s">
        <v>1297</v>
      </c>
      <c r="L284" s="2" t="s">
        <v>30</v>
      </c>
      <c r="M284" s="2" t="s">
        <v>1063</v>
      </c>
      <c r="N284" s="3">
        <v>1207</v>
      </c>
      <c r="O284" s="3">
        <v>1328</v>
      </c>
      <c r="P284" s="3">
        <v>1395</v>
      </c>
      <c r="Q284" s="3">
        <v>1535</v>
      </c>
      <c r="R284" s="3">
        <v>481</v>
      </c>
      <c r="S284" s="3">
        <v>529</v>
      </c>
      <c r="T284" s="3">
        <v>556</v>
      </c>
      <c r="U284" s="3">
        <v>612</v>
      </c>
      <c r="V284" s="3"/>
    </row>
    <row r="285" spans="2:22" ht="21" hidden="1" x14ac:dyDescent="0.25">
      <c r="B285" s="4" t="s">
        <v>584</v>
      </c>
      <c r="C285" s="4" t="s">
        <v>585</v>
      </c>
      <c r="D285" s="4" t="s">
        <v>350</v>
      </c>
      <c r="E285" s="4" t="s">
        <v>27</v>
      </c>
      <c r="F285" s="4" t="s">
        <v>586</v>
      </c>
      <c r="G285" s="4" t="s">
        <v>40</v>
      </c>
      <c r="H285" s="4">
        <v>70122</v>
      </c>
      <c r="I285" s="4">
        <v>70961</v>
      </c>
      <c r="J285" s="4" t="s">
        <v>42</v>
      </c>
      <c r="K285" s="4" t="s">
        <v>584</v>
      </c>
      <c r="L285" s="4" t="s">
        <v>29</v>
      </c>
      <c r="M285" s="4"/>
      <c r="N285" s="5">
        <v>900</v>
      </c>
      <c r="O285" s="5">
        <v>900</v>
      </c>
      <c r="P285" s="5">
        <v>900</v>
      </c>
      <c r="Q285" s="5">
        <v>900</v>
      </c>
      <c r="R285" s="5">
        <v>359</v>
      </c>
      <c r="S285" s="5">
        <v>359</v>
      </c>
      <c r="T285" s="5">
        <v>359</v>
      </c>
      <c r="U285" s="5">
        <v>359</v>
      </c>
      <c r="V285" s="5"/>
    </row>
    <row r="286" spans="2:22" ht="30" hidden="1" x14ac:dyDescent="0.25">
      <c r="B286" s="2" t="s">
        <v>584</v>
      </c>
      <c r="C286" s="2" t="s">
        <v>585</v>
      </c>
      <c r="D286" s="2" t="s">
        <v>350</v>
      </c>
      <c r="E286" s="2" t="s">
        <v>27</v>
      </c>
      <c r="F286" s="2" t="s">
        <v>586</v>
      </c>
      <c r="G286" s="2" t="s">
        <v>40</v>
      </c>
      <c r="H286" s="2">
        <v>70122</v>
      </c>
      <c r="I286" s="2">
        <v>70961</v>
      </c>
      <c r="J286" s="2" t="s">
        <v>42</v>
      </c>
      <c r="K286" s="2" t="s">
        <v>587</v>
      </c>
      <c r="L286" s="2" t="s">
        <v>36</v>
      </c>
      <c r="M286" s="2" t="s">
        <v>588</v>
      </c>
      <c r="N286" s="3">
        <v>900</v>
      </c>
      <c r="O286" s="3">
        <v>900</v>
      </c>
      <c r="P286" s="3">
        <v>900</v>
      </c>
      <c r="Q286" s="3">
        <v>900</v>
      </c>
      <c r="R286" s="3">
        <v>359</v>
      </c>
      <c r="S286" s="3">
        <v>359</v>
      </c>
      <c r="T286" s="3">
        <v>359</v>
      </c>
      <c r="U286" s="3">
        <v>359</v>
      </c>
      <c r="V286" s="3"/>
    </row>
    <row r="287" spans="2:22" ht="21" hidden="1" x14ac:dyDescent="0.25">
      <c r="B287" s="4" t="s">
        <v>184</v>
      </c>
      <c r="C287" s="4" t="s">
        <v>185</v>
      </c>
      <c r="D287" s="4" t="s">
        <v>350</v>
      </c>
      <c r="E287" s="4" t="s">
        <v>27</v>
      </c>
      <c r="F287" s="4" t="s">
        <v>45</v>
      </c>
      <c r="G287" s="4" t="s">
        <v>27</v>
      </c>
      <c r="H287" s="4">
        <v>70122</v>
      </c>
      <c r="I287" s="4">
        <v>70286</v>
      </c>
      <c r="J287" s="4" t="s">
        <v>28</v>
      </c>
      <c r="K287" s="4" t="s">
        <v>184</v>
      </c>
      <c r="L287" s="4" t="s">
        <v>29</v>
      </c>
      <c r="M287" s="4"/>
      <c r="N287" s="5">
        <v>1200</v>
      </c>
      <c r="O287" s="5">
        <v>1200</v>
      </c>
      <c r="P287" s="5">
        <v>1200</v>
      </c>
      <c r="Q287" s="5">
        <v>1200</v>
      </c>
      <c r="R287" s="5">
        <v>478</v>
      </c>
      <c r="S287" s="5">
        <v>478</v>
      </c>
      <c r="T287" s="5">
        <v>478</v>
      </c>
      <c r="U287" s="5">
        <v>478</v>
      </c>
      <c r="V287" s="5"/>
    </row>
    <row r="288" spans="2:22" ht="30" hidden="1" x14ac:dyDescent="0.25">
      <c r="B288" s="2" t="s">
        <v>184</v>
      </c>
      <c r="C288" s="2" t="s">
        <v>185</v>
      </c>
      <c r="D288" s="2" t="s">
        <v>350</v>
      </c>
      <c r="E288" s="2" t="s">
        <v>27</v>
      </c>
      <c r="F288" s="2" t="s">
        <v>45</v>
      </c>
      <c r="G288" s="2" t="s">
        <v>27</v>
      </c>
      <c r="H288" s="2">
        <v>70122</v>
      </c>
      <c r="I288" s="2">
        <v>70286</v>
      </c>
      <c r="J288" s="2" t="s">
        <v>28</v>
      </c>
      <c r="K288" s="2" t="s">
        <v>590</v>
      </c>
      <c r="L288" s="2" t="s">
        <v>36</v>
      </c>
      <c r="M288" s="2" t="s">
        <v>46</v>
      </c>
      <c r="N288" s="3">
        <v>1200</v>
      </c>
      <c r="O288" s="3">
        <v>1200</v>
      </c>
      <c r="P288" s="3">
        <v>1200</v>
      </c>
      <c r="Q288" s="3">
        <v>1200</v>
      </c>
      <c r="R288" s="3">
        <v>478</v>
      </c>
      <c r="S288" s="3">
        <v>478</v>
      </c>
      <c r="T288" s="3">
        <v>478</v>
      </c>
      <c r="U288" s="3">
        <v>478</v>
      </c>
      <c r="V288" s="3"/>
    </row>
    <row r="289" spans="2:22" ht="21" hidden="1" x14ac:dyDescent="0.25">
      <c r="B289" s="4" t="s">
        <v>591</v>
      </c>
      <c r="C289" s="4" t="s">
        <v>592</v>
      </c>
      <c r="D289" s="4" t="s">
        <v>350</v>
      </c>
      <c r="E289" s="4" t="s">
        <v>27</v>
      </c>
      <c r="F289" s="4" t="s">
        <v>45</v>
      </c>
      <c r="G289" s="4" t="s">
        <v>27</v>
      </c>
      <c r="H289" s="4">
        <v>70122</v>
      </c>
      <c r="I289" s="4">
        <v>70286</v>
      </c>
      <c r="J289" s="4" t="s">
        <v>28</v>
      </c>
      <c r="K289" s="4" t="s">
        <v>591</v>
      </c>
      <c r="L289" s="4" t="s">
        <v>29</v>
      </c>
      <c r="M289" s="4"/>
      <c r="N289" s="5">
        <v>1200</v>
      </c>
      <c r="O289" s="5">
        <v>1366</v>
      </c>
      <c r="P289" s="5">
        <v>1200</v>
      </c>
      <c r="Q289" s="5">
        <v>1400</v>
      </c>
      <c r="R289" s="5">
        <v>478</v>
      </c>
      <c r="S289" s="5">
        <v>544</v>
      </c>
      <c r="T289" s="5">
        <v>478</v>
      </c>
      <c r="U289" s="5">
        <v>558</v>
      </c>
      <c r="V289" s="5"/>
    </row>
    <row r="290" spans="2:22" ht="20" hidden="1" x14ac:dyDescent="0.25">
      <c r="B290" s="2" t="s">
        <v>591</v>
      </c>
      <c r="C290" s="2" t="s">
        <v>592</v>
      </c>
      <c r="D290" s="2" t="s">
        <v>350</v>
      </c>
      <c r="E290" s="2" t="s">
        <v>27</v>
      </c>
      <c r="F290" s="2" t="s">
        <v>45</v>
      </c>
      <c r="G290" s="2" t="s">
        <v>27</v>
      </c>
      <c r="H290" s="2">
        <v>70122</v>
      </c>
      <c r="I290" s="2">
        <v>70286</v>
      </c>
      <c r="J290" s="2" t="s">
        <v>28</v>
      </c>
      <c r="K290" s="2" t="s">
        <v>591</v>
      </c>
      <c r="L290" s="2" t="s">
        <v>30</v>
      </c>
      <c r="M290" s="2" t="s">
        <v>592</v>
      </c>
      <c r="N290" s="33">
        <v>1242</v>
      </c>
      <c r="O290" s="3">
        <v>1366</v>
      </c>
      <c r="P290" s="33">
        <v>1412</v>
      </c>
      <c r="Q290" s="2">
        <v>1546</v>
      </c>
      <c r="R290" s="33">
        <v>495</v>
      </c>
      <c r="S290" s="3">
        <v>544</v>
      </c>
      <c r="T290" s="33">
        <v>563</v>
      </c>
      <c r="U290" s="2">
        <v>616</v>
      </c>
      <c r="V290" s="2"/>
    </row>
    <row r="291" spans="2:22" ht="20" hidden="1" x14ac:dyDescent="0.25">
      <c r="B291" s="2" t="s">
        <v>591</v>
      </c>
      <c r="C291" s="2" t="s">
        <v>592</v>
      </c>
      <c r="D291" s="2" t="s">
        <v>350</v>
      </c>
      <c r="E291" s="2" t="s">
        <v>27</v>
      </c>
      <c r="F291" s="2" t="s">
        <v>45</v>
      </c>
      <c r="G291" s="2" t="s">
        <v>27</v>
      </c>
      <c r="H291" s="2">
        <v>70122</v>
      </c>
      <c r="I291" s="2">
        <v>70286</v>
      </c>
      <c r="J291" s="2" t="s">
        <v>28</v>
      </c>
      <c r="K291" s="2" t="s">
        <v>213</v>
      </c>
      <c r="L291" s="2" t="s">
        <v>213</v>
      </c>
      <c r="M291" s="2" t="s">
        <v>588</v>
      </c>
      <c r="N291" s="3">
        <v>1200</v>
      </c>
      <c r="O291" s="2">
        <v>1546</v>
      </c>
      <c r="P291" s="3">
        <v>1200</v>
      </c>
      <c r="Q291" s="2">
        <v>1546</v>
      </c>
      <c r="R291" s="3">
        <v>478</v>
      </c>
      <c r="S291" s="2">
        <v>616</v>
      </c>
      <c r="T291" s="3">
        <v>478</v>
      </c>
      <c r="U291" s="2">
        <v>616</v>
      </c>
      <c r="V291" s="2"/>
    </row>
    <row r="292" spans="2:22" ht="30" hidden="1" x14ac:dyDescent="0.25">
      <c r="B292" s="2" t="s">
        <v>591</v>
      </c>
      <c r="C292" s="2" t="s">
        <v>592</v>
      </c>
      <c r="D292" s="2" t="s">
        <v>350</v>
      </c>
      <c r="E292" s="2" t="s">
        <v>27</v>
      </c>
      <c r="F292" s="2" t="s">
        <v>45</v>
      </c>
      <c r="G292" s="2" t="s">
        <v>27</v>
      </c>
      <c r="H292" s="2">
        <v>70122</v>
      </c>
      <c r="I292" s="2">
        <v>70286</v>
      </c>
      <c r="J292" s="2" t="s">
        <v>28</v>
      </c>
      <c r="K292" s="2" t="s">
        <v>593</v>
      </c>
      <c r="L292" s="2" t="s">
        <v>36</v>
      </c>
      <c r="M292" s="2" t="s">
        <v>46</v>
      </c>
      <c r="N292" s="2">
        <v>1400</v>
      </c>
      <c r="O292" s="2">
        <v>1400</v>
      </c>
      <c r="P292" s="2">
        <v>1400</v>
      </c>
      <c r="Q292" s="3">
        <v>1400</v>
      </c>
      <c r="R292" s="2">
        <v>558</v>
      </c>
      <c r="S292" s="2">
        <v>558</v>
      </c>
      <c r="T292" s="2">
        <v>558</v>
      </c>
      <c r="U292" s="3">
        <v>558</v>
      </c>
      <c r="V292" s="3"/>
    </row>
    <row r="293" spans="2:22" ht="21" hidden="1" x14ac:dyDescent="0.25">
      <c r="B293" s="4" t="s">
        <v>347</v>
      </c>
      <c r="C293" s="4" t="s">
        <v>348</v>
      </c>
      <c r="D293" s="4" t="s">
        <v>349</v>
      </c>
      <c r="E293" s="4" t="s">
        <v>27</v>
      </c>
      <c r="F293" s="4" t="s">
        <v>350</v>
      </c>
      <c r="G293" s="4" t="s">
        <v>27</v>
      </c>
      <c r="H293" s="4">
        <v>70061</v>
      </c>
      <c r="I293" s="4">
        <v>70122</v>
      </c>
      <c r="J293" s="4" t="s">
        <v>28</v>
      </c>
      <c r="K293" s="4" t="s">
        <v>347</v>
      </c>
      <c r="L293" s="4" t="s">
        <v>29</v>
      </c>
      <c r="M293" s="4"/>
      <c r="N293" s="5">
        <v>1270</v>
      </c>
      <c r="O293" s="5">
        <v>1397</v>
      </c>
      <c r="P293" s="5">
        <v>1447</v>
      </c>
      <c r="Q293" s="5">
        <v>1592</v>
      </c>
      <c r="R293" s="5">
        <v>506</v>
      </c>
      <c r="S293" s="5">
        <v>557</v>
      </c>
      <c r="T293" s="5">
        <v>576</v>
      </c>
      <c r="U293" s="5">
        <v>634</v>
      </c>
      <c r="V293" s="5"/>
    </row>
    <row r="294" spans="2:22" ht="20" hidden="1" x14ac:dyDescent="0.25">
      <c r="B294" s="2" t="s">
        <v>347</v>
      </c>
      <c r="C294" s="2" t="s">
        <v>348</v>
      </c>
      <c r="D294" s="2" t="s">
        <v>349</v>
      </c>
      <c r="E294" s="2" t="s">
        <v>27</v>
      </c>
      <c r="F294" s="2" t="s">
        <v>350</v>
      </c>
      <c r="G294" s="2" t="s">
        <v>27</v>
      </c>
      <c r="H294" s="2">
        <v>70061</v>
      </c>
      <c r="I294" s="2">
        <v>70122</v>
      </c>
      <c r="J294" s="2" t="s">
        <v>28</v>
      </c>
      <c r="K294" s="2" t="s">
        <v>347</v>
      </c>
      <c r="L294" s="2" t="s">
        <v>30</v>
      </c>
      <c r="M294" s="2" t="s">
        <v>348</v>
      </c>
      <c r="N294" s="3">
        <v>1270</v>
      </c>
      <c r="O294" s="3">
        <v>1397</v>
      </c>
      <c r="P294" s="3">
        <v>1447</v>
      </c>
      <c r="Q294" s="3">
        <v>1592</v>
      </c>
      <c r="R294" s="3">
        <v>506</v>
      </c>
      <c r="S294" s="3">
        <v>557</v>
      </c>
      <c r="T294" s="3">
        <v>576</v>
      </c>
      <c r="U294" s="3">
        <v>634</v>
      </c>
      <c r="V294" s="3"/>
    </row>
    <row r="295" spans="2:22" ht="21" hidden="1" x14ac:dyDescent="0.25">
      <c r="B295" s="4" t="s">
        <v>545</v>
      </c>
      <c r="C295" s="4" t="s">
        <v>546</v>
      </c>
      <c r="D295" s="4" t="s">
        <v>547</v>
      </c>
      <c r="E295" s="4" t="s">
        <v>27</v>
      </c>
      <c r="F295" s="4" t="s">
        <v>548</v>
      </c>
      <c r="G295" s="4" t="s">
        <v>27</v>
      </c>
      <c r="H295" s="4">
        <v>70112</v>
      </c>
      <c r="I295" s="4">
        <v>70481</v>
      </c>
      <c r="J295" s="4" t="s">
        <v>28</v>
      </c>
      <c r="K295" s="4" t="s">
        <v>545</v>
      </c>
      <c r="L295" s="4" t="s">
        <v>29</v>
      </c>
      <c r="M295" s="4"/>
      <c r="N295" s="5">
        <v>920</v>
      </c>
      <c r="O295" s="5">
        <v>1012</v>
      </c>
      <c r="P295" s="5">
        <v>920</v>
      </c>
      <c r="Q295" s="5">
        <v>1012</v>
      </c>
      <c r="R295" s="5">
        <v>367</v>
      </c>
      <c r="S295" s="5">
        <v>403</v>
      </c>
      <c r="T295" s="5">
        <v>367</v>
      </c>
      <c r="U295" s="5">
        <v>403</v>
      </c>
      <c r="V295" s="5"/>
    </row>
    <row r="296" spans="2:22" ht="20" hidden="1" x14ac:dyDescent="0.25">
      <c r="B296" s="2" t="s">
        <v>545</v>
      </c>
      <c r="C296" s="2" t="s">
        <v>546</v>
      </c>
      <c r="D296" s="2" t="s">
        <v>547</v>
      </c>
      <c r="E296" s="2" t="s">
        <v>27</v>
      </c>
      <c r="F296" s="2" t="s">
        <v>548</v>
      </c>
      <c r="G296" s="2" t="s">
        <v>27</v>
      </c>
      <c r="H296" s="2">
        <v>70112</v>
      </c>
      <c r="I296" s="2">
        <v>70481</v>
      </c>
      <c r="J296" s="2" t="s">
        <v>28</v>
      </c>
      <c r="K296" s="2" t="s">
        <v>545</v>
      </c>
      <c r="L296" s="2" t="s">
        <v>30</v>
      </c>
      <c r="M296" s="2" t="s">
        <v>546</v>
      </c>
      <c r="N296" s="3">
        <v>920</v>
      </c>
      <c r="O296" s="3">
        <v>1012</v>
      </c>
      <c r="P296" s="3">
        <v>920</v>
      </c>
      <c r="Q296" s="3">
        <v>1012</v>
      </c>
      <c r="R296" s="3">
        <v>367</v>
      </c>
      <c r="S296" s="3">
        <v>403</v>
      </c>
      <c r="T296" s="3">
        <v>367</v>
      </c>
      <c r="U296" s="3">
        <v>403</v>
      </c>
      <c r="V296" s="3"/>
    </row>
    <row r="297" spans="2:22" ht="21" hidden="1" x14ac:dyDescent="0.25">
      <c r="B297" s="4" t="s">
        <v>549</v>
      </c>
      <c r="C297" s="4" t="s">
        <v>546</v>
      </c>
      <c r="D297" s="4" t="s">
        <v>547</v>
      </c>
      <c r="E297" s="4" t="s">
        <v>27</v>
      </c>
      <c r="F297" s="4" t="s">
        <v>550</v>
      </c>
      <c r="G297" s="4" t="s">
        <v>27</v>
      </c>
      <c r="H297" s="4">
        <v>70112</v>
      </c>
      <c r="I297" s="4">
        <v>70241</v>
      </c>
      <c r="J297" s="4" t="s">
        <v>28</v>
      </c>
      <c r="K297" s="4" t="s">
        <v>549</v>
      </c>
      <c r="L297" s="4" t="s">
        <v>29</v>
      </c>
      <c r="M297" s="4"/>
      <c r="N297" s="5">
        <v>830</v>
      </c>
      <c r="O297" s="5">
        <v>913</v>
      </c>
      <c r="P297" s="5">
        <v>830</v>
      </c>
      <c r="Q297" s="5">
        <v>913</v>
      </c>
      <c r="R297" s="5">
        <v>331</v>
      </c>
      <c r="S297" s="5">
        <v>364</v>
      </c>
      <c r="T297" s="5">
        <v>331</v>
      </c>
      <c r="U297" s="5">
        <v>364</v>
      </c>
      <c r="V297" s="5"/>
    </row>
    <row r="298" spans="2:22" ht="20" hidden="1" x14ac:dyDescent="0.25">
      <c r="B298" s="2" t="s">
        <v>549</v>
      </c>
      <c r="C298" s="2" t="s">
        <v>546</v>
      </c>
      <c r="D298" s="2" t="s">
        <v>547</v>
      </c>
      <c r="E298" s="2" t="s">
        <v>27</v>
      </c>
      <c r="F298" s="2" t="s">
        <v>550</v>
      </c>
      <c r="G298" s="2" t="s">
        <v>27</v>
      </c>
      <c r="H298" s="2">
        <v>70112</v>
      </c>
      <c r="I298" s="2">
        <v>70241</v>
      </c>
      <c r="J298" s="2" t="s">
        <v>28</v>
      </c>
      <c r="K298" s="2" t="s">
        <v>549</v>
      </c>
      <c r="L298" s="2" t="s">
        <v>30</v>
      </c>
      <c r="M298" s="2" t="s">
        <v>546</v>
      </c>
      <c r="N298" s="3">
        <v>830</v>
      </c>
      <c r="O298" s="3">
        <v>913</v>
      </c>
      <c r="P298" s="3">
        <v>830</v>
      </c>
      <c r="Q298" s="3">
        <v>913</v>
      </c>
      <c r="R298" s="3">
        <v>331</v>
      </c>
      <c r="S298" s="3">
        <v>364</v>
      </c>
      <c r="T298" s="3">
        <v>331</v>
      </c>
      <c r="U298" s="3">
        <v>364</v>
      </c>
      <c r="V298" s="3"/>
    </row>
    <row r="299" spans="2:22" hidden="1" x14ac:dyDescent="0.25">
      <c r="B299" s="4" t="s">
        <v>121</v>
      </c>
      <c r="C299" s="4" t="s">
        <v>122</v>
      </c>
      <c r="D299" s="4" t="s">
        <v>783</v>
      </c>
      <c r="E299" s="4" t="s">
        <v>27</v>
      </c>
      <c r="F299" s="4" t="s">
        <v>330</v>
      </c>
      <c r="G299" s="4" t="s">
        <v>27</v>
      </c>
      <c r="H299" s="4">
        <v>70311</v>
      </c>
      <c r="I299" s="4">
        <v>73192</v>
      </c>
      <c r="J299" s="4" t="s">
        <v>28</v>
      </c>
      <c r="K299" s="4" t="s">
        <v>121</v>
      </c>
      <c r="L299" s="4" t="s">
        <v>29</v>
      </c>
      <c r="M299" s="4"/>
      <c r="N299" s="5">
        <v>1459</v>
      </c>
      <c r="O299" s="5">
        <v>1478</v>
      </c>
      <c r="P299" s="5">
        <v>1627</v>
      </c>
      <c r="Q299" s="5">
        <v>1627</v>
      </c>
      <c r="R299" s="5">
        <v>581</v>
      </c>
      <c r="S299" s="5">
        <v>589</v>
      </c>
      <c r="T299" s="5">
        <v>648</v>
      </c>
      <c r="U299" s="5">
        <v>648</v>
      </c>
      <c r="V299" s="5"/>
    </row>
    <row r="300" spans="2:22" hidden="1" x14ac:dyDescent="0.25">
      <c r="B300" s="2" t="s">
        <v>121</v>
      </c>
      <c r="C300" s="2" t="s">
        <v>122</v>
      </c>
      <c r="D300" s="2" t="s">
        <v>783</v>
      </c>
      <c r="E300" s="2" t="s">
        <v>27</v>
      </c>
      <c r="F300" s="2" t="s">
        <v>330</v>
      </c>
      <c r="G300" s="2" t="s">
        <v>27</v>
      </c>
      <c r="H300" s="2">
        <v>70311</v>
      </c>
      <c r="I300" s="2">
        <v>73192</v>
      </c>
      <c r="J300" s="2" t="s">
        <v>28</v>
      </c>
      <c r="K300" s="2" t="s">
        <v>121</v>
      </c>
      <c r="L300" s="2" t="s">
        <v>30</v>
      </c>
      <c r="M300" s="2" t="s">
        <v>122</v>
      </c>
      <c r="N300" s="3">
        <v>1459</v>
      </c>
      <c r="O300" s="3">
        <v>1478</v>
      </c>
      <c r="P300" s="33">
        <v>1664</v>
      </c>
      <c r="Q300" s="33">
        <v>1812</v>
      </c>
      <c r="R300" s="3">
        <v>581</v>
      </c>
      <c r="S300" s="3">
        <v>589</v>
      </c>
      <c r="T300" s="33">
        <v>663</v>
      </c>
      <c r="U300" s="33">
        <v>722</v>
      </c>
      <c r="V300" s="3"/>
    </row>
    <row r="301" spans="2:22" hidden="1" x14ac:dyDescent="0.25">
      <c r="B301" s="2" t="s">
        <v>121</v>
      </c>
      <c r="C301" s="2" t="s">
        <v>122</v>
      </c>
      <c r="D301" s="2" t="s">
        <v>783</v>
      </c>
      <c r="E301" s="2" t="s">
        <v>27</v>
      </c>
      <c r="F301" s="2" t="s">
        <v>330</v>
      </c>
      <c r="G301" s="2" t="s">
        <v>27</v>
      </c>
      <c r="H301" s="2">
        <v>70311</v>
      </c>
      <c r="I301" s="2">
        <v>73192</v>
      </c>
      <c r="J301" s="2" t="s">
        <v>28</v>
      </c>
      <c r="K301" s="2" t="s">
        <v>213</v>
      </c>
      <c r="L301" s="2" t="s">
        <v>213</v>
      </c>
      <c r="M301" s="2" t="s">
        <v>331</v>
      </c>
      <c r="N301" s="2">
        <v>1627</v>
      </c>
      <c r="O301" s="2">
        <v>1627</v>
      </c>
      <c r="P301" s="3">
        <v>1627</v>
      </c>
      <c r="Q301" s="3">
        <v>1627</v>
      </c>
      <c r="R301" s="2">
        <v>648</v>
      </c>
      <c r="S301" s="2">
        <v>648</v>
      </c>
      <c r="T301" s="3">
        <v>648</v>
      </c>
      <c r="U301" s="3">
        <v>648</v>
      </c>
      <c r="V301" s="3"/>
    </row>
    <row r="302" spans="2:22" hidden="1" x14ac:dyDescent="0.25">
      <c r="B302" s="4" t="s">
        <v>1132</v>
      </c>
      <c r="C302" s="4" t="s">
        <v>1133</v>
      </c>
      <c r="D302" s="4" t="s">
        <v>783</v>
      </c>
      <c r="E302" s="4" t="s">
        <v>27</v>
      </c>
      <c r="F302" s="4" t="s">
        <v>636</v>
      </c>
      <c r="G302" s="4" t="s">
        <v>27</v>
      </c>
      <c r="H302" s="4">
        <v>70311</v>
      </c>
      <c r="I302" s="4">
        <v>70623</v>
      </c>
      <c r="J302" s="4" t="s">
        <v>28</v>
      </c>
      <c r="K302" s="4" t="s">
        <v>1132</v>
      </c>
      <c r="L302" s="4" t="s">
        <v>29</v>
      </c>
      <c r="M302" s="4"/>
      <c r="N302" s="5">
        <v>1855</v>
      </c>
      <c r="O302" s="5">
        <v>2000</v>
      </c>
      <c r="P302" s="5">
        <v>2110</v>
      </c>
      <c r="Q302" s="5">
        <v>2208</v>
      </c>
      <c r="R302" s="5">
        <v>739</v>
      </c>
      <c r="S302" s="5">
        <v>797</v>
      </c>
      <c r="T302" s="5">
        <v>841</v>
      </c>
      <c r="U302" s="5">
        <v>880</v>
      </c>
      <c r="V302" s="5"/>
    </row>
    <row r="303" spans="2:22" hidden="1" x14ac:dyDescent="0.25">
      <c r="B303" s="2" t="s">
        <v>1132</v>
      </c>
      <c r="C303" s="2" t="s">
        <v>1133</v>
      </c>
      <c r="D303" s="2" t="s">
        <v>783</v>
      </c>
      <c r="E303" s="2" t="s">
        <v>27</v>
      </c>
      <c r="F303" s="2" t="s">
        <v>636</v>
      </c>
      <c r="G303" s="2" t="s">
        <v>27</v>
      </c>
      <c r="H303" s="2">
        <v>70311</v>
      </c>
      <c r="I303" s="2">
        <v>70623</v>
      </c>
      <c r="J303" s="2" t="s">
        <v>28</v>
      </c>
      <c r="K303" s="2" t="s">
        <v>1132</v>
      </c>
      <c r="L303" s="2" t="s">
        <v>30</v>
      </c>
      <c r="M303" s="2" t="s">
        <v>1133</v>
      </c>
      <c r="N303" s="3">
        <v>1855</v>
      </c>
      <c r="O303" s="2">
        <v>2041</v>
      </c>
      <c r="P303" s="3">
        <v>2110</v>
      </c>
      <c r="Q303" s="2">
        <v>2321</v>
      </c>
      <c r="R303" s="3">
        <v>739</v>
      </c>
      <c r="S303" s="2">
        <v>813</v>
      </c>
      <c r="T303" s="3">
        <v>841</v>
      </c>
      <c r="U303" s="2">
        <v>925</v>
      </c>
      <c r="V303" s="2"/>
    </row>
    <row r="304" spans="2:22" hidden="1" x14ac:dyDescent="0.25">
      <c r="B304" s="2" t="s">
        <v>1132</v>
      </c>
      <c r="C304" s="2" t="s">
        <v>1133</v>
      </c>
      <c r="D304" s="2" t="s">
        <v>783</v>
      </c>
      <c r="E304" s="2" t="s">
        <v>27</v>
      </c>
      <c r="F304" s="2" t="s">
        <v>636</v>
      </c>
      <c r="G304" s="2" t="s">
        <v>27</v>
      </c>
      <c r="H304" s="2">
        <v>70311</v>
      </c>
      <c r="I304" s="2">
        <v>70623</v>
      </c>
      <c r="J304" s="2" t="s">
        <v>28</v>
      </c>
      <c r="K304" s="2"/>
      <c r="L304" s="2" t="s">
        <v>301</v>
      </c>
      <c r="M304" s="2" t="s">
        <v>785</v>
      </c>
      <c r="N304" s="2">
        <v>2000</v>
      </c>
      <c r="O304" s="3">
        <v>2000</v>
      </c>
      <c r="P304" s="2">
        <v>2208</v>
      </c>
      <c r="Q304" s="3">
        <v>2208</v>
      </c>
      <c r="R304" s="2">
        <v>797</v>
      </c>
      <c r="S304" s="3">
        <v>797</v>
      </c>
      <c r="T304" s="2">
        <v>880</v>
      </c>
      <c r="U304" s="3">
        <v>880</v>
      </c>
      <c r="V304" s="3"/>
    </row>
    <row r="305" spans="2:22" hidden="1" x14ac:dyDescent="0.25">
      <c r="B305" s="2" t="s">
        <v>1132</v>
      </c>
      <c r="C305" s="2" t="s">
        <v>1133</v>
      </c>
      <c r="D305" s="2" t="s">
        <v>783</v>
      </c>
      <c r="E305" s="2" t="s">
        <v>27</v>
      </c>
      <c r="F305" s="2" t="s">
        <v>636</v>
      </c>
      <c r="G305" s="2" t="s">
        <v>27</v>
      </c>
      <c r="H305" s="2">
        <v>70311</v>
      </c>
      <c r="I305" s="2">
        <v>70623</v>
      </c>
      <c r="J305" s="2" t="s">
        <v>28</v>
      </c>
      <c r="K305" s="2"/>
      <c r="L305" s="2" t="s">
        <v>301</v>
      </c>
      <c r="M305" s="2" t="s">
        <v>640</v>
      </c>
      <c r="N305" s="2">
        <v>2000</v>
      </c>
      <c r="O305" s="3">
        <v>2000</v>
      </c>
      <c r="P305" s="2">
        <v>2208</v>
      </c>
      <c r="Q305" s="3">
        <v>2208</v>
      </c>
      <c r="R305" s="2">
        <v>797</v>
      </c>
      <c r="S305" s="3">
        <v>797</v>
      </c>
      <c r="T305" s="2">
        <v>880</v>
      </c>
      <c r="U305" s="3">
        <v>880</v>
      </c>
      <c r="V305" s="3"/>
    </row>
    <row r="306" spans="2:22" hidden="1" x14ac:dyDescent="0.25">
      <c r="B306" s="4" t="s">
        <v>1122</v>
      </c>
      <c r="C306" s="4" t="s">
        <v>1123</v>
      </c>
      <c r="D306" s="4" t="s">
        <v>783</v>
      </c>
      <c r="E306" s="4" t="s">
        <v>27</v>
      </c>
      <c r="F306" s="4" t="s">
        <v>1124</v>
      </c>
      <c r="G306" s="4" t="s">
        <v>27</v>
      </c>
      <c r="H306" s="4">
        <v>70311</v>
      </c>
      <c r="I306" s="4">
        <v>2021</v>
      </c>
      <c r="J306" s="4" t="s">
        <v>28</v>
      </c>
      <c r="K306" s="4" t="s">
        <v>1122</v>
      </c>
      <c r="L306" s="4" t="s">
        <v>29</v>
      </c>
      <c r="M306" s="4"/>
      <c r="N306" s="5">
        <v>1200</v>
      </c>
      <c r="O306" s="5">
        <v>1200</v>
      </c>
      <c r="P306" s="5">
        <v>1200</v>
      </c>
      <c r="Q306" s="5">
        <v>1200</v>
      </c>
      <c r="R306" s="5">
        <v>478</v>
      </c>
      <c r="S306" s="5">
        <v>478</v>
      </c>
      <c r="T306" s="5">
        <v>478</v>
      </c>
      <c r="U306" s="5">
        <v>478</v>
      </c>
      <c r="V306" s="5"/>
    </row>
    <row r="307" spans="2:22" ht="30" hidden="1" x14ac:dyDescent="0.25">
      <c r="B307" s="2" t="s">
        <v>1122</v>
      </c>
      <c r="C307" s="2" t="s">
        <v>1123</v>
      </c>
      <c r="D307" s="2" t="s">
        <v>783</v>
      </c>
      <c r="E307" s="2" t="s">
        <v>27</v>
      </c>
      <c r="F307" s="2" t="s">
        <v>1124</v>
      </c>
      <c r="G307" s="2" t="s">
        <v>27</v>
      </c>
      <c r="H307" s="2">
        <v>70311</v>
      </c>
      <c r="I307" s="2">
        <v>2021</v>
      </c>
      <c r="J307" s="2" t="s">
        <v>28</v>
      </c>
      <c r="K307" s="2" t="s">
        <v>1127</v>
      </c>
      <c r="L307" s="2" t="s">
        <v>36</v>
      </c>
      <c r="M307" s="2" t="s">
        <v>1126</v>
      </c>
      <c r="N307" s="3">
        <v>1200</v>
      </c>
      <c r="O307" s="3">
        <v>1200</v>
      </c>
      <c r="P307" s="3">
        <v>1200</v>
      </c>
      <c r="Q307" s="3">
        <v>1200</v>
      </c>
      <c r="R307" s="3">
        <v>478</v>
      </c>
      <c r="S307" s="3">
        <v>478</v>
      </c>
      <c r="T307" s="3">
        <v>478</v>
      </c>
      <c r="U307" s="3">
        <v>478</v>
      </c>
      <c r="V307" s="3"/>
    </row>
    <row r="308" spans="2:22" ht="20" hidden="1" x14ac:dyDescent="0.25">
      <c r="B308" s="2" t="s">
        <v>1122</v>
      </c>
      <c r="C308" s="2" t="s">
        <v>1123</v>
      </c>
      <c r="D308" s="2" t="s">
        <v>783</v>
      </c>
      <c r="E308" s="2" t="s">
        <v>27</v>
      </c>
      <c r="F308" s="2" t="s">
        <v>1124</v>
      </c>
      <c r="G308" s="2" t="s">
        <v>27</v>
      </c>
      <c r="H308" s="2">
        <v>70311</v>
      </c>
      <c r="I308" s="2">
        <v>2021</v>
      </c>
      <c r="J308" s="2" t="s">
        <v>28</v>
      </c>
      <c r="K308" s="2" t="s">
        <v>1128</v>
      </c>
      <c r="L308" s="2" t="s">
        <v>39</v>
      </c>
      <c r="M308" s="2" t="s">
        <v>1126</v>
      </c>
      <c r="N308" s="3">
        <v>1200</v>
      </c>
      <c r="O308" s="3">
        <v>1200</v>
      </c>
      <c r="P308" s="3">
        <v>1200</v>
      </c>
      <c r="Q308" s="3">
        <v>1200</v>
      </c>
      <c r="R308" s="3">
        <v>478</v>
      </c>
      <c r="S308" s="3">
        <v>478</v>
      </c>
      <c r="T308" s="3">
        <v>478</v>
      </c>
      <c r="U308" s="3">
        <v>478</v>
      </c>
      <c r="V308" s="3"/>
    </row>
    <row r="309" spans="2:22" ht="20" hidden="1" x14ac:dyDescent="0.25">
      <c r="B309" s="2" t="s">
        <v>1122</v>
      </c>
      <c r="C309" s="2" t="s">
        <v>1123</v>
      </c>
      <c r="D309" s="2" t="s">
        <v>783</v>
      </c>
      <c r="E309" s="2" t="s">
        <v>27</v>
      </c>
      <c r="F309" s="2" t="s">
        <v>1124</v>
      </c>
      <c r="G309" s="2" t="s">
        <v>27</v>
      </c>
      <c r="H309" s="2">
        <v>70311</v>
      </c>
      <c r="I309" s="2">
        <v>2021</v>
      </c>
      <c r="J309" s="2" t="s">
        <v>28</v>
      </c>
      <c r="K309" s="2" t="s">
        <v>1130</v>
      </c>
      <c r="L309" s="2" t="s">
        <v>39</v>
      </c>
      <c r="M309" s="2" t="s">
        <v>1126</v>
      </c>
      <c r="N309" s="3">
        <v>1200</v>
      </c>
      <c r="O309" s="3">
        <v>1200</v>
      </c>
      <c r="P309" s="3">
        <v>1200</v>
      </c>
      <c r="Q309" s="3">
        <v>1200</v>
      </c>
      <c r="R309" s="3">
        <v>478</v>
      </c>
      <c r="S309" s="3">
        <v>478</v>
      </c>
      <c r="T309" s="3">
        <v>478</v>
      </c>
      <c r="U309" s="3">
        <v>478</v>
      </c>
      <c r="V309" s="3"/>
    </row>
    <row r="310" spans="2:22" ht="20" hidden="1" x14ac:dyDescent="0.25">
      <c r="B310" s="2" t="s">
        <v>1122</v>
      </c>
      <c r="C310" s="2" t="s">
        <v>1123</v>
      </c>
      <c r="D310" s="2" t="s">
        <v>783</v>
      </c>
      <c r="E310" s="2" t="s">
        <v>27</v>
      </c>
      <c r="F310" s="2" t="s">
        <v>1124</v>
      </c>
      <c r="G310" s="2" t="s">
        <v>27</v>
      </c>
      <c r="H310" s="2">
        <v>70311</v>
      </c>
      <c r="I310" s="2">
        <v>2021</v>
      </c>
      <c r="J310" s="2" t="s">
        <v>28</v>
      </c>
      <c r="K310" s="2" t="s">
        <v>1131</v>
      </c>
      <c r="L310" s="2" t="s">
        <v>39</v>
      </c>
      <c r="M310" s="2" t="s">
        <v>1126</v>
      </c>
      <c r="N310" s="3">
        <v>1200</v>
      </c>
      <c r="O310" s="3">
        <v>1200</v>
      </c>
      <c r="P310" s="3">
        <v>1200</v>
      </c>
      <c r="Q310" s="3">
        <v>1200</v>
      </c>
      <c r="R310" s="3">
        <v>478</v>
      </c>
      <c r="S310" s="3">
        <v>478</v>
      </c>
      <c r="T310" s="3">
        <v>478</v>
      </c>
      <c r="U310" s="3">
        <v>478</v>
      </c>
      <c r="V310" s="3"/>
    </row>
    <row r="311" spans="2:22" ht="30" hidden="1" x14ac:dyDescent="0.25">
      <c r="B311" s="2" t="s">
        <v>1122</v>
      </c>
      <c r="C311" s="2" t="s">
        <v>1123</v>
      </c>
      <c r="D311" s="2" t="s">
        <v>783</v>
      </c>
      <c r="E311" s="2" t="s">
        <v>27</v>
      </c>
      <c r="F311" s="2" t="s">
        <v>1124</v>
      </c>
      <c r="G311" s="2" t="s">
        <v>27</v>
      </c>
      <c r="H311" s="2">
        <v>70311</v>
      </c>
      <c r="I311" s="2">
        <v>2021</v>
      </c>
      <c r="J311" s="2" t="s">
        <v>28</v>
      </c>
      <c r="K311" s="2" t="s">
        <v>1129</v>
      </c>
      <c r="L311" s="2" t="s">
        <v>36</v>
      </c>
      <c r="M311" s="2" t="s">
        <v>1126</v>
      </c>
      <c r="N311" s="3">
        <v>1200</v>
      </c>
      <c r="O311" s="3">
        <v>1200</v>
      </c>
      <c r="P311" s="3">
        <v>1200</v>
      </c>
      <c r="Q311" s="3">
        <v>1200</v>
      </c>
      <c r="R311" s="3">
        <v>478</v>
      </c>
      <c r="S311" s="3">
        <v>478</v>
      </c>
      <c r="T311" s="3">
        <v>478</v>
      </c>
      <c r="U311" s="3">
        <v>478</v>
      </c>
      <c r="V311" s="3"/>
    </row>
    <row r="312" spans="2:22" ht="30" hidden="1" x14ac:dyDescent="0.25">
      <c r="B312" s="2" t="s">
        <v>1122</v>
      </c>
      <c r="C312" s="2" t="s">
        <v>1123</v>
      </c>
      <c r="D312" s="2" t="s">
        <v>783</v>
      </c>
      <c r="E312" s="2" t="s">
        <v>27</v>
      </c>
      <c r="F312" s="2" t="s">
        <v>1124</v>
      </c>
      <c r="G312" s="2" t="s">
        <v>27</v>
      </c>
      <c r="H312" s="2">
        <v>70311</v>
      </c>
      <c r="I312" s="2">
        <v>2021</v>
      </c>
      <c r="J312" s="2" t="s">
        <v>28</v>
      </c>
      <c r="K312" s="2" t="s">
        <v>1125</v>
      </c>
      <c r="L312" s="2" t="s">
        <v>36</v>
      </c>
      <c r="M312" s="2" t="s">
        <v>1126</v>
      </c>
      <c r="N312" s="3">
        <v>1200</v>
      </c>
      <c r="O312" s="3">
        <v>1200</v>
      </c>
      <c r="P312" s="3">
        <v>1200</v>
      </c>
      <c r="Q312" s="3">
        <v>1200</v>
      </c>
      <c r="R312" s="3">
        <v>478</v>
      </c>
      <c r="S312" s="3">
        <v>478</v>
      </c>
      <c r="T312" s="3">
        <v>478</v>
      </c>
      <c r="U312" s="3">
        <v>478</v>
      </c>
      <c r="V312" s="3"/>
    </row>
    <row r="313" spans="2:22" ht="21" hidden="1" x14ac:dyDescent="0.25">
      <c r="B313" s="4" t="s">
        <v>781</v>
      </c>
      <c r="C313" s="4" t="s">
        <v>782</v>
      </c>
      <c r="D313" s="4" t="s">
        <v>767</v>
      </c>
      <c r="E313" s="4" t="s">
        <v>27</v>
      </c>
      <c r="F313" s="4" t="s">
        <v>783</v>
      </c>
      <c r="G313" s="4" t="s">
        <v>27</v>
      </c>
      <c r="H313" s="4">
        <v>70192</v>
      </c>
      <c r="I313" s="4">
        <v>70311</v>
      </c>
      <c r="J313" s="4" t="s">
        <v>28</v>
      </c>
      <c r="K313" s="4" t="s">
        <v>781</v>
      </c>
      <c r="L313" s="4" t="s">
        <v>29</v>
      </c>
      <c r="M313" s="4"/>
      <c r="N313" s="5">
        <v>1208</v>
      </c>
      <c r="O313" s="5">
        <v>1329</v>
      </c>
      <c r="P313" s="5">
        <v>1377</v>
      </c>
      <c r="Q313" s="5">
        <v>1440</v>
      </c>
      <c r="R313" s="5">
        <v>481</v>
      </c>
      <c r="S313" s="5">
        <v>529</v>
      </c>
      <c r="T313" s="5">
        <v>549</v>
      </c>
      <c r="U313" s="5">
        <v>574</v>
      </c>
      <c r="V313" s="5"/>
    </row>
    <row r="314" spans="2:22" ht="20" hidden="1" x14ac:dyDescent="0.25">
      <c r="B314" s="2" t="s">
        <v>781</v>
      </c>
      <c r="C314" s="2" t="s">
        <v>782</v>
      </c>
      <c r="D314" s="2" t="s">
        <v>767</v>
      </c>
      <c r="E314" s="2" t="s">
        <v>27</v>
      </c>
      <c r="F314" s="2" t="s">
        <v>783</v>
      </c>
      <c r="G314" s="2" t="s">
        <v>27</v>
      </c>
      <c r="H314" s="2">
        <v>70192</v>
      </c>
      <c r="I314" s="2">
        <v>70311</v>
      </c>
      <c r="J314" s="2" t="s">
        <v>28</v>
      </c>
      <c r="K314" s="2" t="s">
        <v>781</v>
      </c>
      <c r="L314" s="2" t="s">
        <v>30</v>
      </c>
      <c r="M314" s="2" t="s">
        <v>782</v>
      </c>
      <c r="N314" s="3">
        <v>1208</v>
      </c>
      <c r="O314" s="3">
        <v>1329</v>
      </c>
      <c r="P314" s="3">
        <v>1377</v>
      </c>
      <c r="Q314" s="2">
        <v>1515</v>
      </c>
      <c r="R314" s="3">
        <v>481</v>
      </c>
      <c r="S314" s="3">
        <v>529</v>
      </c>
      <c r="T314" s="3">
        <v>549</v>
      </c>
      <c r="U314" s="2">
        <v>604</v>
      </c>
      <c r="V314" s="2"/>
    </row>
    <row r="315" spans="2:22" ht="30" hidden="1" x14ac:dyDescent="0.25">
      <c r="B315" s="2" t="s">
        <v>781</v>
      </c>
      <c r="C315" s="2" t="s">
        <v>782</v>
      </c>
      <c r="D315" s="2" t="s">
        <v>767</v>
      </c>
      <c r="E315" s="2" t="s">
        <v>27</v>
      </c>
      <c r="F315" s="2" t="s">
        <v>783</v>
      </c>
      <c r="G315" s="2" t="s">
        <v>27</v>
      </c>
      <c r="H315" s="2">
        <v>70192</v>
      </c>
      <c r="I315" s="2">
        <v>70311</v>
      </c>
      <c r="J315" s="2" t="s">
        <v>28</v>
      </c>
      <c r="K315" s="2" t="s">
        <v>784</v>
      </c>
      <c r="L315" s="2" t="s">
        <v>36</v>
      </c>
      <c r="M315" s="2" t="s">
        <v>785</v>
      </c>
      <c r="N315" s="2">
        <v>1440</v>
      </c>
      <c r="O315" s="2">
        <v>1440</v>
      </c>
      <c r="P315" s="2">
        <v>1440</v>
      </c>
      <c r="Q315" s="3">
        <v>1440</v>
      </c>
      <c r="R315" s="2">
        <v>574</v>
      </c>
      <c r="S315" s="2">
        <v>574</v>
      </c>
      <c r="T315" s="2">
        <v>574</v>
      </c>
      <c r="U315" s="3">
        <v>574</v>
      </c>
      <c r="V315" s="3"/>
    </row>
    <row r="316" spans="2:22" ht="30" hidden="1" x14ac:dyDescent="0.25">
      <c r="B316" s="2" t="s">
        <v>781</v>
      </c>
      <c r="C316" s="2" t="s">
        <v>782</v>
      </c>
      <c r="D316" s="2" t="s">
        <v>767</v>
      </c>
      <c r="E316" s="2" t="s">
        <v>27</v>
      </c>
      <c r="F316" s="2" t="s">
        <v>783</v>
      </c>
      <c r="G316" s="2" t="s">
        <v>27</v>
      </c>
      <c r="H316" s="2">
        <v>70192</v>
      </c>
      <c r="I316" s="2">
        <v>70311</v>
      </c>
      <c r="J316" s="2" t="s">
        <v>28</v>
      </c>
      <c r="K316" s="2" t="s">
        <v>786</v>
      </c>
      <c r="L316" s="2" t="s">
        <v>36</v>
      </c>
      <c r="M316" s="2" t="s">
        <v>785</v>
      </c>
      <c r="N316" s="2">
        <v>1440</v>
      </c>
      <c r="O316" s="2">
        <v>1440</v>
      </c>
      <c r="P316" s="2">
        <v>1440</v>
      </c>
      <c r="Q316" s="3">
        <v>1440</v>
      </c>
      <c r="R316" s="2">
        <v>574</v>
      </c>
      <c r="S316" s="2">
        <v>574</v>
      </c>
      <c r="T316" s="2">
        <v>574</v>
      </c>
      <c r="U316" s="3">
        <v>574</v>
      </c>
      <c r="V316" s="3"/>
    </row>
    <row r="317" spans="2:22" ht="30" hidden="1" x14ac:dyDescent="0.25">
      <c r="B317" s="2" t="s">
        <v>781</v>
      </c>
      <c r="C317" s="2" t="s">
        <v>782</v>
      </c>
      <c r="D317" s="2" t="s">
        <v>767</v>
      </c>
      <c r="E317" s="2" t="s">
        <v>27</v>
      </c>
      <c r="F317" s="2" t="s">
        <v>783</v>
      </c>
      <c r="G317" s="2" t="s">
        <v>27</v>
      </c>
      <c r="H317" s="2">
        <v>70192</v>
      </c>
      <c r="I317" s="2">
        <v>70311</v>
      </c>
      <c r="J317" s="2" t="s">
        <v>28</v>
      </c>
      <c r="K317" s="2" t="s">
        <v>787</v>
      </c>
      <c r="L317" s="2" t="s">
        <v>36</v>
      </c>
      <c r="M317" s="2" t="s">
        <v>771</v>
      </c>
      <c r="N317" s="2">
        <v>1440</v>
      </c>
      <c r="O317" s="2">
        <v>1440</v>
      </c>
      <c r="P317" s="2">
        <v>1440</v>
      </c>
      <c r="Q317" s="3">
        <v>1440</v>
      </c>
      <c r="R317" s="2">
        <v>574</v>
      </c>
      <c r="S317" s="2">
        <v>574</v>
      </c>
      <c r="T317" s="2">
        <v>574</v>
      </c>
      <c r="U317" s="3">
        <v>574</v>
      </c>
      <c r="V317" s="3"/>
    </row>
    <row r="318" spans="2:22" hidden="1" x14ac:dyDescent="0.25">
      <c r="B318" s="4" t="s">
        <v>1118</v>
      </c>
      <c r="C318" s="4" t="s">
        <v>1119</v>
      </c>
      <c r="D318" s="4" t="s">
        <v>783</v>
      </c>
      <c r="E318" s="4" t="s">
        <v>27</v>
      </c>
      <c r="F318" s="4" t="s">
        <v>1120</v>
      </c>
      <c r="G318" s="4" t="s">
        <v>27</v>
      </c>
      <c r="H318" s="4">
        <v>70311</v>
      </c>
      <c r="I318" s="4">
        <v>70545</v>
      </c>
      <c r="J318" s="4" t="s">
        <v>28</v>
      </c>
      <c r="K318" s="4" t="s">
        <v>1118</v>
      </c>
      <c r="L318" s="4" t="s">
        <v>29</v>
      </c>
      <c r="M318" s="4"/>
      <c r="N318" s="5">
        <v>1813</v>
      </c>
      <c r="O318" s="5">
        <v>1813</v>
      </c>
      <c r="P318" s="5">
        <v>1920</v>
      </c>
      <c r="Q318" s="5">
        <v>1920</v>
      </c>
      <c r="R318" s="5">
        <v>722</v>
      </c>
      <c r="S318" s="5">
        <v>722</v>
      </c>
      <c r="T318" s="5">
        <v>765</v>
      </c>
      <c r="U318" s="5">
        <v>765</v>
      </c>
      <c r="V318" s="5"/>
    </row>
    <row r="319" spans="2:22" hidden="1" x14ac:dyDescent="0.25">
      <c r="B319" s="2" t="s">
        <v>1118</v>
      </c>
      <c r="C319" s="2" t="s">
        <v>1119</v>
      </c>
      <c r="D319" s="2" t="s">
        <v>783</v>
      </c>
      <c r="E319" s="2" t="s">
        <v>27</v>
      </c>
      <c r="F319" s="2" t="s">
        <v>1120</v>
      </c>
      <c r="G319" s="2" t="s">
        <v>27</v>
      </c>
      <c r="H319" s="2">
        <v>70311</v>
      </c>
      <c r="I319" s="2">
        <v>70545</v>
      </c>
      <c r="J319" s="2" t="s">
        <v>28</v>
      </c>
      <c r="K319" s="2" t="s">
        <v>1118</v>
      </c>
      <c r="L319" s="2" t="s">
        <v>30</v>
      </c>
      <c r="M319" s="2" t="s">
        <v>1119</v>
      </c>
      <c r="N319" s="3">
        <v>1813</v>
      </c>
      <c r="O319" s="3">
        <v>1813</v>
      </c>
      <c r="P319" s="2">
        <v>2094</v>
      </c>
      <c r="Q319" s="2">
        <v>2094</v>
      </c>
      <c r="R319" s="3">
        <v>722</v>
      </c>
      <c r="S319" s="3">
        <v>722</v>
      </c>
      <c r="T319" s="2">
        <v>834</v>
      </c>
      <c r="U319" s="2">
        <v>834</v>
      </c>
      <c r="V319" s="2"/>
    </row>
    <row r="320" spans="2:22" ht="30" hidden="1" x14ac:dyDescent="0.25">
      <c r="B320" s="2" t="s">
        <v>1118</v>
      </c>
      <c r="C320" s="2" t="s">
        <v>1119</v>
      </c>
      <c r="D320" s="2" t="s">
        <v>783</v>
      </c>
      <c r="E320" s="2" t="s">
        <v>27</v>
      </c>
      <c r="F320" s="2" t="s">
        <v>1120</v>
      </c>
      <c r="G320" s="2" t="s">
        <v>27</v>
      </c>
      <c r="H320" s="2">
        <v>70311</v>
      </c>
      <c r="I320" s="2">
        <v>70545</v>
      </c>
      <c r="J320" s="2" t="s">
        <v>28</v>
      </c>
      <c r="K320" s="2" t="s">
        <v>1121</v>
      </c>
      <c r="L320" s="2" t="s">
        <v>36</v>
      </c>
      <c r="M320" s="2" t="s">
        <v>785</v>
      </c>
      <c r="N320" s="2">
        <v>1920</v>
      </c>
      <c r="O320" s="2">
        <v>1920</v>
      </c>
      <c r="P320" s="3">
        <v>1920</v>
      </c>
      <c r="Q320" s="3">
        <v>1920</v>
      </c>
      <c r="R320" s="2">
        <v>765</v>
      </c>
      <c r="S320" s="2">
        <v>765</v>
      </c>
      <c r="T320" s="3">
        <v>765</v>
      </c>
      <c r="U320" s="3">
        <v>765</v>
      </c>
      <c r="V320" s="3"/>
    </row>
    <row r="321" spans="2:22" ht="21" hidden="1" x14ac:dyDescent="0.25">
      <c r="B321" s="4" t="s">
        <v>242</v>
      </c>
      <c r="C321" s="4" t="s">
        <v>243</v>
      </c>
      <c r="D321" s="4" t="s">
        <v>244</v>
      </c>
      <c r="E321" s="4" t="s">
        <v>27</v>
      </c>
      <c r="F321" s="4" t="s">
        <v>245</v>
      </c>
      <c r="G321" s="4" t="s">
        <v>27</v>
      </c>
      <c r="H321" s="4">
        <v>70032</v>
      </c>
      <c r="I321" s="4">
        <v>70064</v>
      </c>
      <c r="J321" s="4" t="s">
        <v>28</v>
      </c>
      <c r="K321" s="4" t="s">
        <v>242</v>
      </c>
      <c r="L321" s="4" t="s">
        <v>29</v>
      </c>
      <c r="M321" s="4"/>
      <c r="N321" s="5">
        <v>1783</v>
      </c>
      <c r="O321" s="5">
        <v>2140</v>
      </c>
      <c r="P321" s="5">
        <v>2101</v>
      </c>
      <c r="Q321" s="5">
        <v>2312</v>
      </c>
      <c r="R321" s="5">
        <v>710</v>
      </c>
      <c r="S321" s="5">
        <v>853</v>
      </c>
      <c r="T321" s="5">
        <v>837</v>
      </c>
      <c r="U321" s="5">
        <v>921</v>
      </c>
      <c r="V321" s="5"/>
    </row>
    <row r="322" spans="2:22" ht="20" hidden="1" x14ac:dyDescent="0.25">
      <c r="B322" s="2" t="s">
        <v>242</v>
      </c>
      <c r="C322" s="2" t="s">
        <v>243</v>
      </c>
      <c r="D322" s="2" t="s">
        <v>244</v>
      </c>
      <c r="E322" s="2" t="s">
        <v>27</v>
      </c>
      <c r="F322" s="2" t="s">
        <v>245</v>
      </c>
      <c r="G322" s="2" t="s">
        <v>27</v>
      </c>
      <c r="H322" s="2">
        <v>70032</v>
      </c>
      <c r="I322" s="2">
        <v>70064</v>
      </c>
      <c r="J322" s="2" t="s">
        <v>28</v>
      </c>
      <c r="K322" s="2" t="s">
        <v>246</v>
      </c>
      <c r="L322" s="2" t="s">
        <v>31</v>
      </c>
      <c r="M322" s="2" t="s">
        <v>247</v>
      </c>
      <c r="N322" s="3">
        <v>1783</v>
      </c>
      <c r="O322" s="3">
        <v>2140</v>
      </c>
      <c r="P322" s="2">
        <v>2174</v>
      </c>
      <c r="Q322" s="2">
        <v>2462</v>
      </c>
      <c r="R322" s="3">
        <v>710</v>
      </c>
      <c r="S322" s="3">
        <v>853</v>
      </c>
      <c r="T322" s="2">
        <v>866</v>
      </c>
      <c r="U322" s="2">
        <v>981</v>
      </c>
      <c r="V322" s="2"/>
    </row>
    <row r="323" spans="2:22" ht="20" hidden="1" x14ac:dyDescent="0.25">
      <c r="B323" s="2" t="s">
        <v>242</v>
      </c>
      <c r="C323" s="2" t="s">
        <v>243</v>
      </c>
      <c r="D323" s="2" t="s">
        <v>244</v>
      </c>
      <c r="E323" s="2" t="s">
        <v>27</v>
      </c>
      <c r="F323" s="2" t="s">
        <v>245</v>
      </c>
      <c r="G323" s="2" t="s">
        <v>27</v>
      </c>
      <c r="H323" s="2">
        <v>70032</v>
      </c>
      <c r="I323" s="2">
        <v>70064</v>
      </c>
      <c r="J323" s="2" t="s">
        <v>28</v>
      </c>
      <c r="K323" s="2" t="s">
        <v>242</v>
      </c>
      <c r="L323" s="2" t="s">
        <v>30</v>
      </c>
      <c r="M323" s="2" t="s">
        <v>243</v>
      </c>
      <c r="N323" s="2">
        <v>1952</v>
      </c>
      <c r="O323" s="2">
        <v>2147</v>
      </c>
      <c r="P323" s="3">
        <v>2101</v>
      </c>
      <c r="Q323" s="3">
        <v>2312</v>
      </c>
      <c r="R323" s="2">
        <v>778</v>
      </c>
      <c r="S323" s="2">
        <v>855</v>
      </c>
      <c r="T323" s="3">
        <v>837</v>
      </c>
      <c r="U323" s="3">
        <v>921</v>
      </c>
      <c r="V323" s="3"/>
    </row>
    <row r="324" spans="2:22" hidden="1" x14ac:dyDescent="0.25">
      <c r="B324" s="4" t="s">
        <v>248</v>
      </c>
      <c r="C324" s="4" t="s">
        <v>243</v>
      </c>
      <c r="D324" s="4" t="s">
        <v>244</v>
      </c>
      <c r="E324" s="4" t="s">
        <v>27</v>
      </c>
      <c r="F324" s="4" t="s">
        <v>223</v>
      </c>
      <c r="G324" s="4" t="s">
        <v>27</v>
      </c>
      <c r="H324" s="4">
        <v>70032</v>
      </c>
      <c r="I324" s="4">
        <v>70274</v>
      </c>
      <c r="J324" s="4" t="s">
        <v>28</v>
      </c>
      <c r="K324" s="4" t="s">
        <v>248</v>
      </c>
      <c r="L324" s="4" t="s">
        <v>29</v>
      </c>
      <c r="M324" s="4"/>
      <c r="N324" s="5">
        <v>1215</v>
      </c>
      <c r="O324" s="5">
        <v>1336</v>
      </c>
      <c r="P324" s="5">
        <v>1387</v>
      </c>
      <c r="Q324" s="5">
        <v>1526</v>
      </c>
      <c r="R324" s="5">
        <v>484</v>
      </c>
      <c r="S324" s="5">
        <v>532</v>
      </c>
      <c r="T324" s="5">
        <v>553</v>
      </c>
      <c r="U324" s="5">
        <v>608</v>
      </c>
      <c r="V324" s="5"/>
    </row>
    <row r="325" spans="2:22" ht="20" hidden="1" x14ac:dyDescent="0.25">
      <c r="B325" s="2" t="s">
        <v>248</v>
      </c>
      <c r="C325" s="2" t="s">
        <v>243</v>
      </c>
      <c r="D325" s="2" t="s">
        <v>244</v>
      </c>
      <c r="E325" s="2" t="s">
        <v>27</v>
      </c>
      <c r="F325" s="2" t="s">
        <v>223</v>
      </c>
      <c r="G325" s="2" t="s">
        <v>27</v>
      </c>
      <c r="H325" s="2">
        <v>70032</v>
      </c>
      <c r="I325" s="2">
        <v>70274</v>
      </c>
      <c r="J325" s="2" t="s">
        <v>28</v>
      </c>
      <c r="K325" s="2" t="s">
        <v>249</v>
      </c>
      <c r="L325" s="2" t="s">
        <v>31</v>
      </c>
      <c r="M325" s="2" t="s">
        <v>250</v>
      </c>
      <c r="N325" s="3">
        <v>1215</v>
      </c>
      <c r="O325" s="3">
        <v>1336</v>
      </c>
      <c r="P325" s="3">
        <v>1387</v>
      </c>
      <c r="Q325" s="3">
        <v>1526</v>
      </c>
      <c r="R325" s="3">
        <v>484</v>
      </c>
      <c r="S325" s="3">
        <v>532</v>
      </c>
      <c r="T325" s="3">
        <v>553</v>
      </c>
      <c r="U325" s="3">
        <v>608</v>
      </c>
      <c r="V325" s="3"/>
    </row>
    <row r="326" spans="2:22" ht="21" hidden="1" x14ac:dyDescent="0.25">
      <c r="B326" s="4" t="s">
        <v>1114</v>
      </c>
      <c r="C326" s="4" t="s">
        <v>1115</v>
      </c>
      <c r="D326" s="4" t="s">
        <v>1116</v>
      </c>
      <c r="E326" s="4" t="s">
        <v>27</v>
      </c>
      <c r="F326" s="4" t="s">
        <v>456</v>
      </c>
      <c r="G326" s="4" t="s">
        <v>27</v>
      </c>
      <c r="H326" s="4">
        <v>2143</v>
      </c>
      <c r="I326" s="4">
        <v>70309</v>
      </c>
      <c r="J326" s="4" t="s">
        <v>28</v>
      </c>
      <c r="K326" s="4" t="s">
        <v>1114</v>
      </c>
      <c r="L326" s="4" t="s">
        <v>29</v>
      </c>
      <c r="M326" s="4"/>
      <c r="N326" s="5">
        <v>1447</v>
      </c>
      <c r="O326" s="5">
        <v>1591</v>
      </c>
      <c r="P326" s="5">
        <v>1649</v>
      </c>
      <c r="Q326" s="5">
        <v>1814</v>
      </c>
      <c r="R326" s="5">
        <v>576</v>
      </c>
      <c r="S326" s="5">
        <v>634</v>
      </c>
      <c r="T326" s="5">
        <v>657</v>
      </c>
      <c r="U326" s="5">
        <v>723</v>
      </c>
      <c r="V326" s="5"/>
    </row>
    <row r="327" spans="2:22" ht="20" hidden="1" x14ac:dyDescent="0.25">
      <c r="B327" s="2" t="s">
        <v>1114</v>
      </c>
      <c r="C327" s="2" t="s">
        <v>1115</v>
      </c>
      <c r="D327" s="2" t="s">
        <v>1116</v>
      </c>
      <c r="E327" s="2" t="s">
        <v>27</v>
      </c>
      <c r="F327" s="2" t="s">
        <v>456</v>
      </c>
      <c r="G327" s="2" t="s">
        <v>27</v>
      </c>
      <c r="H327" s="2">
        <v>2143</v>
      </c>
      <c r="I327" s="2">
        <v>70309</v>
      </c>
      <c r="J327" s="2" t="s">
        <v>28</v>
      </c>
      <c r="K327" s="2" t="s">
        <v>1114</v>
      </c>
      <c r="L327" s="2" t="s">
        <v>30</v>
      </c>
      <c r="M327" s="2" t="s">
        <v>1115</v>
      </c>
      <c r="N327" s="3">
        <v>1447</v>
      </c>
      <c r="O327" s="3">
        <v>1591</v>
      </c>
      <c r="P327" s="3">
        <v>1649</v>
      </c>
      <c r="Q327" s="3">
        <v>1814</v>
      </c>
      <c r="R327" s="3">
        <v>576</v>
      </c>
      <c r="S327" s="3">
        <v>634</v>
      </c>
      <c r="T327" s="3">
        <v>657</v>
      </c>
      <c r="U327" s="3">
        <v>723</v>
      </c>
      <c r="V327" s="3"/>
    </row>
    <row r="328" spans="2:22" ht="20" hidden="1" x14ac:dyDescent="0.25">
      <c r="B328" s="2" t="s">
        <v>1114</v>
      </c>
      <c r="C328" s="2" t="s">
        <v>1115</v>
      </c>
      <c r="D328" s="2" t="s">
        <v>1116</v>
      </c>
      <c r="E328" s="2" t="s">
        <v>27</v>
      </c>
      <c r="F328" s="2" t="s">
        <v>456</v>
      </c>
      <c r="G328" s="2" t="s">
        <v>27</v>
      </c>
      <c r="H328" s="2">
        <v>2143</v>
      </c>
      <c r="I328" s="2">
        <v>70309</v>
      </c>
      <c r="J328" s="2" t="s">
        <v>28</v>
      </c>
      <c r="K328" s="2" t="s">
        <v>604</v>
      </c>
      <c r="L328" s="2" t="s">
        <v>31</v>
      </c>
      <c r="M328" s="2" t="s">
        <v>457</v>
      </c>
      <c r="N328" s="3">
        <v>1447</v>
      </c>
      <c r="O328" s="2">
        <v>1592</v>
      </c>
      <c r="P328" s="3">
        <v>1649</v>
      </c>
      <c r="Q328" s="3">
        <v>1814</v>
      </c>
      <c r="R328" s="3">
        <v>576</v>
      </c>
      <c r="S328" s="2">
        <v>634</v>
      </c>
      <c r="T328" s="3">
        <v>657</v>
      </c>
      <c r="U328" s="3">
        <v>723</v>
      </c>
      <c r="V328" s="3"/>
    </row>
    <row r="329" spans="2:22" ht="31.5" hidden="1" x14ac:dyDescent="0.25">
      <c r="B329" s="4" t="s">
        <v>1117</v>
      </c>
      <c r="C329" s="4" t="s">
        <v>1115</v>
      </c>
      <c r="D329" s="4" t="s">
        <v>1116</v>
      </c>
      <c r="E329" s="4" t="s">
        <v>27</v>
      </c>
      <c r="F329" s="4" t="s">
        <v>580</v>
      </c>
      <c r="G329" s="4" t="s">
        <v>27</v>
      </c>
      <c r="H329" s="4">
        <v>2143</v>
      </c>
      <c r="I329" s="4">
        <v>79057</v>
      </c>
      <c r="J329" s="4" t="s">
        <v>28</v>
      </c>
      <c r="K329" s="4" t="s">
        <v>1117</v>
      </c>
      <c r="L329" s="4" t="s">
        <v>29</v>
      </c>
      <c r="M329" s="4"/>
      <c r="N329" s="5">
        <v>1434</v>
      </c>
      <c r="O329" s="5">
        <v>1578</v>
      </c>
      <c r="P329" s="5">
        <v>1611</v>
      </c>
      <c r="Q329" s="5">
        <v>1772</v>
      </c>
      <c r="R329" s="5">
        <v>571</v>
      </c>
      <c r="S329" s="5">
        <v>629</v>
      </c>
      <c r="T329" s="5">
        <v>642</v>
      </c>
      <c r="U329" s="5">
        <v>706</v>
      </c>
      <c r="V329" s="5"/>
    </row>
    <row r="330" spans="2:22" ht="20" hidden="1" x14ac:dyDescent="0.25">
      <c r="B330" s="2" t="s">
        <v>1117</v>
      </c>
      <c r="C330" s="2" t="s">
        <v>1115</v>
      </c>
      <c r="D330" s="2" t="s">
        <v>1116</v>
      </c>
      <c r="E330" s="2" t="s">
        <v>27</v>
      </c>
      <c r="F330" s="2" t="s">
        <v>580</v>
      </c>
      <c r="G330" s="2" t="s">
        <v>27</v>
      </c>
      <c r="H330" s="2">
        <v>2143</v>
      </c>
      <c r="I330" s="2">
        <v>79057</v>
      </c>
      <c r="J330" s="2" t="s">
        <v>28</v>
      </c>
      <c r="K330" s="2" t="s">
        <v>1117</v>
      </c>
      <c r="L330" s="2" t="s">
        <v>30</v>
      </c>
      <c r="M330" s="2" t="s">
        <v>1115</v>
      </c>
      <c r="N330" s="3">
        <v>1434</v>
      </c>
      <c r="O330" s="3">
        <v>1578</v>
      </c>
      <c r="P330" s="3">
        <v>1611</v>
      </c>
      <c r="Q330" s="3">
        <v>1772</v>
      </c>
      <c r="R330" s="3">
        <v>571</v>
      </c>
      <c r="S330" s="3">
        <v>629</v>
      </c>
      <c r="T330" s="3">
        <v>642</v>
      </c>
      <c r="U330" s="3">
        <v>706</v>
      </c>
      <c r="V330" s="3"/>
    </row>
    <row r="331" spans="2:22" ht="21" hidden="1" x14ac:dyDescent="0.25">
      <c r="B331" s="4" t="s">
        <v>454</v>
      </c>
      <c r="C331" s="4" t="s">
        <v>455</v>
      </c>
      <c r="D331" s="4" t="s">
        <v>220</v>
      </c>
      <c r="E331" s="4" t="s">
        <v>27</v>
      </c>
      <c r="F331" s="4" t="s">
        <v>456</v>
      </c>
      <c r="G331" s="4" t="s">
        <v>27</v>
      </c>
      <c r="H331" s="4">
        <v>70078</v>
      </c>
      <c r="I331" s="4">
        <v>70309</v>
      </c>
      <c r="J331" s="4" t="s">
        <v>28</v>
      </c>
      <c r="K331" s="4" t="s">
        <v>454</v>
      </c>
      <c r="L331" s="4" t="s">
        <v>29</v>
      </c>
      <c r="M331" s="4"/>
      <c r="N331" s="5"/>
      <c r="O331" s="5"/>
      <c r="P331" s="5"/>
      <c r="Q331" s="5"/>
      <c r="R331" s="5"/>
      <c r="S331" s="5"/>
      <c r="T331" s="5"/>
      <c r="U331" s="5"/>
      <c r="V331" s="6" t="s">
        <v>1316</v>
      </c>
    </row>
    <row r="332" spans="2:22" ht="21" hidden="1" x14ac:dyDescent="0.25">
      <c r="B332" s="4" t="s">
        <v>986</v>
      </c>
      <c r="C332" s="4" t="s">
        <v>987</v>
      </c>
      <c r="D332" s="4" t="s">
        <v>44</v>
      </c>
      <c r="E332" s="4" t="s">
        <v>27</v>
      </c>
      <c r="F332" s="4" t="s">
        <v>988</v>
      </c>
      <c r="G332" s="4" t="s">
        <v>40</v>
      </c>
      <c r="H332" s="4">
        <v>70254</v>
      </c>
      <c r="I332" s="4">
        <v>70560</v>
      </c>
      <c r="J332" s="4" t="s">
        <v>42</v>
      </c>
      <c r="K332" s="4" t="s">
        <v>986</v>
      </c>
      <c r="L332" s="4" t="s">
        <v>29</v>
      </c>
      <c r="M332" s="4"/>
      <c r="N332" s="5">
        <v>600</v>
      </c>
      <c r="O332" s="5">
        <v>600</v>
      </c>
      <c r="P332" s="5">
        <v>600</v>
      </c>
      <c r="Q332" s="5">
        <v>600</v>
      </c>
      <c r="R332" s="5">
        <v>239</v>
      </c>
      <c r="S332" s="5">
        <v>239</v>
      </c>
      <c r="T332" s="5">
        <v>239</v>
      </c>
      <c r="U332" s="5">
        <v>239</v>
      </c>
      <c r="V332" s="5"/>
    </row>
    <row r="333" spans="2:22" ht="20" hidden="1" x14ac:dyDescent="0.25">
      <c r="B333" s="2" t="s">
        <v>986</v>
      </c>
      <c r="C333" s="2" t="s">
        <v>987</v>
      </c>
      <c r="D333" s="2" t="s">
        <v>44</v>
      </c>
      <c r="E333" s="2" t="s">
        <v>27</v>
      </c>
      <c r="F333" s="2" t="s">
        <v>988</v>
      </c>
      <c r="G333" s="2" t="s">
        <v>40</v>
      </c>
      <c r="H333" s="2">
        <v>70254</v>
      </c>
      <c r="I333" s="2">
        <v>70560</v>
      </c>
      <c r="J333" s="2" t="s">
        <v>42</v>
      </c>
      <c r="K333" s="2" t="s">
        <v>989</v>
      </c>
      <c r="L333" s="2" t="s">
        <v>39</v>
      </c>
      <c r="M333" s="2" t="s">
        <v>59</v>
      </c>
      <c r="N333" s="3">
        <v>600</v>
      </c>
      <c r="O333" s="3">
        <v>600</v>
      </c>
      <c r="P333" s="3">
        <v>600</v>
      </c>
      <c r="Q333" s="3">
        <v>600</v>
      </c>
      <c r="R333" s="3">
        <v>239</v>
      </c>
      <c r="S333" s="3">
        <v>239</v>
      </c>
      <c r="T333" s="3">
        <v>239</v>
      </c>
      <c r="U333" s="3">
        <v>239</v>
      </c>
      <c r="V333" s="3"/>
    </row>
    <row r="334" spans="2:22" ht="20" hidden="1" x14ac:dyDescent="0.25">
      <c r="B334" s="2" t="s">
        <v>986</v>
      </c>
      <c r="C334" s="2" t="s">
        <v>987</v>
      </c>
      <c r="D334" s="2" t="s">
        <v>44</v>
      </c>
      <c r="E334" s="2" t="s">
        <v>27</v>
      </c>
      <c r="F334" s="2" t="s">
        <v>988</v>
      </c>
      <c r="G334" s="2" t="s">
        <v>40</v>
      </c>
      <c r="H334" s="2">
        <v>70254</v>
      </c>
      <c r="I334" s="2">
        <v>70560</v>
      </c>
      <c r="J334" s="2" t="s">
        <v>42</v>
      </c>
      <c r="K334" s="2" t="s">
        <v>990</v>
      </c>
      <c r="L334" s="2" t="s">
        <v>39</v>
      </c>
      <c r="M334" s="2" t="s">
        <v>59</v>
      </c>
      <c r="N334" s="3">
        <v>600</v>
      </c>
      <c r="O334" s="3">
        <v>600</v>
      </c>
      <c r="P334" s="3">
        <v>600</v>
      </c>
      <c r="Q334" s="3">
        <v>600</v>
      </c>
      <c r="R334" s="3">
        <v>239</v>
      </c>
      <c r="S334" s="3">
        <v>239</v>
      </c>
      <c r="T334" s="3">
        <v>239</v>
      </c>
      <c r="U334" s="3">
        <v>239</v>
      </c>
      <c r="V334" s="3"/>
    </row>
    <row r="335" spans="2:22" ht="20" hidden="1" x14ac:dyDescent="0.25">
      <c r="B335" s="2" t="s">
        <v>986</v>
      </c>
      <c r="C335" s="2" t="s">
        <v>987</v>
      </c>
      <c r="D335" s="2" t="s">
        <v>44</v>
      </c>
      <c r="E335" s="2" t="s">
        <v>27</v>
      </c>
      <c r="F335" s="2" t="s">
        <v>988</v>
      </c>
      <c r="G335" s="2" t="s">
        <v>40</v>
      </c>
      <c r="H335" s="2">
        <v>70254</v>
      </c>
      <c r="I335" s="2">
        <v>70560</v>
      </c>
      <c r="J335" s="2" t="s">
        <v>42</v>
      </c>
      <c r="K335" s="2" t="s">
        <v>991</v>
      </c>
      <c r="L335" s="2" t="s">
        <v>39</v>
      </c>
      <c r="M335" s="2" t="s">
        <v>59</v>
      </c>
      <c r="N335" s="3">
        <v>600</v>
      </c>
      <c r="O335" s="3">
        <v>600</v>
      </c>
      <c r="P335" s="3">
        <v>600</v>
      </c>
      <c r="Q335" s="3">
        <v>600</v>
      </c>
      <c r="R335" s="3">
        <v>239</v>
      </c>
      <c r="S335" s="3">
        <v>239</v>
      </c>
      <c r="T335" s="3">
        <v>239</v>
      </c>
      <c r="U335" s="3">
        <v>239</v>
      </c>
      <c r="V335" s="3"/>
    </row>
    <row r="336" spans="2:22" ht="21" hidden="1" x14ac:dyDescent="0.25">
      <c r="B336" s="4" t="s">
        <v>885</v>
      </c>
      <c r="C336" s="4" t="s">
        <v>886</v>
      </c>
      <c r="D336" s="4" t="s">
        <v>312</v>
      </c>
      <c r="E336" s="4" t="s">
        <v>27</v>
      </c>
      <c r="F336" s="4" t="s">
        <v>767</v>
      </c>
      <c r="G336" s="4" t="s">
        <v>27</v>
      </c>
      <c r="H336" s="4">
        <v>70048</v>
      </c>
      <c r="I336" s="4">
        <v>70192</v>
      </c>
      <c r="J336" s="4" t="s">
        <v>28</v>
      </c>
      <c r="K336" s="4" t="s">
        <v>885</v>
      </c>
      <c r="L336" s="4" t="s">
        <v>29</v>
      </c>
      <c r="M336" s="4"/>
      <c r="N336" s="5">
        <v>1430</v>
      </c>
      <c r="O336" s="5">
        <v>1573</v>
      </c>
      <c r="P336" s="5">
        <v>1629</v>
      </c>
      <c r="Q336" s="5">
        <v>1792</v>
      </c>
      <c r="R336" s="5">
        <v>570</v>
      </c>
      <c r="S336" s="5">
        <v>627</v>
      </c>
      <c r="T336" s="5">
        <v>649</v>
      </c>
      <c r="U336" s="5">
        <v>714</v>
      </c>
      <c r="V336" s="5"/>
    </row>
    <row r="337" spans="2:22" ht="20" hidden="1" x14ac:dyDescent="0.25">
      <c r="B337" s="2" t="s">
        <v>885</v>
      </c>
      <c r="C337" s="2" t="s">
        <v>886</v>
      </c>
      <c r="D337" s="2" t="s">
        <v>312</v>
      </c>
      <c r="E337" s="2" t="s">
        <v>27</v>
      </c>
      <c r="F337" s="2" t="s">
        <v>767</v>
      </c>
      <c r="G337" s="2" t="s">
        <v>27</v>
      </c>
      <c r="H337" s="2">
        <v>70048</v>
      </c>
      <c r="I337" s="2">
        <v>70192</v>
      </c>
      <c r="J337" s="2" t="s">
        <v>28</v>
      </c>
      <c r="K337" s="2" t="s">
        <v>388</v>
      </c>
      <c r="L337" s="2" t="s">
        <v>31</v>
      </c>
      <c r="M337" s="2" t="s">
        <v>771</v>
      </c>
      <c r="N337" s="3">
        <v>1430</v>
      </c>
      <c r="O337" s="3">
        <v>1573</v>
      </c>
      <c r="P337" s="3">
        <v>1629</v>
      </c>
      <c r="Q337" s="3">
        <v>1792</v>
      </c>
      <c r="R337" s="3">
        <v>570</v>
      </c>
      <c r="S337" s="3">
        <v>627</v>
      </c>
      <c r="T337" s="3">
        <v>649</v>
      </c>
      <c r="U337" s="3">
        <v>714</v>
      </c>
      <c r="V337" s="3"/>
    </row>
    <row r="338" spans="2:22" ht="31.5" hidden="1" x14ac:dyDescent="0.25">
      <c r="B338" s="4" t="s">
        <v>177</v>
      </c>
      <c r="C338" s="4" t="s">
        <v>120</v>
      </c>
      <c r="D338" s="4" t="s">
        <v>294</v>
      </c>
      <c r="E338" s="4" t="s">
        <v>27</v>
      </c>
      <c r="F338" s="4" t="s">
        <v>507</v>
      </c>
      <c r="G338" s="4" t="s">
        <v>27</v>
      </c>
      <c r="H338" s="4">
        <v>70107</v>
      </c>
      <c r="I338" s="4">
        <v>70200</v>
      </c>
      <c r="J338" s="4" t="s">
        <v>28</v>
      </c>
      <c r="K338" s="4" t="s">
        <v>177</v>
      </c>
      <c r="L338" s="4" t="s">
        <v>29</v>
      </c>
      <c r="M338" s="4"/>
      <c r="N338" s="5">
        <v>1294</v>
      </c>
      <c r="O338" s="5">
        <v>1520</v>
      </c>
      <c r="P338" s="5">
        <v>1483</v>
      </c>
      <c r="Q338" s="5">
        <v>1600</v>
      </c>
      <c r="R338" s="5">
        <v>515</v>
      </c>
      <c r="S338" s="5">
        <v>605</v>
      </c>
      <c r="T338" s="5">
        <v>591</v>
      </c>
      <c r="U338" s="5">
        <v>637</v>
      </c>
      <c r="V338" s="5"/>
    </row>
    <row r="339" spans="2:22" ht="30" hidden="1" x14ac:dyDescent="0.25">
      <c r="B339" s="2" t="s">
        <v>177</v>
      </c>
      <c r="C339" s="2" t="s">
        <v>120</v>
      </c>
      <c r="D339" s="2" t="s">
        <v>294</v>
      </c>
      <c r="E339" s="2" t="s">
        <v>27</v>
      </c>
      <c r="F339" s="2" t="s">
        <v>507</v>
      </c>
      <c r="G339" s="2" t="s">
        <v>27</v>
      </c>
      <c r="H339" s="2">
        <v>70107</v>
      </c>
      <c r="I339" s="2">
        <v>70200</v>
      </c>
      <c r="J339" s="2" t="s">
        <v>28</v>
      </c>
      <c r="K339" s="2" t="s">
        <v>508</v>
      </c>
      <c r="L339" s="2" t="s">
        <v>34</v>
      </c>
      <c r="M339" s="2" t="s">
        <v>509</v>
      </c>
      <c r="N339" s="3">
        <v>1294</v>
      </c>
      <c r="O339" s="3">
        <v>1520</v>
      </c>
      <c r="P339" s="3">
        <v>1483</v>
      </c>
      <c r="Q339" s="2">
        <v>1657</v>
      </c>
      <c r="R339" s="3">
        <v>515</v>
      </c>
      <c r="S339" s="3">
        <v>605</v>
      </c>
      <c r="T339" s="3">
        <v>591</v>
      </c>
      <c r="U339" s="2">
        <v>660</v>
      </c>
      <c r="V339" s="2"/>
    </row>
    <row r="340" spans="2:22" ht="30" hidden="1" x14ac:dyDescent="0.25">
      <c r="B340" s="2" t="s">
        <v>177</v>
      </c>
      <c r="C340" s="2" t="s">
        <v>120</v>
      </c>
      <c r="D340" s="2" t="s">
        <v>294</v>
      </c>
      <c r="E340" s="2" t="s">
        <v>27</v>
      </c>
      <c r="F340" s="2" t="s">
        <v>507</v>
      </c>
      <c r="G340" s="2" t="s">
        <v>27</v>
      </c>
      <c r="H340" s="2">
        <v>70107</v>
      </c>
      <c r="I340" s="2">
        <v>70200</v>
      </c>
      <c r="J340" s="2" t="s">
        <v>28</v>
      </c>
      <c r="K340" s="2" t="s">
        <v>510</v>
      </c>
      <c r="L340" s="2" t="s">
        <v>34</v>
      </c>
      <c r="M340" s="2" t="s">
        <v>509</v>
      </c>
      <c r="N340" s="3">
        <v>1294</v>
      </c>
      <c r="O340" s="3">
        <v>1520</v>
      </c>
      <c r="P340" s="3">
        <v>1483</v>
      </c>
      <c r="Q340" s="2">
        <v>1657</v>
      </c>
      <c r="R340" s="3">
        <v>515</v>
      </c>
      <c r="S340" s="3">
        <v>605</v>
      </c>
      <c r="T340" s="3">
        <v>591</v>
      </c>
      <c r="U340" s="2">
        <v>660</v>
      </c>
      <c r="V340" s="2"/>
    </row>
    <row r="341" spans="2:22" ht="30" hidden="1" x14ac:dyDescent="0.25">
      <c r="B341" s="2" t="s">
        <v>177</v>
      </c>
      <c r="C341" s="2" t="s">
        <v>120</v>
      </c>
      <c r="D341" s="2" t="s">
        <v>294</v>
      </c>
      <c r="E341" s="2" t="s">
        <v>27</v>
      </c>
      <c r="F341" s="2" t="s">
        <v>507</v>
      </c>
      <c r="G341" s="2" t="s">
        <v>27</v>
      </c>
      <c r="H341" s="2">
        <v>70107</v>
      </c>
      <c r="I341" s="2">
        <v>70200</v>
      </c>
      <c r="J341" s="2" t="s">
        <v>28</v>
      </c>
      <c r="K341" s="2" t="s">
        <v>178</v>
      </c>
      <c r="L341" s="2" t="s">
        <v>1315</v>
      </c>
      <c r="M341" s="2" t="s">
        <v>509</v>
      </c>
      <c r="N341" s="2">
        <v>1600</v>
      </c>
      <c r="O341" s="2">
        <v>1600</v>
      </c>
      <c r="P341" s="2">
        <v>1600</v>
      </c>
      <c r="Q341" s="3">
        <v>1600</v>
      </c>
      <c r="R341" s="2">
        <v>637</v>
      </c>
      <c r="S341" s="2">
        <v>637</v>
      </c>
      <c r="T341" s="2">
        <v>637</v>
      </c>
      <c r="U341" s="3">
        <v>637</v>
      </c>
      <c r="V341" s="3"/>
    </row>
    <row r="342" spans="2:22" ht="21" hidden="1" x14ac:dyDescent="0.25">
      <c r="B342" s="4" t="s">
        <v>180</v>
      </c>
      <c r="C342" s="4" t="s">
        <v>120</v>
      </c>
      <c r="D342" s="4" t="s">
        <v>507</v>
      </c>
      <c r="E342" s="4" t="s">
        <v>27</v>
      </c>
      <c r="F342" s="4" t="s">
        <v>840</v>
      </c>
      <c r="G342" s="4" t="s">
        <v>27</v>
      </c>
      <c r="H342" s="4">
        <v>70200</v>
      </c>
      <c r="I342" s="4">
        <v>70461</v>
      </c>
      <c r="J342" s="4" t="s">
        <v>28</v>
      </c>
      <c r="K342" s="4" t="s">
        <v>180</v>
      </c>
      <c r="L342" s="4" t="s">
        <v>29</v>
      </c>
      <c r="M342" s="4"/>
      <c r="N342" s="5">
        <v>1218</v>
      </c>
      <c r="O342" s="5">
        <v>1424</v>
      </c>
      <c r="P342" s="5">
        <v>1454</v>
      </c>
      <c r="Q342" s="5">
        <v>1600</v>
      </c>
      <c r="R342" s="5">
        <v>485</v>
      </c>
      <c r="S342" s="5">
        <v>567</v>
      </c>
      <c r="T342" s="5">
        <v>579</v>
      </c>
      <c r="U342" s="5">
        <v>637</v>
      </c>
      <c r="V342" s="5"/>
    </row>
    <row r="343" spans="2:22" ht="20" hidden="1" x14ac:dyDescent="0.25">
      <c r="B343" s="2" t="s">
        <v>180</v>
      </c>
      <c r="C343" s="2" t="s">
        <v>120</v>
      </c>
      <c r="D343" s="2" t="s">
        <v>507</v>
      </c>
      <c r="E343" s="2" t="s">
        <v>27</v>
      </c>
      <c r="F343" s="2" t="s">
        <v>840</v>
      </c>
      <c r="G343" s="2" t="s">
        <v>27</v>
      </c>
      <c r="H343" s="2">
        <v>70200</v>
      </c>
      <c r="I343" s="2">
        <v>70461</v>
      </c>
      <c r="J343" s="2" t="s">
        <v>28</v>
      </c>
      <c r="K343" s="2" t="s">
        <v>388</v>
      </c>
      <c r="L343" s="2" t="s">
        <v>31</v>
      </c>
      <c r="M343" s="2" t="s">
        <v>509</v>
      </c>
      <c r="N343" s="3">
        <v>1218</v>
      </c>
      <c r="O343" s="3">
        <v>1424</v>
      </c>
      <c r="P343" s="3">
        <v>1454</v>
      </c>
      <c r="Q343" s="2">
        <v>1623</v>
      </c>
      <c r="R343" s="3">
        <v>485</v>
      </c>
      <c r="S343" s="3">
        <v>567</v>
      </c>
      <c r="T343" s="3">
        <v>579</v>
      </c>
      <c r="U343" s="2">
        <v>647</v>
      </c>
      <c r="V343" s="2"/>
    </row>
    <row r="344" spans="2:22" ht="20" hidden="1" x14ac:dyDescent="0.25">
      <c r="B344" s="2" t="s">
        <v>180</v>
      </c>
      <c r="C344" s="2" t="s">
        <v>120</v>
      </c>
      <c r="D344" s="2" t="s">
        <v>507</v>
      </c>
      <c r="E344" s="2" t="s">
        <v>27</v>
      </c>
      <c r="F344" s="2" t="s">
        <v>840</v>
      </c>
      <c r="G344" s="2" t="s">
        <v>27</v>
      </c>
      <c r="H344" s="2">
        <v>70200</v>
      </c>
      <c r="I344" s="2">
        <v>70461</v>
      </c>
      <c r="J344" s="2" t="s">
        <v>28</v>
      </c>
      <c r="K344" s="2" t="s">
        <v>182</v>
      </c>
      <c r="L344" s="2" t="s">
        <v>1315</v>
      </c>
      <c r="M344" s="2" t="s">
        <v>509</v>
      </c>
      <c r="N344" s="2">
        <v>1600</v>
      </c>
      <c r="O344" s="2">
        <v>1600</v>
      </c>
      <c r="P344" s="2">
        <v>1600</v>
      </c>
      <c r="Q344" s="3">
        <v>1600</v>
      </c>
      <c r="R344" s="2">
        <v>637</v>
      </c>
      <c r="S344" s="2">
        <v>637</v>
      </c>
      <c r="T344" s="2">
        <v>637</v>
      </c>
      <c r="U344" s="3">
        <v>637</v>
      </c>
      <c r="V344" s="3"/>
    </row>
    <row r="345" spans="2:22" ht="20" hidden="1" x14ac:dyDescent="0.25">
      <c r="B345" s="2" t="s">
        <v>180</v>
      </c>
      <c r="C345" s="2" t="s">
        <v>120</v>
      </c>
      <c r="D345" s="2" t="s">
        <v>507</v>
      </c>
      <c r="E345" s="2" t="s">
        <v>27</v>
      </c>
      <c r="F345" s="2" t="s">
        <v>840</v>
      </c>
      <c r="G345" s="2" t="s">
        <v>27</v>
      </c>
      <c r="H345" s="2">
        <v>70200</v>
      </c>
      <c r="I345" s="2">
        <v>70461</v>
      </c>
      <c r="J345" s="2" t="s">
        <v>28</v>
      </c>
      <c r="K345" s="2" t="s">
        <v>181</v>
      </c>
      <c r="L345" s="2" t="s">
        <v>1315</v>
      </c>
      <c r="M345" s="2" t="s">
        <v>841</v>
      </c>
      <c r="N345" s="2">
        <v>1600</v>
      </c>
      <c r="O345" s="2">
        <v>1600</v>
      </c>
      <c r="P345" s="2">
        <v>1600</v>
      </c>
      <c r="Q345" s="3">
        <v>1600</v>
      </c>
      <c r="R345" s="2">
        <v>637</v>
      </c>
      <c r="S345" s="2">
        <v>637</v>
      </c>
      <c r="T345" s="2">
        <v>637</v>
      </c>
      <c r="U345" s="3">
        <v>637</v>
      </c>
      <c r="V345" s="3"/>
    </row>
    <row r="346" spans="2:22" ht="21" hidden="1" x14ac:dyDescent="0.25">
      <c r="B346" s="4" t="s">
        <v>119</v>
      </c>
      <c r="C346" s="4" t="s">
        <v>120</v>
      </c>
      <c r="D346" s="4" t="s">
        <v>840</v>
      </c>
      <c r="E346" s="4" t="s">
        <v>27</v>
      </c>
      <c r="F346" s="4" t="s">
        <v>779</v>
      </c>
      <c r="G346" s="4" t="s">
        <v>40</v>
      </c>
      <c r="H346" s="4">
        <v>70461</v>
      </c>
      <c r="I346" s="4">
        <v>70529</v>
      </c>
      <c r="J346" s="4" t="s">
        <v>28</v>
      </c>
      <c r="K346" s="4" t="s">
        <v>119</v>
      </c>
      <c r="L346" s="4" t="s">
        <v>29</v>
      </c>
      <c r="M346" s="4"/>
      <c r="N346" s="5">
        <v>1427</v>
      </c>
      <c r="O346" s="5">
        <v>1570</v>
      </c>
      <c r="P346" s="5">
        <v>1599</v>
      </c>
      <c r="Q346" s="5">
        <v>1600</v>
      </c>
      <c r="R346" s="5">
        <v>569</v>
      </c>
      <c r="S346" s="5">
        <v>625</v>
      </c>
      <c r="T346" s="5">
        <v>637</v>
      </c>
      <c r="U346" s="5">
        <v>637</v>
      </c>
      <c r="V346" s="5"/>
    </row>
    <row r="347" spans="2:22" ht="20" hidden="1" x14ac:dyDescent="0.25">
      <c r="B347" s="2" t="s">
        <v>119</v>
      </c>
      <c r="C347" s="2" t="s">
        <v>120</v>
      </c>
      <c r="D347" s="2" t="s">
        <v>840</v>
      </c>
      <c r="E347" s="2" t="s">
        <v>27</v>
      </c>
      <c r="F347" s="2" t="s">
        <v>779</v>
      </c>
      <c r="G347" s="2" t="s">
        <v>40</v>
      </c>
      <c r="H347" s="2">
        <v>70461</v>
      </c>
      <c r="I347" s="2">
        <v>70529</v>
      </c>
      <c r="J347" s="2" t="s">
        <v>28</v>
      </c>
      <c r="K347" s="2" t="s">
        <v>388</v>
      </c>
      <c r="L347" s="2" t="s">
        <v>31</v>
      </c>
      <c r="M347" s="2" t="s">
        <v>841</v>
      </c>
      <c r="N347" s="3">
        <v>1427</v>
      </c>
      <c r="O347" s="3">
        <v>1570</v>
      </c>
      <c r="P347" s="2">
        <v>1626</v>
      </c>
      <c r="Q347" s="2">
        <v>1789</v>
      </c>
      <c r="R347" s="3">
        <v>569</v>
      </c>
      <c r="S347" s="3">
        <v>625</v>
      </c>
      <c r="T347" s="2">
        <v>648</v>
      </c>
      <c r="U347" s="2">
        <v>713</v>
      </c>
      <c r="V347" s="2"/>
    </row>
    <row r="348" spans="2:22" ht="20" hidden="1" x14ac:dyDescent="0.25">
      <c r="B348" s="2" t="s">
        <v>119</v>
      </c>
      <c r="C348" s="2" t="s">
        <v>120</v>
      </c>
      <c r="D348" s="2" t="s">
        <v>840</v>
      </c>
      <c r="E348" s="2" t="s">
        <v>27</v>
      </c>
      <c r="F348" s="2" t="s">
        <v>779</v>
      </c>
      <c r="G348" s="2" t="s">
        <v>40</v>
      </c>
      <c r="H348" s="2">
        <v>70461</v>
      </c>
      <c r="I348" s="2">
        <v>70529</v>
      </c>
      <c r="J348" s="2" t="s">
        <v>28</v>
      </c>
      <c r="K348" s="2" t="s">
        <v>213</v>
      </c>
      <c r="L348" s="2" t="s">
        <v>213</v>
      </c>
      <c r="M348" s="2" t="s">
        <v>780</v>
      </c>
      <c r="N348" s="2">
        <v>1599</v>
      </c>
      <c r="O348" s="2">
        <v>1627</v>
      </c>
      <c r="P348" s="3">
        <v>1599</v>
      </c>
      <c r="Q348" s="2">
        <v>1627</v>
      </c>
      <c r="R348" s="2">
        <v>637</v>
      </c>
      <c r="S348" s="2">
        <v>648</v>
      </c>
      <c r="T348" s="3">
        <v>637</v>
      </c>
      <c r="U348" s="2">
        <v>648</v>
      </c>
      <c r="V348" s="2"/>
    </row>
    <row r="349" spans="2:22" ht="20" hidden="1" x14ac:dyDescent="0.25">
      <c r="B349" s="2" t="s">
        <v>119</v>
      </c>
      <c r="C349" s="2" t="s">
        <v>120</v>
      </c>
      <c r="D349" s="2" t="s">
        <v>840</v>
      </c>
      <c r="E349" s="2" t="s">
        <v>27</v>
      </c>
      <c r="F349" s="2" t="s">
        <v>779</v>
      </c>
      <c r="G349" s="2" t="s">
        <v>40</v>
      </c>
      <c r="H349" s="2">
        <v>70461</v>
      </c>
      <c r="I349" s="2">
        <v>70529</v>
      </c>
      <c r="J349" s="2" t="s">
        <v>28</v>
      </c>
      <c r="K349" s="2" t="s">
        <v>183</v>
      </c>
      <c r="L349" s="2" t="s">
        <v>1315</v>
      </c>
      <c r="M349" s="2" t="s">
        <v>841</v>
      </c>
      <c r="N349" s="2">
        <v>1600</v>
      </c>
      <c r="O349" s="2">
        <v>1600</v>
      </c>
      <c r="P349" s="2">
        <v>1600</v>
      </c>
      <c r="Q349" s="3">
        <v>1600</v>
      </c>
      <c r="R349" s="2">
        <v>637</v>
      </c>
      <c r="S349" s="2">
        <v>637</v>
      </c>
      <c r="T349" s="2">
        <v>637</v>
      </c>
      <c r="U349" s="3">
        <v>637</v>
      </c>
      <c r="V349" s="3"/>
    </row>
    <row r="350" spans="2:22" ht="31.5" hidden="1" x14ac:dyDescent="0.25">
      <c r="B350" s="4" t="s">
        <v>125</v>
      </c>
      <c r="C350" s="4" t="s">
        <v>126</v>
      </c>
      <c r="D350" s="4" t="s">
        <v>767</v>
      </c>
      <c r="E350" s="4" t="s">
        <v>27</v>
      </c>
      <c r="F350" s="4" t="s">
        <v>795</v>
      </c>
      <c r="G350" s="4" t="s">
        <v>27</v>
      </c>
      <c r="H350" s="4">
        <v>70192</v>
      </c>
      <c r="I350" s="4">
        <v>2012</v>
      </c>
      <c r="J350" s="4" t="s">
        <v>28</v>
      </c>
      <c r="K350" s="4" t="s">
        <v>125</v>
      </c>
      <c r="L350" s="4" t="s">
        <v>29</v>
      </c>
      <c r="M350" s="4"/>
      <c r="N350" s="5">
        <v>1185</v>
      </c>
      <c r="O350" s="5">
        <v>1185</v>
      </c>
      <c r="P350" s="5">
        <v>1185</v>
      </c>
      <c r="Q350" s="5">
        <v>1185</v>
      </c>
      <c r="R350" s="5">
        <v>472</v>
      </c>
      <c r="S350" s="5">
        <v>472</v>
      </c>
      <c r="T350" s="5">
        <v>472</v>
      </c>
      <c r="U350" s="5">
        <v>472</v>
      </c>
      <c r="V350" s="5"/>
    </row>
    <row r="351" spans="2:22" ht="30" hidden="1" x14ac:dyDescent="0.25">
      <c r="B351" s="2" t="s">
        <v>125</v>
      </c>
      <c r="C351" s="2" t="s">
        <v>126</v>
      </c>
      <c r="D351" s="2" t="s">
        <v>767</v>
      </c>
      <c r="E351" s="2" t="s">
        <v>27</v>
      </c>
      <c r="F351" s="2" t="s">
        <v>795</v>
      </c>
      <c r="G351" s="2" t="s">
        <v>27</v>
      </c>
      <c r="H351" s="2">
        <v>70192</v>
      </c>
      <c r="I351" s="2">
        <v>2012</v>
      </c>
      <c r="J351" s="2" t="s">
        <v>28</v>
      </c>
      <c r="K351" s="2" t="s">
        <v>213</v>
      </c>
      <c r="L351" s="2" t="s">
        <v>213</v>
      </c>
      <c r="M351" s="2" t="s">
        <v>796</v>
      </c>
      <c r="N351" s="3">
        <v>1185</v>
      </c>
      <c r="O351" s="3">
        <v>1185</v>
      </c>
      <c r="P351" s="3">
        <v>1185</v>
      </c>
      <c r="Q351" s="3">
        <v>1185</v>
      </c>
      <c r="R351" s="3">
        <v>472</v>
      </c>
      <c r="S351" s="3">
        <v>472</v>
      </c>
      <c r="T351" s="3">
        <v>472</v>
      </c>
      <c r="U351" s="3">
        <v>472</v>
      </c>
      <c r="V351" s="3"/>
    </row>
    <row r="352" spans="2:22" ht="21" hidden="1" x14ac:dyDescent="0.25">
      <c r="B352" s="4" t="s">
        <v>127</v>
      </c>
      <c r="C352" s="4" t="s">
        <v>128</v>
      </c>
      <c r="D352" s="4" t="s">
        <v>217</v>
      </c>
      <c r="E352" s="4" t="s">
        <v>27</v>
      </c>
      <c r="F352" s="4" t="s">
        <v>218</v>
      </c>
      <c r="G352" s="4" t="s">
        <v>27</v>
      </c>
      <c r="H352" s="4">
        <v>70268</v>
      </c>
      <c r="I352" s="4">
        <v>70438</v>
      </c>
      <c r="J352" s="4" t="s">
        <v>28</v>
      </c>
      <c r="K352" s="4" t="s">
        <v>127</v>
      </c>
      <c r="L352" s="4" t="s">
        <v>29</v>
      </c>
      <c r="M352" s="4"/>
      <c r="N352" s="5">
        <v>800</v>
      </c>
      <c r="O352" s="5">
        <v>800</v>
      </c>
      <c r="P352" s="5">
        <v>800</v>
      </c>
      <c r="Q352" s="5">
        <v>800</v>
      </c>
      <c r="R352" s="5">
        <v>319</v>
      </c>
      <c r="S352" s="5">
        <v>319</v>
      </c>
      <c r="T352" s="5">
        <v>319</v>
      </c>
      <c r="U352" s="5">
        <v>319</v>
      </c>
      <c r="V352" s="5"/>
    </row>
    <row r="353" spans="2:22" hidden="1" x14ac:dyDescent="0.25">
      <c r="B353" s="2" t="s">
        <v>127</v>
      </c>
      <c r="C353" s="2" t="s">
        <v>128</v>
      </c>
      <c r="D353" s="2" t="s">
        <v>217</v>
      </c>
      <c r="E353" s="2" t="s">
        <v>27</v>
      </c>
      <c r="F353" s="2" t="s">
        <v>218</v>
      </c>
      <c r="G353" s="2" t="s">
        <v>27</v>
      </c>
      <c r="H353" s="2">
        <v>70268</v>
      </c>
      <c r="I353" s="2">
        <v>70438</v>
      </c>
      <c r="J353" s="2" t="s">
        <v>28</v>
      </c>
      <c r="K353" s="2" t="s">
        <v>127</v>
      </c>
      <c r="L353" s="2" t="s">
        <v>30</v>
      </c>
      <c r="M353" s="2" t="s">
        <v>128</v>
      </c>
      <c r="N353" s="3">
        <v>800</v>
      </c>
      <c r="O353" s="3">
        <v>800</v>
      </c>
      <c r="P353" s="3">
        <v>800</v>
      </c>
      <c r="Q353" s="3">
        <v>800</v>
      </c>
      <c r="R353" s="3">
        <v>319</v>
      </c>
      <c r="S353" s="3">
        <v>319</v>
      </c>
      <c r="T353" s="3">
        <v>319</v>
      </c>
      <c r="U353" s="3">
        <v>319</v>
      </c>
      <c r="V353" s="33" t="s">
        <v>219</v>
      </c>
    </row>
    <row r="354" spans="2:22" ht="21" hidden="1" x14ac:dyDescent="0.25">
      <c r="B354" s="4" t="s">
        <v>186</v>
      </c>
      <c r="C354" s="4" t="s">
        <v>128</v>
      </c>
      <c r="D354" s="4" t="s">
        <v>552</v>
      </c>
      <c r="E354" s="4" t="s">
        <v>27</v>
      </c>
      <c r="F354" s="4" t="s">
        <v>838</v>
      </c>
      <c r="G354" s="4" t="s">
        <v>27</v>
      </c>
      <c r="H354" s="4">
        <v>70206</v>
      </c>
      <c r="I354" s="4">
        <v>70233</v>
      </c>
      <c r="J354" s="4" t="s">
        <v>28</v>
      </c>
      <c r="K354" s="4" t="s">
        <v>186</v>
      </c>
      <c r="L354" s="4" t="s">
        <v>29</v>
      </c>
      <c r="M354" s="4"/>
      <c r="N354" s="5">
        <v>1229</v>
      </c>
      <c r="O354" s="5">
        <v>1436</v>
      </c>
      <c r="P354" s="5">
        <v>1468</v>
      </c>
      <c r="Q354" s="5">
        <v>1600</v>
      </c>
      <c r="R354" s="5">
        <v>489</v>
      </c>
      <c r="S354" s="5">
        <v>572</v>
      </c>
      <c r="T354" s="5">
        <v>585</v>
      </c>
      <c r="U354" s="5">
        <v>637</v>
      </c>
      <c r="V354" s="5"/>
    </row>
    <row r="355" spans="2:22" ht="20" hidden="1" x14ac:dyDescent="0.25">
      <c r="B355" s="2" t="s">
        <v>186</v>
      </c>
      <c r="C355" s="2" t="s">
        <v>128</v>
      </c>
      <c r="D355" s="2" t="s">
        <v>552</v>
      </c>
      <c r="E355" s="2" t="s">
        <v>27</v>
      </c>
      <c r="F355" s="2" t="s">
        <v>838</v>
      </c>
      <c r="G355" s="2" t="s">
        <v>27</v>
      </c>
      <c r="H355" s="2">
        <v>70206</v>
      </c>
      <c r="I355" s="2">
        <v>70233</v>
      </c>
      <c r="J355" s="2" t="s">
        <v>28</v>
      </c>
      <c r="K355" s="2" t="s">
        <v>388</v>
      </c>
      <c r="L355" s="2" t="s">
        <v>31</v>
      </c>
      <c r="M355" s="2" t="s">
        <v>555</v>
      </c>
      <c r="N355" s="3">
        <v>1229</v>
      </c>
      <c r="O355" s="3">
        <v>1436</v>
      </c>
      <c r="P355" s="3">
        <v>1468</v>
      </c>
      <c r="Q355" s="2">
        <v>1635</v>
      </c>
      <c r="R355" s="3">
        <v>489</v>
      </c>
      <c r="S355" s="3">
        <v>572</v>
      </c>
      <c r="T355" s="3">
        <v>585</v>
      </c>
      <c r="U355" s="2">
        <v>651</v>
      </c>
      <c r="V355" s="2"/>
    </row>
    <row r="356" spans="2:22" ht="20" hidden="1" x14ac:dyDescent="0.25">
      <c r="B356" s="2" t="s">
        <v>186</v>
      </c>
      <c r="C356" s="2" t="s">
        <v>128</v>
      </c>
      <c r="D356" s="2" t="s">
        <v>552</v>
      </c>
      <c r="E356" s="2" t="s">
        <v>27</v>
      </c>
      <c r="F356" s="2" t="s">
        <v>838</v>
      </c>
      <c r="G356" s="2" t="s">
        <v>27</v>
      </c>
      <c r="H356" s="2">
        <v>70206</v>
      </c>
      <c r="I356" s="2">
        <v>70233</v>
      </c>
      <c r="J356" s="2" t="s">
        <v>28</v>
      </c>
      <c r="K356" s="2" t="s">
        <v>388</v>
      </c>
      <c r="L356" s="2" t="s">
        <v>31</v>
      </c>
      <c r="M356" s="2" t="s">
        <v>839</v>
      </c>
      <c r="N356" s="3">
        <v>1229</v>
      </c>
      <c r="O356" s="3">
        <v>1436</v>
      </c>
      <c r="P356" s="3">
        <v>1468</v>
      </c>
      <c r="Q356" s="2">
        <v>1635</v>
      </c>
      <c r="R356" s="3">
        <v>489</v>
      </c>
      <c r="S356" s="3">
        <v>572</v>
      </c>
      <c r="T356" s="3">
        <v>585</v>
      </c>
      <c r="U356" s="2">
        <v>651</v>
      </c>
      <c r="V356" s="2"/>
    </row>
    <row r="357" spans="2:22" ht="20" hidden="1" x14ac:dyDescent="0.25">
      <c r="B357" s="2" t="s">
        <v>186</v>
      </c>
      <c r="C357" s="2" t="s">
        <v>128</v>
      </c>
      <c r="D357" s="2" t="s">
        <v>552</v>
      </c>
      <c r="E357" s="2" t="s">
        <v>27</v>
      </c>
      <c r="F357" s="2" t="s">
        <v>838</v>
      </c>
      <c r="G357" s="2" t="s">
        <v>27</v>
      </c>
      <c r="H357" s="2">
        <v>70206</v>
      </c>
      <c r="I357" s="2">
        <v>70233</v>
      </c>
      <c r="J357" s="2" t="s">
        <v>28</v>
      </c>
      <c r="K357" s="2" t="s">
        <v>187</v>
      </c>
      <c r="L357" s="2" t="s">
        <v>1315</v>
      </c>
      <c r="M357" s="2" t="s">
        <v>839</v>
      </c>
      <c r="N357" s="2">
        <v>1600</v>
      </c>
      <c r="O357" s="2">
        <v>1600</v>
      </c>
      <c r="P357" s="2">
        <v>1600</v>
      </c>
      <c r="Q357" s="3">
        <v>1600</v>
      </c>
      <c r="R357" s="2">
        <v>637</v>
      </c>
      <c r="S357" s="2">
        <v>637</v>
      </c>
      <c r="T357" s="2">
        <v>637</v>
      </c>
      <c r="U357" s="3">
        <v>637</v>
      </c>
      <c r="V357" s="3"/>
    </row>
    <row r="358" spans="2:22" ht="21" hidden="1" x14ac:dyDescent="0.25">
      <c r="B358" s="4" t="s">
        <v>956</v>
      </c>
      <c r="C358" s="4" t="s">
        <v>128</v>
      </c>
      <c r="D358" s="4" t="s">
        <v>838</v>
      </c>
      <c r="E358" s="4" t="s">
        <v>27</v>
      </c>
      <c r="F358" s="4" t="s">
        <v>217</v>
      </c>
      <c r="G358" s="4" t="s">
        <v>27</v>
      </c>
      <c r="H358" s="4">
        <v>70233</v>
      </c>
      <c r="I358" s="4">
        <v>70268</v>
      </c>
      <c r="J358" s="4" t="s">
        <v>28</v>
      </c>
      <c r="K358" s="4" t="s">
        <v>956</v>
      </c>
      <c r="L358" s="4" t="s">
        <v>29</v>
      </c>
      <c r="M358" s="4"/>
      <c r="N358" s="5">
        <v>800</v>
      </c>
      <c r="O358" s="5">
        <v>800</v>
      </c>
      <c r="P358" s="5">
        <v>800</v>
      </c>
      <c r="Q358" s="5">
        <v>800</v>
      </c>
      <c r="R358" s="5">
        <v>319</v>
      </c>
      <c r="S358" s="5">
        <v>319</v>
      </c>
      <c r="T358" s="5">
        <v>319</v>
      </c>
      <c r="U358" s="5">
        <v>319</v>
      </c>
      <c r="V358" s="5"/>
    </row>
    <row r="359" spans="2:22" ht="20" hidden="1" x14ac:dyDescent="0.25">
      <c r="B359" s="2" t="s">
        <v>956</v>
      </c>
      <c r="C359" s="2" t="s">
        <v>128</v>
      </c>
      <c r="D359" s="2" t="s">
        <v>838</v>
      </c>
      <c r="E359" s="2" t="s">
        <v>27</v>
      </c>
      <c r="F359" s="2" t="s">
        <v>217</v>
      </c>
      <c r="G359" s="2" t="s">
        <v>27</v>
      </c>
      <c r="H359" s="2">
        <v>70233</v>
      </c>
      <c r="I359" s="2">
        <v>70268</v>
      </c>
      <c r="J359" s="2" t="s">
        <v>28</v>
      </c>
      <c r="K359" s="2" t="s">
        <v>956</v>
      </c>
      <c r="L359" s="2" t="s">
        <v>30</v>
      </c>
      <c r="M359" s="2" t="s">
        <v>128</v>
      </c>
      <c r="N359" s="3">
        <v>800</v>
      </c>
      <c r="O359" s="3">
        <v>800</v>
      </c>
      <c r="P359" s="3">
        <v>800</v>
      </c>
      <c r="Q359" s="3">
        <v>800</v>
      </c>
      <c r="R359" s="3">
        <v>319</v>
      </c>
      <c r="S359" s="3">
        <v>319</v>
      </c>
      <c r="T359" s="3">
        <v>319</v>
      </c>
      <c r="U359" s="3">
        <v>319</v>
      </c>
      <c r="V359" s="3"/>
    </row>
    <row r="360" spans="2:22" ht="21" hidden="1" x14ac:dyDescent="0.25">
      <c r="B360" s="4" t="s">
        <v>188</v>
      </c>
      <c r="C360" s="4" t="s">
        <v>189</v>
      </c>
      <c r="D360" s="4" t="s">
        <v>551</v>
      </c>
      <c r="E360" s="4" t="s">
        <v>27</v>
      </c>
      <c r="F360" s="4" t="s">
        <v>552</v>
      </c>
      <c r="G360" s="4" t="s">
        <v>27</v>
      </c>
      <c r="H360" s="4">
        <v>70113</v>
      </c>
      <c r="I360" s="4">
        <v>70206</v>
      </c>
      <c r="J360" s="4" t="s">
        <v>28</v>
      </c>
      <c r="K360" s="4" t="s">
        <v>188</v>
      </c>
      <c r="L360" s="4" t="s">
        <v>29</v>
      </c>
      <c r="M360" s="4"/>
      <c r="N360" s="5">
        <v>1227</v>
      </c>
      <c r="O360" s="5">
        <v>1435</v>
      </c>
      <c r="P360" s="5">
        <v>1466</v>
      </c>
      <c r="Q360" s="5">
        <v>1600</v>
      </c>
      <c r="R360" s="5">
        <v>489</v>
      </c>
      <c r="S360" s="5">
        <v>571</v>
      </c>
      <c r="T360" s="5">
        <v>584</v>
      </c>
      <c r="U360" s="5">
        <v>637</v>
      </c>
      <c r="V360" s="5"/>
    </row>
    <row r="361" spans="2:22" ht="20" hidden="1" x14ac:dyDescent="0.25">
      <c r="B361" s="2" t="s">
        <v>188</v>
      </c>
      <c r="C361" s="2" t="s">
        <v>189</v>
      </c>
      <c r="D361" s="2" t="s">
        <v>551</v>
      </c>
      <c r="E361" s="2" t="s">
        <v>27</v>
      </c>
      <c r="F361" s="2" t="s">
        <v>552</v>
      </c>
      <c r="G361" s="2" t="s">
        <v>27</v>
      </c>
      <c r="H361" s="2">
        <v>70113</v>
      </c>
      <c r="I361" s="2">
        <v>70206</v>
      </c>
      <c r="J361" s="2" t="s">
        <v>28</v>
      </c>
      <c r="K361" s="2" t="s">
        <v>388</v>
      </c>
      <c r="L361" s="2" t="s">
        <v>31</v>
      </c>
      <c r="M361" s="2" t="s">
        <v>553</v>
      </c>
      <c r="N361" s="3">
        <v>1227</v>
      </c>
      <c r="O361" s="3">
        <v>1435</v>
      </c>
      <c r="P361" s="3">
        <v>1466</v>
      </c>
      <c r="Q361" s="2">
        <v>1634</v>
      </c>
      <c r="R361" s="3">
        <v>489</v>
      </c>
      <c r="S361" s="3">
        <v>571</v>
      </c>
      <c r="T361" s="3">
        <v>584</v>
      </c>
      <c r="U361" s="2">
        <v>651</v>
      </c>
      <c r="V361" s="2"/>
    </row>
    <row r="362" spans="2:22" ht="30" hidden="1" x14ac:dyDescent="0.25">
      <c r="B362" s="2" t="s">
        <v>188</v>
      </c>
      <c r="C362" s="2" t="s">
        <v>189</v>
      </c>
      <c r="D362" s="2" t="s">
        <v>551</v>
      </c>
      <c r="E362" s="2" t="s">
        <v>27</v>
      </c>
      <c r="F362" s="2" t="s">
        <v>552</v>
      </c>
      <c r="G362" s="2" t="s">
        <v>27</v>
      </c>
      <c r="H362" s="2">
        <v>70113</v>
      </c>
      <c r="I362" s="2">
        <v>70206</v>
      </c>
      <c r="J362" s="2" t="s">
        <v>28</v>
      </c>
      <c r="K362" s="2" t="s">
        <v>554</v>
      </c>
      <c r="L362" s="2" t="s">
        <v>36</v>
      </c>
      <c r="M362" s="2" t="s">
        <v>555</v>
      </c>
      <c r="N362" s="2">
        <v>1600</v>
      </c>
      <c r="O362" s="2">
        <v>1600</v>
      </c>
      <c r="P362" s="2">
        <v>1600</v>
      </c>
      <c r="Q362" s="3">
        <v>1600</v>
      </c>
      <c r="R362" s="2">
        <v>637</v>
      </c>
      <c r="S362" s="2">
        <v>637</v>
      </c>
      <c r="T362" s="2">
        <v>637</v>
      </c>
      <c r="U362" s="3">
        <v>637</v>
      </c>
      <c r="V362" s="3"/>
    </row>
    <row r="363" spans="2:22" ht="20" hidden="1" x14ac:dyDescent="0.25">
      <c r="B363" s="2" t="s">
        <v>188</v>
      </c>
      <c r="C363" s="2" t="s">
        <v>189</v>
      </c>
      <c r="D363" s="2" t="s">
        <v>551</v>
      </c>
      <c r="E363" s="2" t="s">
        <v>27</v>
      </c>
      <c r="F363" s="2" t="s">
        <v>552</v>
      </c>
      <c r="G363" s="2" t="s">
        <v>27</v>
      </c>
      <c r="H363" s="2">
        <v>70113</v>
      </c>
      <c r="I363" s="2">
        <v>70206</v>
      </c>
      <c r="J363" s="2" t="s">
        <v>28</v>
      </c>
      <c r="K363" s="2" t="s">
        <v>556</v>
      </c>
      <c r="L363" s="2" t="s">
        <v>39</v>
      </c>
      <c r="M363" s="2" t="s">
        <v>555</v>
      </c>
      <c r="N363" s="2">
        <v>1600</v>
      </c>
      <c r="O363" s="2">
        <v>1600</v>
      </c>
      <c r="P363" s="2">
        <v>1600</v>
      </c>
      <c r="Q363" s="3">
        <v>1600</v>
      </c>
      <c r="R363" s="2">
        <v>637</v>
      </c>
      <c r="S363" s="2">
        <v>637</v>
      </c>
      <c r="T363" s="2">
        <v>637</v>
      </c>
      <c r="U363" s="3">
        <v>637</v>
      </c>
      <c r="V363" s="3"/>
    </row>
    <row r="364" spans="2:22" ht="30" hidden="1" x14ac:dyDescent="0.25">
      <c r="B364" s="2" t="s">
        <v>188</v>
      </c>
      <c r="C364" s="2" t="s">
        <v>189</v>
      </c>
      <c r="D364" s="2" t="s">
        <v>551</v>
      </c>
      <c r="E364" s="2" t="s">
        <v>27</v>
      </c>
      <c r="F364" s="2" t="s">
        <v>552</v>
      </c>
      <c r="G364" s="2" t="s">
        <v>27</v>
      </c>
      <c r="H364" s="2">
        <v>70113</v>
      </c>
      <c r="I364" s="2">
        <v>70206</v>
      </c>
      <c r="J364" s="2" t="s">
        <v>28</v>
      </c>
      <c r="K364" s="2" t="s">
        <v>557</v>
      </c>
      <c r="L364" s="2" t="s">
        <v>36</v>
      </c>
      <c r="M364" s="2" t="s">
        <v>555</v>
      </c>
      <c r="N364" s="2">
        <v>1600</v>
      </c>
      <c r="O364" s="2">
        <v>1600</v>
      </c>
      <c r="P364" s="2">
        <v>1600</v>
      </c>
      <c r="Q364" s="3">
        <v>1600</v>
      </c>
      <c r="R364" s="2">
        <v>637</v>
      </c>
      <c r="S364" s="2">
        <v>637</v>
      </c>
      <c r="T364" s="2">
        <v>637</v>
      </c>
      <c r="U364" s="3">
        <v>637</v>
      </c>
      <c r="V364" s="3"/>
    </row>
    <row r="365" spans="2:22" ht="20" hidden="1" x14ac:dyDescent="0.25">
      <c r="B365" s="2" t="s">
        <v>188</v>
      </c>
      <c r="C365" s="2" t="s">
        <v>189</v>
      </c>
      <c r="D365" s="2" t="s">
        <v>551</v>
      </c>
      <c r="E365" s="2" t="s">
        <v>27</v>
      </c>
      <c r="F365" s="2" t="s">
        <v>552</v>
      </c>
      <c r="G365" s="2" t="s">
        <v>27</v>
      </c>
      <c r="H365" s="2">
        <v>70113</v>
      </c>
      <c r="I365" s="2">
        <v>70206</v>
      </c>
      <c r="J365" s="2" t="s">
        <v>28</v>
      </c>
      <c r="K365" s="2" t="s">
        <v>190</v>
      </c>
      <c r="L365" s="2" t="s">
        <v>1315</v>
      </c>
      <c r="M365" s="2" t="s">
        <v>553</v>
      </c>
      <c r="N365" s="2">
        <v>1600</v>
      </c>
      <c r="O365" s="2">
        <v>1600</v>
      </c>
      <c r="P365" s="2">
        <v>1600</v>
      </c>
      <c r="Q365" s="3">
        <v>1600</v>
      </c>
      <c r="R365" s="2">
        <v>637</v>
      </c>
      <c r="S365" s="2">
        <v>637</v>
      </c>
      <c r="T365" s="2">
        <v>637</v>
      </c>
      <c r="U365" s="3">
        <v>637</v>
      </c>
      <c r="V365" s="3"/>
    </row>
    <row r="366" spans="2:22" ht="20" hidden="1" x14ac:dyDescent="0.25">
      <c r="B366" s="2" t="s">
        <v>188</v>
      </c>
      <c r="C366" s="2" t="s">
        <v>189</v>
      </c>
      <c r="D366" s="2" t="s">
        <v>551</v>
      </c>
      <c r="E366" s="2" t="s">
        <v>27</v>
      </c>
      <c r="F366" s="2" t="s">
        <v>552</v>
      </c>
      <c r="G366" s="2" t="s">
        <v>27</v>
      </c>
      <c r="H366" s="2">
        <v>70113</v>
      </c>
      <c r="I366" s="2">
        <v>70206</v>
      </c>
      <c r="J366" s="2" t="s">
        <v>28</v>
      </c>
      <c r="K366" s="2" t="s">
        <v>558</v>
      </c>
      <c r="L366" s="2" t="s">
        <v>39</v>
      </c>
      <c r="M366" s="2" t="s">
        <v>555</v>
      </c>
      <c r="N366" s="2">
        <v>1600</v>
      </c>
      <c r="O366" s="2">
        <v>1600</v>
      </c>
      <c r="P366" s="2">
        <v>1600</v>
      </c>
      <c r="Q366" s="3">
        <v>1600</v>
      </c>
      <c r="R366" s="2">
        <v>637</v>
      </c>
      <c r="S366" s="2">
        <v>637</v>
      </c>
      <c r="T366" s="2">
        <v>637</v>
      </c>
      <c r="U366" s="3">
        <v>637</v>
      </c>
      <c r="V366" s="3"/>
    </row>
    <row r="367" spans="2:22" ht="31.5" hidden="1" x14ac:dyDescent="0.25">
      <c r="B367" s="4" t="s">
        <v>559</v>
      </c>
      <c r="C367" s="4" t="s">
        <v>189</v>
      </c>
      <c r="D367" s="4" t="s">
        <v>551</v>
      </c>
      <c r="E367" s="4" t="s">
        <v>27</v>
      </c>
      <c r="F367" s="4" t="s">
        <v>560</v>
      </c>
      <c r="G367" s="4" t="s">
        <v>27</v>
      </c>
      <c r="H367" s="4">
        <v>70113</v>
      </c>
      <c r="I367" s="4">
        <v>70205</v>
      </c>
      <c r="J367" s="4" t="s">
        <v>28</v>
      </c>
      <c r="K367" s="4" t="s">
        <v>559</v>
      </c>
      <c r="L367" s="4" t="s">
        <v>29</v>
      </c>
      <c r="M367" s="4"/>
      <c r="N367" s="5">
        <v>1200</v>
      </c>
      <c r="O367" s="5">
        <v>1280</v>
      </c>
      <c r="P367" s="5">
        <v>1280</v>
      </c>
      <c r="Q367" s="5">
        <v>1280</v>
      </c>
      <c r="R367" s="5">
        <v>478</v>
      </c>
      <c r="S367" s="5">
        <v>510</v>
      </c>
      <c r="T367" s="5">
        <v>510</v>
      </c>
      <c r="U367" s="5">
        <v>510</v>
      </c>
      <c r="V367" s="5"/>
    </row>
    <row r="368" spans="2:22" ht="30" hidden="1" x14ac:dyDescent="0.25">
      <c r="B368" s="2" t="s">
        <v>559</v>
      </c>
      <c r="C368" s="2" t="s">
        <v>189</v>
      </c>
      <c r="D368" s="2" t="s">
        <v>551</v>
      </c>
      <c r="E368" s="2" t="s">
        <v>27</v>
      </c>
      <c r="F368" s="2" t="s">
        <v>560</v>
      </c>
      <c r="G368" s="2" t="s">
        <v>27</v>
      </c>
      <c r="H368" s="2">
        <v>70113</v>
      </c>
      <c r="I368" s="2">
        <v>70205</v>
      </c>
      <c r="J368" s="2" t="s">
        <v>28</v>
      </c>
      <c r="K368" s="2" t="s">
        <v>561</v>
      </c>
      <c r="L368" s="2" t="s">
        <v>34</v>
      </c>
      <c r="M368" s="2" t="s">
        <v>562</v>
      </c>
      <c r="N368" s="3">
        <v>1200</v>
      </c>
      <c r="O368" s="2">
        <v>1549</v>
      </c>
      <c r="P368" s="2">
        <v>1486</v>
      </c>
      <c r="Q368" s="2">
        <v>1780</v>
      </c>
      <c r="R368" s="3">
        <v>478</v>
      </c>
      <c r="S368" s="2">
        <v>617</v>
      </c>
      <c r="T368" s="2">
        <v>592</v>
      </c>
      <c r="U368" s="2">
        <v>709</v>
      </c>
      <c r="V368" s="2"/>
    </row>
    <row r="369" spans="2:22" ht="30" hidden="1" x14ac:dyDescent="0.25">
      <c r="B369" s="2" t="s">
        <v>559</v>
      </c>
      <c r="C369" s="2" t="s">
        <v>189</v>
      </c>
      <c r="D369" s="2" t="s">
        <v>551</v>
      </c>
      <c r="E369" s="2" t="s">
        <v>27</v>
      </c>
      <c r="F369" s="2" t="s">
        <v>560</v>
      </c>
      <c r="G369" s="2" t="s">
        <v>27</v>
      </c>
      <c r="H369" s="2">
        <v>70113</v>
      </c>
      <c r="I369" s="2">
        <v>70205</v>
      </c>
      <c r="J369" s="2" t="s">
        <v>28</v>
      </c>
      <c r="K369" s="2" t="s">
        <v>563</v>
      </c>
      <c r="L369" s="2" t="s">
        <v>36</v>
      </c>
      <c r="M369" s="2" t="s">
        <v>562</v>
      </c>
      <c r="N369" s="2">
        <v>1280</v>
      </c>
      <c r="O369" s="3">
        <v>1280</v>
      </c>
      <c r="P369" s="3">
        <v>1280</v>
      </c>
      <c r="Q369" s="3">
        <v>1280</v>
      </c>
      <c r="R369" s="2">
        <v>510</v>
      </c>
      <c r="S369" s="3">
        <v>510</v>
      </c>
      <c r="T369" s="3">
        <v>510</v>
      </c>
      <c r="U369" s="3">
        <v>510</v>
      </c>
      <c r="V369" s="3"/>
    </row>
    <row r="370" spans="2:22" ht="21" hidden="1" x14ac:dyDescent="0.25">
      <c r="B370" s="4" t="s">
        <v>1192</v>
      </c>
      <c r="C370" s="4" t="s">
        <v>1193</v>
      </c>
      <c r="D370" s="4" t="s">
        <v>900</v>
      </c>
      <c r="E370" s="4" t="s">
        <v>27</v>
      </c>
      <c r="F370" s="4" t="s">
        <v>809</v>
      </c>
      <c r="G370" s="4" t="s">
        <v>27</v>
      </c>
      <c r="H370" s="4">
        <v>70590</v>
      </c>
      <c r="I370" s="4">
        <v>70820</v>
      </c>
      <c r="J370" s="4" t="s">
        <v>28</v>
      </c>
      <c r="K370" s="4" t="s">
        <v>1192</v>
      </c>
      <c r="L370" s="4" t="s">
        <v>29</v>
      </c>
      <c r="M370" s="4"/>
      <c r="N370" s="5">
        <v>2000</v>
      </c>
      <c r="O370" s="5">
        <v>2000</v>
      </c>
      <c r="P370" s="5">
        <v>2000</v>
      </c>
      <c r="Q370" s="5">
        <v>2000</v>
      </c>
      <c r="R370" s="5">
        <v>797</v>
      </c>
      <c r="S370" s="5">
        <v>797</v>
      </c>
      <c r="T370" s="5">
        <v>797</v>
      </c>
      <c r="U370" s="5">
        <v>797</v>
      </c>
      <c r="V370" s="5"/>
    </row>
    <row r="371" spans="2:22" ht="30" hidden="1" x14ac:dyDescent="0.25">
      <c r="B371" s="2" t="s">
        <v>1192</v>
      </c>
      <c r="C371" s="2" t="s">
        <v>1193</v>
      </c>
      <c r="D371" s="2" t="s">
        <v>900</v>
      </c>
      <c r="E371" s="2" t="s">
        <v>27</v>
      </c>
      <c r="F371" s="2" t="s">
        <v>809</v>
      </c>
      <c r="G371" s="2" t="s">
        <v>27</v>
      </c>
      <c r="H371" s="2">
        <v>70590</v>
      </c>
      <c r="I371" s="2">
        <v>70820</v>
      </c>
      <c r="J371" s="2" t="s">
        <v>28</v>
      </c>
      <c r="K371" s="2" t="s">
        <v>1197</v>
      </c>
      <c r="L371" s="2" t="s">
        <v>36</v>
      </c>
      <c r="M371" s="2" t="s">
        <v>1195</v>
      </c>
      <c r="N371" s="3">
        <v>2000</v>
      </c>
      <c r="O371" s="3">
        <v>2000</v>
      </c>
      <c r="P371" s="3">
        <v>2000</v>
      </c>
      <c r="Q371" s="3">
        <v>2000</v>
      </c>
      <c r="R371" s="3">
        <v>797</v>
      </c>
      <c r="S371" s="3">
        <v>797</v>
      </c>
      <c r="T371" s="3">
        <v>797</v>
      </c>
      <c r="U371" s="3">
        <v>797</v>
      </c>
      <c r="V371" s="3"/>
    </row>
    <row r="372" spans="2:22" ht="30" hidden="1" x14ac:dyDescent="0.25">
      <c r="B372" s="2" t="s">
        <v>1192</v>
      </c>
      <c r="C372" s="2" t="s">
        <v>1193</v>
      </c>
      <c r="D372" s="2" t="s">
        <v>900</v>
      </c>
      <c r="E372" s="2" t="s">
        <v>27</v>
      </c>
      <c r="F372" s="2" t="s">
        <v>809</v>
      </c>
      <c r="G372" s="2" t="s">
        <v>27</v>
      </c>
      <c r="H372" s="2">
        <v>70590</v>
      </c>
      <c r="I372" s="2">
        <v>70820</v>
      </c>
      <c r="J372" s="2" t="s">
        <v>28</v>
      </c>
      <c r="K372" s="2" t="s">
        <v>1194</v>
      </c>
      <c r="L372" s="2" t="s">
        <v>36</v>
      </c>
      <c r="M372" s="2" t="s">
        <v>1195</v>
      </c>
      <c r="N372" s="3">
        <v>2000</v>
      </c>
      <c r="O372" s="3">
        <v>2000</v>
      </c>
      <c r="P372" s="3">
        <v>2000</v>
      </c>
      <c r="Q372" s="3">
        <v>2000</v>
      </c>
      <c r="R372" s="3">
        <v>797</v>
      </c>
      <c r="S372" s="3">
        <v>797</v>
      </c>
      <c r="T372" s="3">
        <v>797</v>
      </c>
      <c r="U372" s="3">
        <v>797</v>
      </c>
      <c r="V372" s="3"/>
    </row>
    <row r="373" spans="2:22" ht="20" hidden="1" x14ac:dyDescent="0.25">
      <c r="B373" s="2" t="s">
        <v>1192</v>
      </c>
      <c r="C373" s="2" t="s">
        <v>1193</v>
      </c>
      <c r="D373" s="2" t="s">
        <v>900</v>
      </c>
      <c r="E373" s="2" t="s">
        <v>27</v>
      </c>
      <c r="F373" s="2" t="s">
        <v>809</v>
      </c>
      <c r="G373" s="2" t="s">
        <v>27</v>
      </c>
      <c r="H373" s="2">
        <v>70590</v>
      </c>
      <c r="I373" s="2">
        <v>70820</v>
      </c>
      <c r="J373" s="2" t="s">
        <v>28</v>
      </c>
      <c r="K373" s="2" t="s">
        <v>1199</v>
      </c>
      <c r="L373" s="2" t="s">
        <v>39</v>
      </c>
      <c r="M373" s="2" t="s">
        <v>1195</v>
      </c>
      <c r="N373" s="3">
        <v>2000</v>
      </c>
      <c r="O373" s="3">
        <v>2000</v>
      </c>
      <c r="P373" s="3">
        <v>2000</v>
      </c>
      <c r="Q373" s="3">
        <v>2000</v>
      </c>
      <c r="R373" s="3">
        <v>797</v>
      </c>
      <c r="S373" s="3">
        <v>797</v>
      </c>
      <c r="T373" s="3">
        <v>797</v>
      </c>
      <c r="U373" s="3">
        <v>797</v>
      </c>
      <c r="V373" s="3"/>
    </row>
    <row r="374" spans="2:22" ht="30" hidden="1" x14ac:dyDescent="0.25">
      <c r="B374" s="2" t="s">
        <v>1192</v>
      </c>
      <c r="C374" s="2" t="s">
        <v>1193</v>
      </c>
      <c r="D374" s="2" t="s">
        <v>900</v>
      </c>
      <c r="E374" s="2" t="s">
        <v>27</v>
      </c>
      <c r="F374" s="2" t="s">
        <v>809</v>
      </c>
      <c r="G374" s="2" t="s">
        <v>27</v>
      </c>
      <c r="H374" s="2">
        <v>70590</v>
      </c>
      <c r="I374" s="2">
        <v>70820</v>
      </c>
      <c r="J374" s="2" t="s">
        <v>28</v>
      </c>
      <c r="K374" s="2" t="s">
        <v>1198</v>
      </c>
      <c r="L374" s="2" t="s">
        <v>36</v>
      </c>
      <c r="M374" s="2" t="s">
        <v>1195</v>
      </c>
      <c r="N374" s="3">
        <v>2000</v>
      </c>
      <c r="O374" s="3">
        <v>2000</v>
      </c>
      <c r="P374" s="3">
        <v>2000</v>
      </c>
      <c r="Q374" s="3">
        <v>2000</v>
      </c>
      <c r="R374" s="3">
        <v>797</v>
      </c>
      <c r="S374" s="3">
        <v>797</v>
      </c>
      <c r="T374" s="3">
        <v>797</v>
      </c>
      <c r="U374" s="3">
        <v>797</v>
      </c>
      <c r="V374" s="3"/>
    </row>
    <row r="375" spans="2:22" ht="20" hidden="1" x14ac:dyDescent="0.25">
      <c r="B375" s="2" t="s">
        <v>1192</v>
      </c>
      <c r="C375" s="2" t="s">
        <v>1193</v>
      </c>
      <c r="D375" s="2" t="s">
        <v>900</v>
      </c>
      <c r="E375" s="2" t="s">
        <v>27</v>
      </c>
      <c r="F375" s="2" t="s">
        <v>809</v>
      </c>
      <c r="G375" s="2" t="s">
        <v>27</v>
      </c>
      <c r="H375" s="2">
        <v>70590</v>
      </c>
      <c r="I375" s="2">
        <v>70820</v>
      </c>
      <c r="J375" s="2" t="s">
        <v>28</v>
      </c>
      <c r="K375" s="2" t="s">
        <v>1196</v>
      </c>
      <c r="L375" s="2" t="s">
        <v>39</v>
      </c>
      <c r="M375" s="2" t="s">
        <v>1195</v>
      </c>
      <c r="N375" s="3">
        <v>2000</v>
      </c>
      <c r="O375" s="3">
        <v>2000</v>
      </c>
      <c r="P375" s="3">
        <v>2000</v>
      </c>
      <c r="Q375" s="3">
        <v>2000</v>
      </c>
      <c r="R375" s="3">
        <v>797</v>
      </c>
      <c r="S375" s="3">
        <v>797</v>
      </c>
      <c r="T375" s="3">
        <v>797</v>
      </c>
      <c r="U375" s="3">
        <v>797</v>
      </c>
      <c r="V375" s="3"/>
    </row>
    <row r="376" spans="2:22" ht="20" hidden="1" x14ac:dyDescent="0.25">
      <c r="B376" s="2" t="s">
        <v>1192</v>
      </c>
      <c r="C376" s="2" t="s">
        <v>1193</v>
      </c>
      <c r="D376" s="2" t="s">
        <v>900</v>
      </c>
      <c r="E376" s="2" t="s">
        <v>27</v>
      </c>
      <c r="F376" s="2" t="s">
        <v>809</v>
      </c>
      <c r="G376" s="2" t="s">
        <v>27</v>
      </c>
      <c r="H376" s="2">
        <v>70590</v>
      </c>
      <c r="I376" s="2">
        <v>70820</v>
      </c>
      <c r="J376" s="2" t="s">
        <v>28</v>
      </c>
      <c r="K376" s="2" t="s">
        <v>1200</v>
      </c>
      <c r="L376" s="2" t="s">
        <v>39</v>
      </c>
      <c r="M376" s="2" t="s">
        <v>1195</v>
      </c>
      <c r="N376" s="3">
        <v>2000</v>
      </c>
      <c r="O376" s="3">
        <v>2000</v>
      </c>
      <c r="P376" s="3">
        <v>2000</v>
      </c>
      <c r="Q376" s="3">
        <v>2000</v>
      </c>
      <c r="R376" s="3">
        <v>797</v>
      </c>
      <c r="S376" s="3">
        <v>797</v>
      </c>
      <c r="T376" s="3">
        <v>797</v>
      </c>
      <c r="U376" s="3">
        <v>797</v>
      </c>
      <c r="V376" s="3"/>
    </row>
    <row r="377" spans="2:22" ht="21" hidden="1" x14ac:dyDescent="0.25">
      <c r="B377" s="4" t="s">
        <v>134</v>
      </c>
      <c r="C377" s="4" t="s">
        <v>135</v>
      </c>
      <c r="D377" s="4" t="s">
        <v>220</v>
      </c>
      <c r="E377" s="4" t="s">
        <v>27</v>
      </c>
      <c r="F377" s="4" t="s">
        <v>218</v>
      </c>
      <c r="G377" s="4" t="s">
        <v>27</v>
      </c>
      <c r="H377" s="4">
        <v>70078</v>
      </c>
      <c r="I377" s="4">
        <v>70438</v>
      </c>
      <c r="J377" s="4" t="s">
        <v>28</v>
      </c>
      <c r="K377" s="4" t="s">
        <v>134</v>
      </c>
      <c r="L377" s="4" t="s">
        <v>29</v>
      </c>
      <c r="M377" s="4"/>
      <c r="N377" s="5">
        <v>800</v>
      </c>
      <c r="O377" s="5">
        <v>800</v>
      </c>
      <c r="P377" s="5">
        <v>800</v>
      </c>
      <c r="Q377" s="5">
        <v>800</v>
      </c>
      <c r="R377" s="5">
        <v>319</v>
      </c>
      <c r="S377" s="5">
        <v>319</v>
      </c>
      <c r="T377" s="5">
        <v>319</v>
      </c>
      <c r="U377" s="5">
        <v>319</v>
      </c>
      <c r="V377" s="5"/>
    </row>
    <row r="378" spans="2:22" hidden="1" x14ac:dyDescent="0.25">
      <c r="B378" s="2" t="s">
        <v>134</v>
      </c>
      <c r="C378" s="2" t="s">
        <v>135</v>
      </c>
      <c r="D378" s="2" t="s">
        <v>220</v>
      </c>
      <c r="E378" s="2" t="s">
        <v>27</v>
      </c>
      <c r="F378" s="2" t="s">
        <v>218</v>
      </c>
      <c r="G378" s="2" t="s">
        <v>27</v>
      </c>
      <c r="H378" s="2">
        <v>70078</v>
      </c>
      <c r="I378" s="2">
        <v>70438</v>
      </c>
      <c r="J378" s="2" t="s">
        <v>28</v>
      </c>
      <c r="K378" s="2" t="s">
        <v>134</v>
      </c>
      <c r="L378" s="2" t="s">
        <v>30</v>
      </c>
      <c r="M378" s="2" t="s">
        <v>135</v>
      </c>
      <c r="N378" s="3">
        <v>800</v>
      </c>
      <c r="O378" s="3">
        <v>800</v>
      </c>
      <c r="P378" s="3">
        <v>800</v>
      </c>
      <c r="Q378" s="3">
        <v>800</v>
      </c>
      <c r="R378" s="3">
        <v>319</v>
      </c>
      <c r="S378" s="3">
        <v>319</v>
      </c>
      <c r="T378" s="3">
        <v>319</v>
      </c>
      <c r="U378" s="3">
        <v>319</v>
      </c>
      <c r="V378" s="33" t="s">
        <v>219</v>
      </c>
    </row>
    <row r="379" spans="2:22" ht="21" hidden="1" x14ac:dyDescent="0.25">
      <c r="B379" s="4" t="s">
        <v>255</v>
      </c>
      <c r="C379" s="4" t="s">
        <v>256</v>
      </c>
      <c r="D379" s="4" t="s">
        <v>33</v>
      </c>
      <c r="E379" s="4" t="s">
        <v>27</v>
      </c>
      <c r="F379" s="4" t="s">
        <v>257</v>
      </c>
      <c r="G379" s="4" t="s">
        <v>27</v>
      </c>
      <c r="H379" s="4">
        <v>70038</v>
      </c>
      <c r="I379" s="4">
        <v>70141</v>
      </c>
      <c r="J379" s="4" t="s">
        <v>28</v>
      </c>
      <c r="K379" s="4" t="s">
        <v>255</v>
      </c>
      <c r="L379" s="4" t="s">
        <v>29</v>
      </c>
      <c r="M379" s="4"/>
      <c r="N379" s="5">
        <v>1213</v>
      </c>
      <c r="O379" s="5">
        <v>1241</v>
      </c>
      <c r="P379" s="5">
        <v>1241</v>
      </c>
      <c r="Q379" s="5">
        <v>1241</v>
      </c>
      <c r="R379" s="5">
        <v>483</v>
      </c>
      <c r="S379" s="5">
        <v>494</v>
      </c>
      <c r="T379" s="5">
        <v>494</v>
      </c>
      <c r="U379" s="5">
        <v>494</v>
      </c>
      <c r="V379" s="5"/>
    </row>
    <row r="380" spans="2:22" ht="20" hidden="1" x14ac:dyDescent="0.25">
      <c r="B380" s="2" t="s">
        <v>255</v>
      </c>
      <c r="C380" s="2" t="s">
        <v>256</v>
      </c>
      <c r="D380" s="2" t="s">
        <v>33</v>
      </c>
      <c r="E380" s="2" t="s">
        <v>27</v>
      </c>
      <c r="F380" s="2" t="s">
        <v>257</v>
      </c>
      <c r="G380" s="2" t="s">
        <v>27</v>
      </c>
      <c r="H380" s="2">
        <v>70038</v>
      </c>
      <c r="I380" s="2">
        <v>70141</v>
      </c>
      <c r="J380" s="2" t="s">
        <v>28</v>
      </c>
      <c r="K380" s="2" t="s">
        <v>255</v>
      </c>
      <c r="L380" s="2" t="s">
        <v>30</v>
      </c>
      <c r="M380" s="2" t="s">
        <v>256</v>
      </c>
      <c r="N380" s="3">
        <v>1213</v>
      </c>
      <c r="O380" s="3">
        <v>1241</v>
      </c>
      <c r="P380" s="3">
        <v>1241</v>
      </c>
      <c r="Q380" s="3">
        <v>1241</v>
      </c>
      <c r="R380" s="3">
        <v>483</v>
      </c>
      <c r="S380" s="3">
        <v>494</v>
      </c>
      <c r="T380" s="3">
        <v>494</v>
      </c>
      <c r="U380" s="3">
        <v>494</v>
      </c>
      <c r="V380" s="3"/>
    </row>
    <row r="381" spans="2:22" ht="21" hidden="1" x14ac:dyDescent="0.25">
      <c r="B381" s="4" t="s">
        <v>613</v>
      </c>
      <c r="C381" s="4" t="s">
        <v>256</v>
      </c>
      <c r="D381" s="4" t="s">
        <v>257</v>
      </c>
      <c r="E381" s="4" t="s">
        <v>27</v>
      </c>
      <c r="F381" s="4" t="s">
        <v>277</v>
      </c>
      <c r="G381" s="4" t="s">
        <v>27</v>
      </c>
      <c r="H381" s="4">
        <v>70141</v>
      </c>
      <c r="I381" s="4">
        <v>70149</v>
      </c>
      <c r="J381" s="4" t="s">
        <v>28</v>
      </c>
      <c r="K381" s="4" t="s">
        <v>613</v>
      </c>
      <c r="L381" s="4" t="s">
        <v>29</v>
      </c>
      <c r="M381" s="4"/>
      <c r="N381" s="5">
        <v>1188</v>
      </c>
      <c r="O381" s="5">
        <v>1188</v>
      </c>
      <c r="P381" s="5">
        <v>1379</v>
      </c>
      <c r="Q381" s="5">
        <v>1379</v>
      </c>
      <c r="R381" s="5">
        <v>473</v>
      </c>
      <c r="S381" s="5">
        <v>473</v>
      </c>
      <c r="T381" s="5">
        <v>549</v>
      </c>
      <c r="U381" s="5">
        <v>549</v>
      </c>
      <c r="V381" s="5"/>
    </row>
    <row r="382" spans="2:22" ht="20" hidden="1" x14ac:dyDescent="0.25">
      <c r="B382" s="2" t="s">
        <v>613</v>
      </c>
      <c r="C382" s="2" t="s">
        <v>256</v>
      </c>
      <c r="D382" s="2" t="s">
        <v>257</v>
      </c>
      <c r="E382" s="2" t="s">
        <v>27</v>
      </c>
      <c r="F382" s="2" t="s">
        <v>277</v>
      </c>
      <c r="G382" s="2" t="s">
        <v>27</v>
      </c>
      <c r="H382" s="2">
        <v>70141</v>
      </c>
      <c r="I382" s="2">
        <v>70149</v>
      </c>
      <c r="J382" s="2" t="s">
        <v>28</v>
      </c>
      <c r="K382" s="2" t="s">
        <v>613</v>
      </c>
      <c r="L382" s="2" t="s">
        <v>30</v>
      </c>
      <c r="M382" s="2" t="s">
        <v>256</v>
      </c>
      <c r="N382" s="3">
        <v>1188</v>
      </c>
      <c r="O382" s="3">
        <v>1188</v>
      </c>
      <c r="P382" s="3">
        <v>1379</v>
      </c>
      <c r="Q382" s="3">
        <v>1379</v>
      </c>
      <c r="R382" s="3">
        <v>473</v>
      </c>
      <c r="S382" s="3">
        <v>473</v>
      </c>
      <c r="T382" s="3">
        <v>549</v>
      </c>
      <c r="U382" s="3">
        <v>549</v>
      </c>
      <c r="V382" s="3"/>
    </row>
    <row r="383" spans="2:22" ht="21" hidden="1" x14ac:dyDescent="0.25">
      <c r="B383" s="4" t="s">
        <v>682</v>
      </c>
      <c r="C383" s="4" t="s">
        <v>683</v>
      </c>
      <c r="D383" s="4" t="s">
        <v>277</v>
      </c>
      <c r="E383" s="4" t="s">
        <v>27</v>
      </c>
      <c r="F383" s="4" t="s">
        <v>684</v>
      </c>
      <c r="G383" s="4" t="s">
        <v>27</v>
      </c>
      <c r="H383" s="4">
        <v>70149</v>
      </c>
      <c r="I383" s="4">
        <v>70163</v>
      </c>
      <c r="J383" s="4" t="s">
        <v>28</v>
      </c>
      <c r="K383" s="4" t="s">
        <v>682</v>
      </c>
      <c r="L383" s="4" t="s">
        <v>29</v>
      </c>
      <c r="M383" s="4"/>
      <c r="N383" s="5">
        <v>1091</v>
      </c>
      <c r="O383" s="5">
        <v>1200</v>
      </c>
      <c r="P383" s="5">
        <v>1105</v>
      </c>
      <c r="Q383" s="5">
        <v>1200</v>
      </c>
      <c r="R383" s="5">
        <v>435</v>
      </c>
      <c r="S383" s="5">
        <v>478</v>
      </c>
      <c r="T383" s="5">
        <v>440</v>
      </c>
      <c r="U383" s="5">
        <v>478</v>
      </c>
      <c r="V383" s="5"/>
    </row>
    <row r="384" spans="2:22" ht="20" hidden="1" x14ac:dyDescent="0.25">
      <c r="B384" s="2" t="s">
        <v>682</v>
      </c>
      <c r="C384" s="2" t="s">
        <v>683</v>
      </c>
      <c r="D384" s="2" t="s">
        <v>277</v>
      </c>
      <c r="E384" s="2" t="s">
        <v>27</v>
      </c>
      <c r="F384" s="2" t="s">
        <v>684</v>
      </c>
      <c r="G384" s="2" t="s">
        <v>27</v>
      </c>
      <c r="H384" s="2">
        <v>70149</v>
      </c>
      <c r="I384" s="2">
        <v>70163</v>
      </c>
      <c r="J384" s="2" t="s">
        <v>28</v>
      </c>
      <c r="K384" s="2" t="s">
        <v>249</v>
      </c>
      <c r="L384" s="2" t="s">
        <v>31</v>
      </c>
      <c r="M384" s="2" t="s">
        <v>279</v>
      </c>
      <c r="N384" s="3">
        <v>1091</v>
      </c>
      <c r="O384" s="2">
        <v>1271</v>
      </c>
      <c r="P384" s="2">
        <v>1302</v>
      </c>
      <c r="Q384" s="2">
        <v>1448</v>
      </c>
      <c r="R384" s="3">
        <v>435</v>
      </c>
      <c r="S384" s="2">
        <v>506</v>
      </c>
      <c r="T384" s="2">
        <v>519</v>
      </c>
      <c r="U384" s="2">
        <v>577</v>
      </c>
      <c r="V384" s="2"/>
    </row>
    <row r="385" spans="2:22" ht="20" hidden="1" x14ac:dyDescent="0.25">
      <c r="B385" s="2" t="s">
        <v>682</v>
      </c>
      <c r="C385" s="2" t="s">
        <v>683</v>
      </c>
      <c r="D385" s="2" t="s">
        <v>277</v>
      </c>
      <c r="E385" s="2" t="s">
        <v>27</v>
      </c>
      <c r="F385" s="2" t="s">
        <v>684</v>
      </c>
      <c r="G385" s="2" t="s">
        <v>27</v>
      </c>
      <c r="H385" s="2">
        <v>70149</v>
      </c>
      <c r="I385" s="2">
        <v>70163</v>
      </c>
      <c r="J385" s="2" t="s">
        <v>28</v>
      </c>
      <c r="K385" s="2" t="s">
        <v>682</v>
      </c>
      <c r="L385" s="2" t="s">
        <v>30</v>
      </c>
      <c r="M385" s="2" t="s">
        <v>683</v>
      </c>
      <c r="N385" s="2">
        <v>1105</v>
      </c>
      <c r="O385" s="2">
        <v>1216</v>
      </c>
      <c r="P385" s="3">
        <v>1105</v>
      </c>
      <c r="Q385" s="2">
        <v>1216</v>
      </c>
      <c r="R385" s="2">
        <v>440</v>
      </c>
      <c r="S385" s="2">
        <v>484</v>
      </c>
      <c r="T385" s="3">
        <v>440</v>
      </c>
      <c r="U385" s="2">
        <v>484</v>
      </c>
      <c r="V385" s="2"/>
    </row>
    <row r="386" spans="2:22" ht="30" hidden="1" x14ac:dyDescent="0.25">
      <c r="B386" s="2" t="s">
        <v>682</v>
      </c>
      <c r="C386" s="2" t="s">
        <v>683</v>
      </c>
      <c r="D386" s="2" t="s">
        <v>277</v>
      </c>
      <c r="E386" s="2" t="s">
        <v>27</v>
      </c>
      <c r="F386" s="2" t="s">
        <v>684</v>
      </c>
      <c r="G386" s="2" t="s">
        <v>27</v>
      </c>
      <c r="H386" s="2">
        <v>70149</v>
      </c>
      <c r="I386" s="2">
        <v>70163</v>
      </c>
      <c r="J386" s="2" t="s">
        <v>28</v>
      </c>
      <c r="K386" s="2" t="s">
        <v>685</v>
      </c>
      <c r="L386" s="2" t="s">
        <v>36</v>
      </c>
      <c r="M386" s="2" t="s">
        <v>686</v>
      </c>
      <c r="N386" s="2">
        <v>1200</v>
      </c>
      <c r="O386" s="3">
        <v>1200</v>
      </c>
      <c r="P386" s="2">
        <v>1200</v>
      </c>
      <c r="Q386" s="3">
        <v>1200</v>
      </c>
      <c r="R386" s="2">
        <v>478</v>
      </c>
      <c r="S386" s="3">
        <v>478</v>
      </c>
      <c r="T386" s="2">
        <v>478</v>
      </c>
      <c r="U386" s="3">
        <v>478</v>
      </c>
      <c r="V386" s="3"/>
    </row>
    <row r="387" spans="2:22" ht="20" hidden="1" x14ac:dyDescent="0.25">
      <c r="B387" s="2" t="s">
        <v>682</v>
      </c>
      <c r="C387" s="2" t="s">
        <v>683</v>
      </c>
      <c r="D387" s="2" t="s">
        <v>277</v>
      </c>
      <c r="E387" s="2" t="s">
        <v>27</v>
      </c>
      <c r="F387" s="2" t="s">
        <v>684</v>
      </c>
      <c r="G387" s="2" t="s">
        <v>27</v>
      </c>
      <c r="H387" s="2">
        <v>70149</v>
      </c>
      <c r="I387" s="2">
        <v>70163</v>
      </c>
      <c r="J387" s="2" t="s">
        <v>28</v>
      </c>
      <c r="K387" s="2" t="s">
        <v>687</v>
      </c>
      <c r="L387" s="2" t="s">
        <v>39</v>
      </c>
      <c r="M387" s="2" t="s">
        <v>686</v>
      </c>
      <c r="N387" s="2">
        <v>1200</v>
      </c>
      <c r="O387" s="3">
        <v>1200</v>
      </c>
      <c r="P387" s="2">
        <v>1200</v>
      </c>
      <c r="Q387" s="3">
        <v>1200</v>
      </c>
      <c r="R387" s="2">
        <v>478</v>
      </c>
      <c r="S387" s="3">
        <v>478</v>
      </c>
      <c r="T387" s="2">
        <v>478</v>
      </c>
      <c r="U387" s="3">
        <v>478</v>
      </c>
      <c r="V387" s="3"/>
    </row>
    <row r="388" spans="2:22" ht="30" hidden="1" x14ac:dyDescent="0.25">
      <c r="B388" s="2" t="s">
        <v>682</v>
      </c>
      <c r="C388" s="2" t="s">
        <v>683</v>
      </c>
      <c r="D388" s="2" t="s">
        <v>277</v>
      </c>
      <c r="E388" s="2" t="s">
        <v>27</v>
      </c>
      <c r="F388" s="2" t="s">
        <v>684</v>
      </c>
      <c r="G388" s="2" t="s">
        <v>27</v>
      </c>
      <c r="H388" s="2">
        <v>70149</v>
      </c>
      <c r="I388" s="2">
        <v>70163</v>
      </c>
      <c r="J388" s="2" t="s">
        <v>28</v>
      </c>
      <c r="K388" s="2" t="s">
        <v>688</v>
      </c>
      <c r="L388" s="2" t="s">
        <v>36</v>
      </c>
      <c r="M388" s="2" t="s">
        <v>686</v>
      </c>
      <c r="N388" s="2">
        <v>1200</v>
      </c>
      <c r="O388" s="3">
        <v>1200</v>
      </c>
      <c r="P388" s="2">
        <v>1200</v>
      </c>
      <c r="Q388" s="3">
        <v>1200</v>
      </c>
      <c r="R388" s="2">
        <v>478</v>
      </c>
      <c r="S388" s="3">
        <v>478</v>
      </c>
      <c r="T388" s="2">
        <v>478</v>
      </c>
      <c r="U388" s="3">
        <v>478</v>
      </c>
      <c r="V388" s="3"/>
    </row>
    <row r="389" spans="2:22" ht="20" hidden="1" x14ac:dyDescent="0.25">
      <c r="B389" s="2" t="s">
        <v>682</v>
      </c>
      <c r="C389" s="2" t="s">
        <v>683</v>
      </c>
      <c r="D389" s="2" t="s">
        <v>277</v>
      </c>
      <c r="E389" s="2" t="s">
        <v>27</v>
      </c>
      <c r="F389" s="2" t="s">
        <v>684</v>
      </c>
      <c r="G389" s="2" t="s">
        <v>27</v>
      </c>
      <c r="H389" s="2">
        <v>70149</v>
      </c>
      <c r="I389" s="2">
        <v>70163</v>
      </c>
      <c r="J389" s="2" t="s">
        <v>28</v>
      </c>
      <c r="K389" s="2" t="s">
        <v>689</v>
      </c>
      <c r="L389" s="2" t="s">
        <v>39</v>
      </c>
      <c r="M389" s="2" t="s">
        <v>686</v>
      </c>
      <c r="N389" s="2">
        <v>1200</v>
      </c>
      <c r="O389" s="3">
        <v>1200</v>
      </c>
      <c r="P389" s="2">
        <v>1200</v>
      </c>
      <c r="Q389" s="3">
        <v>1200</v>
      </c>
      <c r="R389" s="2">
        <v>478</v>
      </c>
      <c r="S389" s="3">
        <v>478</v>
      </c>
      <c r="T389" s="2">
        <v>478</v>
      </c>
      <c r="U389" s="3">
        <v>478</v>
      </c>
      <c r="V389" s="3"/>
    </row>
    <row r="390" spans="2:22" ht="20" hidden="1" x14ac:dyDescent="0.25">
      <c r="B390" s="2" t="s">
        <v>682</v>
      </c>
      <c r="C390" s="2" t="s">
        <v>683</v>
      </c>
      <c r="D390" s="2" t="s">
        <v>277</v>
      </c>
      <c r="E390" s="2" t="s">
        <v>27</v>
      </c>
      <c r="F390" s="2" t="s">
        <v>684</v>
      </c>
      <c r="G390" s="2" t="s">
        <v>27</v>
      </c>
      <c r="H390" s="2">
        <v>70149</v>
      </c>
      <c r="I390" s="2">
        <v>70163</v>
      </c>
      <c r="J390" s="2" t="s">
        <v>28</v>
      </c>
      <c r="K390" s="2" t="s">
        <v>690</v>
      </c>
      <c r="L390" s="2" t="s">
        <v>39</v>
      </c>
      <c r="M390" s="2" t="s">
        <v>686</v>
      </c>
      <c r="N390" s="2">
        <v>1200</v>
      </c>
      <c r="O390" s="3">
        <v>1200</v>
      </c>
      <c r="P390" s="2">
        <v>1200</v>
      </c>
      <c r="Q390" s="3">
        <v>1200</v>
      </c>
      <c r="R390" s="2">
        <v>478</v>
      </c>
      <c r="S390" s="3">
        <v>478</v>
      </c>
      <c r="T390" s="2">
        <v>478</v>
      </c>
      <c r="U390" s="3">
        <v>478</v>
      </c>
      <c r="V390" s="3"/>
    </row>
    <row r="391" spans="2:22" ht="20" hidden="1" x14ac:dyDescent="0.25">
      <c r="B391" s="2" t="s">
        <v>682</v>
      </c>
      <c r="C391" s="2" t="s">
        <v>683</v>
      </c>
      <c r="D391" s="2" t="s">
        <v>277</v>
      </c>
      <c r="E391" s="2" t="s">
        <v>27</v>
      </c>
      <c r="F391" s="2" t="s">
        <v>684</v>
      </c>
      <c r="G391" s="2" t="s">
        <v>27</v>
      </c>
      <c r="H391" s="2">
        <v>70149</v>
      </c>
      <c r="I391" s="2">
        <v>70163</v>
      </c>
      <c r="J391" s="2" t="s">
        <v>28</v>
      </c>
      <c r="K391" s="2" t="s">
        <v>691</v>
      </c>
      <c r="L391" s="2" t="s">
        <v>39</v>
      </c>
      <c r="M391" s="2" t="s">
        <v>686</v>
      </c>
      <c r="N391" s="2">
        <v>1200</v>
      </c>
      <c r="O391" s="3">
        <v>1200</v>
      </c>
      <c r="P391" s="2">
        <v>1200</v>
      </c>
      <c r="Q391" s="3">
        <v>1200</v>
      </c>
      <c r="R391" s="2">
        <v>478</v>
      </c>
      <c r="S391" s="3">
        <v>478</v>
      </c>
      <c r="T391" s="2">
        <v>478</v>
      </c>
      <c r="U391" s="3">
        <v>478</v>
      </c>
      <c r="V391" s="3"/>
    </row>
    <row r="392" spans="2:22" ht="20" hidden="1" x14ac:dyDescent="0.25">
      <c r="B392" s="2" t="s">
        <v>682</v>
      </c>
      <c r="C392" s="2" t="s">
        <v>683</v>
      </c>
      <c r="D392" s="2" t="s">
        <v>277</v>
      </c>
      <c r="E392" s="2" t="s">
        <v>27</v>
      </c>
      <c r="F392" s="2" t="s">
        <v>684</v>
      </c>
      <c r="G392" s="2" t="s">
        <v>27</v>
      </c>
      <c r="H392" s="2">
        <v>70149</v>
      </c>
      <c r="I392" s="2">
        <v>70163</v>
      </c>
      <c r="J392" s="2" t="s">
        <v>28</v>
      </c>
      <c r="K392" s="2" t="s">
        <v>692</v>
      </c>
      <c r="L392" s="2" t="s">
        <v>39</v>
      </c>
      <c r="M392" s="2" t="s">
        <v>686</v>
      </c>
      <c r="N392" s="2">
        <v>1200</v>
      </c>
      <c r="O392" s="3">
        <v>1200</v>
      </c>
      <c r="P392" s="2">
        <v>1200</v>
      </c>
      <c r="Q392" s="3">
        <v>1200</v>
      </c>
      <c r="R392" s="2">
        <v>478</v>
      </c>
      <c r="S392" s="3">
        <v>478</v>
      </c>
      <c r="T392" s="2">
        <v>478</v>
      </c>
      <c r="U392" s="3">
        <v>478</v>
      </c>
      <c r="V392" s="3"/>
    </row>
    <row r="393" spans="2:22" ht="30" hidden="1" x14ac:dyDescent="0.25">
      <c r="B393" s="2" t="s">
        <v>682</v>
      </c>
      <c r="C393" s="2" t="s">
        <v>683</v>
      </c>
      <c r="D393" s="2" t="s">
        <v>277</v>
      </c>
      <c r="E393" s="2" t="s">
        <v>27</v>
      </c>
      <c r="F393" s="2" t="s">
        <v>684</v>
      </c>
      <c r="G393" s="2" t="s">
        <v>27</v>
      </c>
      <c r="H393" s="2">
        <v>70149</v>
      </c>
      <c r="I393" s="2">
        <v>70163</v>
      </c>
      <c r="J393" s="2" t="s">
        <v>28</v>
      </c>
      <c r="K393" s="2" t="s">
        <v>693</v>
      </c>
      <c r="L393" s="2" t="s">
        <v>36</v>
      </c>
      <c r="M393" s="2" t="s">
        <v>686</v>
      </c>
      <c r="N393" s="2">
        <v>1200</v>
      </c>
      <c r="O393" s="3">
        <v>1200</v>
      </c>
      <c r="P393" s="2">
        <v>1200</v>
      </c>
      <c r="Q393" s="3">
        <v>1200</v>
      </c>
      <c r="R393" s="2">
        <v>478</v>
      </c>
      <c r="S393" s="3">
        <v>478</v>
      </c>
      <c r="T393" s="2">
        <v>478</v>
      </c>
      <c r="U393" s="3">
        <v>478</v>
      </c>
      <c r="V393" s="3"/>
    </row>
    <row r="394" spans="2:22" ht="20" hidden="1" x14ac:dyDescent="0.25">
      <c r="B394" s="2" t="s">
        <v>682</v>
      </c>
      <c r="C394" s="2" t="s">
        <v>683</v>
      </c>
      <c r="D394" s="2" t="s">
        <v>277</v>
      </c>
      <c r="E394" s="2" t="s">
        <v>27</v>
      </c>
      <c r="F394" s="2" t="s">
        <v>684</v>
      </c>
      <c r="G394" s="2" t="s">
        <v>27</v>
      </c>
      <c r="H394" s="2">
        <v>70149</v>
      </c>
      <c r="I394" s="2">
        <v>70163</v>
      </c>
      <c r="J394" s="2" t="s">
        <v>28</v>
      </c>
      <c r="K394" s="2" t="s">
        <v>694</v>
      </c>
      <c r="L394" s="2" t="s">
        <v>39</v>
      </c>
      <c r="M394" s="2" t="s">
        <v>686</v>
      </c>
      <c r="N394" s="2">
        <v>1200</v>
      </c>
      <c r="O394" s="3">
        <v>1200</v>
      </c>
      <c r="P394" s="2">
        <v>1200</v>
      </c>
      <c r="Q394" s="3">
        <v>1200</v>
      </c>
      <c r="R394" s="2">
        <v>478</v>
      </c>
      <c r="S394" s="3">
        <v>478</v>
      </c>
      <c r="T394" s="2">
        <v>478</v>
      </c>
      <c r="U394" s="3">
        <v>478</v>
      </c>
      <c r="V394" s="3"/>
    </row>
    <row r="395" spans="2:22" ht="20" hidden="1" x14ac:dyDescent="0.25">
      <c r="B395" s="2" t="s">
        <v>682</v>
      </c>
      <c r="C395" s="2" t="s">
        <v>683</v>
      </c>
      <c r="D395" s="2" t="s">
        <v>277</v>
      </c>
      <c r="E395" s="2" t="s">
        <v>27</v>
      </c>
      <c r="F395" s="2" t="s">
        <v>684</v>
      </c>
      <c r="G395" s="2" t="s">
        <v>27</v>
      </c>
      <c r="H395" s="2">
        <v>70149</v>
      </c>
      <c r="I395" s="2">
        <v>70163</v>
      </c>
      <c r="J395" s="2" t="s">
        <v>28</v>
      </c>
      <c r="K395" s="2" t="s">
        <v>695</v>
      </c>
      <c r="L395" s="2" t="s">
        <v>39</v>
      </c>
      <c r="M395" s="2" t="s">
        <v>686</v>
      </c>
      <c r="N395" s="2">
        <v>1200</v>
      </c>
      <c r="O395" s="3">
        <v>1200</v>
      </c>
      <c r="P395" s="2">
        <v>1200</v>
      </c>
      <c r="Q395" s="3">
        <v>1200</v>
      </c>
      <c r="R395" s="2">
        <v>478</v>
      </c>
      <c r="S395" s="3">
        <v>478</v>
      </c>
      <c r="T395" s="2">
        <v>478</v>
      </c>
      <c r="U395" s="3">
        <v>478</v>
      </c>
      <c r="V395" s="3"/>
    </row>
    <row r="396" spans="2:22" ht="20" hidden="1" x14ac:dyDescent="0.25">
      <c r="B396" s="2" t="s">
        <v>682</v>
      </c>
      <c r="C396" s="2" t="s">
        <v>683</v>
      </c>
      <c r="D396" s="2" t="s">
        <v>277</v>
      </c>
      <c r="E396" s="2" t="s">
        <v>27</v>
      </c>
      <c r="F396" s="2" t="s">
        <v>684</v>
      </c>
      <c r="G396" s="2" t="s">
        <v>27</v>
      </c>
      <c r="H396" s="2">
        <v>70149</v>
      </c>
      <c r="I396" s="2">
        <v>70163</v>
      </c>
      <c r="J396" s="2" t="s">
        <v>28</v>
      </c>
      <c r="K396" s="2" t="s">
        <v>696</v>
      </c>
      <c r="L396" s="2" t="s">
        <v>39</v>
      </c>
      <c r="M396" s="2" t="s">
        <v>686</v>
      </c>
      <c r="N396" s="2">
        <v>1200</v>
      </c>
      <c r="O396" s="3">
        <v>1200</v>
      </c>
      <c r="P396" s="2">
        <v>1200</v>
      </c>
      <c r="Q396" s="3">
        <v>1200</v>
      </c>
      <c r="R396" s="2">
        <v>478</v>
      </c>
      <c r="S396" s="3">
        <v>478</v>
      </c>
      <c r="T396" s="2">
        <v>478</v>
      </c>
      <c r="U396" s="3">
        <v>478</v>
      </c>
      <c r="V396" s="3"/>
    </row>
    <row r="397" spans="2:22" ht="20" hidden="1" x14ac:dyDescent="0.25">
      <c r="B397" s="2" t="s">
        <v>682</v>
      </c>
      <c r="C397" s="2" t="s">
        <v>683</v>
      </c>
      <c r="D397" s="2" t="s">
        <v>277</v>
      </c>
      <c r="E397" s="2" t="s">
        <v>27</v>
      </c>
      <c r="F397" s="2" t="s">
        <v>684</v>
      </c>
      <c r="G397" s="2" t="s">
        <v>27</v>
      </c>
      <c r="H397" s="2">
        <v>70149</v>
      </c>
      <c r="I397" s="2">
        <v>70163</v>
      </c>
      <c r="J397" s="2" t="s">
        <v>28</v>
      </c>
      <c r="K397" s="2" t="s">
        <v>697</v>
      </c>
      <c r="L397" s="2" t="s">
        <v>39</v>
      </c>
      <c r="M397" s="2" t="s">
        <v>686</v>
      </c>
      <c r="N397" s="2">
        <v>1200</v>
      </c>
      <c r="O397" s="3">
        <v>1200</v>
      </c>
      <c r="P397" s="2">
        <v>1200</v>
      </c>
      <c r="Q397" s="3">
        <v>1200</v>
      </c>
      <c r="R397" s="2">
        <v>478</v>
      </c>
      <c r="S397" s="3">
        <v>478</v>
      </c>
      <c r="T397" s="2">
        <v>478</v>
      </c>
      <c r="U397" s="3">
        <v>478</v>
      </c>
      <c r="V397" s="3"/>
    </row>
    <row r="398" spans="2:22" ht="21" hidden="1" x14ac:dyDescent="0.25">
      <c r="B398" s="4" t="s">
        <v>715</v>
      </c>
      <c r="C398" s="4" t="s">
        <v>716</v>
      </c>
      <c r="D398" s="4" t="s">
        <v>277</v>
      </c>
      <c r="E398" s="4" t="s">
        <v>27</v>
      </c>
      <c r="F398" s="4" t="s">
        <v>513</v>
      </c>
      <c r="G398" s="4" t="s">
        <v>27</v>
      </c>
      <c r="H398" s="4">
        <v>70149</v>
      </c>
      <c r="I398" s="4">
        <v>70324</v>
      </c>
      <c r="J398" s="4" t="s">
        <v>28</v>
      </c>
      <c r="K398" s="4" t="s">
        <v>715</v>
      </c>
      <c r="L398" s="4" t="s">
        <v>29</v>
      </c>
      <c r="M398" s="4"/>
      <c r="N398" s="5">
        <v>1800</v>
      </c>
      <c r="O398" s="5">
        <v>1800</v>
      </c>
      <c r="P398" s="5">
        <v>1800</v>
      </c>
      <c r="Q398" s="5">
        <v>1800</v>
      </c>
      <c r="R398" s="5">
        <v>717</v>
      </c>
      <c r="S398" s="5">
        <v>717</v>
      </c>
      <c r="T398" s="5">
        <v>717</v>
      </c>
      <c r="U398" s="5">
        <v>717</v>
      </c>
      <c r="V398" s="5"/>
    </row>
    <row r="399" spans="2:22" ht="30" hidden="1" x14ac:dyDescent="0.25">
      <c r="B399" s="2" t="s">
        <v>715</v>
      </c>
      <c r="C399" s="2" t="s">
        <v>716</v>
      </c>
      <c r="D399" s="2" t="s">
        <v>277</v>
      </c>
      <c r="E399" s="2" t="s">
        <v>27</v>
      </c>
      <c r="F399" s="2" t="s">
        <v>513</v>
      </c>
      <c r="G399" s="2" t="s">
        <v>27</v>
      </c>
      <c r="H399" s="2">
        <v>70149</v>
      </c>
      <c r="I399" s="2">
        <v>70324</v>
      </c>
      <c r="J399" s="2" t="s">
        <v>28</v>
      </c>
      <c r="K399" s="2" t="s">
        <v>717</v>
      </c>
      <c r="L399" s="2" t="s">
        <v>36</v>
      </c>
      <c r="M399" s="2" t="s">
        <v>279</v>
      </c>
      <c r="N399" s="3">
        <v>1800</v>
      </c>
      <c r="O399" s="3">
        <v>1800</v>
      </c>
      <c r="P399" s="3">
        <v>1800</v>
      </c>
      <c r="Q399" s="3">
        <v>1800</v>
      </c>
      <c r="R399" s="3">
        <v>717</v>
      </c>
      <c r="S399" s="3">
        <v>717</v>
      </c>
      <c r="T399" s="3">
        <v>717</v>
      </c>
      <c r="U399" s="3">
        <v>717</v>
      </c>
      <c r="V399" s="3"/>
    </row>
    <row r="400" spans="2:22" ht="21" hidden="1" x14ac:dyDescent="0.25">
      <c r="B400" s="4" t="s">
        <v>191</v>
      </c>
      <c r="C400" s="4" t="s">
        <v>192</v>
      </c>
      <c r="D400" s="4" t="s">
        <v>277</v>
      </c>
      <c r="E400" s="4" t="s">
        <v>27</v>
      </c>
      <c r="F400" s="4" t="s">
        <v>718</v>
      </c>
      <c r="G400" s="4" t="s">
        <v>27</v>
      </c>
      <c r="H400" s="4">
        <v>70149</v>
      </c>
      <c r="I400" s="4">
        <v>70480</v>
      </c>
      <c r="J400" s="4" t="s">
        <v>28</v>
      </c>
      <c r="K400" s="4" t="s">
        <v>191</v>
      </c>
      <c r="L400" s="4" t="s">
        <v>29</v>
      </c>
      <c r="M400" s="4"/>
      <c r="N400" s="5">
        <v>1418</v>
      </c>
      <c r="O400" s="5">
        <v>1560</v>
      </c>
      <c r="P400" s="5">
        <v>1600</v>
      </c>
      <c r="Q400" s="5">
        <v>1600</v>
      </c>
      <c r="R400" s="5">
        <v>565</v>
      </c>
      <c r="S400" s="5">
        <v>622</v>
      </c>
      <c r="T400" s="5">
        <v>637</v>
      </c>
      <c r="U400" s="5">
        <v>637</v>
      </c>
      <c r="V400" s="5"/>
    </row>
    <row r="401" spans="2:22" ht="20" hidden="1" x14ac:dyDescent="0.25">
      <c r="B401" s="2" t="s">
        <v>191</v>
      </c>
      <c r="C401" s="2" t="s">
        <v>192</v>
      </c>
      <c r="D401" s="2" t="s">
        <v>277</v>
      </c>
      <c r="E401" s="2" t="s">
        <v>27</v>
      </c>
      <c r="F401" s="2" t="s">
        <v>718</v>
      </c>
      <c r="G401" s="2" t="s">
        <v>27</v>
      </c>
      <c r="H401" s="2">
        <v>70149</v>
      </c>
      <c r="I401" s="2">
        <v>70480</v>
      </c>
      <c r="J401" s="2" t="s">
        <v>28</v>
      </c>
      <c r="K401" s="2" t="s">
        <v>388</v>
      </c>
      <c r="L401" s="2" t="s">
        <v>31</v>
      </c>
      <c r="M401" s="2" t="s">
        <v>719</v>
      </c>
      <c r="N401" s="3">
        <v>1418</v>
      </c>
      <c r="O401" s="3">
        <v>1560</v>
      </c>
      <c r="P401" s="2">
        <v>1617</v>
      </c>
      <c r="Q401" s="2">
        <v>1778</v>
      </c>
      <c r="R401" s="3">
        <v>565</v>
      </c>
      <c r="S401" s="3">
        <v>622</v>
      </c>
      <c r="T401" s="2">
        <v>644</v>
      </c>
      <c r="U401" s="2">
        <v>708</v>
      </c>
      <c r="V401" s="2"/>
    </row>
    <row r="402" spans="2:22" ht="20" hidden="1" x14ac:dyDescent="0.25">
      <c r="B402" s="2" t="s">
        <v>191</v>
      </c>
      <c r="C402" s="2" t="s">
        <v>192</v>
      </c>
      <c r="D402" s="2" t="s">
        <v>277</v>
      </c>
      <c r="E402" s="2" t="s">
        <v>27</v>
      </c>
      <c r="F402" s="2" t="s">
        <v>718</v>
      </c>
      <c r="G402" s="2" t="s">
        <v>27</v>
      </c>
      <c r="H402" s="2">
        <v>70149</v>
      </c>
      <c r="I402" s="2">
        <v>70480</v>
      </c>
      <c r="J402" s="2" t="s">
        <v>28</v>
      </c>
      <c r="K402" s="2" t="s">
        <v>193</v>
      </c>
      <c r="L402" s="2" t="s">
        <v>1315</v>
      </c>
      <c r="M402" s="2" t="s">
        <v>719</v>
      </c>
      <c r="N402" s="2">
        <v>1600</v>
      </c>
      <c r="O402" s="2">
        <v>1600</v>
      </c>
      <c r="P402" s="3">
        <v>1600</v>
      </c>
      <c r="Q402" s="3">
        <v>1600</v>
      </c>
      <c r="R402" s="2">
        <v>637</v>
      </c>
      <c r="S402" s="2">
        <v>637</v>
      </c>
      <c r="T402" s="3">
        <v>637</v>
      </c>
      <c r="U402" s="3">
        <v>637</v>
      </c>
      <c r="V402" s="3"/>
    </row>
    <row r="403" spans="2:22" ht="21" hidden="1" x14ac:dyDescent="0.25">
      <c r="B403" s="4" t="s">
        <v>1030</v>
      </c>
      <c r="C403" s="4" t="s">
        <v>192</v>
      </c>
      <c r="D403" s="4" t="s">
        <v>445</v>
      </c>
      <c r="E403" s="4" t="s">
        <v>27</v>
      </c>
      <c r="F403" s="4" t="s">
        <v>718</v>
      </c>
      <c r="G403" s="4" t="s">
        <v>27</v>
      </c>
      <c r="H403" s="4">
        <v>70266</v>
      </c>
      <c r="I403" s="4">
        <v>70480</v>
      </c>
      <c r="J403" s="4" t="s">
        <v>28</v>
      </c>
      <c r="K403" s="4" t="s">
        <v>1030</v>
      </c>
      <c r="L403" s="4" t="s">
        <v>29</v>
      </c>
      <c r="M403" s="4"/>
      <c r="N403" s="5">
        <v>1016</v>
      </c>
      <c r="O403" s="5">
        <v>1207</v>
      </c>
      <c r="P403" s="5">
        <v>1227</v>
      </c>
      <c r="Q403" s="5">
        <v>1247</v>
      </c>
      <c r="R403" s="5">
        <v>405</v>
      </c>
      <c r="S403" s="5">
        <v>481</v>
      </c>
      <c r="T403" s="5">
        <v>489</v>
      </c>
      <c r="U403" s="5">
        <v>497</v>
      </c>
      <c r="V403" s="5"/>
    </row>
    <row r="404" spans="2:22" ht="20" hidden="1" x14ac:dyDescent="0.25">
      <c r="B404" s="2" t="s">
        <v>1030</v>
      </c>
      <c r="C404" s="2" t="s">
        <v>192</v>
      </c>
      <c r="D404" s="2" t="s">
        <v>445</v>
      </c>
      <c r="E404" s="2" t="s">
        <v>27</v>
      </c>
      <c r="F404" s="2" t="s">
        <v>718</v>
      </c>
      <c r="G404" s="2" t="s">
        <v>27</v>
      </c>
      <c r="H404" s="2">
        <v>70266</v>
      </c>
      <c r="I404" s="2">
        <v>70480</v>
      </c>
      <c r="J404" s="2" t="s">
        <v>28</v>
      </c>
      <c r="K404" s="2" t="s">
        <v>388</v>
      </c>
      <c r="L404" s="2" t="s">
        <v>31</v>
      </c>
      <c r="M404" s="2" t="s">
        <v>719</v>
      </c>
      <c r="N404" s="3">
        <v>1016</v>
      </c>
      <c r="O404" s="3">
        <v>1207</v>
      </c>
      <c r="P404" s="3">
        <v>1227</v>
      </c>
      <c r="Q404" s="2">
        <v>1382</v>
      </c>
      <c r="R404" s="3">
        <v>405</v>
      </c>
      <c r="S404" s="3">
        <v>481</v>
      </c>
      <c r="T404" s="3">
        <v>489</v>
      </c>
      <c r="U404" s="2">
        <v>550</v>
      </c>
      <c r="V404" s="2"/>
    </row>
    <row r="405" spans="2:22" ht="20" hidden="1" x14ac:dyDescent="0.25">
      <c r="B405" s="2" t="s">
        <v>1030</v>
      </c>
      <c r="C405" s="2" t="s">
        <v>192</v>
      </c>
      <c r="D405" s="2" t="s">
        <v>445</v>
      </c>
      <c r="E405" s="2" t="s">
        <v>27</v>
      </c>
      <c r="F405" s="2" t="s">
        <v>718</v>
      </c>
      <c r="G405" s="2" t="s">
        <v>27</v>
      </c>
      <c r="H405" s="2">
        <v>70266</v>
      </c>
      <c r="I405" s="2">
        <v>70480</v>
      </c>
      <c r="J405" s="2" t="s">
        <v>28</v>
      </c>
      <c r="K405" s="2" t="s">
        <v>1030</v>
      </c>
      <c r="L405" s="2" t="s">
        <v>30</v>
      </c>
      <c r="M405" s="2" t="s">
        <v>192</v>
      </c>
      <c r="N405" s="2">
        <v>1247</v>
      </c>
      <c r="O405" s="2">
        <v>1247</v>
      </c>
      <c r="P405" s="2">
        <v>1247</v>
      </c>
      <c r="Q405" s="3">
        <v>1247</v>
      </c>
      <c r="R405" s="2">
        <v>497</v>
      </c>
      <c r="S405" s="2">
        <v>497</v>
      </c>
      <c r="T405" s="2">
        <v>497</v>
      </c>
      <c r="U405" s="3">
        <v>497</v>
      </c>
      <c r="V405" s="3"/>
    </row>
    <row r="406" spans="2:22" ht="21" hidden="1" x14ac:dyDescent="0.25">
      <c r="B406" s="4" t="s">
        <v>194</v>
      </c>
      <c r="C406" s="4" t="s">
        <v>195</v>
      </c>
      <c r="D406" s="4" t="s">
        <v>1008</v>
      </c>
      <c r="E406" s="4" t="s">
        <v>27</v>
      </c>
      <c r="F406" s="4" t="s">
        <v>915</v>
      </c>
      <c r="G406" s="4" t="s">
        <v>27</v>
      </c>
      <c r="H406" s="4">
        <v>70261</v>
      </c>
      <c r="I406" s="4">
        <v>70297</v>
      </c>
      <c r="J406" s="4" t="s">
        <v>28</v>
      </c>
      <c r="K406" s="4" t="s">
        <v>194</v>
      </c>
      <c r="L406" s="4" t="s">
        <v>29</v>
      </c>
      <c r="M406" s="4"/>
      <c r="N406" s="5">
        <v>1200</v>
      </c>
      <c r="O406" s="5">
        <v>1200</v>
      </c>
      <c r="P406" s="5">
        <v>1200</v>
      </c>
      <c r="Q406" s="5">
        <v>1200</v>
      </c>
      <c r="R406" s="5">
        <v>478</v>
      </c>
      <c r="S406" s="5">
        <v>478</v>
      </c>
      <c r="T406" s="5">
        <v>478</v>
      </c>
      <c r="U406" s="5">
        <v>478</v>
      </c>
      <c r="V406" s="5"/>
    </row>
    <row r="407" spans="2:22" ht="20" hidden="1" x14ac:dyDescent="0.25">
      <c r="B407" s="2" t="s">
        <v>194</v>
      </c>
      <c r="C407" s="2" t="s">
        <v>195</v>
      </c>
      <c r="D407" s="2" t="s">
        <v>1008</v>
      </c>
      <c r="E407" s="2" t="s">
        <v>27</v>
      </c>
      <c r="F407" s="2" t="s">
        <v>915</v>
      </c>
      <c r="G407" s="2" t="s">
        <v>27</v>
      </c>
      <c r="H407" s="2">
        <v>70261</v>
      </c>
      <c r="I407" s="2">
        <v>70297</v>
      </c>
      <c r="J407" s="2" t="s">
        <v>28</v>
      </c>
      <c r="K407" s="2" t="s">
        <v>196</v>
      </c>
      <c r="L407" s="2" t="s">
        <v>1315</v>
      </c>
      <c r="M407" s="2" t="s">
        <v>1009</v>
      </c>
      <c r="N407" s="3">
        <v>1200</v>
      </c>
      <c r="O407" s="3">
        <v>1200</v>
      </c>
      <c r="P407" s="3">
        <v>1200</v>
      </c>
      <c r="Q407" s="3">
        <v>1200</v>
      </c>
      <c r="R407" s="3">
        <v>478</v>
      </c>
      <c r="S407" s="3">
        <v>478</v>
      </c>
      <c r="T407" s="3">
        <v>478</v>
      </c>
      <c r="U407" s="3">
        <v>478</v>
      </c>
      <c r="V407" s="3"/>
    </row>
    <row r="408" spans="2:22" ht="20" hidden="1" x14ac:dyDescent="0.25">
      <c r="B408" s="2" t="s">
        <v>194</v>
      </c>
      <c r="C408" s="2" t="s">
        <v>195</v>
      </c>
      <c r="D408" s="2" t="s">
        <v>1008</v>
      </c>
      <c r="E408" s="2" t="s">
        <v>27</v>
      </c>
      <c r="F408" s="2" t="s">
        <v>915</v>
      </c>
      <c r="G408" s="2" t="s">
        <v>27</v>
      </c>
      <c r="H408" s="2">
        <v>70261</v>
      </c>
      <c r="I408" s="2">
        <v>70297</v>
      </c>
      <c r="J408" s="2" t="s">
        <v>28</v>
      </c>
      <c r="K408" s="2"/>
      <c r="L408" s="2" t="s">
        <v>301</v>
      </c>
      <c r="M408" s="2" t="s">
        <v>1010</v>
      </c>
      <c r="N408" s="3">
        <v>1200</v>
      </c>
      <c r="O408" s="3">
        <v>1200</v>
      </c>
      <c r="P408" s="2">
        <v>1325</v>
      </c>
      <c r="Q408" s="2">
        <v>1325</v>
      </c>
      <c r="R408" s="3">
        <v>478</v>
      </c>
      <c r="S408" s="3">
        <v>478</v>
      </c>
      <c r="T408" s="2">
        <v>528</v>
      </c>
      <c r="U408" s="2">
        <v>528</v>
      </c>
      <c r="V408" s="2"/>
    </row>
    <row r="409" spans="2:22" ht="21" hidden="1" x14ac:dyDescent="0.25">
      <c r="B409" s="4" t="s">
        <v>197</v>
      </c>
      <c r="C409" s="4" t="s">
        <v>195</v>
      </c>
      <c r="D409" s="4" t="s">
        <v>1008</v>
      </c>
      <c r="E409" s="4" t="s">
        <v>27</v>
      </c>
      <c r="F409" s="4" t="s">
        <v>211</v>
      </c>
      <c r="G409" s="4" t="s">
        <v>27</v>
      </c>
      <c r="H409" s="4">
        <v>70261</v>
      </c>
      <c r="I409" s="4">
        <v>70570</v>
      </c>
      <c r="J409" s="4" t="s">
        <v>28</v>
      </c>
      <c r="K409" s="4" t="s">
        <v>197</v>
      </c>
      <c r="L409" s="4" t="s">
        <v>29</v>
      </c>
      <c r="M409" s="4"/>
      <c r="N409" s="5">
        <v>1200</v>
      </c>
      <c r="O409" s="5">
        <v>1200</v>
      </c>
      <c r="P409" s="5">
        <v>1200</v>
      </c>
      <c r="Q409" s="5">
        <v>1200</v>
      </c>
      <c r="R409" s="5">
        <v>478</v>
      </c>
      <c r="S409" s="5">
        <v>478</v>
      </c>
      <c r="T409" s="5">
        <v>478</v>
      </c>
      <c r="U409" s="5">
        <v>478</v>
      </c>
      <c r="V409" s="5"/>
    </row>
    <row r="410" spans="2:22" ht="20" hidden="1" x14ac:dyDescent="0.25">
      <c r="B410" s="2" t="s">
        <v>197</v>
      </c>
      <c r="C410" s="2" t="s">
        <v>195</v>
      </c>
      <c r="D410" s="2" t="s">
        <v>1008</v>
      </c>
      <c r="E410" s="2" t="s">
        <v>27</v>
      </c>
      <c r="F410" s="2" t="s">
        <v>211</v>
      </c>
      <c r="G410" s="2" t="s">
        <v>27</v>
      </c>
      <c r="H410" s="2">
        <v>70261</v>
      </c>
      <c r="I410" s="2">
        <v>70570</v>
      </c>
      <c r="J410" s="2" t="s">
        <v>28</v>
      </c>
      <c r="K410" s="2" t="s">
        <v>198</v>
      </c>
      <c r="L410" s="2" t="s">
        <v>1315</v>
      </c>
      <c r="M410" s="2" t="s">
        <v>1009</v>
      </c>
      <c r="N410" s="3">
        <v>1200</v>
      </c>
      <c r="O410" s="3">
        <v>1200</v>
      </c>
      <c r="P410" s="3">
        <v>1200</v>
      </c>
      <c r="Q410" s="3">
        <v>1200</v>
      </c>
      <c r="R410" s="3">
        <v>478</v>
      </c>
      <c r="S410" s="3">
        <v>478</v>
      </c>
      <c r="T410" s="3">
        <v>478</v>
      </c>
      <c r="U410" s="3">
        <v>478</v>
      </c>
      <c r="V410" s="3"/>
    </row>
    <row r="411" spans="2:22" ht="20" hidden="1" x14ac:dyDescent="0.25">
      <c r="B411" s="2" t="s">
        <v>197</v>
      </c>
      <c r="C411" s="2" t="s">
        <v>195</v>
      </c>
      <c r="D411" s="2" t="s">
        <v>1008</v>
      </c>
      <c r="E411" s="2" t="s">
        <v>27</v>
      </c>
      <c r="F411" s="2" t="s">
        <v>211</v>
      </c>
      <c r="G411" s="2" t="s">
        <v>27</v>
      </c>
      <c r="H411" s="2">
        <v>70261</v>
      </c>
      <c r="I411" s="2">
        <v>70570</v>
      </c>
      <c r="J411" s="2" t="s">
        <v>28</v>
      </c>
      <c r="K411" s="2"/>
      <c r="L411" s="2" t="s">
        <v>301</v>
      </c>
      <c r="M411" s="2" t="s">
        <v>1011</v>
      </c>
      <c r="N411" s="3">
        <v>1200</v>
      </c>
      <c r="O411" s="3">
        <v>1200</v>
      </c>
      <c r="P411" s="2">
        <v>1248</v>
      </c>
      <c r="Q411" s="2">
        <v>1248</v>
      </c>
      <c r="R411" s="3">
        <v>478</v>
      </c>
      <c r="S411" s="3">
        <v>478</v>
      </c>
      <c r="T411" s="2">
        <v>497</v>
      </c>
      <c r="U411" s="2">
        <v>497</v>
      </c>
      <c r="V411" s="2"/>
    </row>
    <row r="412" spans="2:22" ht="21" hidden="1" x14ac:dyDescent="0.25">
      <c r="B412" s="4" t="s">
        <v>912</v>
      </c>
      <c r="C412" s="4" t="s">
        <v>913</v>
      </c>
      <c r="D412" s="4" t="s">
        <v>914</v>
      </c>
      <c r="E412" s="4" t="s">
        <v>27</v>
      </c>
      <c r="F412" s="4" t="s">
        <v>915</v>
      </c>
      <c r="G412" s="4" t="s">
        <v>27</v>
      </c>
      <c r="H412" s="4">
        <v>70213</v>
      </c>
      <c r="I412" s="4">
        <v>70297</v>
      </c>
      <c r="J412" s="4" t="s">
        <v>28</v>
      </c>
      <c r="K412" s="4" t="s">
        <v>912</v>
      </c>
      <c r="L412" s="4" t="s">
        <v>29</v>
      </c>
      <c r="M412" s="4"/>
      <c r="N412" s="5">
        <v>793</v>
      </c>
      <c r="O412" s="5">
        <v>872</v>
      </c>
      <c r="P412" s="5">
        <v>793</v>
      </c>
      <c r="Q412" s="5">
        <v>872</v>
      </c>
      <c r="R412" s="5">
        <v>316</v>
      </c>
      <c r="S412" s="5">
        <v>347</v>
      </c>
      <c r="T412" s="5">
        <v>316</v>
      </c>
      <c r="U412" s="5">
        <v>347</v>
      </c>
      <c r="V412" s="5"/>
    </row>
    <row r="413" spans="2:22" ht="20" hidden="1" x14ac:dyDescent="0.25">
      <c r="B413" s="2" t="s">
        <v>912</v>
      </c>
      <c r="C413" s="2" t="s">
        <v>913</v>
      </c>
      <c r="D413" s="2" t="s">
        <v>914</v>
      </c>
      <c r="E413" s="2" t="s">
        <v>27</v>
      </c>
      <c r="F413" s="2" t="s">
        <v>915</v>
      </c>
      <c r="G413" s="2" t="s">
        <v>27</v>
      </c>
      <c r="H413" s="2">
        <v>70213</v>
      </c>
      <c r="I413" s="2">
        <v>70297</v>
      </c>
      <c r="J413" s="2" t="s">
        <v>28</v>
      </c>
      <c r="K413" s="2" t="s">
        <v>912</v>
      </c>
      <c r="L413" s="2" t="s">
        <v>30</v>
      </c>
      <c r="M413" s="2" t="s">
        <v>913</v>
      </c>
      <c r="N413" s="3">
        <v>793</v>
      </c>
      <c r="O413" s="3">
        <v>872</v>
      </c>
      <c r="P413" s="3">
        <v>793</v>
      </c>
      <c r="Q413" s="3">
        <v>872</v>
      </c>
      <c r="R413" s="3">
        <v>316</v>
      </c>
      <c r="S413" s="3">
        <v>347</v>
      </c>
      <c r="T413" s="3">
        <v>316</v>
      </c>
      <c r="U413" s="3">
        <v>347</v>
      </c>
      <c r="V413" s="3"/>
    </row>
    <row r="414" spans="2:22" ht="21" hidden="1" x14ac:dyDescent="0.25">
      <c r="B414" s="4" t="s">
        <v>1084</v>
      </c>
      <c r="C414" s="4" t="s">
        <v>1085</v>
      </c>
      <c r="D414" s="4" t="s">
        <v>915</v>
      </c>
      <c r="E414" s="4" t="s">
        <v>27</v>
      </c>
      <c r="F414" s="4" t="s">
        <v>806</v>
      </c>
      <c r="G414" s="4" t="s">
        <v>27</v>
      </c>
      <c r="H414" s="4">
        <v>70297</v>
      </c>
      <c r="I414" s="4">
        <v>70544</v>
      </c>
      <c r="J414" s="4" t="s">
        <v>28</v>
      </c>
      <c r="K414" s="4" t="s">
        <v>1084</v>
      </c>
      <c r="L414" s="4" t="s">
        <v>29</v>
      </c>
      <c r="M414" s="4"/>
      <c r="N414" s="5">
        <v>1219</v>
      </c>
      <c r="O414" s="5">
        <v>1341</v>
      </c>
      <c r="P414" s="5">
        <v>1456</v>
      </c>
      <c r="Q414" s="5">
        <v>1602</v>
      </c>
      <c r="R414" s="5">
        <v>486</v>
      </c>
      <c r="S414" s="5">
        <v>534</v>
      </c>
      <c r="T414" s="5">
        <v>580</v>
      </c>
      <c r="U414" s="5">
        <v>638</v>
      </c>
      <c r="V414" s="5"/>
    </row>
    <row r="415" spans="2:22" ht="20" hidden="1" x14ac:dyDescent="0.25">
      <c r="B415" s="2" t="s">
        <v>1084</v>
      </c>
      <c r="C415" s="2" t="s">
        <v>1085</v>
      </c>
      <c r="D415" s="2" t="s">
        <v>915</v>
      </c>
      <c r="E415" s="2" t="s">
        <v>27</v>
      </c>
      <c r="F415" s="2" t="s">
        <v>806</v>
      </c>
      <c r="G415" s="2" t="s">
        <v>27</v>
      </c>
      <c r="H415" s="2">
        <v>70297</v>
      </c>
      <c r="I415" s="2">
        <v>70544</v>
      </c>
      <c r="J415" s="2" t="s">
        <v>28</v>
      </c>
      <c r="K415" s="2" t="s">
        <v>388</v>
      </c>
      <c r="L415" s="2" t="s">
        <v>31</v>
      </c>
      <c r="M415" s="2" t="s">
        <v>1010</v>
      </c>
      <c r="N415" s="3">
        <v>1219</v>
      </c>
      <c r="O415" s="3">
        <v>1341</v>
      </c>
      <c r="P415" s="3">
        <v>1456</v>
      </c>
      <c r="Q415" s="3">
        <v>1602</v>
      </c>
      <c r="R415" s="3">
        <v>486</v>
      </c>
      <c r="S415" s="3">
        <v>534</v>
      </c>
      <c r="T415" s="3">
        <v>580</v>
      </c>
      <c r="U415" s="3">
        <v>638</v>
      </c>
      <c r="V415" s="3"/>
    </row>
    <row r="416" spans="2:22" ht="21" hidden="1" x14ac:dyDescent="0.25">
      <c r="B416" s="4" t="s">
        <v>916</v>
      </c>
      <c r="C416" s="4" t="s">
        <v>917</v>
      </c>
      <c r="D416" s="4" t="s">
        <v>914</v>
      </c>
      <c r="E416" s="4" t="s">
        <v>27</v>
      </c>
      <c r="F416" s="4" t="s">
        <v>915</v>
      </c>
      <c r="G416" s="4" t="s">
        <v>27</v>
      </c>
      <c r="H416" s="4">
        <v>70213</v>
      </c>
      <c r="I416" s="4">
        <v>70297</v>
      </c>
      <c r="J416" s="4" t="s">
        <v>28</v>
      </c>
      <c r="K416" s="4" t="s">
        <v>916</v>
      </c>
      <c r="L416" s="4" t="s">
        <v>29</v>
      </c>
      <c r="M416" s="4"/>
      <c r="N416" s="5">
        <v>720</v>
      </c>
      <c r="O416" s="5">
        <v>792</v>
      </c>
      <c r="P416" s="5">
        <v>720</v>
      </c>
      <c r="Q416" s="5">
        <v>792</v>
      </c>
      <c r="R416" s="5">
        <v>287</v>
      </c>
      <c r="S416" s="5">
        <v>316</v>
      </c>
      <c r="T416" s="5">
        <v>287</v>
      </c>
      <c r="U416" s="5">
        <v>316</v>
      </c>
      <c r="V416" s="5"/>
    </row>
    <row r="417" spans="2:22" ht="20" hidden="1" x14ac:dyDescent="0.25">
      <c r="B417" s="2" t="s">
        <v>916</v>
      </c>
      <c r="C417" s="2" t="s">
        <v>917</v>
      </c>
      <c r="D417" s="2" t="s">
        <v>914</v>
      </c>
      <c r="E417" s="2" t="s">
        <v>27</v>
      </c>
      <c r="F417" s="2" t="s">
        <v>915</v>
      </c>
      <c r="G417" s="2" t="s">
        <v>27</v>
      </c>
      <c r="H417" s="2">
        <v>70213</v>
      </c>
      <c r="I417" s="2">
        <v>70297</v>
      </c>
      <c r="J417" s="2" t="s">
        <v>28</v>
      </c>
      <c r="K417" s="2" t="s">
        <v>916</v>
      </c>
      <c r="L417" s="2" t="s">
        <v>30</v>
      </c>
      <c r="M417" s="2" t="s">
        <v>917</v>
      </c>
      <c r="N417" s="3">
        <v>720</v>
      </c>
      <c r="O417" s="3">
        <v>792</v>
      </c>
      <c r="P417" s="3">
        <v>720</v>
      </c>
      <c r="Q417" s="3">
        <v>792</v>
      </c>
      <c r="R417" s="3">
        <v>287</v>
      </c>
      <c r="S417" s="3">
        <v>316</v>
      </c>
      <c r="T417" s="3">
        <v>287</v>
      </c>
      <c r="U417" s="3">
        <v>316</v>
      </c>
      <c r="V417" s="3"/>
    </row>
    <row r="418" spans="2:22" ht="21" hidden="1" x14ac:dyDescent="0.25">
      <c r="B418" s="4" t="s">
        <v>1067</v>
      </c>
      <c r="C418" s="4" t="s">
        <v>1068</v>
      </c>
      <c r="D418" s="4" t="s">
        <v>867</v>
      </c>
      <c r="E418" s="4" t="s">
        <v>27</v>
      </c>
      <c r="F418" s="4" t="s">
        <v>548</v>
      </c>
      <c r="G418" s="4" t="s">
        <v>27</v>
      </c>
      <c r="H418" s="4">
        <v>70212</v>
      </c>
      <c r="I418" s="4">
        <v>70481</v>
      </c>
      <c r="J418" s="4" t="s">
        <v>28</v>
      </c>
      <c r="K418" s="4" t="s">
        <v>1067</v>
      </c>
      <c r="L418" s="4" t="s">
        <v>29</v>
      </c>
      <c r="M418" s="4"/>
      <c r="N418" s="5">
        <v>1017</v>
      </c>
      <c r="O418" s="5">
        <v>1180</v>
      </c>
      <c r="P418" s="5">
        <v>1180</v>
      </c>
      <c r="Q418" s="5">
        <v>1180</v>
      </c>
      <c r="R418" s="5">
        <v>405</v>
      </c>
      <c r="S418" s="5">
        <v>470</v>
      </c>
      <c r="T418" s="5">
        <v>470</v>
      </c>
      <c r="U418" s="5">
        <v>470</v>
      </c>
      <c r="V418" s="5"/>
    </row>
    <row r="419" spans="2:22" ht="20" hidden="1" x14ac:dyDescent="0.25">
      <c r="B419" s="2" t="s">
        <v>1067</v>
      </c>
      <c r="C419" s="2" t="s">
        <v>1068</v>
      </c>
      <c r="D419" s="2" t="s">
        <v>867</v>
      </c>
      <c r="E419" s="2" t="s">
        <v>27</v>
      </c>
      <c r="F419" s="2" t="s">
        <v>548</v>
      </c>
      <c r="G419" s="2" t="s">
        <v>27</v>
      </c>
      <c r="H419" s="2">
        <v>70212</v>
      </c>
      <c r="I419" s="2">
        <v>70481</v>
      </c>
      <c r="J419" s="2" t="s">
        <v>28</v>
      </c>
      <c r="K419" s="2" t="s">
        <v>388</v>
      </c>
      <c r="L419" s="2" t="s">
        <v>31</v>
      </c>
      <c r="M419" s="2" t="s">
        <v>868</v>
      </c>
      <c r="N419" s="3">
        <v>1017</v>
      </c>
      <c r="O419" s="2">
        <v>1208</v>
      </c>
      <c r="P419" s="2">
        <v>1228</v>
      </c>
      <c r="Q419" s="2">
        <v>1383</v>
      </c>
      <c r="R419" s="3">
        <v>405</v>
      </c>
      <c r="S419" s="2">
        <v>481</v>
      </c>
      <c r="T419" s="2">
        <v>489</v>
      </c>
      <c r="U419" s="2">
        <v>551</v>
      </c>
      <c r="V419" s="2"/>
    </row>
    <row r="420" spans="2:22" ht="20" hidden="1" x14ac:dyDescent="0.25">
      <c r="B420" s="2" t="s">
        <v>1067</v>
      </c>
      <c r="C420" s="2" t="s">
        <v>1068</v>
      </c>
      <c r="D420" s="2" t="s">
        <v>867</v>
      </c>
      <c r="E420" s="2" t="s">
        <v>27</v>
      </c>
      <c r="F420" s="2" t="s">
        <v>548</v>
      </c>
      <c r="G420" s="2" t="s">
        <v>27</v>
      </c>
      <c r="H420" s="2">
        <v>70212</v>
      </c>
      <c r="I420" s="2">
        <v>70481</v>
      </c>
      <c r="J420" s="2" t="s">
        <v>28</v>
      </c>
      <c r="K420" s="2" t="s">
        <v>1067</v>
      </c>
      <c r="L420" s="2" t="s">
        <v>30</v>
      </c>
      <c r="M420" s="2" t="s">
        <v>1068</v>
      </c>
      <c r="N420" s="2">
        <v>1180</v>
      </c>
      <c r="O420" s="3">
        <v>1180</v>
      </c>
      <c r="P420" s="3">
        <v>1180</v>
      </c>
      <c r="Q420" s="3">
        <v>1180</v>
      </c>
      <c r="R420" s="2">
        <v>470</v>
      </c>
      <c r="S420" s="3">
        <v>470</v>
      </c>
      <c r="T420" s="3">
        <v>470</v>
      </c>
      <c r="U420" s="3">
        <v>470</v>
      </c>
      <c r="V420" s="3"/>
    </row>
    <row r="421" spans="2:22" ht="21" hidden="1" x14ac:dyDescent="0.25">
      <c r="B421" s="4" t="s">
        <v>1070</v>
      </c>
      <c r="C421" s="4" t="s">
        <v>1068</v>
      </c>
      <c r="D421" s="4" t="s">
        <v>867</v>
      </c>
      <c r="E421" s="4" t="s">
        <v>27</v>
      </c>
      <c r="F421" s="4" t="s">
        <v>1071</v>
      </c>
      <c r="G421" s="4" t="s">
        <v>27</v>
      </c>
      <c r="H421" s="4">
        <v>70212</v>
      </c>
      <c r="I421" s="4">
        <v>70428</v>
      </c>
      <c r="J421" s="4" t="s">
        <v>28</v>
      </c>
      <c r="K421" s="4" t="s">
        <v>1070</v>
      </c>
      <c r="L421" s="4" t="s">
        <v>29</v>
      </c>
      <c r="M421" s="4"/>
      <c r="N421" s="5">
        <v>1017</v>
      </c>
      <c r="O421" s="5">
        <v>1208</v>
      </c>
      <c r="P421" s="5">
        <v>1180</v>
      </c>
      <c r="Q421" s="5">
        <v>1298</v>
      </c>
      <c r="R421" s="5">
        <v>405</v>
      </c>
      <c r="S421" s="5">
        <v>481</v>
      </c>
      <c r="T421" s="5">
        <v>470</v>
      </c>
      <c r="U421" s="5">
        <v>517</v>
      </c>
      <c r="V421" s="5"/>
    </row>
    <row r="422" spans="2:22" ht="20" hidden="1" x14ac:dyDescent="0.25">
      <c r="B422" s="2" t="s">
        <v>1070</v>
      </c>
      <c r="C422" s="2" t="s">
        <v>1068</v>
      </c>
      <c r="D422" s="2" t="s">
        <v>867</v>
      </c>
      <c r="E422" s="2" t="s">
        <v>27</v>
      </c>
      <c r="F422" s="2" t="s">
        <v>1071</v>
      </c>
      <c r="G422" s="2" t="s">
        <v>27</v>
      </c>
      <c r="H422" s="2">
        <v>70212</v>
      </c>
      <c r="I422" s="2">
        <v>70428</v>
      </c>
      <c r="J422" s="2" t="s">
        <v>28</v>
      </c>
      <c r="K422" s="2" t="s">
        <v>388</v>
      </c>
      <c r="L422" s="2" t="s">
        <v>31</v>
      </c>
      <c r="M422" s="2" t="s">
        <v>868</v>
      </c>
      <c r="N422" s="3">
        <v>1017</v>
      </c>
      <c r="O422" s="3">
        <v>1208</v>
      </c>
      <c r="P422" s="2">
        <v>1228</v>
      </c>
      <c r="Q422" s="2">
        <v>1383</v>
      </c>
      <c r="R422" s="3">
        <v>405</v>
      </c>
      <c r="S422" s="3">
        <v>481</v>
      </c>
      <c r="T422" s="2">
        <v>489</v>
      </c>
      <c r="U422" s="2">
        <v>551</v>
      </c>
      <c r="V422" s="2"/>
    </row>
    <row r="423" spans="2:22" ht="20" hidden="1" x14ac:dyDescent="0.25">
      <c r="B423" s="2" t="s">
        <v>1070</v>
      </c>
      <c r="C423" s="2" t="s">
        <v>1068</v>
      </c>
      <c r="D423" s="2" t="s">
        <v>867</v>
      </c>
      <c r="E423" s="2" t="s">
        <v>27</v>
      </c>
      <c r="F423" s="2" t="s">
        <v>1071</v>
      </c>
      <c r="G423" s="2" t="s">
        <v>27</v>
      </c>
      <c r="H423" s="2">
        <v>70212</v>
      </c>
      <c r="I423" s="2">
        <v>70428</v>
      </c>
      <c r="J423" s="2" t="s">
        <v>28</v>
      </c>
      <c r="K423" s="2" t="s">
        <v>1070</v>
      </c>
      <c r="L423" s="2" t="s">
        <v>30</v>
      </c>
      <c r="M423" s="2" t="s">
        <v>1068</v>
      </c>
      <c r="N423" s="2">
        <v>1180</v>
      </c>
      <c r="O423" s="2">
        <v>1298</v>
      </c>
      <c r="P423" s="3">
        <v>1180</v>
      </c>
      <c r="Q423" s="3">
        <v>1298</v>
      </c>
      <c r="R423" s="2">
        <v>470</v>
      </c>
      <c r="S423" s="2">
        <v>517</v>
      </c>
      <c r="T423" s="3">
        <v>470</v>
      </c>
      <c r="U423" s="3">
        <v>517</v>
      </c>
      <c r="V423" s="3"/>
    </row>
    <row r="424" spans="2:22" ht="21" hidden="1" x14ac:dyDescent="0.25">
      <c r="B424" s="4" t="s">
        <v>1260</v>
      </c>
      <c r="C424" s="4" t="s">
        <v>1068</v>
      </c>
      <c r="D424" s="4" t="s">
        <v>1006</v>
      </c>
      <c r="E424" s="4" t="s">
        <v>27</v>
      </c>
      <c r="F424" s="4" t="s">
        <v>1071</v>
      </c>
      <c r="G424" s="4" t="s">
        <v>27</v>
      </c>
      <c r="H424" s="4">
        <v>70417</v>
      </c>
      <c r="I424" s="4">
        <v>70428</v>
      </c>
      <c r="J424" s="4" t="s">
        <v>28</v>
      </c>
      <c r="K424" s="4" t="s">
        <v>1260</v>
      </c>
      <c r="L424" s="4" t="s">
        <v>29</v>
      </c>
      <c r="M424" s="4"/>
      <c r="N424" s="5">
        <v>1134</v>
      </c>
      <c r="O424" s="5">
        <v>1134</v>
      </c>
      <c r="P424" s="5">
        <v>1334</v>
      </c>
      <c r="Q424" s="5">
        <v>1334</v>
      </c>
      <c r="R424" s="5">
        <v>452</v>
      </c>
      <c r="S424" s="5">
        <v>452</v>
      </c>
      <c r="T424" s="5">
        <v>531</v>
      </c>
      <c r="U424" s="5">
        <v>531</v>
      </c>
      <c r="V424" s="5"/>
    </row>
    <row r="425" spans="2:22" ht="20" hidden="1" x14ac:dyDescent="0.25">
      <c r="B425" s="2" t="s">
        <v>1260</v>
      </c>
      <c r="C425" s="2" t="s">
        <v>1068</v>
      </c>
      <c r="D425" s="2" t="s">
        <v>1006</v>
      </c>
      <c r="E425" s="2" t="s">
        <v>27</v>
      </c>
      <c r="F425" s="2" t="s">
        <v>1071</v>
      </c>
      <c r="G425" s="2" t="s">
        <v>27</v>
      </c>
      <c r="H425" s="2">
        <v>70417</v>
      </c>
      <c r="I425" s="2">
        <v>70428</v>
      </c>
      <c r="J425" s="2" t="s">
        <v>28</v>
      </c>
      <c r="K425" s="2" t="s">
        <v>1260</v>
      </c>
      <c r="L425" s="2" t="s">
        <v>30</v>
      </c>
      <c r="M425" s="2" t="s">
        <v>1068</v>
      </c>
      <c r="N425" s="3">
        <v>1134</v>
      </c>
      <c r="O425" s="3">
        <v>1134</v>
      </c>
      <c r="P425" s="3">
        <v>1334</v>
      </c>
      <c r="Q425" s="3">
        <v>1334</v>
      </c>
      <c r="R425" s="3">
        <v>452</v>
      </c>
      <c r="S425" s="3">
        <v>452</v>
      </c>
      <c r="T425" s="3">
        <v>531</v>
      </c>
      <c r="U425" s="3">
        <v>531</v>
      </c>
      <c r="V425" s="3"/>
    </row>
    <row r="426" spans="2:22" ht="21" hidden="1" x14ac:dyDescent="0.25">
      <c r="B426" s="4" t="s">
        <v>199</v>
      </c>
      <c r="C426" s="4" t="s">
        <v>200</v>
      </c>
      <c r="D426" s="4" t="s">
        <v>616</v>
      </c>
      <c r="E426" s="4" t="s">
        <v>27</v>
      </c>
      <c r="F426" s="4" t="s">
        <v>643</v>
      </c>
      <c r="G426" s="4" t="s">
        <v>27</v>
      </c>
      <c r="H426" s="4">
        <v>70139</v>
      </c>
      <c r="I426" s="4">
        <v>70331</v>
      </c>
      <c r="J426" s="4" t="s">
        <v>28</v>
      </c>
      <c r="K426" s="4" t="s">
        <v>199</v>
      </c>
      <c r="L426" s="4" t="s">
        <v>29</v>
      </c>
      <c r="M426" s="4"/>
      <c r="N426" s="5">
        <v>1409</v>
      </c>
      <c r="O426" s="5">
        <v>1550</v>
      </c>
      <c r="P426" s="5">
        <v>1600</v>
      </c>
      <c r="Q426" s="5">
        <v>1600</v>
      </c>
      <c r="R426" s="5">
        <v>561</v>
      </c>
      <c r="S426" s="5">
        <v>618</v>
      </c>
      <c r="T426" s="5">
        <v>637</v>
      </c>
      <c r="U426" s="5">
        <v>637</v>
      </c>
      <c r="V426" s="5"/>
    </row>
    <row r="427" spans="2:22" ht="20" hidden="1" x14ac:dyDescent="0.25">
      <c r="B427" s="2" t="s">
        <v>199</v>
      </c>
      <c r="C427" s="2" t="s">
        <v>200</v>
      </c>
      <c r="D427" s="2" t="s">
        <v>616</v>
      </c>
      <c r="E427" s="2" t="s">
        <v>27</v>
      </c>
      <c r="F427" s="2" t="s">
        <v>643</v>
      </c>
      <c r="G427" s="2" t="s">
        <v>27</v>
      </c>
      <c r="H427" s="2">
        <v>70139</v>
      </c>
      <c r="I427" s="2">
        <v>70331</v>
      </c>
      <c r="J427" s="2" t="s">
        <v>28</v>
      </c>
      <c r="K427" s="2" t="s">
        <v>388</v>
      </c>
      <c r="L427" s="2" t="s">
        <v>31</v>
      </c>
      <c r="M427" s="2" t="s">
        <v>617</v>
      </c>
      <c r="N427" s="3">
        <v>1409</v>
      </c>
      <c r="O427" s="3">
        <v>1550</v>
      </c>
      <c r="P427" s="2">
        <v>1607</v>
      </c>
      <c r="Q427" s="2">
        <v>1768</v>
      </c>
      <c r="R427" s="3">
        <v>561</v>
      </c>
      <c r="S427" s="3">
        <v>618</v>
      </c>
      <c r="T427" s="2">
        <v>640</v>
      </c>
      <c r="U427" s="2">
        <v>704</v>
      </c>
      <c r="V427" s="2"/>
    </row>
    <row r="428" spans="2:22" ht="20" hidden="1" x14ac:dyDescent="0.25">
      <c r="B428" s="2" t="s">
        <v>199</v>
      </c>
      <c r="C428" s="2" t="s">
        <v>200</v>
      </c>
      <c r="D428" s="2" t="s">
        <v>616</v>
      </c>
      <c r="E428" s="2" t="s">
        <v>27</v>
      </c>
      <c r="F428" s="2" t="s">
        <v>643</v>
      </c>
      <c r="G428" s="2" t="s">
        <v>27</v>
      </c>
      <c r="H428" s="2">
        <v>70139</v>
      </c>
      <c r="I428" s="2">
        <v>70331</v>
      </c>
      <c r="J428" s="2" t="s">
        <v>28</v>
      </c>
      <c r="K428" s="2" t="s">
        <v>201</v>
      </c>
      <c r="L428" s="2" t="s">
        <v>1315</v>
      </c>
      <c r="M428" s="2" t="s">
        <v>644</v>
      </c>
      <c r="N428" s="2">
        <v>1600</v>
      </c>
      <c r="O428" s="2">
        <v>1600</v>
      </c>
      <c r="P428" s="3">
        <v>1600</v>
      </c>
      <c r="Q428" s="3">
        <v>1600</v>
      </c>
      <c r="R428" s="2">
        <v>637</v>
      </c>
      <c r="S428" s="2">
        <v>637</v>
      </c>
      <c r="T428" s="3">
        <v>637</v>
      </c>
      <c r="U428" s="3">
        <v>637</v>
      </c>
      <c r="V428" s="3"/>
    </row>
    <row r="429" spans="2:22" ht="21" hidden="1" x14ac:dyDescent="0.25">
      <c r="B429" s="4" t="s">
        <v>869</v>
      </c>
      <c r="C429" s="4" t="s">
        <v>200</v>
      </c>
      <c r="D429" s="4" t="s">
        <v>548</v>
      </c>
      <c r="E429" s="4" t="s">
        <v>27</v>
      </c>
      <c r="F429" s="4" t="s">
        <v>643</v>
      </c>
      <c r="G429" s="4" t="s">
        <v>27</v>
      </c>
      <c r="H429" s="4">
        <v>70481</v>
      </c>
      <c r="I429" s="4">
        <v>70323</v>
      </c>
      <c r="J429" s="4" t="s">
        <v>28</v>
      </c>
      <c r="K429" s="4" t="s">
        <v>869</v>
      </c>
      <c r="L429" s="4" t="s">
        <v>29</v>
      </c>
      <c r="M429" s="4"/>
      <c r="N429" s="5">
        <v>1200</v>
      </c>
      <c r="O429" s="5">
        <v>1200</v>
      </c>
      <c r="P429" s="5">
        <v>1248</v>
      </c>
      <c r="Q429" s="5">
        <v>1248</v>
      </c>
      <c r="R429" s="5">
        <v>478</v>
      </c>
      <c r="S429" s="5">
        <v>478</v>
      </c>
      <c r="T429" s="5">
        <v>497</v>
      </c>
      <c r="U429" s="5">
        <v>497</v>
      </c>
      <c r="V429" s="5"/>
    </row>
    <row r="430" spans="2:22" ht="20" hidden="1" x14ac:dyDescent="0.25">
      <c r="B430" s="2" t="s">
        <v>869</v>
      </c>
      <c r="C430" s="2" t="s">
        <v>200</v>
      </c>
      <c r="D430" s="2" t="s">
        <v>548</v>
      </c>
      <c r="E430" s="2" t="s">
        <v>27</v>
      </c>
      <c r="F430" s="2" t="s">
        <v>643</v>
      </c>
      <c r="G430" s="2" t="s">
        <v>27</v>
      </c>
      <c r="H430" s="2">
        <v>70481</v>
      </c>
      <c r="I430" s="2">
        <v>70323</v>
      </c>
      <c r="J430" s="2" t="s">
        <v>28</v>
      </c>
      <c r="K430" s="2"/>
      <c r="L430" s="2" t="s">
        <v>301</v>
      </c>
      <c r="M430" s="2" t="s">
        <v>870</v>
      </c>
      <c r="N430" s="3">
        <v>1200</v>
      </c>
      <c r="O430" s="3">
        <v>1200</v>
      </c>
      <c r="P430" s="3">
        <v>1248</v>
      </c>
      <c r="Q430" s="3">
        <v>1248</v>
      </c>
      <c r="R430" s="3">
        <v>478</v>
      </c>
      <c r="S430" s="3">
        <v>478</v>
      </c>
      <c r="T430" s="3">
        <v>497</v>
      </c>
      <c r="U430" s="3">
        <v>497</v>
      </c>
      <c r="V430" s="3"/>
    </row>
    <row r="431" spans="2:22" ht="21" hidden="1" x14ac:dyDescent="0.25">
      <c r="B431" s="4" t="s">
        <v>865</v>
      </c>
      <c r="C431" s="4" t="s">
        <v>866</v>
      </c>
      <c r="D431" s="4" t="s">
        <v>548</v>
      </c>
      <c r="E431" s="4" t="s">
        <v>27</v>
      </c>
      <c r="F431" s="4" t="s">
        <v>867</v>
      </c>
      <c r="G431" s="4" t="s">
        <v>27</v>
      </c>
      <c r="H431" s="4">
        <v>70481</v>
      </c>
      <c r="I431" s="4">
        <v>70212</v>
      </c>
      <c r="J431" s="4" t="s">
        <v>28</v>
      </c>
      <c r="K431" s="4" t="s">
        <v>865</v>
      </c>
      <c r="L431" s="4" t="s">
        <v>29</v>
      </c>
      <c r="M431" s="4"/>
      <c r="N431" s="5">
        <v>1017</v>
      </c>
      <c r="O431" s="5">
        <v>1208</v>
      </c>
      <c r="P431" s="5">
        <v>1228</v>
      </c>
      <c r="Q431" s="5">
        <v>1383</v>
      </c>
      <c r="R431" s="5">
        <v>405</v>
      </c>
      <c r="S431" s="5">
        <v>481</v>
      </c>
      <c r="T431" s="5">
        <v>489</v>
      </c>
      <c r="U431" s="5">
        <v>551</v>
      </c>
      <c r="V431" s="5"/>
    </row>
    <row r="432" spans="2:22" ht="20" hidden="1" x14ac:dyDescent="0.25">
      <c r="B432" s="2" t="s">
        <v>865</v>
      </c>
      <c r="C432" s="2" t="s">
        <v>866</v>
      </c>
      <c r="D432" s="2" t="s">
        <v>548</v>
      </c>
      <c r="E432" s="2" t="s">
        <v>27</v>
      </c>
      <c r="F432" s="2" t="s">
        <v>867</v>
      </c>
      <c r="G432" s="2" t="s">
        <v>27</v>
      </c>
      <c r="H432" s="2">
        <v>70481</v>
      </c>
      <c r="I432" s="2">
        <v>70212</v>
      </c>
      <c r="J432" s="2" t="s">
        <v>28</v>
      </c>
      <c r="K432" s="2" t="s">
        <v>388</v>
      </c>
      <c r="L432" s="2" t="s">
        <v>31</v>
      </c>
      <c r="M432" s="2" t="s">
        <v>868</v>
      </c>
      <c r="N432" s="3">
        <v>1017</v>
      </c>
      <c r="O432" s="3">
        <v>1208</v>
      </c>
      <c r="P432" s="3">
        <v>1228</v>
      </c>
      <c r="Q432" s="3">
        <v>1383</v>
      </c>
      <c r="R432" s="3">
        <v>405</v>
      </c>
      <c r="S432" s="3">
        <v>481</v>
      </c>
      <c r="T432" s="3">
        <v>489</v>
      </c>
      <c r="U432" s="3">
        <v>551</v>
      </c>
      <c r="V432" s="3"/>
    </row>
    <row r="433" spans="2:22" ht="21" hidden="1" x14ac:dyDescent="0.25">
      <c r="B433" s="4" t="s">
        <v>1069</v>
      </c>
      <c r="C433" s="4" t="s">
        <v>866</v>
      </c>
      <c r="D433" s="4" t="s">
        <v>867</v>
      </c>
      <c r="E433" s="4" t="s">
        <v>27</v>
      </c>
      <c r="F433" s="4" t="s">
        <v>1006</v>
      </c>
      <c r="G433" s="4" t="s">
        <v>27</v>
      </c>
      <c r="H433" s="4">
        <v>70212</v>
      </c>
      <c r="I433" s="4">
        <v>70417</v>
      </c>
      <c r="J433" s="4" t="s">
        <v>28</v>
      </c>
      <c r="K433" s="4" t="s">
        <v>1069</v>
      </c>
      <c r="L433" s="4" t="s">
        <v>29</v>
      </c>
      <c r="M433" s="4"/>
      <c r="N433" s="5">
        <v>995</v>
      </c>
      <c r="O433" s="5">
        <v>1095</v>
      </c>
      <c r="P433" s="5">
        <v>1180</v>
      </c>
      <c r="Q433" s="5">
        <v>1298</v>
      </c>
      <c r="R433" s="5">
        <v>396</v>
      </c>
      <c r="S433" s="5">
        <v>436</v>
      </c>
      <c r="T433" s="5">
        <v>470</v>
      </c>
      <c r="U433" s="5">
        <v>517</v>
      </c>
      <c r="V433" s="5"/>
    </row>
    <row r="434" spans="2:22" ht="20" hidden="1" x14ac:dyDescent="0.25">
      <c r="B434" s="2" t="s">
        <v>1069</v>
      </c>
      <c r="C434" s="2" t="s">
        <v>866</v>
      </c>
      <c r="D434" s="2" t="s">
        <v>867</v>
      </c>
      <c r="E434" s="2" t="s">
        <v>27</v>
      </c>
      <c r="F434" s="2" t="s">
        <v>1006</v>
      </c>
      <c r="G434" s="2" t="s">
        <v>27</v>
      </c>
      <c r="H434" s="2">
        <v>70212</v>
      </c>
      <c r="I434" s="2">
        <v>70417</v>
      </c>
      <c r="J434" s="2" t="s">
        <v>28</v>
      </c>
      <c r="K434" s="2" t="s">
        <v>1069</v>
      </c>
      <c r="L434" s="2" t="s">
        <v>30</v>
      </c>
      <c r="M434" s="2" t="s">
        <v>866</v>
      </c>
      <c r="N434" s="3">
        <v>995</v>
      </c>
      <c r="O434" s="3">
        <v>1095</v>
      </c>
      <c r="P434" s="3">
        <v>1180</v>
      </c>
      <c r="Q434" s="3">
        <v>1298</v>
      </c>
      <c r="R434" s="3">
        <v>396</v>
      </c>
      <c r="S434" s="3">
        <v>436</v>
      </c>
      <c r="T434" s="3">
        <v>470</v>
      </c>
      <c r="U434" s="3">
        <v>517</v>
      </c>
      <c r="V434" s="3"/>
    </row>
    <row r="435" spans="2:22" ht="21" hidden="1" x14ac:dyDescent="0.25">
      <c r="B435" s="4" t="s">
        <v>1217</v>
      </c>
      <c r="C435" s="4" t="s">
        <v>1218</v>
      </c>
      <c r="D435" s="4" t="s">
        <v>904</v>
      </c>
      <c r="E435" s="4" t="s">
        <v>27</v>
      </c>
      <c r="F435" s="4" t="s">
        <v>908</v>
      </c>
      <c r="G435" s="4" t="s">
        <v>27</v>
      </c>
      <c r="H435" s="4">
        <v>70392</v>
      </c>
      <c r="I435" s="4">
        <v>70528</v>
      </c>
      <c r="J435" s="4" t="s">
        <v>28</v>
      </c>
      <c r="K435" s="4" t="s">
        <v>1217</v>
      </c>
      <c r="L435" s="4" t="s">
        <v>29</v>
      </c>
      <c r="M435" s="4"/>
      <c r="N435" s="5">
        <v>1215</v>
      </c>
      <c r="O435" s="5">
        <v>1393</v>
      </c>
      <c r="P435" s="5">
        <v>1443</v>
      </c>
      <c r="Q435" s="5">
        <v>1587</v>
      </c>
      <c r="R435" s="5">
        <v>484</v>
      </c>
      <c r="S435" s="5">
        <v>555</v>
      </c>
      <c r="T435" s="5">
        <v>575</v>
      </c>
      <c r="U435" s="5">
        <v>632</v>
      </c>
      <c r="V435" s="5"/>
    </row>
    <row r="436" spans="2:22" ht="20" hidden="1" x14ac:dyDescent="0.25">
      <c r="B436" s="2" t="s">
        <v>1217</v>
      </c>
      <c r="C436" s="2" t="s">
        <v>1218</v>
      </c>
      <c r="D436" s="2" t="s">
        <v>904</v>
      </c>
      <c r="E436" s="2" t="s">
        <v>27</v>
      </c>
      <c r="F436" s="2" t="s">
        <v>908</v>
      </c>
      <c r="G436" s="2" t="s">
        <v>27</v>
      </c>
      <c r="H436" s="2">
        <v>70392</v>
      </c>
      <c r="I436" s="2">
        <v>70528</v>
      </c>
      <c r="J436" s="2" t="s">
        <v>28</v>
      </c>
      <c r="K436" s="2" t="s">
        <v>388</v>
      </c>
      <c r="L436" s="2" t="s">
        <v>31</v>
      </c>
      <c r="M436" s="2" t="s">
        <v>905</v>
      </c>
      <c r="N436" s="3">
        <v>1215</v>
      </c>
      <c r="O436" s="2">
        <v>1422</v>
      </c>
      <c r="P436" s="2">
        <v>1452</v>
      </c>
      <c r="Q436" s="2">
        <v>1621</v>
      </c>
      <c r="R436" s="3">
        <v>484</v>
      </c>
      <c r="S436" s="2">
        <v>566</v>
      </c>
      <c r="T436" s="2">
        <v>578</v>
      </c>
      <c r="U436" s="2">
        <v>646</v>
      </c>
      <c r="V436" s="2"/>
    </row>
    <row r="437" spans="2:22" ht="20" hidden="1" x14ac:dyDescent="0.25">
      <c r="B437" s="2" t="s">
        <v>1217</v>
      </c>
      <c r="C437" s="2" t="s">
        <v>1218</v>
      </c>
      <c r="D437" s="2" t="s">
        <v>904</v>
      </c>
      <c r="E437" s="2" t="s">
        <v>27</v>
      </c>
      <c r="F437" s="2" t="s">
        <v>908</v>
      </c>
      <c r="G437" s="2" t="s">
        <v>27</v>
      </c>
      <c r="H437" s="2">
        <v>70392</v>
      </c>
      <c r="I437" s="2">
        <v>70528</v>
      </c>
      <c r="J437" s="2" t="s">
        <v>28</v>
      </c>
      <c r="K437" s="2" t="s">
        <v>1217</v>
      </c>
      <c r="L437" s="2" t="s">
        <v>30</v>
      </c>
      <c r="M437" s="2" t="s">
        <v>1218</v>
      </c>
      <c r="N437" s="2">
        <v>1266</v>
      </c>
      <c r="O437" s="3">
        <v>1393</v>
      </c>
      <c r="P437" s="3">
        <v>1443</v>
      </c>
      <c r="Q437" s="3">
        <v>1587</v>
      </c>
      <c r="R437" s="2">
        <v>504</v>
      </c>
      <c r="S437" s="3">
        <v>555</v>
      </c>
      <c r="T437" s="3">
        <v>575</v>
      </c>
      <c r="U437" s="3">
        <v>632</v>
      </c>
      <c r="V437" s="3"/>
    </row>
    <row r="438" spans="2:22" ht="21" hidden="1" x14ac:dyDescent="0.25">
      <c r="B438" s="4" t="s">
        <v>132</v>
      </c>
      <c r="C438" s="4" t="s">
        <v>133</v>
      </c>
      <c r="D438" s="4" t="s">
        <v>226</v>
      </c>
      <c r="E438" s="4" t="s">
        <v>27</v>
      </c>
      <c r="F438" s="4" t="s">
        <v>1146</v>
      </c>
      <c r="G438" s="4" t="s">
        <v>40</v>
      </c>
      <c r="H438" s="4">
        <v>70393</v>
      </c>
      <c r="I438" s="4">
        <v>79054</v>
      </c>
      <c r="J438" s="4" t="s">
        <v>28</v>
      </c>
      <c r="K438" s="4" t="s">
        <v>132</v>
      </c>
      <c r="L438" s="4" t="s">
        <v>29</v>
      </c>
      <c r="M438" s="4"/>
      <c r="N438" s="5">
        <v>1200</v>
      </c>
      <c r="O438" s="5">
        <v>1200</v>
      </c>
      <c r="P438" s="5">
        <v>1200</v>
      </c>
      <c r="Q438" s="5">
        <v>1200</v>
      </c>
      <c r="R438" s="5">
        <v>478</v>
      </c>
      <c r="S438" s="5">
        <v>478</v>
      </c>
      <c r="T438" s="5">
        <v>478</v>
      </c>
      <c r="U438" s="5">
        <v>478</v>
      </c>
      <c r="V438" s="5"/>
    </row>
    <row r="439" spans="2:22" ht="20" hidden="1" x14ac:dyDescent="0.25">
      <c r="B439" s="2" t="s">
        <v>132</v>
      </c>
      <c r="C439" s="2" t="s">
        <v>133</v>
      </c>
      <c r="D439" s="2" t="s">
        <v>226</v>
      </c>
      <c r="E439" s="2" t="s">
        <v>27</v>
      </c>
      <c r="F439" s="2" t="s">
        <v>1146</v>
      </c>
      <c r="G439" s="2" t="s">
        <v>40</v>
      </c>
      <c r="H439" s="2">
        <v>70393</v>
      </c>
      <c r="I439" s="2">
        <v>79054</v>
      </c>
      <c r="J439" s="2" t="s">
        <v>28</v>
      </c>
      <c r="K439" s="2" t="s">
        <v>213</v>
      </c>
      <c r="L439" s="2" t="s">
        <v>213</v>
      </c>
      <c r="M439" s="2" t="s">
        <v>1147</v>
      </c>
      <c r="N439" s="3">
        <v>1200</v>
      </c>
      <c r="O439" s="3">
        <v>1200</v>
      </c>
      <c r="P439" s="3">
        <v>1200</v>
      </c>
      <c r="Q439" s="3">
        <v>1200</v>
      </c>
      <c r="R439" s="3">
        <v>478</v>
      </c>
      <c r="S439" s="3">
        <v>478</v>
      </c>
      <c r="T439" s="3">
        <v>478</v>
      </c>
      <c r="U439" s="3">
        <v>478</v>
      </c>
      <c r="V439" s="3"/>
    </row>
    <row r="440" spans="2:22" ht="21" hidden="1" x14ac:dyDescent="0.25">
      <c r="B440" s="4" t="s">
        <v>309</v>
      </c>
      <c r="C440" s="4" t="s">
        <v>310</v>
      </c>
      <c r="D440" s="4" t="s">
        <v>311</v>
      </c>
      <c r="E440" s="4" t="s">
        <v>27</v>
      </c>
      <c r="F440" s="4" t="s">
        <v>312</v>
      </c>
      <c r="G440" s="4" t="s">
        <v>27</v>
      </c>
      <c r="H440" s="4">
        <v>70047</v>
      </c>
      <c r="I440" s="4">
        <v>70048</v>
      </c>
      <c r="J440" s="4" t="s">
        <v>28</v>
      </c>
      <c r="K440" s="4" t="s">
        <v>309</v>
      </c>
      <c r="L440" s="4" t="s">
        <v>29</v>
      </c>
      <c r="M440" s="4"/>
      <c r="N440" s="5">
        <v>1270</v>
      </c>
      <c r="O440" s="5">
        <v>1397</v>
      </c>
      <c r="P440" s="5">
        <v>1446</v>
      </c>
      <c r="Q440" s="5">
        <v>1591</v>
      </c>
      <c r="R440" s="5">
        <v>506</v>
      </c>
      <c r="S440" s="5">
        <v>557</v>
      </c>
      <c r="T440" s="5">
        <v>576</v>
      </c>
      <c r="U440" s="5">
        <v>634</v>
      </c>
      <c r="V440" s="5"/>
    </row>
    <row r="441" spans="2:22" ht="20" hidden="1" x14ac:dyDescent="0.25">
      <c r="B441" s="2" t="s">
        <v>309</v>
      </c>
      <c r="C441" s="2" t="s">
        <v>310</v>
      </c>
      <c r="D441" s="2" t="s">
        <v>311</v>
      </c>
      <c r="E441" s="2" t="s">
        <v>27</v>
      </c>
      <c r="F441" s="2" t="s">
        <v>312</v>
      </c>
      <c r="G441" s="2" t="s">
        <v>27</v>
      </c>
      <c r="H441" s="2">
        <v>70047</v>
      </c>
      <c r="I441" s="2">
        <v>70048</v>
      </c>
      <c r="J441" s="2" t="s">
        <v>28</v>
      </c>
      <c r="K441" s="2" t="s">
        <v>309</v>
      </c>
      <c r="L441" s="2" t="s">
        <v>30</v>
      </c>
      <c r="M441" s="2" t="s">
        <v>310</v>
      </c>
      <c r="N441" s="3">
        <v>1270</v>
      </c>
      <c r="O441" s="3">
        <v>1397</v>
      </c>
      <c r="P441" s="3">
        <v>1446</v>
      </c>
      <c r="Q441" s="3">
        <v>1591</v>
      </c>
      <c r="R441" s="3">
        <v>506</v>
      </c>
      <c r="S441" s="3">
        <v>557</v>
      </c>
      <c r="T441" s="3">
        <v>576</v>
      </c>
      <c r="U441" s="3">
        <v>634</v>
      </c>
      <c r="V441" s="3"/>
    </row>
    <row r="442" spans="2:22" ht="21" hidden="1" x14ac:dyDescent="0.25">
      <c r="B442" s="4" t="s">
        <v>138</v>
      </c>
      <c r="C442" s="4" t="s">
        <v>139</v>
      </c>
      <c r="D442" s="4" t="s">
        <v>602</v>
      </c>
      <c r="E442" s="4" t="s">
        <v>40</v>
      </c>
      <c r="F442" s="4" t="s">
        <v>603</v>
      </c>
      <c r="G442" s="4" t="s">
        <v>27</v>
      </c>
      <c r="H442" s="4">
        <v>70535</v>
      </c>
      <c r="I442" s="4">
        <v>79004</v>
      </c>
      <c r="J442" s="4" t="s">
        <v>28</v>
      </c>
      <c r="K442" s="4" t="s">
        <v>138</v>
      </c>
      <c r="L442" s="4" t="s">
        <v>29</v>
      </c>
      <c r="M442" s="4"/>
      <c r="N442" s="5">
        <v>1422</v>
      </c>
      <c r="O442" s="5">
        <v>1564</v>
      </c>
      <c r="P442" s="5">
        <v>1600</v>
      </c>
      <c r="Q442" s="5">
        <v>1600</v>
      </c>
      <c r="R442" s="5">
        <v>566</v>
      </c>
      <c r="S442" s="5">
        <v>623</v>
      </c>
      <c r="T442" s="5">
        <v>637</v>
      </c>
      <c r="U442" s="5">
        <v>637</v>
      </c>
      <c r="V442" s="5"/>
    </row>
    <row r="443" spans="2:22" ht="20" hidden="1" x14ac:dyDescent="0.25">
      <c r="B443" s="2" t="s">
        <v>138</v>
      </c>
      <c r="C443" s="2" t="s">
        <v>139</v>
      </c>
      <c r="D443" s="2" t="s">
        <v>602</v>
      </c>
      <c r="E443" s="2" t="s">
        <v>40</v>
      </c>
      <c r="F443" s="2" t="s">
        <v>603</v>
      </c>
      <c r="G443" s="2" t="s">
        <v>27</v>
      </c>
      <c r="H443" s="2">
        <v>70535</v>
      </c>
      <c r="I443" s="2">
        <v>79004</v>
      </c>
      <c r="J443" s="2" t="s">
        <v>28</v>
      </c>
      <c r="K443" s="2" t="s">
        <v>604</v>
      </c>
      <c r="L443" s="2" t="s">
        <v>31</v>
      </c>
      <c r="M443" s="2" t="s">
        <v>605</v>
      </c>
      <c r="N443" s="3">
        <v>1422</v>
      </c>
      <c r="O443" s="3">
        <v>1564</v>
      </c>
      <c r="P443" s="2">
        <v>1622</v>
      </c>
      <c r="Q443" s="2">
        <v>1784</v>
      </c>
      <c r="R443" s="3">
        <v>566</v>
      </c>
      <c r="S443" s="3">
        <v>623</v>
      </c>
      <c r="T443" s="2">
        <v>646</v>
      </c>
      <c r="U443" s="2">
        <v>711</v>
      </c>
      <c r="V443" s="2"/>
    </row>
    <row r="444" spans="2:22" ht="20" hidden="1" x14ac:dyDescent="0.25">
      <c r="B444" s="2" t="s">
        <v>138</v>
      </c>
      <c r="C444" s="2" t="s">
        <v>139</v>
      </c>
      <c r="D444" s="2" t="s">
        <v>602</v>
      </c>
      <c r="E444" s="2" t="s">
        <v>40</v>
      </c>
      <c r="F444" s="2" t="s">
        <v>603</v>
      </c>
      <c r="G444" s="2" t="s">
        <v>27</v>
      </c>
      <c r="H444" s="2">
        <v>70535</v>
      </c>
      <c r="I444" s="2">
        <v>79004</v>
      </c>
      <c r="J444" s="2" t="s">
        <v>28</v>
      </c>
      <c r="K444" s="2" t="s">
        <v>213</v>
      </c>
      <c r="L444" s="2" t="s">
        <v>213</v>
      </c>
      <c r="M444" s="2" t="s">
        <v>606</v>
      </c>
      <c r="N444" s="2">
        <v>1600</v>
      </c>
      <c r="O444" s="2">
        <v>1600</v>
      </c>
      <c r="P444" s="3">
        <v>1600</v>
      </c>
      <c r="Q444" s="3">
        <v>1600</v>
      </c>
      <c r="R444" s="2">
        <v>637</v>
      </c>
      <c r="S444" s="2">
        <v>637</v>
      </c>
      <c r="T444" s="3">
        <v>637</v>
      </c>
      <c r="U444" s="3">
        <v>637</v>
      </c>
      <c r="V444" s="3"/>
    </row>
    <row r="445" spans="2:22" ht="21" hidden="1" x14ac:dyDescent="0.25">
      <c r="B445" s="4" t="s">
        <v>1264</v>
      </c>
      <c r="C445" s="4" t="s">
        <v>1265</v>
      </c>
      <c r="D445" s="4" t="s">
        <v>1015</v>
      </c>
      <c r="E445" s="4" t="s">
        <v>27</v>
      </c>
      <c r="F445" s="4" t="s">
        <v>490</v>
      </c>
      <c r="G445" s="4" t="s">
        <v>27</v>
      </c>
      <c r="H445" s="4">
        <v>70427</v>
      </c>
      <c r="I445" s="4">
        <v>70464</v>
      </c>
      <c r="J445" s="4" t="s">
        <v>28</v>
      </c>
      <c r="K445" s="4" t="s">
        <v>1264</v>
      </c>
      <c r="L445" s="4" t="s">
        <v>29</v>
      </c>
      <c r="M445" s="4"/>
      <c r="N445" s="5">
        <v>1200</v>
      </c>
      <c r="O445" s="5">
        <v>1200</v>
      </c>
      <c r="P445" s="5">
        <v>1325</v>
      </c>
      <c r="Q445" s="5">
        <v>1325</v>
      </c>
      <c r="R445" s="5">
        <v>478</v>
      </c>
      <c r="S445" s="5">
        <v>478</v>
      </c>
      <c r="T445" s="5">
        <v>528</v>
      </c>
      <c r="U445" s="5">
        <v>528</v>
      </c>
      <c r="V445" s="5"/>
    </row>
    <row r="446" spans="2:22" ht="20" hidden="1" x14ac:dyDescent="0.25">
      <c r="B446" s="2" t="s">
        <v>1264</v>
      </c>
      <c r="C446" s="2" t="s">
        <v>1265</v>
      </c>
      <c r="D446" s="2" t="s">
        <v>1015</v>
      </c>
      <c r="E446" s="2" t="s">
        <v>27</v>
      </c>
      <c r="F446" s="2" t="s">
        <v>490</v>
      </c>
      <c r="G446" s="2" t="s">
        <v>27</v>
      </c>
      <c r="H446" s="2">
        <v>70427</v>
      </c>
      <c r="I446" s="2">
        <v>70464</v>
      </c>
      <c r="J446" s="2" t="s">
        <v>28</v>
      </c>
      <c r="K446" s="2"/>
      <c r="L446" s="2" t="s">
        <v>301</v>
      </c>
      <c r="M446" s="2" t="s">
        <v>1017</v>
      </c>
      <c r="N446" s="3">
        <v>1200</v>
      </c>
      <c r="O446" s="3">
        <v>1200</v>
      </c>
      <c r="P446" s="3">
        <v>1325</v>
      </c>
      <c r="Q446" s="3">
        <v>1325</v>
      </c>
      <c r="R446" s="3">
        <v>478</v>
      </c>
      <c r="S446" s="3">
        <v>478</v>
      </c>
      <c r="T446" s="3">
        <v>528</v>
      </c>
      <c r="U446" s="3">
        <v>528</v>
      </c>
      <c r="V446" s="3"/>
    </row>
    <row r="447" spans="2:22" ht="21" hidden="1" x14ac:dyDescent="0.25">
      <c r="B447" s="4" t="s">
        <v>1255</v>
      </c>
      <c r="C447" s="4" t="s">
        <v>1256</v>
      </c>
      <c r="D447" s="4" t="s">
        <v>1251</v>
      </c>
      <c r="E447" s="4" t="s">
        <v>27</v>
      </c>
      <c r="F447" s="4" t="s">
        <v>928</v>
      </c>
      <c r="G447" s="4" t="s">
        <v>27</v>
      </c>
      <c r="H447" s="4">
        <v>79065</v>
      </c>
      <c r="I447" s="4">
        <v>79091</v>
      </c>
      <c r="J447" s="4" t="s">
        <v>28</v>
      </c>
      <c r="K447" s="4" t="s">
        <v>1255</v>
      </c>
      <c r="L447" s="4" t="s">
        <v>29</v>
      </c>
      <c r="M447" s="4"/>
      <c r="N447" s="5">
        <v>1200</v>
      </c>
      <c r="O447" s="5">
        <v>1200</v>
      </c>
      <c r="P447" s="5">
        <v>1200</v>
      </c>
      <c r="Q447" s="5">
        <v>1200</v>
      </c>
      <c r="R447" s="5">
        <v>478</v>
      </c>
      <c r="S447" s="5">
        <v>478</v>
      </c>
      <c r="T447" s="5">
        <v>478</v>
      </c>
      <c r="U447" s="5">
        <v>478</v>
      </c>
      <c r="V447" s="5"/>
    </row>
    <row r="448" spans="2:22" ht="30" hidden="1" x14ac:dyDescent="0.25">
      <c r="B448" s="2" t="s">
        <v>1255</v>
      </c>
      <c r="C448" s="2" t="s">
        <v>1256</v>
      </c>
      <c r="D448" s="2" t="s">
        <v>1251</v>
      </c>
      <c r="E448" s="2" t="s">
        <v>27</v>
      </c>
      <c r="F448" s="2" t="s">
        <v>928</v>
      </c>
      <c r="G448" s="2" t="s">
        <v>27</v>
      </c>
      <c r="H448" s="2">
        <v>79065</v>
      </c>
      <c r="I448" s="2">
        <v>79091</v>
      </c>
      <c r="J448" s="2" t="s">
        <v>28</v>
      </c>
      <c r="K448" s="2" t="s">
        <v>1257</v>
      </c>
      <c r="L448" s="2" t="s">
        <v>36</v>
      </c>
      <c r="M448" s="2" t="s">
        <v>1253</v>
      </c>
      <c r="N448" s="3">
        <v>1200</v>
      </c>
      <c r="O448" s="3">
        <v>1200</v>
      </c>
      <c r="P448" s="3">
        <v>1200</v>
      </c>
      <c r="Q448" s="3">
        <v>1200</v>
      </c>
      <c r="R448" s="3">
        <v>478</v>
      </c>
      <c r="S448" s="3">
        <v>478</v>
      </c>
      <c r="T448" s="3">
        <v>478</v>
      </c>
      <c r="U448" s="3">
        <v>478</v>
      </c>
      <c r="V448" s="3"/>
    </row>
    <row r="449" spans="2:22" ht="30" hidden="1" x14ac:dyDescent="0.25">
      <c r="B449" s="2" t="s">
        <v>1255</v>
      </c>
      <c r="C449" s="2" t="s">
        <v>1256</v>
      </c>
      <c r="D449" s="2" t="s">
        <v>1251</v>
      </c>
      <c r="E449" s="2" t="s">
        <v>27</v>
      </c>
      <c r="F449" s="2" t="s">
        <v>928</v>
      </c>
      <c r="G449" s="2" t="s">
        <v>27</v>
      </c>
      <c r="H449" s="2">
        <v>79065</v>
      </c>
      <c r="I449" s="2">
        <v>79091</v>
      </c>
      <c r="J449" s="2" t="s">
        <v>28</v>
      </c>
      <c r="K449" s="2" t="s">
        <v>1258</v>
      </c>
      <c r="L449" s="2" t="s">
        <v>36</v>
      </c>
      <c r="M449" s="2" t="s">
        <v>1253</v>
      </c>
      <c r="N449" s="3">
        <v>1200</v>
      </c>
      <c r="O449" s="3">
        <v>1200</v>
      </c>
      <c r="P449" s="3">
        <v>1200</v>
      </c>
      <c r="Q449" s="3">
        <v>1200</v>
      </c>
      <c r="R449" s="3">
        <v>478</v>
      </c>
      <c r="S449" s="3">
        <v>478</v>
      </c>
      <c r="T449" s="3">
        <v>478</v>
      </c>
      <c r="U449" s="3">
        <v>478</v>
      </c>
      <c r="V449" s="3"/>
    </row>
    <row r="450" spans="2:22" ht="21" hidden="1" x14ac:dyDescent="0.25">
      <c r="B450" s="4" t="s">
        <v>143</v>
      </c>
      <c r="C450" s="4" t="s">
        <v>144</v>
      </c>
      <c r="D450" s="4" t="s">
        <v>325</v>
      </c>
      <c r="E450" s="4" t="s">
        <v>40</v>
      </c>
      <c r="F450" s="4" t="s">
        <v>928</v>
      </c>
      <c r="G450" s="4" t="s">
        <v>27</v>
      </c>
      <c r="H450" s="4">
        <v>79069</v>
      </c>
      <c r="I450" s="4">
        <v>79091</v>
      </c>
      <c r="J450" s="4" t="s">
        <v>28</v>
      </c>
      <c r="K450" s="4" t="s">
        <v>143</v>
      </c>
      <c r="L450" s="4" t="s">
        <v>29</v>
      </c>
      <c r="M450" s="4"/>
      <c r="N450" s="5">
        <v>1402</v>
      </c>
      <c r="O450" s="5">
        <v>1543</v>
      </c>
      <c r="P450" s="5">
        <v>1599</v>
      </c>
      <c r="Q450" s="5">
        <v>1599</v>
      </c>
      <c r="R450" s="5">
        <v>559</v>
      </c>
      <c r="S450" s="5">
        <v>615</v>
      </c>
      <c r="T450" s="5">
        <v>637</v>
      </c>
      <c r="U450" s="5">
        <v>637</v>
      </c>
      <c r="V450" s="5"/>
    </row>
    <row r="451" spans="2:22" ht="20" hidden="1" x14ac:dyDescent="0.25">
      <c r="B451" s="2" t="s">
        <v>143</v>
      </c>
      <c r="C451" s="2" t="s">
        <v>144</v>
      </c>
      <c r="D451" s="2" t="s">
        <v>325</v>
      </c>
      <c r="E451" s="2" t="s">
        <v>40</v>
      </c>
      <c r="F451" s="2" t="s">
        <v>928</v>
      </c>
      <c r="G451" s="2" t="s">
        <v>27</v>
      </c>
      <c r="H451" s="2">
        <v>79069</v>
      </c>
      <c r="I451" s="2">
        <v>79091</v>
      </c>
      <c r="J451" s="2" t="s">
        <v>28</v>
      </c>
      <c r="K451" s="2" t="s">
        <v>388</v>
      </c>
      <c r="L451" s="2" t="s">
        <v>31</v>
      </c>
      <c r="M451" s="2" t="s">
        <v>1303</v>
      </c>
      <c r="N451" s="3">
        <v>1402</v>
      </c>
      <c r="O451" s="3">
        <v>1543</v>
      </c>
      <c r="P451" s="2">
        <v>1600</v>
      </c>
      <c r="Q451" s="2">
        <v>1759</v>
      </c>
      <c r="R451" s="3">
        <v>559</v>
      </c>
      <c r="S451" s="3">
        <v>615</v>
      </c>
      <c r="T451" s="2">
        <v>637</v>
      </c>
      <c r="U451" s="2">
        <v>701</v>
      </c>
      <c r="V451" s="2"/>
    </row>
    <row r="452" spans="2:22" ht="20" hidden="1" x14ac:dyDescent="0.25">
      <c r="B452" s="2" t="s">
        <v>143</v>
      </c>
      <c r="C452" s="2" t="s">
        <v>144</v>
      </c>
      <c r="D452" s="2" t="s">
        <v>325</v>
      </c>
      <c r="E452" s="2" t="s">
        <v>40</v>
      </c>
      <c r="F452" s="2" t="s">
        <v>928</v>
      </c>
      <c r="G452" s="2" t="s">
        <v>27</v>
      </c>
      <c r="H452" s="2">
        <v>79069</v>
      </c>
      <c r="I452" s="2">
        <v>79091</v>
      </c>
      <c r="J452" s="2" t="s">
        <v>28</v>
      </c>
      <c r="K452" s="2" t="s">
        <v>213</v>
      </c>
      <c r="L452" s="2" t="s">
        <v>213</v>
      </c>
      <c r="M452" s="2" t="s">
        <v>329</v>
      </c>
      <c r="N452" s="2">
        <v>1461</v>
      </c>
      <c r="O452" s="2">
        <v>1599</v>
      </c>
      <c r="P452" s="3">
        <v>1599</v>
      </c>
      <c r="Q452" s="3">
        <v>1599</v>
      </c>
      <c r="R452" s="2">
        <v>582</v>
      </c>
      <c r="S452" s="2">
        <v>637</v>
      </c>
      <c r="T452" s="3">
        <v>637</v>
      </c>
      <c r="U452" s="3">
        <v>637</v>
      </c>
      <c r="V452" s="3"/>
    </row>
    <row r="453" spans="2:22" ht="21" hidden="1" x14ac:dyDescent="0.25">
      <c r="B453" s="4" t="s">
        <v>149</v>
      </c>
      <c r="C453" s="4" t="s">
        <v>150</v>
      </c>
      <c r="D453" s="4" t="s">
        <v>927</v>
      </c>
      <c r="E453" s="4" t="s">
        <v>40</v>
      </c>
      <c r="F453" s="4" t="s">
        <v>928</v>
      </c>
      <c r="G453" s="4" t="s">
        <v>27</v>
      </c>
      <c r="H453" s="4">
        <v>79039</v>
      </c>
      <c r="I453" s="4">
        <v>79091</v>
      </c>
      <c r="J453" s="4" t="s">
        <v>28</v>
      </c>
      <c r="K453" s="4" t="s">
        <v>149</v>
      </c>
      <c r="L453" s="4" t="s">
        <v>29</v>
      </c>
      <c r="M453" s="4"/>
      <c r="N453" s="5">
        <v>1200</v>
      </c>
      <c r="O453" s="5">
        <v>1200</v>
      </c>
      <c r="P453" s="5">
        <v>1200</v>
      </c>
      <c r="Q453" s="5">
        <v>1200</v>
      </c>
      <c r="R453" s="5">
        <v>478</v>
      </c>
      <c r="S453" s="5">
        <v>478</v>
      </c>
      <c r="T453" s="5">
        <v>478</v>
      </c>
      <c r="U453" s="5">
        <v>478</v>
      </c>
      <c r="V453" s="5"/>
    </row>
    <row r="454" spans="2:22" ht="20" hidden="1" x14ac:dyDescent="0.25">
      <c r="B454" s="2" t="s">
        <v>149</v>
      </c>
      <c r="C454" s="2" t="s">
        <v>150</v>
      </c>
      <c r="D454" s="2" t="s">
        <v>927</v>
      </c>
      <c r="E454" s="2" t="s">
        <v>40</v>
      </c>
      <c r="F454" s="2" t="s">
        <v>928</v>
      </c>
      <c r="G454" s="2" t="s">
        <v>27</v>
      </c>
      <c r="H454" s="2">
        <v>79039</v>
      </c>
      <c r="I454" s="2">
        <v>79091</v>
      </c>
      <c r="J454" s="2" t="s">
        <v>28</v>
      </c>
      <c r="K454" s="2" t="s">
        <v>213</v>
      </c>
      <c r="L454" s="2" t="s">
        <v>213</v>
      </c>
      <c r="M454" s="2" t="s">
        <v>929</v>
      </c>
      <c r="N454" s="3">
        <v>1200</v>
      </c>
      <c r="O454" s="3">
        <v>1200</v>
      </c>
      <c r="P454" s="3">
        <v>1200</v>
      </c>
      <c r="Q454" s="3">
        <v>1200</v>
      </c>
      <c r="R454" s="3">
        <v>478</v>
      </c>
      <c r="S454" s="3">
        <v>478</v>
      </c>
      <c r="T454" s="3">
        <v>478</v>
      </c>
      <c r="U454" s="3">
        <v>478</v>
      </c>
      <c r="V454" s="3"/>
    </row>
    <row r="455" spans="2:22" ht="21" hidden="1" x14ac:dyDescent="0.25">
      <c r="B455" s="4" t="s">
        <v>1249</v>
      </c>
      <c r="C455" s="4" t="s">
        <v>1250</v>
      </c>
      <c r="D455" s="4" t="s">
        <v>1251</v>
      </c>
      <c r="E455" s="4" t="s">
        <v>27</v>
      </c>
      <c r="F455" s="4" t="s">
        <v>928</v>
      </c>
      <c r="G455" s="4" t="s">
        <v>27</v>
      </c>
      <c r="H455" s="4">
        <v>79065</v>
      </c>
      <c r="I455" s="4">
        <v>79091</v>
      </c>
      <c r="J455" s="4" t="s">
        <v>28</v>
      </c>
      <c r="K455" s="4" t="s">
        <v>1249</v>
      </c>
      <c r="L455" s="4" t="s">
        <v>29</v>
      </c>
      <c r="M455" s="4"/>
      <c r="N455" s="5">
        <v>1200</v>
      </c>
      <c r="O455" s="5">
        <v>1200</v>
      </c>
      <c r="P455" s="5">
        <v>1200</v>
      </c>
      <c r="Q455" s="5">
        <v>1200</v>
      </c>
      <c r="R455" s="5">
        <v>478</v>
      </c>
      <c r="S455" s="5">
        <v>478</v>
      </c>
      <c r="T455" s="5">
        <v>478</v>
      </c>
      <c r="U455" s="5">
        <v>478</v>
      </c>
      <c r="V455" s="5"/>
    </row>
    <row r="456" spans="2:22" ht="30" hidden="1" x14ac:dyDescent="0.25">
      <c r="B456" s="2" t="s">
        <v>1249</v>
      </c>
      <c r="C456" s="2" t="s">
        <v>1250</v>
      </c>
      <c r="D456" s="2" t="s">
        <v>1251</v>
      </c>
      <c r="E456" s="2" t="s">
        <v>27</v>
      </c>
      <c r="F456" s="2" t="s">
        <v>928</v>
      </c>
      <c r="G456" s="2" t="s">
        <v>27</v>
      </c>
      <c r="H456" s="2">
        <v>79065</v>
      </c>
      <c r="I456" s="2">
        <v>79091</v>
      </c>
      <c r="J456" s="2" t="s">
        <v>28</v>
      </c>
      <c r="K456" s="2" t="s">
        <v>1252</v>
      </c>
      <c r="L456" s="2" t="s">
        <v>36</v>
      </c>
      <c r="M456" s="2" t="s">
        <v>1253</v>
      </c>
      <c r="N456" s="3">
        <v>1200</v>
      </c>
      <c r="O456" s="3">
        <v>1200</v>
      </c>
      <c r="P456" s="3">
        <v>1200</v>
      </c>
      <c r="Q456" s="3">
        <v>1200</v>
      </c>
      <c r="R456" s="3">
        <v>478</v>
      </c>
      <c r="S456" s="3">
        <v>478</v>
      </c>
      <c r="T456" s="3">
        <v>478</v>
      </c>
      <c r="U456" s="3">
        <v>478</v>
      </c>
      <c r="V456" s="3"/>
    </row>
    <row r="457" spans="2:22" ht="30" hidden="1" x14ac:dyDescent="0.25">
      <c r="B457" s="2" t="s">
        <v>1249</v>
      </c>
      <c r="C457" s="2" t="s">
        <v>1250</v>
      </c>
      <c r="D457" s="2" t="s">
        <v>1251</v>
      </c>
      <c r="E457" s="2" t="s">
        <v>27</v>
      </c>
      <c r="F457" s="2" t="s">
        <v>928</v>
      </c>
      <c r="G457" s="2" t="s">
        <v>27</v>
      </c>
      <c r="H457" s="2">
        <v>79065</v>
      </c>
      <c r="I457" s="2">
        <v>79091</v>
      </c>
      <c r="J457" s="2" t="s">
        <v>28</v>
      </c>
      <c r="K457" s="2" t="s">
        <v>1254</v>
      </c>
      <c r="L457" s="2" t="s">
        <v>36</v>
      </c>
      <c r="M457" s="2" t="s">
        <v>1253</v>
      </c>
      <c r="N457" s="3">
        <v>1200</v>
      </c>
      <c r="O457" s="3">
        <v>1200</v>
      </c>
      <c r="P457" s="3">
        <v>1200</v>
      </c>
      <c r="Q457" s="3">
        <v>1200</v>
      </c>
      <c r="R457" s="3">
        <v>478</v>
      </c>
      <c r="S457" s="3">
        <v>478</v>
      </c>
      <c r="T457" s="3">
        <v>478</v>
      </c>
      <c r="U457" s="3">
        <v>478</v>
      </c>
      <c r="V457" s="3"/>
    </row>
    <row r="458" spans="2:22" ht="21" hidden="1" x14ac:dyDescent="0.25">
      <c r="B458" s="4" t="s">
        <v>154</v>
      </c>
      <c r="C458" s="4" t="s">
        <v>155</v>
      </c>
      <c r="D458" s="4" t="s">
        <v>607</v>
      </c>
      <c r="E458" s="4" t="s">
        <v>27</v>
      </c>
      <c r="F458" s="4" t="s">
        <v>608</v>
      </c>
      <c r="G458" s="4" t="s">
        <v>40</v>
      </c>
      <c r="H458" s="4">
        <v>79013</v>
      </c>
      <c r="I458" s="4">
        <v>70009</v>
      </c>
      <c r="J458" s="4" t="s">
        <v>28</v>
      </c>
      <c r="K458" s="4" t="s">
        <v>154</v>
      </c>
      <c r="L458" s="4" t="s">
        <v>29</v>
      </c>
      <c r="M458" s="4"/>
      <c r="N458" s="5">
        <v>399</v>
      </c>
      <c r="O458" s="5">
        <v>678</v>
      </c>
      <c r="P458" s="5">
        <v>399</v>
      </c>
      <c r="Q458" s="5">
        <v>678</v>
      </c>
      <c r="R458" s="5">
        <v>159</v>
      </c>
      <c r="S458" s="5">
        <v>270</v>
      </c>
      <c r="T458" s="5">
        <v>159</v>
      </c>
      <c r="U458" s="5">
        <v>270</v>
      </c>
      <c r="V458" s="5"/>
    </row>
    <row r="459" spans="2:22" ht="20" hidden="1" x14ac:dyDescent="0.25">
      <c r="B459" s="2" t="s">
        <v>154</v>
      </c>
      <c r="C459" s="2" t="s">
        <v>155</v>
      </c>
      <c r="D459" s="2" t="s">
        <v>607</v>
      </c>
      <c r="E459" s="2" t="s">
        <v>27</v>
      </c>
      <c r="F459" s="2" t="s">
        <v>608</v>
      </c>
      <c r="G459" s="2" t="s">
        <v>40</v>
      </c>
      <c r="H459" s="2">
        <v>79013</v>
      </c>
      <c r="I459" s="2">
        <v>70009</v>
      </c>
      <c r="J459" s="2" t="s">
        <v>28</v>
      </c>
      <c r="K459" s="2" t="s">
        <v>213</v>
      </c>
      <c r="L459" s="2" t="s">
        <v>213</v>
      </c>
      <c r="M459" s="2" t="s">
        <v>609</v>
      </c>
      <c r="N459" s="3">
        <v>399</v>
      </c>
      <c r="O459" s="3">
        <v>678</v>
      </c>
      <c r="P459" s="3">
        <v>399</v>
      </c>
      <c r="Q459" s="3">
        <v>678</v>
      </c>
      <c r="R459" s="3">
        <v>159</v>
      </c>
      <c r="S459" s="3">
        <v>270</v>
      </c>
      <c r="T459" s="3">
        <v>159</v>
      </c>
      <c r="U459" s="3">
        <v>270</v>
      </c>
      <c r="V459" s="3"/>
    </row>
    <row r="460" spans="2:22" ht="21" hidden="1" x14ac:dyDescent="0.25">
      <c r="B460" s="4" t="s">
        <v>1233</v>
      </c>
      <c r="C460" s="4" t="s">
        <v>1234</v>
      </c>
      <c r="D460" s="4" t="s">
        <v>238</v>
      </c>
      <c r="E460" s="4" t="s">
        <v>27</v>
      </c>
      <c r="F460" s="4" t="s">
        <v>445</v>
      </c>
      <c r="G460" s="4" t="s">
        <v>27</v>
      </c>
      <c r="H460" s="4">
        <v>70018</v>
      </c>
      <c r="I460" s="4">
        <v>70266</v>
      </c>
      <c r="J460" s="4" t="s">
        <v>28</v>
      </c>
      <c r="K460" s="4" t="s">
        <v>1233</v>
      </c>
      <c r="L460" s="4" t="s">
        <v>29</v>
      </c>
      <c r="M460" s="4"/>
      <c r="N460" s="5">
        <v>1200</v>
      </c>
      <c r="O460" s="5">
        <v>1200</v>
      </c>
      <c r="P460" s="5">
        <v>1200</v>
      </c>
      <c r="Q460" s="5">
        <v>1200</v>
      </c>
      <c r="R460" s="5">
        <v>478</v>
      </c>
      <c r="S460" s="5">
        <v>478</v>
      </c>
      <c r="T460" s="5">
        <v>478</v>
      </c>
      <c r="U460" s="5">
        <v>478</v>
      </c>
      <c r="V460" s="5"/>
    </row>
    <row r="461" spans="2:22" ht="30" hidden="1" x14ac:dyDescent="0.25">
      <c r="B461" s="2" t="s">
        <v>1233</v>
      </c>
      <c r="C461" s="2" t="s">
        <v>1234</v>
      </c>
      <c r="D461" s="2" t="s">
        <v>238</v>
      </c>
      <c r="E461" s="2" t="s">
        <v>27</v>
      </c>
      <c r="F461" s="2" t="s">
        <v>445</v>
      </c>
      <c r="G461" s="2" t="s">
        <v>27</v>
      </c>
      <c r="H461" s="2">
        <v>70018</v>
      </c>
      <c r="I461" s="2">
        <v>70266</v>
      </c>
      <c r="J461" s="2" t="s">
        <v>28</v>
      </c>
      <c r="K461" s="2" t="s">
        <v>1235</v>
      </c>
      <c r="L461" s="2" t="s">
        <v>36</v>
      </c>
      <c r="M461" s="2" t="s">
        <v>447</v>
      </c>
      <c r="N461" s="3">
        <v>1200</v>
      </c>
      <c r="O461" s="3">
        <v>1200</v>
      </c>
      <c r="P461" s="3">
        <v>1200</v>
      </c>
      <c r="Q461" s="3">
        <v>1200</v>
      </c>
      <c r="R461" s="3">
        <v>478</v>
      </c>
      <c r="S461" s="3">
        <v>478</v>
      </c>
      <c r="T461" s="3">
        <v>478</v>
      </c>
      <c r="U461" s="3">
        <v>478</v>
      </c>
      <c r="V461" s="3"/>
    </row>
    <row r="462" spans="2:22" ht="21" hidden="1" x14ac:dyDescent="0.25">
      <c r="B462" s="4" t="s">
        <v>313</v>
      </c>
      <c r="C462" s="4" t="s">
        <v>314</v>
      </c>
      <c r="D462" s="4" t="s">
        <v>311</v>
      </c>
      <c r="E462" s="4" t="s">
        <v>27</v>
      </c>
      <c r="F462" s="4" t="s">
        <v>315</v>
      </c>
      <c r="G462" s="4" t="s">
        <v>40</v>
      </c>
      <c r="H462" s="4">
        <v>70047</v>
      </c>
      <c r="I462" s="4">
        <v>70610</v>
      </c>
      <c r="J462" s="4" t="s">
        <v>28</v>
      </c>
      <c r="K462" s="4" t="s">
        <v>313</v>
      </c>
      <c r="L462" s="4" t="s">
        <v>29</v>
      </c>
      <c r="M462" s="4"/>
      <c r="N462" s="5">
        <v>1270</v>
      </c>
      <c r="O462" s="5">
        <v>1397</v>
      </c>
      <c r="P462" s="5">
        <v>1447</v>
      </c>
      <c r="Q462" s="5">
        <v>1592</v>
      </c>
      <c r="R462" s="5">
        <v>506</v>
      </c>
      <c r="S462" s="5">
        <v>557</v>
      </c>
      <c r="T462" s="5">
        <v>576</v>
      </c>
      <c r="U462" s="5">
        <v>634</v>
      </c>
      <c r="V462" s="5"/>
    </row>
    <row r="463" spans="2:22" ht="20" hidden="1" x14ac:dyDescent="0.25">
      <c r="B463" s="2" t="s">
        <v>313</v>
      </c>
      <c r="C463" s="2" t="s">
        <v>314</v>
      </c>
      <c r="D463" s="2" t="s">
        <v>311</v>
      </c>
      <c r="E463" s="2" t="s">
        <v>27</v>
      </c>
      <c r="F463" s="2" t="s">
        <v>315</v>
      </c>
      <c r="G463" s="2" t="s">
        <v>40</v>
      </c>
      <c r="H463" s="2">
        <v>70047</v>
      </c>
      <c r="I463" s="2">
        <v>70610</v>
      </c>
      <c r="J463" s="2" t="s">
        <v>28</v>
      </c>
      <c r="K463" s="2" t="s">
        <v>313</v>
      </c>
      <c r="L463" s="2" t="s">
        <v>30</v>
      </c>
      <c r="M463" s="2" t="s">
        <v>314</v>
      </c>
      <c r="N463" s="3">
        <v>1270</v>
      </c>
      <c r="O463" s="3">
        <v>1397</v>
      </c>
      <c r="P463" s="3">
        <v>1447</v>
      </c>
      <c r="Q463" s="3">
        <v>1592</v>
      </c>
      <c r="R463" s="3">
        <v>506</v>
      </c>
      <c r="S463" s="3">
        <v>557</v>
      </c>
      <c r="T463" s="3">
        <v>576</v>
      </c>
      <c r="U463" s="3">
        <v>634</v>
      </c>
      <c r="V463" s="3"/>
    </row>
    <row r="464" spans="2:22" ht="20" hidden="1" x14ac:dyDescent="0.25">
      <c r="B464" s="2" t="s">
        <v>313</v>
      </c>
      <c r="C464" s="2" t="s">
        <v>314</v>
      </c>
      <c r="D464" s="2" t="s">
        <v>311</v>
      </c>
      <c r="E464" s="2" t="s">
        <v>27</v>
      </c>
      <c r="F464" s="2" t="s">
        <v>315</v>
      </c>
      <c r="G464" s="2" t="s">
        <v>40</v>
      </c>
      <c r="H464" s="2">
        <v>70047</v>
      </c>
      <c r="I464" s="2">
        <v>70610</v>
      </c>
      <c r="J464" s="2" t="s">
        <v>28</v>
      </c>
      <c r="K464" s="2" t="s">
        <v>41</v>
      </c>
      <c r="L464" s="2" t="s">
        <v>31</v>
      </c>
      <c r="M464" s="2" t="s">
        <v>316</v>
      </c>
      <c r="N464" s="2">
        <v>1271</v>
      </c>
      <c r="O464" s="2">
        <v>1398</v>
      </c>
      <c r="P464" s="3">
        <v>1447</v>
      </c>
      <c r="Q464" s="3">
        <v>1592</v>
      </c>
      <c r="R464" s="2">
        <v>506</v>
      </c>
      <c r="S464" s="2">
        <v>557</v>
      </c>
      <c r="T464" s="3">
        <v>577</v>
      </c>
      <c r="U464" s="3">
        <v>634</v>
      </c>
      <c r="V464" s="3"/>
    </row>
    <row r="465" spans="2:22" ht="21" hidden="1" x14ac:dyDescent="0.25">
      <c r="B465" s="4" t="s">
        <v>159</v>
      </c>
      <c r="C465" s="4" t="s">
        <v>160</v>
      </c>
      <c r="D465" s="4" t="s">
        <v>534</v>
      </c>
      <c r="E465" s="4" t="s">
        <v>27</v>
      </c>
      <c r="F465" s="4" t="s">
        <v>315</v>
      </c>
      <c r="G465" s="4" t="s">
        <v>40</v>
      </c>
      <c r="H465" s="4">
        <v>70609</v>
      </c>
      <c r="I465" s="4">
        <v>70610</v>
      </c>
      <c r="J465" s="4" t="s">
        <v>28</v>
      </c>
      <c r="K465" s="4" t="s">
        <v>159</v>
      </c>
      <c r="L465" s="4" t="s">
        <v>29</v>
      </c>
      <c r="M465" s="4"/>
      <c r="N465" s="5">
        <v>1627</v>
      </c>
      <c r="O465" s="5">
        <v>1627</v>
      </c>
      <c r="P465" s="5">
        <v>1627</v>
      </c>
      <c r="Q465" s="5">
        <v>1627</v>
      </c>
      <c r="R465" s="5">
        <v>648</v>
      </c>
      <c r="S465" s="5">
        <v>648</v>
      </c>
      <c r="T465" s="5">
        <v>648</v>
      </c>
      <c r="U465" s="5">
        <v>648</v>
      </c>
      <c r="V465" s="5"/>
    </row>
    <row r="466" spans="2:22" ht="20" hidden="1" x14ac:dyDescent="0.25">
      <c r="B466" s="2" t="s">
        <v>159</v>
      </c>
      <c r="C466" s="2" t="s">
        <v>160</v>
      </c>
      <c r="D466" s="2" t="s">
        <v>534</v>
      </c>
      <c r="E466" s="2" t="s">
        <v>27</v>
      </c>
      <c r="F466" s="2" t="s">
        <v>315</v>
      </c>
      <c r="G466" s="2" t="s">
        <v>40</v>
      </c>
      <c r="H466" s="2">
        <v>70609</v>
      </c>
      <c r="I466" s="2">
        <v>70610</v>
      </c>
      <c r="J466" s="2" t="s">
        <v>28</v>
      </c>
      <c r="K466" s="2" t="s">
        <v>213</v>
      </c>
      <c r="L466" s="2" t="s">
        <v>213</v>
      </c>
      <c r="M466" s="2" t="s">
        <v>1216</v>
      </c>
      <c r="N466" s="3">
        <v>1627</v>
      </c>
      <c r="O466" s="3">
        <v>1627</v>
      </c>
      <c r="P466" s="3">
        <v>1627</v>
      </c>
      <c r="Q466" s="3">
        <v>1627</v>
      </c>
      <c r="R466" s="3">
        <v>648</v>
      </c>
      <c r="S466" s="3">
        <v>648</v>
      </c>
      <c r="T466" s="3">
        <v>648</v>
      </c>
      <c r="U466" s="3">
        <v>648</v>
      </c>
      <c r="V466" s="3"/>
    </row>
    <row r="467" spans="2:22" ht="21" hidden="1" x14ac:dyDescent="0.25">
      <c r="B467" s="4" t="s">
        <v>165</v>
      </c>
      <c r="C467" s="4" t="s">
        <v>166</v>
      </c>
      <c r="D467" s="4" t="s">
        <v>1101</v>
      </c>
      <c r="E467" s="4" t="s">
        <v>40</v>
      </c>
      <c r="F467" s="4" t="s">
        <v>1102</v>
      </c>
      <c r="G467" s="4" t="s">
        <v>27</v>
      </c>
      <c r="H467" s="4">
        <v>73143</v>
      </c>
      <c r="I467" s="4">
        <v>73579</v>
      </c>
      <c r="J467" s="4" t="s">
        <v>42</v>
      </c>
      <c r="K467" s="4" t="s">
        <v>165</v>
      </c>
      <c r="L467" s="4" t="s">
        <v>29</v>
      </c>
      <c r="M467" s="4"/>
      <c r="N467" s="5">
        <v>1082</v>
      </c>
      <c r="O467" s="5">
        <v>1082</v>
      </c>
      <c r="P467" s="5">
        <v>1082</v>
      </c>
      <c r="Q467" s="5">
        <v>1082</v>
      </c>
      <c r="R467" s="5">
        <v>431</v>
      </c>
      <c r="S467" s="5">
        <v>431</v>
      </c>
      <c r="T467" s="5">
        <v>431</v>
      </c>
      <c r="U467" s="5">
        <v>431</v>
      </c>
      <c r="V467" s="5"/>
    </row>
    <row r="468" spans="2:22" ht="20" hidden="1" x14ac:dyDescent="0.25">
      <c r="B468" s="2" t="s">
        <v>165</v>
      </c>
      <c r="C468" s="2" t="s">
        <v>166</v>
      </c>
      <c r="D468" s="2" t="s">
        <v>1101</v>
      </c>
      <c r="E468" s="2" t="s">
        <v>40</v>
      </c>
      <c r="F468" s="2" t="s">
        <v>1102</v>
      </c>
      <c r="G468" s="2" t="s">
        <v>27</v>
      </c>
      <c r="H468" s="2">
        <v>73143</v>
      </c>
      <c r="I468" s="2">
        <v>73579</v>
      </c>
      <c r="J468" s="2" t="s">
        <v>42</v>
      </c>
      <c r="K468" s="2" t="s">
        <v>213</v>
      </c>
      <c r="L468" s="2" t="s">
        <v>213</v>
      </c>
      <c r="M468" s="2" t="s">
        <v>1103</v>
      </c>
      <c r="N468" s="3">
        <v>1082</v>
      </c>
      <c r="O468" s="3">
        <v>1082</v>
      </c>
      <c r="P468" s="3">
        <v>1082</v>
      </c>
      <c r="Q468" s="3">
        <v>1082</v>
      </c>
      <c r="R468" s="3">
        <v>431</v>
      </c>
      <c r="S468" s="3">
        <v>431</v>
      </c>
      <c r="T468" s="3">
        <v>431</v>
      </c>
      <c r="U468" s="3">
        <v>431</v>
      </c>
      <c r="V468" s="3"/>
    </row>
    <row r="469" spans="2:22" ht="21" hidden="1" x14ac:dyDescent="0.25">
      <c r="B469" s="4" t="s">
        <v>140</v>
      </c>
      <c r="C469" s="4" t="s">
        <v>141</v>
      </c>
      <c r="D469" s="4" t="s">
        <v>1102</v>
      </c>
      <c r="E469" s="4" t="s">
        <v>27</v>
      </c>
      <c r="F469" s="4" t="s">
        <v>1238</v>
      </c>
      <c r="G469" s="4" t="s">
        <v>40</v>
      </c>
      <c r="H469" s="4">
        <v>73579</v>
      </c>
      <c r="I469" s="4">
        <v>2052</v>
      </c>
      <c r="J469" s="4" t="s">
        <v>42</v>
      </c>
      <c r="K469" s="4" t="s">
        <v>140</v>
      </c>
      <c r="L469" s="4" t="s">
        <v>29</v>
      </c>
      <c r="M469" s="4"/>
      <c r="N469" s="5">
        <v>1110</v>
      </c>
      <c r="O469" s="5">
        <v>1220</v>
      </c>
      <c r="P469" s="5">
        <v>1110</v>
      </c>
      <c r="Q469" s="5">
        <v>1220</v>
      </c>
      <c r="R469" s="5">
        <v>442</v>
      </c>
      <c r="S469" s="5">
        <v>486</v>
      </c>
      <c r="T469" s="5">
        <v>442</v>
      </c>
      <c r="U469" s="5">
        <v>486</v>
      </c>
      <c r="V469" s="5"/>
    </row>
    <row r="470" spans="2:22" ht="20" hidden="1" x14ac:dyDescent="0.25">
      <c r="B470" s="2" t="s">
        <v>140</v>
      </c>
      <c r="C470" s="2" t="s">
        <v>141</v>
      </c>
      <c r="D470" s="2" t="s">
        <v>1102</v>
      </c>
      <c r="E470" s="2" t="s">
        <v>27</v>
      </c>
      <c r="F470" s="2" t="s">
        <v>1238</v>
      </c>
      <c r="G470" s="2" t="s">
        <v>40</v>
      </c>
      <c r="H470" s="2">
        <v>73579</v>
      </c>
      <c r="I470" s="2">
        <v>2052</v>
      </c>
      <c r="J470" s="2" t="s">
        <v>42</v>
      </c>
      <c r="K470" s="2" t="s">
        <v>140</v>
      </c>
      <c r="L470" s="2" t="s">
        <v>30</v>
      </c>
      <c r="M470" s="2" t="s">
        <v>141</v>
      </c>
      <c r="N470" s="3">
        <v>1110</v>
      </c>
      <c r="O470" s="3">
        <v>1220</v>
      </c>
      <c r="P470" s="3">
        <v>1110</v>
      </c>
      <c r="Q470" s="3">
        <v>1220</v>
      </c>
      <c r="R470" s="3">
        <v>442</v>
      </c>
      <c r="S470" s="3">
        <v>486</v>
      </c>
      <c r="T470" s="3">
        <v>442</v>
      </c>
      <c r="U470" s="3">
        <v>486</v>
      </c>
      <c r="V470" s="3"/>
    </row>
    <row r="471" spans="2:22" ht="21" hidden="1" x14ac:dyDescent="0.25">
      <c r="B471" s="4" t="s">
        <v>812</v>
      </c>
      <c r="C471" s="4" t="s">
        <v>813</v>
      </c>
      <c r="D471" s="4" t="s">
        <v>768</v>
      </c>
      <c r="E471" s="4" t="s">
        <v>27</v>
      </c>
      <c r="F471" s="4" t="s">
        <v>814</v>
      </c>
      <c r="G471" s="4" t="s">
        <v>27</v>
      </c>
      <c r="H471" s="4">
        <v>70410</v>
      </c>
      <c r="I471" s="4">
        <v>70592</v>
      </c>
      <c r="J471" s="4" t="s">
        <v>28</v>
      </c>
      <c r="K471" s="4" t="s">
        <v>812</v>
      </c>
      <c r="L471" s="4" t="s">
        <v>29</v>
      </c>
      <c r="M471" s="4"/>
      <c r="N471" s="5">
        <v>1270</v>
      </c>
      <c r="O471" s="5">
        <v>1397</v>
      </c>
      <c r="P471" s="5">
        <v>1447</v>
      </c>
      <c r="Q471" s="5">
        <v>1592</v>
      </c>
      <c r="R471" s="5">
        <v>506</v>
      </c>
      <c r="S471" s="5">
        <v>557</v>
      </c>
      <c r="T471" s="5">
        <v>576</v>
      </c>
      <c r="U471" s="5">
        <v>634</v>
      </c>
      <c r="V471" s="5"/>
    </row>
    <row r="472" spans="2:22" ht="20" hidden="1" x14ac:dyDescent="0.25">
      <c r="B472" s="2" t="s">
        <v>812</v>
      </c>
      <c r="C472" s="2" t="s">
        <v>813</v>
      </c>
      <c r="D472" s="2" t="s">
        <v>768</v>
      </c>
      <c r="E472" s="2" t="s">
        <v>27</v>
      </c>
      <c r="F472" s="2" t="s">
        <v>814</v>
      </c>
      <c r="G472" s="2" t="s">
        <v>27</v>
      </c>
      <c r="H472" s="2">
        <v>70410</v>
      </c>
      <c r="I472" s="2">
        <v>70592</v>
      </c>
      <c r="J472" s="2" t="s">
        <v>28</v>
      </c>
      <c r="K472" s="2" t="s">
        <v>812</v>
      </c>
      <c r="L472" s="2" t="s">
        <v>30</v>
      </c>
      <c r="M472" s="2" t="s">
        <v>813</v>
      </c>
      <c r="N472" s="3">
        <v>1270</v>
      </c>
      <c r="O472" s="3">
        <v>1397</v>
      </c>
      <c r="P472" s="3">
        <v>1447</v>
      </c>
      <c r="Q472" s="3">
        <v>1592</v>
      </c>
      <c r="R472" s="3">
        <v>506</v>
      </c>
      <c r="S472" s="3">
        <v>557</v>
      </c>
      <c r="T472" s="3">
        <v>576</v>
      </c>
      <c r="U472" s="3">
        <v>634</v>
      </c>
      <c r="V472" s="3"/>
    </row>
    <row r="473" spans="2:22" ht="21" hidden="1" x14ac:dyDescent="0.25">
      <c r="B473" s="4" t="s">
        <v>895</v>
      </c>
      <c r="C473" s="4" t="s">
        <v>896</v>
      </c>
      <c r="D473" s="4" t="s">
        <v>312</v>
      </c>
      <c r="E473" s="4" t="s">
        <v>27</v>
      </c>
      <c r="F473" s="4" t="s">
        <v>809</v>
      </c>
      <c r="G473" s="4" t="s">
        <v>27</v>
      </c>
      <c r="H473" s="4">
        <v>70048</v>
      </c>
      <c r="I473" s="4">
        <v>70820</v>
      </c>
      <c r="J473" s="4" t="s">
        <v>28</v>
      </c>
      <c r="K473" s="4" t="s">
        <v>895</v>
      </c>
      <c r="L473" s="4" t="s">
        <v>29</v>
      </c>
      <c r="M473" s="4"/>
      <c r="N473" s="5">
        <v>1800</v>
      </c>
      <c r="O473" s="5">
        <v>1800</v>
      </c>
      <c r="P473" s="5">
        <v>1800</v>
      </c>
      <c r="Q473" s="5">
        <v>1800</v>
      </c>
      <c r="R473" s="5">
        <v>717</v>
      </c>
      <c r="S473" s="5">
        <v>717</v>
      </c>
      <c r="T473" s="5">
        <v>717</v>
      </c>
      <c r="U473" s="5">
        <v>717</v>
      </c>
      <c r="V473" s="5"/>
    </row>
    <row r="474" spans="2:22" ht="30" hidden="1" x14ac:dyDescent="0.25">
      <c r="B474" s="2" t="s">
        <v>895</v>
      </c>
      <c r="C474" s="2" t="s">
        <v>896</v>
      </c>
      <c r="D474" s="2" t="s">
        <v>312</v>
      </c>
      <c r="E474" s="2" t="s">
        <v>27</v>
      </c>
      <c r="F474" s="2" t="s">
        <v>809</v>
      </c>
      <c r="G474" s="2" t="s">
        <v>27</v>
      </c>
      <c r="H474" s="2">
        <v>70048</v>
      </c>
      <c r="I474" s="2">
        <v>70820</v>
      </c>
      <c r="J474" s="2" t="s">
        <v>28</v>
      </c>
      <c r="K474" s="2" t="s">
        <v>897</v>
      </c>
      <c r="L474" s="2" t="s">
        <v>36</v>
      </c>
      <c r="M474" s="2" t="s">
        <v>894</v>
      </c>
      <c r="N474" s="3">
        <v>1800</v>
      </c>
      <c r="O474" s="3">
        <v>1800</v>
      </c>
      <c r="P474" s="3">
        <v>1800</v>
      </c>
      <c r="Q474" s="3">
        <v>1800</v>
      </c>
      <c r="R474" s="3">
        <v>717</v>
      </c>
      <c r="S474" s="3">
        <v>717</v>
      </c>
      <c r="T474" s="3">
        <v>717</v>
      </c>
      <c r="U474" s="3">
        <v>717</v>
      </c>
      <c r="V474" s="3"/>
    </row>
    <row r="475" spans="2:22" ht="21" hidden="1" x14ac:dyDescent="0.25">
      <c r="B475" s="4" t="s">
        <v>1262</v>
      </c>
      <c r="C475" s="4" t="s">
        <v>1263</v>
      </c>
      <c r="D475" s="4" t="s">
        <v>1015</v>
      </c>
      <c r="E475" s="4" t="s">
        <v>27</v>
      </c>
      <c r="F475" s="4" t="s">
        <v>1045</v>
      </c>
      <c r="G475" s="4" t="s">
        <v>27</v>
      </c>
      <c r="H475" s="4">
        <v>70427</v>
      </c>
      <c r="I475" s="4">
        <v>70927</v>
      </c>
      <c r="J475" s="4" t="s">
        <v>28</v>
      </c>
      <c r="K475" s="4" t="s">
        <v>1262</v>
      </c>
      <c r="L475" s="4" t="s">
        <v>29</v>
      </c>
      <c r="M475" s="4"/>
      <c r="N475" s="5">
        <v>1200</v>
      </c>
      <c r="O475" s="5">
        <v>1200</v>
      </c>
      <c r="P475" s="5">
        <v>1325</v>
      </c>
      <c r="Q475" s="5">
        <v>1325</v>
      </c>
      <c r="R475" s="5">
        <v>478</v>
      </c>
      <c r="S475" s="5">
        <v>478</v>
      </c>
      <c r="T475" s="5">
        <v>528</v>
      </c>
      <c r="U475" s="5">
        <v>528</v>
      </c>
      <c r="V475" s="5"/>
    </row>
    <row r="476" spans="2:22" ht="20" hidden="1" x14ac:dyDescent="0.25">
      <c r="B476" s="2" t="s">
        <v>1262</v>
      </c>
      <c r="C476" s="2" t="s">
        <v>1263</v>
      </c>
      <c r="D476" s="2" t="s">
        <v>1015</v>
      </c>
      <c r="E476" s="2" t="s">
        <v>27</v>
      </c>
      <c r="F476" s="2" t="s">
        <v>1045</v>
      </c>
      <c r="G476" s="2" t="s">
        <v>27</v>
      </c>
      <c r="H476" s="2">
        <v>70427</v>
      </c>
      <c r="I476" s="2">
        <v>70927</v>
      </c>
      <c r="J476" s="2" t="s">
        <v>28</v>
      </c>
      <c r="K476" s="2"/>
      <c r="L476" s="2" t="s">
        <v>301</v>
      </c>
      <c r="M476" s="2" t="s">
        <v>1017</v>
      </c>
      <c r="N476" s="3">
        <v>1200</v>
      </c>
      <c r="O476" s="3">
        <v>1200</v>
      </c>
      <c r="P476" s="3">
        <v>1325</v>
      </c>
      <c r="Q476" s="3">
        <v>1325</v>
      </c>
      <c r="R476" s="3">
        <v>478</v>
      </c>
      <c r="S476" s="3">
        <v>478</v>
      </c>
      <c r="T476" s="3">
        <v>528</v>
      </c>
      <c r="U476" s="3">
        <v>528</v>
      </c>
      <c r="V476" s="3"/>
    </row>
    <row r="477" spans="2:22" ht="20" hidden="1" x14ac:dyDescent="0.25">
      <c r="B477" s="2" t="s">
        <v>1262</v>
      </c>
      <c r="C477" s="2" t="s">
        <v>1263</v>
      </c>
      <c r="D477" s="2" t="s">
        <v>1015</v>
      </c>
      <c r="E477" s="2" t="s">
        <v>27</v>
      </c>
      <c r="F477" s="2" t="s">
        <v>1045</v>
      </c>
      <c r="G477" s="2" t="s">
        <v>27</v>
      </c>
      <c r="H477" s="2">
        <v>70427</v>
      </c>
      <c r="I477" s="2">
        <v>70927</v>
      </c>
      <c r="J477" s="2" t="s">
        <v>28</v>
      </c>
      <c r="K477" s="2" t="s">
        <v>1262</v>
      </c>
      <c r="L477" s="2" t="s">
        <v>30</v>
      </c>
      <c r="M477" s="2" t="s">
        <v>1263</v>
      </c>
      <c r="N477" s="3">
        <v>1200</v>
      </c>
      <c r="O477" s="2">
        <v>1320</v>
      </c>
      <c r="P477" s="2">
        <v>1390</v>
      </c>
      <c r="Q477" s="2">
        <v>1529</v>
      </c>
      <c r="R477" s="3">
        <v>478</v>
      </c>
      <c r="S477" s="2">
        <v>526</v>
      </c>
      <c r="T477" s="2">
        <v>554</v>
      </c>
      <c r="U477" s="2">
        <v>609</v>
      </c>
      <c r="V477" s="2"/>
    </row>
    <row r="478" spans="2:22" ht="21" hidden="1" x14ac:dyDescent="0.25">
      <c r="B478" s="4" t="s">
        <v>614</v>
      </c>
      <c r="C478" s="4" t="s">
        <v>615</v>
      </c>
      <c r="D478" s="4" t="s">
        <v>616</v>
      </c>
      <c r="E478" s="4" t="s">
        <v>27</v>
      </c>
      <c r="F478" s="4" t="s">
        <v>350</v>
      </c>
      <c r="G478" s="4" t="s">
        <v>27</v>
      </c>
      <c r="H478" s="4">
        <v>70601</v>
      </c>
      <c r="I478" s="4">
        <v>70654</v>
      </c>
      <c r="J478" s="4" t="s">
        <v>28</v>
      </c>
      <c r="K478" s="4" t="s">
        <v>614</v>
      </c>
      <c r="L478" s="4" t="s">
        <v>29</v>
      </c>
      <c r="M478" s="4"/>
      <c r="N478" s="5">
        <v>2000</v>
      </c>
      <c r="O478" s="5">
        <v>2000</v>
      </c>
      <c r="P478" s="5">
        <v>2208</v>
      </c>
      <c r="Q478" s="5">
        <v>2208</v>
      </c>
      <c r="R478" s="5">
        <v>1195</v>
      </c>
      <c r="S478" s="5">
        <v>1195</v>
      </c>
      <c r="T478" s="5">
        <v>1319</v>
      </c>
      <c r="U478" s="5">
        <v>1319</v>
      </c>
      <c r="V478" s="5"/>
    </row>
    <row r="479" spans="2:22" ht="20" hidden="1" x14ac:dyDescent="0.25">
      <c r="B479" s="2" t="s">
        <v>614</v>
      </c>
      <c r="C479" s="2" t="s">
        <v>615</v>
      </c>
      <c r="D479" s="2" t="s">
        <v>616</v>
      </c>
      <c r="E479" s="2" t="s">
        <v>27</v>
      </c>
      <c r="F479" s="2" t="s">
        <v>350</v>
      </c>
      <c r="G479" s="2" t="s">
        <v>27</v>
      </c>
      <c r="H479" s="2">
        <v>70601</v>
      </c>
      <c r="I479" s="2">
        <v>70654</v>
      </c>
      <c r="J479" s="2" t="s">
        <v>28</v>
      </c>
      <c r="K479" s="2"/>
      <c r="L479" s="2" t="s">
        <v>301</v>
      </c>
      <c r="M479" s="2" t="s">
        <v>617</v>
      </c>
      <c r="N479" s="3">
        <v>2000</v>
      </c>
      <c r="O479" s="3">
        <v>2000</v>
      </c>
      <c r="P479" s="3">
        <v>2208</v>
      </c>
      <c r="Q479" s="3">
        <v>2208</v>
      </c>
      <c r="R479" s="3">
        <v>1195</v>
      </c>
      <c r="S479" s="3">
        <v>1195</v>
      </c>
      <c r="T479" s="3">
        <v>1319</v>
      </c>
      <c r="U479" s="3">
        <v>1319</v>
      </c>
      <c r="V479" s="3"/>
    </row>
    <row r="480" spans="2:22" ht="20" hidden="1" x14ac:dyDescent="0.25">
      <c r="B480" s="2" t="s">
        <v>614</v>
      </c>
      <c r="C480" s="2" t="s">
        <v>615</v>
      </c>
      <c r="D480" s="2" t="s">
        <v>616</v>
      </c>
      <c r="E480" s="2" t="s">
        <v>27</v>
      </c>
      <c r="F480" s="2" t="s">
        <v>350</v>
      </c>
      <c r="G480" s="2" t="s">
        <v>27</v>
      </c>
      <c r="H480" s="2">
        <v>70601</v>
      </c>
      <c r="I480" s="2">
        <v>70654</v>
      </c>
      <c r="J480" s="2" t="s">
        <v>28</v>
      </c>
      <c r="K480" s="2"/>
      <c r="L480" s="2" t="s">
        <v>301</v>
      </c>
      <c r="M480" s="2" t="s">
        <v>588</v>
      </c>
      <c r="N480" s="3">
        <v>2000</v>
      </c>
      <c r="O480" s="3">
        <v>2000</v>
      </c>
      <c r="P480" s="3">
        <v>2208</v>
      </c>
      <c r="Q480" s="3">
        <v>2208</v>
      </c>
      <c r="R480" s="3">
        <v>1195</v>
      </c>
      <c r="S480" s="3">
        <v>1195</v>
      </c>
      <c r="T480" s="3">
        <v>1319</v>
      </c>
      <c r="U480" s="3">
        <v>1319</v>
      </c>
      <c r="V480" s="3"/>
    </row>
    <row r="481" spans="2:22" ht="21" hidden="1" x14ac:dyDescent="0.25">
      <c r="B481" s="4" t="s">
        <v>618</v>
      </c>
      <c r="C481" s="4" t="s">
        <v>619</v>
      </c>
      <c r="D481" s="4" t="s">
        <v>616</v>
      </c>
      <c r="E481" s="4" t="s">
        <v>27</v>
      </c>
      <c r="F481" s="4" t="s">
        <v>350</v>
      </c>
      <c r="G481" s="4" t="s">
        <v>27</v>
      </c>
      <c r="H481" s="4">
        <v>70601</v>
      </c>
      <c r="I481" s="4">
        <v>70654</v>
      </c>
      <c r="J481" s="4" t="s">
        <v>28</v>
      </c>
      <c r="K481" s="4" t="s">
        <v>618</v>
      </c>
      <c r="L481" s="4" t="s">
        <v>29</v>
      </c>
      <c r="M481" s="4"/>
      <c r="N481" s="5">
        <v>2000</v>
      </c>
      <c r="O481" s="5">
        <v>2000</v>
      </c>
      <c r="P481" s="5">
        <v>2208</v>
      </c>
      <c r="Q481" s="5">
        <v>2208</v>
      </c>
      <c r="R481" s="5">
        <v>1195</v>
      </c>
      <c r="S481" s="5">
        <v>1195</v>
      </c>
      <c r="T481" s="5">
        <v>1319</v>
      </c>
      <c r="U481" s="5">
        <v>1319</v>
      </c>
      <c r="V481" s="5"/>
    </row>
    <row r="482" spans="2:22" ht="20" hidden="1" x14ac:dyDescent="0.25">
      <c r="B482" s="2" t="s">
        <v>618</v>
      </c>
      <c r="C482" s="2" t="s">
        <v>619</v>
      </c>
      <c r="D482" s="2" t="s">
        <v>616</v>
      </c>
      <c r="E482" s="2" t="s">
        <v>27</v>
      </c>
      <c r="F482" s="2" t="s">
        <v>350</v>
      </c>
      <c r="G482" s="2" t="s">
        <v>27</v>
      </c>
      <c r="H482" s="2">
        <v>70601</v>
      </c>
      <c r="I482" s="2">
        <v>70654</v>
      </c>
      <c r="J482" s="2" t="s">
        <v>28</v>
      </c>
      <c r="K482" s="2"/>
      <c r="L482" s="2" t="s">
        <v>301</v>
      </c>
      <c r="M482" s="2" t="s">
        <v>617</v>
      </c>
      <c r="N482" s="3">
        <v>2000</v>
      </c>
      <c r="O482" s="3">
        <v>2000</v>
      </c>
      <c r="P482" s="3">
        <v>2208</v>
      </c>
      <c r="Q482" s="3">
        <v>2208</v>
      </c>
      <c r="R482" s="3">
        <v>1195</v>
      </c>
      <c r="S482" s="3">
        <v>1195</v>
      </c>
      <c r="T482" s="3">
        <v>1319</v>
      </c>
      <c r="U482" s="3">
        <v>1319</v>
      </c>
      <c r="V482" s="3"/>
    </row>
    <row r="483" spans="2:22" ht="20" hidden="1" x14ac:dyDescent="0.25">
      <c r="B483" s="2" t="s">
        <v>618</v>
      </c>
      <c r="C483" s="2" t="s">
        <v>619</v>
      </c>
      <c r="D483" s="2" t="s">
        <v>616</v>
      </c>
      <c r="E483" s="2" t="s">
        <v>27</v>
      </c>
      <c r="F483" s="2" t="s">
        <v>350</v>
      </c>
      <c r="G483" s="2" t="s">
        <v>27</v>
      </c>
      <c r="H483" s="2">
        <v>70601</v>
      </c>
      <c r="I483" s="2">
        <v>70654</v>
      </c>
      <c r="J483" s="2" t="s">
        <v>28</v>
      </c>
      <c r="K483" s="2"/>
      <c r="L483" s="2" t="s">
        <v>301</v>
      </c>
      <c r="M483" s="2" t="s">
        <v>588</v>
      </c>
      <c r="N483" s="3">
        <v>2000</v>
      </c>
      <c r="O483" s="3">
        <v>2000</v>
      </c>
      <c r="P483" s="3">
        <v>2208</v>
      </c>
      <c r="Q483" s="3">
        <v>2208</v>
      </c>
      <c r="R483" s="3">
        <v>1195</v>
      </c>
      <c r="S483" s="3">
        <v>1195</v>
      </c>
      <c r="T483" s="3">
        <v>1319</v>
      </c>
      <c r="U483" s="3">
        <v>1319</v>
      </c>
      <c r="V483" s="3"/>
    </row>
    <row r="484" spans="2:22" ht="21" hidden="1" x14ac:dyDescent="0.25">
      <c r="B484" s="4" t="s">
        <v>1055</v>
      </c>
      <c r="C484" s="4" t="s">
        <v>1056</v>
      </c>
      <c r="D484" s="4" t="s">
        <v>45</v>
      </c>
      <c r="E484" s="4" t="s">
        <v>27</v>
      </c>
      <c r="F484" s="4" t="s">
        <v>490</v>
      </c>
      <c r="G484" s="4" t="s">
        <v>27</v>
      </c>
      <c r="H484" s="4">
        <v>70465</v>
      </c>
      <c r="I484" s="4">
        <v>70466</v>
      </c>
      <c r="J484" s="4" t="s">
        <v>28</v>
      </c>
      <c r="K484" s="4" t="s">
        <v>1055</v>
      </c>
      <c r="L484" s="4" t="s">
        <v>29</v>
      </c>
      <c r="M484" s="4"/>
      <c r="N484" s="5">
        <v>2000</v>
      </c>
      <c r="O484" s="5">
        <v>2000</v>
      </c>
      <c r="P484" s="5">
        <v>2208</v>
      </c>
      <c r="Q484" s="5">
        <v>2208</v>
      </c>
      <c r="R484" s="5">
        <v>1195</v>
      </c>
      <c r="S484" s="5">
        <v>1195</v>
      </c>
      <c r="T484" s="5">
        <v>1319</v>
      </c>
      <c r="U484" s="5">
        <v>1319</v>
      </c>
      <c r="V484" s="5"/>
    </row>
    <row r="485" spans="2:22" ht="20" hidden="1" x14ac:dyDescent="0.25">
      <c r="B485" s="2" t="s">
        <v>1055</v>
      </c>
      <c r="C485" s="2" t="s">
        <v>1056</v>
      </c>
      <c r="D485" s="2" t="s">
        <v>45</v>
      </c>
      <c r="E485" s="2" t="s">
        <v>27</v>
      </c>
      <c r="F485" s="2" t="s">
        <v>490</v>
      </c>
      <c r="G485" s="2" t="s">
        <v>27</v>
      </c>
      <c r="H485" s="2">
        <v>70465</v>
      </c>
      <c r="I485" s="2">
        <v>70466</v>
      </c>
      <c r="J485" s="2" t="s">
        <v>28</v>
      </c>
      <c r="K485" s="2"/>
      <c r="L485" s="2" t="s">
        <v>301</v>
      </c>
      <c r="M485" s="2" t="s">
        <v>1057</v>
      </c>
      <c r="N485" s="3">
        <v>2000</v>
      </c>
      <c r="O485" s="3">
        <v>2000</v>
      </c>
      <c r="P485" s="3">
        <v>2208</v>
      </c>
      <c r="Q485" s="3">
        <v>2208</v>
      </c>
      <c r="R485" s="3">
        <v>1195</v>
      </c>
      <c r="S485" s="3">
        <v>1195</v>
      </c>
      <c r="T485" s="3">
        <v>1319</v>
      </c>
      <c r="U485" s="3">
        <v>1319</v>
      </c>
      <c r="V485" s="3"/>
    </row>
    <row r="486" spans="2:22" ht="20" hidden="1" x14ac:dyDescent="0.25">
      <c r="B486" s="2" t="s">
        <v>1055</v>
      </c>
      <c r="C486" s="2" t="s">
        <v>1056</v>
      </c>
      <c r="D486" s="2" t="s">
        <v>45</v>
      </c>
      <c r="E486" s="2" t="s">
        <v>27</v>
      </c>
      <c r="F486" s="2" t="s">
        <v>490</v>
      </c>
      <c r="G486" s="2" t="s">
        <v>27</v>
      </c>
      <c r="H486" s="2">
        <v>70465</v>
      </c>
      <c r="I486" s="2">
        <v>70466</v>
      </c>
      <c r="J486" s="2" t="s">
        <v>28</v>
      </c>
      <c r="K486" s="2"/>
      <c r="L486" s="2" t="s">
        <v>301</v>
      </c>
      <c r="M486" s="2" t="s">
        <v>46</v>
      </c>
      <c r="N486" s="3">
        <v>2000</v>
      </c>
      <c r="O486" s="3">
        <v>2000</v>
      </c>
      <c r="P486" s="3">
        <v>2208</v>
      </c>
      <c r="Q486" s="3">
        <v>2208</v>
      </c>
      <c r="R486" s="3">
        <v>1195</v>
      </c>
      <c r="S486" s="3">
        <v>1195</v>
      </c>
      <c r="T486" s="3">
        <v>1319</v>
      </c>
      <c r="U486" s="3">
        <v>1319</v>
      </c>
      <c r="V486" s="3"/>
    </row>
    <row r="487" spans="2:22" hidden="1" x14ac:dyDescent="0.25">
      <c r="B487" s="4" t="s">
        <v>936</v>
      </c>
      <c r="C487" s="4" t="s">
        <v>937</v>
      </c>
      <c r="D487" s="4" t="s">
        <v>938</v>
      </c>
      <c r="E487" s="4" t="s">
        <v>27</v>
      </c>
      <c r="F487" s="4" t="s">
        <v>636</v>
      </c>
      <c r="G487" s="4" t="s">
        <v>27</v>
      </c>
      <c r="H487" s="4">
        <v>70597</v>
      </c>
      <c r="I487" s="4">
        <v>70624</v>
      </c>
      <c r="J487" s="4" t="s">
        <v>28</v>
      </c>
      <c r="K487" s="4" t="s">
        <v>936</v>
      </c>
      <c r="L487" s="4" t="s">
        <v>29</v>
      </c>
      <c r="M487" s="4"/>
      <c r="N487" s="5">
        <v>2821</v>
      </c>
      <c r="O487" s="5">
        <v>3000</v>
      </c>
      <c r="P487" s="5">
        <v>3214</v>
      </c>
      <c r="Q487" s="5">
        <v>3312</v>
      </c>
      <c r="R487" s="5">
        <v>1686</v>
      </c>
      <c r="S487" s="5">
        <v>1793</v>
      </c>
      <c r="T487" s="5">
        <v>1921</v>
      </c>
      <c r="U487" s="5">
        <v>1979</v>
      </c>
      <c r="V487" s="5"/>
    </row>
    <row r="488" spans="2:22" ht="20" hidden="1" x14ac:dyDescent="0.25">
      <c r="B488" s="2" t="s">
        <v>936</v>
      </c>
      <c r="C488" s="2" t="s">
        <v>937</v>
      </c>
      <c r="D488" s="2" t="s">
        <v>938</v>
      </c>
      <c r="E488" s="2" t="s">
        <v>27</v>
      </c>
      <c r="F488" s="2" t="s">
        <v>636</v>
      </c>
      <c r="G488" s="2" t="s">
        <v>27</v>
      </c>
      <c r="H488" s="2">
        <v>70597</v>
      </c>
      <c r="I488" s="2">
        <v>70624</v>
      </c>
      <c r="J488" s="2" t="s">
        <v>28</v>
      </c>
      <c r="K488" s="2" t="s">
        <v>388</v>
      </c>
      <c r="L488" s="2" t="s">
        <v>31</v>
      </c>
      <c r="M488" s="2" t="s">
        <v>640</v>
      </c>
      <c r="N488" s="3">
        <v>2821</v>
      </c>
      <c r="O488" s="2">
        <v>3103</v>
      </c>
      <c r="P488" s="3">
        <v>3214</v>
      </c>
      <c r="Q488" s="2">
        <v>3536</v>
      </c>
      <c r="R488" s="3">
        <v>1686</v>
      </c>
      <c r="S488" s="2">
        <v>1854</v>
      </c>
      <c r="T488" s="3">
        <v>1921</v>
      </c>
      <c r="U488" s="2">
        <v>2113</v>
      </c>
      <c r="V488" s="2"/>
    </row>
    <row r="489" spans="2:22" hidden="1" x14ac:dyDescent="0.25">
      <c r="B489" s="2" t="s">
        <v>936</v>
      </c>
      <c r="C489" s="2" t="s">
        <v>937</v>
      </c>
      <c r="D489" s="2" t="s">
        <v>938</v>
      </c>
      <c r="E489" s="2" t="s">
        <v>27</v>
      </c>
      <c r="F489" s="2" t="s">
        <v>636</v>
      </c>
      <c r="G489" s="2" t="s">
        <v>27</v>
      </c>
      <c r="H489" s="2">
        <v>70597</v>
      </c>
      <c r="I489" s="2">
        <v>70624</v>
      </c>
      <c r="J489" s="2" t="s">
        <v>28</v>
      </c>
      <c r="K489" s="2"/>
      <c r="L489" s="2" t="s">
        <v>301</v>
      </c>
      <c r="M489" s="2" t="s">
        <v>640</v>
      </c>
      <c r="N489" s="2">
        <v>3000</v>
      </c>
      <c r="O489" s="3">
        <v>3000</v>
      </c>
      <c r="P489" s="2">
        <v>3312</v>
      </c>
      <c r="Q489" s="3">
        <v>3312</v>
      </c>
      <c r="R489" s="2">
        <v>1793</v>
      </c>
      <c r="S489" s="3">
        <v>1793</v>
      </c>
      <c r="T489" s="2">
        <v>1979</v>
      </c>
      <c r="U489" s="3">
        <v>1979</v>
      </c>
      <c r="V489" s="3"/>
    </row>
    <row r="490" spans="2:22" ht="21" hidden="1" x14ac:dyDescent="0.25">
      <c r="B490" s="4" t="s">
        <v>943</v>
      </c>
      <c r="C490" s="4" t="s">
        <v>937</v>
      </c>
      <c r="D490" s="4" t="s">
        <v>938</v>
      </c>
      <c r="E490" s="4" t="s">
        <v>27</v>
      </c>
      <c r="F490" s="4" t="s">
        <v>422</v>
      </c>
      <c r="G490" s="4" t="s">
        <v>27</v>
      </c>
      <c r="H490" s="4">
        <v>70597</v>
      </c>
      <c r="I490" s="4">
        <v>70599</v>
      </c>
      <c r="J490" s="4" t="s">
        <v>28</v>
      </c>
      <c r="K490" s="4" t="s">
        <v>943</v>
      </c>
      <c r="L490" s="4" t="s">
        <v>29</v>
      </c>
      <c r="M490" s="4"/>
      <c r="N490" s="5">
        <v>2832</v>
      </c>
      <c r="O490" s="5">
        <v>3000</v>
      </c>
      <c r="P490" s="5">
        <v>3228</v>
      </c>
      <c r="Q490" s="5">
        <v>3312</v>
      </c>
      <c r="R490" s="5">
        <v>1692</v>
      </c>
      <c r="S490" s="5">
        <v>1793</v>
      </c>
      <c r="T490" s="5">
        <v>1929</v>
      </c>
      <c r="U490" s="5">
        <v>1979</v>
      </c>
      <c r="V490" s="5"/>
    </row>
    <row r="491" spans="2:22" ht="20" hidden="1" x14ac:dyDescent="0.25">
      <c r="B491" s="2" t="s">
        <v>943</v>
      </c>
      <c r="C491" s="2" t="s">
        <v>937</v>
      </c>
      <c r="D491" s="2" t="s">
        <v>938</v>
      </c>
      <c r="E491" s="2" t="s">
        <v>27</v>
      </c>
      <c r="F491" s="2" t="s">
        <v>422</v>
      </c>
      <c r="G491" s="2" t="s">
        <v>27</v>
      </c>
      <c r="H491" s="2">
        <v>70597</v>
      </c>
      <c r="I491" s="2">
        <v>70599</v>
      </c>
      <c r="J491" s="2" t="s">
        <v>28</v>
      </c>
      <c r="K491" s="2" t="s">
        <v>388</v>
      </c>
      <c r="L491" s="2" t="s">
        <v>31</v>
      </c>
      <c r="M491" s="2" t="s">
        <v>424</v>
      </c>
      <c r="N491" s="3">
        <v>2832</v>
      </c>
      <c r="O491" s="2">
        <v>3115</v>
      </c>
      <c r="P491" s="3">
        <v>3228</v>
      </c>
      <c r="Q491" s="2">
        <v>3551</v>
      </c>
      <c r="R491" s="3">
        <v>1692</v>
      </c>
      <c r="S491" s="2">
        <v>1862</v>
      </c>
      <c r="T491" s="3">
        <v>1929</v>
      </c>
      <c r="U491" s="2">
        <v>2122</v>
      </c>
      <c r="V491" s="2"/>
    </row>
    <row r="492" spans="2:22" ht="20" hidden="1" x14ac:dyDescent="0.25">
      <c r="B492" s="2" t="s">
        <v>943</v>
      </c>
      <c r="C492" s="2" t="s">
        <v>937</v>
      </c>
      <c r="D492" s="2" t="s">
        <v>938</v>
      </c>
      <c r="E492" s="2" t="s">
        <v>27</v>
      </c>
      <c r="F492" s="2" t="s">
        <v>422</v>
      </c>
      <c r="G492" s="2" t="s">
        <v>27</v>
      </c>
      <c r="H492" s="2">
        <v>70597</v>
      </c>
      <c r="I492" s="2">
        <v>70599</v>
      </c>
      <c r="J492" s="2" t="s">
        <v>28</v>
      </c>
      <c r="K492" s="2"/>
      <c r="L492" s="2" t="s">
        <v>301</v>
      </c>
      <c r="M492" s="2" t="s">
        <v>424</v>
      </c>
      <c r="N492" s="2">
        <v>3000</v>
      </c>
      <c r="O492" s="3">
        <v>3000</v>
      </c>
      <c r="P492" s="2">
        <v>3312</v>
      </c>
      <c r="Q492" s="3">
        <v>3312</v>
      </c>
      <c r="R492" s="2">
        <v>1793</v>
      </c>
      <c r="S492" s="3">
        <v>1793</v>
      </c>
      <c r="T492" s="2">
        <v>1979</v>
      </c>
      <c r="U492" s="3">
        <v>1979</v>
      </c>
      <c r="V492" s="3"/>
    </row>
    <row r="493" spans="2:22" ht="21" hidden="1" x14ac:dyDescent="0.25">
      <c r="B493" s="4" t="s">
        <v>944</v>
      </c>
      <c r="C493" s="4" t="s">
        <v>945</v>
      </c>
      <c r="D493" s="4" t="s">
        <v>938</v>
      </c>
      <c r="E493" s="4" t="s">
        <v>27</v>
      </c>
      <c r="F493" s="4" t="s">
        <v>422</v>
      </c>
      <c r="G493" s="4" t="s">
        <v>27</v>
      </c>
      <c r="H493" s="4">
        <v>70597</v>
      </c>
      <c r="I493" s="4">
        <v>70599</v>
      </c>
      <c r="J493" s="4" t="s">
        <v>28</v>
      </c>
      <c r="K493" s="4" t="s">
        <v>944</v>
      </c>
      <c r="L493" s="4" t="s">
        <v>29</v>
      </c>
      <c r="M493" s="4"/>
      <c r="N493" s="5">
        <v>2820</v>
      </c>
      <c r="O493" s="5">
        <v>3102</v>
      </c>
      <c r="P493" s="5">
        <v>3214</v>
      </c>
      <c r="Q493" s="5">
        <v>3536</v>
      </c>
      <c r="R493" s="5">
        <v>1685</v>
      </c>
      <c r="S493" s="5">
        <v>1854</v>
      </c>
      <c r="T493" s="5">
        <v>1921</v>
      </c>
      <c r="U493" s="5">
        <v>2113</v>
      </c>
      <c r="V493" s="5"/>
    </row>
    <row r="494" spans="2:22" ht="20" hidden="1" x14ac:dyDescent="0.25">
      <c r="B494" s="2" t="s">
        <v>944</v>
      </c>
      <c r="C494" s="2" t="s">
        <v>945</v>
      </c>
      <c r="D494" s="2" t="s">
        <v>938</v>
      </c>
      <c r="E494" s="2" t="s">
        <v>27</v>
      </c>
      <c r="F494" s="2" t="s">
        <v>422</v>
      </c>
      <c r="G494" s="2" t="s">
        <v>27</v>
      </c>
      <c r="H494" s="2">
        <v>70597</v>
      </c>
      <c r="I494" s="2">
        <v>70599</v>
      </c>
      <c r="J494" s="2" t="s">
        <v>28</v>
      </c>
      <c r="K494" s="2" t="s">
        <v>388</v>
      </c>
      <c r="L494" s="2" t="s">
        <v>31</v>
      </c>
      <c r="M494" s="2" t="s">
        <v>424</v>
      </c>
      <c r="N494" s="3">
        <v>2820</v>
      </c>
      <c r="O494" s="3">
        <v>3102</v>
      </c>
      <c r="P494" s="3">
        <v>3214</v>
      </c>
      <c r="Q494" s="3">
        <v>3536</v>
      </c>
      <c r="R494" s="3">
        <v>1685</v>
      </c>
      <c r="S494" s="3">
        <v>1854</v>
      </c>
      <c r="T494" s="3">
        <v>1921</v>
      </c>
      <c r="U494" s="3">
        <v>2113</v>
      </c>
      <c r="V494" s="3"/>
    </row>
    <row r="495" spans="2:22" x14ac:dyDescent="0.25">
      <c r="B495" s="4" t="s">
        <v>1134</v>
      </c>
      <c r="C495" s="4" t="s">
        <v>1135</v>
      </c>
      <c r="D495" s="4" t="s">
        <v>783</v>
      </c>
      <c r="E495" s="4" t="s">
        <v>27</v>
      </c>
      <c r="F495" s="4" t="s">
        <v>636</v>
      </c>
      <c r="G495" s="4" t="s">
        <v>27</v>
      </c>
      <c r="H495" s="4">
        <v>70598</v>
      </c>
      <c r="I495" s="4">
        <v>70624</v>
      </c>
      <c r="J495" s="4" t="s">
        <v>28</v>
      </c>
      <c r="K495" s="4" t="s">
        <v>1134</v>
      </c>
      <c r="L495" s="4" t="s">
        <v>29</v>
      </c>
      <c r="M495" s="4"/>
      <c r="N495" s="5">
        <v>2821</v>
      </c>
      <c r="O495" s="5">
        <v>3000</v>
      </c>
      <c r="P495" s="5">
        <v>3214</v>
      </c>
      <c r="Q495" s="5">
        <v>3312</v>
      </c>
      <c r="R495" s="5">
        <v>1686</v>
      </c>
      <c r="S495" s="5">
        <v>1793</v>
      </c>
      <c r="T495" s="5">
        <v>1921</v>
      </c>
      <c r="U495" s="5">
        <v>1979</v>
      </c>
      <c r="V495" s="5"/>
    </row>
    <row r="496" spans="2:22" ht="20" hidden="1" x14ac:dyDescent="0.25">
      <c r="B496" s="2" t="s">
        <v>1134</v>
      </c>
      <c r="C496" s="2" t="s">
        <v>1135</v>
      </c>
      <c r="D496" s="2" t="s">
        <v>783</v>
      </c>
      <c r="E496" s="2" t="s">
        <v>27</v>
      </c>
      <c r="F496" s="2" t="s">
        <v>636</v>
      </c>
      <c r="G496" s="2" t="s">
        <v>27</v>
      </c>
      <c r="H496" s="2">
        <v>70598</v>
      </c>
      <c r="I496" s="2">
        <v>70624</v>
      </c>
      <c r="J496" s="2" t="s">
        <v>28</v>
      </c>
      <c r="K496" s="2" t="s">
        <v>388</v>
      </c>
      <c r="L496" s="2" t="s">
        <v>31</v>
      </c>
      <c r="M496" s="2" t="s">
        <v>640</v>
      </c>
      <c r="N496" s="3">
        <v>2821</v>
      </c>
      <c r="O496" s="2">
        <v>3103</v>
      </c>
      <c r="P496" s="3">
        <v>3214</v>
      </c>
      <c r="Q496" s="2">
        <v>3536</v>
      </c>
      <c r="R496" s="3">
        <v>1686</v>
      </c>
      <c r="S496" s="2">
        <v>1854</v>
      </c>
      <c r="T496" s="3">
        <v>1921</v>
      </c>
      <c r="U496" s="2">
        <v>2113</v>
      </c>
      <c r="V496" s="2"/>
    </row>
    <row r="497" spans="2:22" hidden="1" x14ac:dyDescent="0.25">
      <c r="B497" s="2" t="s">
        <v>1134</v>
      </c>
      <c r="C497" s="2" t="s">
        <v>1135</v>
      </c>
      <c r="D497" s="2" t="s">
        <v>783</v>
      </c>
      <c r="E497" s="2" t="s">
        <v>27</v>
      </c>
      <c r="F497" s="2" t="s">
        <v>636</v>
      </c>
      <c r="G497" s="2" t="s">
        <v>27</v>
      </c>
      <c r="H497" s="2">
        <v>70598</v>
      </c>
      <c r="I497" s="2">
        <v>70624</v>
      </c>
      <c r="J497" s="2" t="s">
        <v>28</v>
      </c>
      <c r="K497" s="2"/>
      <c r="L497" s="2" t="s">
        <v>301</v>
      </c>
      <c r="M497" s="2" t="s">
        <v>640</v>
      </c>
      <c r="N497" s="2">
        <v>3000</v>
      </c>
      <c r="O497" s="3">
        <v>3000</v>
      </c>
      <c r="P497" s="2">
        <v>3312</v>
      </c>
      <c r="Q497" s="3">
        <v>3312</v>
      </c>
      <c r="R497" s="2">
        <v>1793</v>
      </c>
      <c r="S497" s="3">
        <v>1793</v>
      </c>
      <c r="T497" s="2">
        <v>1979</v>
      </c>
      <c r="U497" s="3">
        <v>1979</v>
      </c>
      <c r="V497" s="3"/>
    </row>
    <row r="498" spans="2:22" hidden="1" x14ac:dyDescent="0.25">
      <c r="B498" s="2" t="s">
        <v>1134</v>
      </c>
      <c r="C498" s="2" t="s">
        <v>1135</v>
      </c>
      <c r="D498" s="2" t="s">
        <v>783</v>
      </c>
      <c r="E498" s="2" t="s">
        <v>27</v>
      </c>
      <c r="F498" s="2" t="s">
        <v>636</v>
      </c>
      <c r="G498" s="2" t="s">
        <v>27</v>
      </c>
      <c r="H498" s="2">
        <v>70598</v>
      </c>
      <c r="I498" s="2">
        <v>70624</v>
      </c>
      <c r="J498" s="2" t="s">
        <v>28</v>
      </c>
      <c r="K498" s="2"/>
      <c r="L498" s="2" t="s">
        <v>301</v>
      </c>
      <c r="M498" s="2" t="s">
        <v>785</v>
      </c>
      <c r="N498" s="2">
        <v>3000</v>
      </c>
      <c r="O498" s="3">
        <v>3000</v>
      </c>
      <c r="P498" s="2">
        <v>3312</v>
      </c>
      <c r="Q498" s="3">
        <v>3312</v>
      </c>
      <c r="R498" s="2">
        <v>1793</v>
      </c>
      <c r="S498" s="3">
        <v>1793</v>
      </c>
      <c r="T498" s="2">
        <v>1979</v>
      </c>
      <c r="U498" s="3">
        <v>1979</v>
      </c>
      <c r="V498" s="3"/>
    </row>
    <row r="499" spans="2:22" ht="31.5" hidden="1" x14ac:dyDescent="0.25">
      <c r="B499" s="4" t="s">
        <v>1280</v>
      </c>
      <c r="C499" s="4" t="s">
        <v>1281</v>
      </c>
      <c r="D499" s="4" t="s">
        <v>580</v>
      </c>
      <c r="E499" s="4" t="s">
        <v>27</v>
      </c>
      <c r="F499" s="4" t="s">
        <v>1282</v>
      </c>
      <c r="G499" s="4" t="s">
        <v>40</v>
      </c>
      <c r="H499" s="4">
        <v>79058</v>
      </c>
      <c r="I499" s="4">
        <v>79266</v>
      </c>
      <c r="J499" s="4" t="s">
        <v>28</v>
      </c>
      <c r="K499" s="4" t="s">
        <v>1280</v>
      </c>
      <c r="L499" s="4" t="s">
        <v>29</v>
      </c>
      <c r="M499" s="4"/>
      <c r="N499" s="5">
        <v>1600</v>
      </c>
      <c r="O499" s="5">
        <v>1600</v>
      </c>
      <c r="P499" s="5">
        <v>1600</v>
      </c>
      <c r="Q499" s="5">
        <v>1600</v>
      </c>
      <c r="R499" s="5">
        <v>956</v>
      </c>
      <c r="S499" s="5">
        <v>956</v>
      </c>
      <c r="T499" s="5">
        <v>956</v>
      </c>
      <c r="U499" s="5">
        <v>956</v>
      </c>
      <c r="V499" s="5"/>
    </row>
    <row r="500" spans="2:22" ht="30" hidden="1" x14ac:dyDescent="0.25">
      <c r="B500" s="2" t="s">
        <v>1280</v>
      </c>
      <c r="C500" s="2" t="s">
        <v>1281</v>
      </c>
      <c r="D500" s="2" t="s">
        <v>580</v>
      </c>
      <c r="E500" s="2" t="s">
        <v>27</v>
      </c>
      <c r="F500" s="2" t="s">
        <v>1282</v>
      </c>
      <c r="G500" s="2" t="s">
        <v>40</v>
      </c>
      <c r="H500" s="2">
        <v>79058</v>
      </c>
      <c r="I500" s="2">
        <v>79266</v>
      </c>
      <c r="J500" s="2" t="s">
        <v>28</v>
      </c>
      <c r="K500" s="2" t="s">
        <v>1283</v>
      </c>
      <c r="L500" s="2" t="s">
        <v>36</v>
      </c>
      <c r="M500" s="2" t="s">
        <v>1284</v>
      </c>
      <c r="N500" s="3">
        <v>1600</v>
      </c>
      <c r="O500" s="3">
        <v>1600</v>
      </c>
      <c r="P500" s="3">
        <v>1600</v>
      </c>
      <c r="Q500" s="3">
        <v>1600</v>
      </c>
      <c r="R500" s="3">
        <v>956</v>
      </c>
      <c r="S500" s="3">
        <v>956</v>
      </c>
      <c r="T500" s="3">
        <v>956</v>
      </c>
      <c r="U500" s="3">
        <v>956</v>
      </c>
      <c r="V500" s="3"/>
    </row>
    <row r="501" spans="2:22" ht="20" hidden="1" x14ac:dyDescent="0.25">
      <c r="B501" s="2" t="s">
        <v>1280</v>
      </c>
      <c r="C501" s="2" t="s">
        <v>1281</v>
      </c>
      <c r="D501" s="2" t="s">
        <v>580</v>
      </c>
      <c r="E501" s="2" t="s">
        <v>27</v>
      </c>
      <c r="F501" s="2" t="s">
        <v>1282</v>
      </c>
      <c r="G501" s="2" t="s">
        <v>40</v>
      </c>
      <c r="H501" s="2">
        <v>79058</v>
      </c>
      <c r="I501" s="2">
        <v>79266</v>
      </c>
      <c r="J501" s="2" t="s">
        <v>28</v>
      </c>
      <c r="K501" s="2"/>
      <c r="L501" s="2" t="s">
        <v>301</v>
      </c>
      <c r="M501" s="2" t="s">
        <v>1284</v>
      </c>
      <c r="N501" s="3">
        <v>1600</v>
      </c>
      <c r="O501" s="3">
        <v>1600</v>
      </c>
      <c r="P501" s="2">
        <v>1664</v>
      </c>
      <c r="Q501" s="2">
        <v>1664</v>
      </c>
      <c r="R501" s="3">
        <v>956</v>
      </c>
      <c r="S501" s="3">
        <v>956</v>
      </c>
      <c r="T501" s="2">
        <v>994</v>
      </c>
      <c r="U501" s="2">
        <v>994</v>
      </c>
      <c r="V501" s="2"/>
    </row>
    <row r="502" spans="2:22" ht="20" hidden="1" x14ac:dyDescent="0.25">
      <c r="B502" s="2" t="s">
        <v>1280</v>
      </c>
      <c r="C502" s="2" t="s">
        <v>1281</v>
      </c>
      <c r="D502" s="2" t="s">
        <v>580</v>
      </c>
      <c r="E502" s="2" t="s">
        <v>27</v>
      </c>
      <c r="F502" s="2" t="s">
        <v>1282</v>
      </c>
      <c r="G502" s="2" t="s">
        <v>40</v>
      </c>
      <c r="H502" s="2">
        <v>79058</v>
      </c>
      <c r="I502" s="2">
        <v>79266</v>
      </c>
      <c r="J502" s="2" t="s">
        <v>28</v>
      </c>
      <c r="K502" s="2" t="s">
        <v>1280</v>
      </c>
      <c r="L502" s="2" t="s">
        <v>30</v>
      </c>
      <c r="M502" s="2" t="s">
        <v>1281</v>
      </c>
      <c r="N502" s="3">
        <v>1600</v>
      </c>
      <c r="O502" s="2">
        <v>1760</v>
      </c>
      <c r="P502" s="33">
        <v>2520</v>
      </c>
      <c r="Q502" s="33">
        <v>2772</v>
      </c>
      <c r="R502" s="3">
        <v>956</v>
      </c>
      <c r="S502" s="2">
        <v>1052</v>
      </c>
      <c r="T502" s="33">
        <v>1506</v>
      </c>
      <c r="U502" s="33">
        <v>1656</v>
      </c>
      <c r="V502" s="2"/>
    </row>
    <row r="503" spans="2:22" ht="20" hidden="1" x14ac:dyDescent="0.25">
      <c r="B503" s="2" t="s">
        <v>1280</v>
      </c>
      <c r="C503" s="2" t="s">
        <v>1281</v>
      </c>
      <c r="D503" s="2" t="s">
        <v>580</v>
      </c>
      <c r="E503" s="2" t="s">
        <v>27</v>
      </c>
      <c r="F503" s="2" t="s">
        <v>1282</v>
      </c>
      <c r="G503" s="2" t="s">
        <v>40</v>
      </c>
      <c r="H503" s="2">
        <v>79058</v>
      </c>
      <c r="I503" s="2">
        <v>79266</v>
      </c>
      <c r="J503" s="2" t="s">
        <v>28</v>
      </c>
      <c r="K503" s="2" t="s">
        <v>213</v>
      </c>
      <c r="L503" s="2" t="s">
        <v>213</v>
      </c>
      <c r="M503" s="2" t="s">
        <v>1285</v>
      </c>
      <c r="N503" s="3">
        <v>1600</v>
      </c>
      <c r="O503" s="2">
        <v>2063</v>
      </c>
      <c r="P503" s="3">
        <v>1600</v>
      </c>
      <c r="Q503" s="2">
        <v>2063</v>
      </c>
      <c r="R503" s="3">
        <v>956</v>
      </c>
      <c r="S503" s="2">
        <v>1233</v>
      </c>
      <c r="T503" s="3">
        <v>956</v>
      </c>
      <c r="U503" s="2">
        <v>1233</v>
      </c>
      <c r="V503" s="2"/>
    </row>
    <row r="504" spans="2:22" ht="31.5" hidden="1" x14ac:dyDescent="0.25">
      <c r="B504" s="4" t="s">
        <v>1277</v>
      </c>
      <c r="C504" s="4" t="s">
        <v>1278</v>
      </c>
      <c r="D504" s="4" t="s">
        <v>560</v>
      </c>
      <c r="E504" s="4" t="s">
        <v>27</v>
      </c>
      <c r="F504" s="4" t="s">
        <v>580</v>
      </c>
      <c r="G504" s="4" t="s">
        <v>27</v>
      </c>
      <c r="H504" s="4">
        <v>79036</v>
      </c>
      <c r="I504" s="4">
        <v>79058</v>
      </c>
      <c r="J504" s="4" t="s">
        <v>28</v>
      </c>
      <c r="K504" s="4" t="s">
        <v>1277</v>
      </c>
      <c r="L504" s="4" t="s">
        <v>29</v>
      </c>
      <c r="M504" s="4"/>
      <c r="N504" s="5">
        <v>1200</v>
      </c>
      <c r="O504" s="5">
        <v>1200</v>
      </c>
      <c r="P504" s="5">
        <v>1200</v>
      </c>
      <c r="Q504" s="5">
        <v>1200</v>
      </c>
      <c r="R504" s="5">
        <v>717</v>
      </c>
      <c r="S504" s="5">
        <v>717</v>
      </c>
      <c r="T504" s="5">
        <v>717</v>
      </c>
      <c r="U504" s="5">
        <v>717</v>
      </c>
      <c r="V504" s="5"/>
    </row>
    <row r="505" spans="2:22" ht="30" hidden="1" x14ac:dyDescent="0.25">
      <c r="B505" s="2" t="s">
        <v>1277</v>
      </c>
      <c r="C505" s="2" t="s">
        <v>1278</v>
      </c>
      <c r="D505" s="2" t="s">
        <v>560</v>
      </c>
      <c r="E505" s="2" t="s">
        <v>27</v>
      </c>
      <c r="F505" s="2" t="s">
        <v>580</v>
      </c>
      <c r="G505" s="2" t="s">
        <v>27</v>
      </c>
      <c r="H505" s="2">
        <v>79036</v>
      </c>
      <c r="I505" s="2">
        <v>79058</v>
      </c>
      <c r="J505" s="2" t="s">
        <v>28</v>
      </c>
      <c r="K505" s="2" t="s">
        <v>1279</v>
      </c>
      <c r="L505" s="2" t="s">
        <v>36</v>
      </c>
      <c r="M505" s="2" t="s">
        <v>562</v>
      </c>
      <c r="N505" s="3">
        <v>1200</v>
      </c>
      <c r="O505" s="3">
        <v>1200</v>
      </c>
      <c r="P505" s="3">
        <v>1200</v>
      </c>
      <c r="Q505" s="3">
        <v>1200</v>
      </c>
      <c r="R505" s="3">
        <v>717</v>
      </c>
      <c r="S505" s="3">
        <v>717</v>
      </c>
      <c r="T505" s="3">
        <v>717</v>
      </c>
      <c r="U505" s="3">
        <v>717</v>
      </c>
      <c r="V505" s="3"/>
    </row>
    <row r="506" spans="2:22" ht="21" hidden="1" x14ac:dyDescent="0.25">
      <c r="B506" s="4" t="s">
        <v>295</v>
      </c>
      <c r="C506" s="4" t="s">
        <v>296</v>
      </c>
      <c r="D506" s="4" t="s">
        <v>297</v>
      </c>
      <c r="E506" s="4" t="s">
        <v>27</v>
      </c>
      <c r="F506" s="4" t="s">
        <v>298</v>
      </c>
      <c r="G506" s="4" t="s">
        <v>27</v>
      </c>
      <c r="H506" s="4">
        <v>70025</v>
      </c>
      <c r="I506" s="4">
        <v>70937</v>
      </c>
      <c r="J506" s="4" t="s">
        <v>28</v>
      </c>
      <c r="K506" s="4" t="s">
        <v>295</v>
      </c>
      <c r="L506" s="4" t="s">
        <v>29</v>
      </c>
      <c r="M506" s="4"/>
      <c r="N506" s="5">
        <v>715</v>
      </c>
      <c r="O506" s="5">
        <v>787</v>
      </c>
      <c r="P506" s="5">
        <v>841</v>
      </c>
      <c r="Q506" s="5">
        <v>925</v>
      </c>
      <c r="R506" s="5">
        <v>142</v>
      </c>
      <c r="S506" s="5">
        <v>157</v>
      </c>
      <c r="T506" s="5">
        <v>168</v>
      </c>
      <c r="U506" s="5">
        <v>184</v>
      </c>
      <c r="V506" s="5"/>
    </row>
    <row r="507" spans="2:22" ht="20" hidden="1" x14ac:dyDescent="0.25">
      <c r="B507" s="2" t="s">
        <v>295</v>
      </c>
      <c r="C507" s="2" t="s">
        <v>296</v>
      </c>
      <c r="D507" s="2" t="s">
        <v>297</v>
      </c>
      <c r="E507" s="2" t="s">
        <v>27</v>
      </c>
      <c r="F507" s="2" t="s">
        <v>298</v>
      </c>
      <c r="G507" s="2" t="s">
        <v>27</v>
      </c>
      <c r="H507" s="2">
        <v>70025</v>
      </c>
      <c r="I507" s="2">
        <v>70937</v>
      </c>
      <c r="J507" s="2" t="s">
        <v>28</v>
      </c>
      <c r="K507" s="2" t="s">
        <v>295</v>
      </c>
      <c r="L507" s="2" t="s">
        <v>30</v>
      </c>
      <c r="M507" s="2" t="s">
        <v>296</v>
      </c>
      <c r="N507" s="3">
        <v>715</v>
      </c>
      <c r="O507" s="3">
        <v>787</v>
      </c>
      <c r="P507" s="3">
        <v>841</v>
      </c>
      <c r="Q507" s="3">
        <v>925</v>
      </c>
      <c r="R507" s="3">
        <v>142</v>
      </c>
      <c r="S507" s="3">
        <v>157</v>
      </c>
      <c r="T507" s="3">
        <v>168</v>
      </c>
      <c r="U507" s="3">
        <v>184</v>
      </c>
      <c r="V507" s="3"/>
    </row>
    <row r="508" spans="2:22" ht="21" hidden="1" x14ac:dyDescent="0.25">
      <c r="B508" s="4" t="s">
        <v>1206</v>
      </c>
      <c r="C508" s="4" t="s">
        <v>1207</v>
      </c>
      <c r="D508" s="4" t="s">
        <v>1204</v>
      </c>
      <c r="E508" s="4" t="s">
        <v>27</v>
      </c>
      <c r="F508" s="4" t="s">
        <v>1208</v>
      </c>
      <c r="G508" s="4" t="s">
        <v>27</v>
      </c>
      <c r="H508" s="4">
        <v>70368</v>
      </c>
      <c r="I508" s="4">
        <v>70439</v>
      </c>
      <c r="J508" s="4" t="s">
        <v>28</v>
      </c>
      <c r="K508" s="4" t="s">
        <v>1206</v>
      </c>
      <c r="L508" s="4" t="s">
        <v>29</v>
      </c>
      <c r="M508" s="4"/>
      <c r="N508" s="5">
        <v>923</v>
      </c>
      <c r="O508" s="5">
        <v>1074</v>
      </c>
      <c r="P508" s="5">
        <v>928</v>
      </c>
      <c r="Q508" s="5">
        <v>1021</v>
      </c>
      <c r="R508" s="5">
        <v>184</v>
      </c>
      <c r="S508" s="5">
        <v>214</v>
      </c>
      <c r="T508" s="5">
        <v>185</v>
      </c>
      <c r="U508" s="5">
        <v>203</v>
      </c>
      <c r="V508" s="5"/>
    </row>
    <row r="509" spans="2:22" ht="20" hidden="1" x14ac:dyDescent="0.25">
      <c r="B509" s="2" t="s">
        <v>1206</v>
      </c>
      <c r="C509" s="2" t="s">
        <v>1207</v>
      </c>
      <c r="D509" s="2" t="s">
        <v>1204</v>
      </c>
      <c r="E509" s="2" t="s">
        <v>27</v>
      </c>
      <c r="F509" s="2" t="s">
        <v>1208</v>
      </c>
      <c r="G509" s="2" t="s">
        <v>27</v>
      </c>
      <c r="H509" s="2">
        <v>70368</v>
      </c>
      <c r="I509" s="2">
        <v>70439</v>
      </c>
      <c r="J509" s="2" t="s">
        <v>28</v>
      </c>
      <c r="K509" s="2" t="s">
        <v>239</v>
      </c>
      <c r="L509" s="2" t="s">
        <v>31</v>
      </c>
      <c r="M509" s="2" t="s">
        <v>1209</v>
      </c>
      <c r="N509" s="3">
        <v>923</v>
      </c>
      <c r="O509" s="3">
        <v>1074</v>
      </c>
      <c r="P509" s="2">
        <v>1099</v>
      </c>
      <c r="Q509" s="2">
        <v>1222</v>
      </c>
      <c r="R509" s="3">
        <v>184</v>
      </c>
      <c r="S509" s="3">
        <v>214</v>
      </c>
      <c r="T509" s="2">
        <v>219</v>
      </c>
      <c r="U509" s="2">
        <v>243</v>
      </c>
      <c r="V509" s="2"/>
    </row>
    <row r="510" spans="2:22" ht="20" hidden="1" x14ac:dyDescent="0.25">
      <c r="B510" s="2" t="s">
        <v>1206</v>
      </c>
      <c r="C510" s="2" t="s">
        <v>1207</v>
      </c>
      <c r="D510" s="2" t="s">
        <v>1204</v>
      </c>
      <c r="E510" s="2" t="s">
        <v>27</v>
      </c>
      <c r="F510" s="2" t="s">
        <v>1208</v>
      </c>
      <c r="G510" s="2" t="s">
        <v>27</v>
      </c>
      <c r="H510" s="2">
        <v>70368</v>
      </c>
      <c r="I510" s="2">
        <v>70439</v>
      </c>
      <c r="J510" s="2" t="s">
        <v>28</v>
      </c>
      <c r="K510" s="2" t="s">
        <v>1206</v>
      </c>
      <c r="L510" s="2" t="s">
        <v>30</v>
      </c>
      <c r="M510" s="2" t="s">
        <v>1207</v>
      </c>
      <c r="N510" s="2">
        <v>1104</v>
      </c>
      <c r="O510" s="2">
        <v>1214</v>
      </c>
      <c r="P510" s="3">
        <v>928</v>
      </c>
      <c r="Q510" s="3">
        <v>1021</v>
      </c>
      <c r="R510" s="2">
        <v>220</v>
      </c>
      <c r="S510" s="2">
        <v>242</v>
      </c>
      <c r="T510" s="3">
        <v>185</v>
      </c>
      <c r="U510" s="3">
        <v>203</v>
      </c>
      <c r="V510" s="3"/>
    </row>
    <row r="511" spans="2:22" ht="21" hidden="1" x14ac:dyDescent="0.25">
      <c r="B511" s="4" t="s">
        <v>233</v>
      </c>
      <c r="C511" s="4" t="s">
        <v>234</v>
      </c>
      <c r="D511" s="4" t="s">
        <v>235</v>
      </c>
      <c r="E511" s="4" t="s">
        <v>27</v>
      </c>
      <c r="F511" s="4" t="s">
        <v>236</v>
      </c>
      <c r="G511" s="4" t="s">
        <v>27</v>
      </c>
      <c r="H511" s="4">
        <v>70023</v>
      </c>
      <c r="I511" s="4">
        <v>70242</v>
      </c>
      <c r="J511" s="4" t="s">
        <v>28</v>
      </c>
      <c r="K511" s="4" t="s">
        <v>233</v>
      </c>
      <c r="L511" s="4" t="s">
        <v>29</v>
      </c>
      <c r="M511" s="4"/>
      <c r="N511" s="5">
        <v>710</v>
      </c>
      <c r="O511" s="5">
        <v>781</v>
      </c>
      <c r="P511" s="5">
        <v>710</v>
      </c>
      <c r="Q511" s="5">
        <v>781</v>
      </c>
      <c r="R511" s="5">
        <v>141</v>
      </c>
      <c r="S511" s="5">
        <v>156</v>
      </c>
      <c r="T511" s="5">
        <v>141</v>
      </c>
      <c r="U511" s="5">
        <v>156</v>
      </c>
      <c r="V511" s="5"/>
    </row>
    <row r="512" spans="2:22" ht="20" hidden="1" x14ac:dyDescent="0.25">
      <c r="B512" s="2" t="s">
        <v>233</v>
      </c>
      <c r="C512" s="2" t="s">
        <v>234</v>
      </c>
      <c r="D512" s="2" t="s">
        <v>235</v>
      </c>
      <c r="E512" s="2" t="s">
        <v>27</v>
      </c>
      <c r="F512" s="2" t="s">
        <v>236</v>
      </c>
      <c r="G512" s="2" t="s">
        <v>27</v>
      </c>
      <c r="H512" s="2">
        <v>70023</v>
      </c>
      <c r="I512" s="2">
        <v>70242</v>
      </c>
      <c r="J512" s="2" t="s">
        <v>28</v>
      </c>
      <c r="K512" s="2" t="s">
        <v>233</v>
      </c>
      <c r="L512" s="2" t="s">
        <v>30</v>
      </c>
      <c r="M512" s="2" t="s">
        <v>234</v>
      </c>
      <c r="N512" s="3">
        <v>710</v>
      </c>
      <c r="O512" s="3">
        <v>781</v>
      </c>
      <c r="P512" s="3">
        <v>710</v>
      </c>
      <c r="Q512" s="3">
        <v>781</v>
      </c>
      <c r="R512" s="3">
        <v>141</v>
      </c>
      <c r="S512" s="3">
        <v>156</v>
      </c>
      <c r="T512" s="3">
        <v>141</v>
      </c>
      <c r="U512" s="3">
        <v>156</v>
      </c>
      <c r="V512" s="3"/>
    </row>
    <row r="513" spans="2:22" ht="21" hidden="1" x14ac:dyDescent="0.25">
      <c r="B513" s="4" t="s">
        <v>237</v>
      </c>
      <c r="C513" s="4" t="s">
        <v>234</v>
      </c>
      <c r="D513" s="4" t="s">
        <v>235</v>
      </c>
      <c r="E513" s="4" t="s">
        <v>27</v>
      </c>
      <c r="F513" s="4" t="s">
        <v>238</v>
      </c>
      <c r="G513" s="4" t="s">
        <v>27</v>
      </c>
      <c r="H513" s="4">
        <v>70023</v>
      </c>
      <c r="I513" s="4">
        <v>70400</v>
      </c>
      <c r="J513" s="4" t="s">
        <v>28</v>
      </c>
      <c r="K513" s="4" t="s">
        <v>237</v>
      </c>
      <c r="L513" s="4" t="s">
        <v>29</v>
      </c>
      <c r="M513" s="4"/>
      <c r="N513" s="5">
        <v>767</v>
      </c>
      <c r="O513" s="5">
        <v>874</v>
      </c>
      <c r="P513" s="5">
        <v>904</v>
      </c>
      <c r="Q513" s="5">
        <v>994</v>
      </c>
      <c r="R513" s="5">
        <v>153</v>
      </c>
      <c r="S513" s="5">
        <v>174</v>
      </c>
      <c r="T513" s="5">
        <v>180</v>
      </c>
      <c r="U513" s="5">
        <v>198</v>
      </c>
      <c r="V513" s="5"/>
    </row>
    <row r="514" spans="2:22" ht="20" hidden="1" x14ac:dyDescent="0.25">
      <c r="B514" s="2" t="s">
        <v>237</v>
      </c>
      <c r="C514" s="2" t="s">
        <v>234</v>
      </c>
      <c r="D514" s="2" t="s">
        <v>235</v>
      </c>
      <c r="E514" s="2" t="s">
        <v>27</v>
      </c>
      <c r="F514" s="2" t="s">
        <v>238</v>
      </c>
      <c r="G514" s="2" t="s">
        <v>27</v>
      </c>
      <c r="H514" s="2">
        <v>70023</v>
      </c>
      <c r="I514" s="2">
        <v>70400</v>
      </c>
      <c r="J514" s="2" t="s">
        <v>28</v>
      </c>
      <c r="K514" s="2" t="s">
        <v>239</v>
      </c>
      <c r="L514" s="2" t="s">
        <v>31</v>
      </c>
      <c r="M514" s="2" t="s">
        <v>240</v>
      </c>
      <c r="N514" s="3">
        <v>767</v>
      </c>
      <c r="O514" s="2">
        <v>905</v>
      </c>
      <c r="P514" s="2">
        <v>922</v>
      </c>
      <c r="Q514" s="2">
        <v>1034</v>
      </c>
      <c r="R514" s="3">
        <v>153</v>
      </c>
      <c r="S514" s="2">
        <v>180</v>
      </c>
      <c r="T514" s="2">
        <v>184</v>
      </c>
      <c r="U514" s="2">
        <v>206</v>
      </c>
      <c r="V514" s="2"/>
    </row>
    <row r="515" spans="2:22" ht="20" hidden="1" x14ac:dyDescent="0.25">
      <c r="B515" s="2" t="s">
        <v>237</v>
      </c>
      <c r="C515" s="2" t="s">
        <v>234</v>
      </c>
      <c r="D515" s="2" t="s">
        <v>235</v>
      </c>
      <c r="E515" s="2" t="s">
        <v>27</v>
      </c>
      <c r="F515" s="2" t="s">
        <v>238</v>
      </c>
      <c r="G515" s="2" t="s">
        <v>27</v>
      </c>
      <c r="H515" s="2">
        <v>70023</v>
      </c>
      <c r="I515" s="2">
        <v>70400</v>
      </c>
      <c r="J515" s="2" t="s">
        <v>28</v>
      </c>
      <c r="K515" s="2" t="s">
        <v>32</v>
      </c>
      <c r="L515" s="2" t="s">
        <v>31</v>
      </c>
      <c r="M515" s="2" t="s">
        <v>241</v>
      </c>
      <c r="N515" s="2">
        <v>795</v>
      </c>
      <c r="O515" s="3">
        <v>874</v>
      </c>
      <c r="P515" s="3">
        <v>904</v>
      </c>
      <c r="Q515" s="3">
        <v>994</v>
      </c>
      <c r="R515" s="2">
        <v>158</v>
      </c>
      <c r="S515" s="3">
        <v>174</v>
      </c>
      <c r="T515" s="3">
        <v>180</v>
      </c>
      <c r="U515" s="3">
        <v>198</v>
      </c>
      <c r="V515" s="3"/>
    </row>
    <row r="516" spans="2:22" ht="21" hidden="1" x14ac:dyDescent="0.25">
      <c r="B516" s="4" t="s">
        <v>306</v>
      </c>
      <c r="C516" s="4" t="s">
        <v>234</v>
      </c>
      <c r="D516" s="4" t="s">
        <v>304</v>
      </c>
      <c r="E516" s="4" t="s">
        <v>27</v>
      </c>
      <c r="F516" s="4" t="s">
        <v>236</v>
      </c>
      <c r="G516" s="4" t="s">
        <v>27</v>
      </c>
      <c r="H516" s="4">
        <v>70045</v>
      </c>
      <c r="I516" s="4">
        <v>70242</v>
      </c>
      <c r="J516" s="4" t="s">
        <v>28</v>
      </c>
      <c r="K516" s="4" t="s">
        <v>306</v>
      </c>
      <c r="L516" s="4" t="s">
        <v>29</v>
      </c>
      <c r="M516" s="4"/>
      <c r="N516" s="5">
        <v>795</v>
      </c>
      <c r="O516" s="5">
        <v>874</v>
      </c>
      <c r="P516" s="5">
        <v>904</v>
      </c>
      <c r="Q516" s="5">
        <v>994</v>
      </c>
      <c r="R516" s="5">
        <v>158</v>
      </c>
      <c r="S516" s="5">
        <v>174</v>
      </c>
      <c r="T516" s="5">
        <v>180</v>
      </c>
      <c r="U516" s="5">
        <v>198</v>
      </c>
      <c r="V516" s="5"/>
    </row>
    <row r="517" spans="2:22" ht="20" hidden="1" x14ac:dyDescent="0.25">
      <c r="B517" s="2" t="s">
        <v>306</v>
      </c>
      <c r="C517" s="2" t="s">
        <v>234</v>
      </c>
      <c r="D517" s="2" t="s">
        <v>304</v>
      </c>
      <c r="E517" s="2" t="s">
        <v>27</v>
      </c>
      <c r="F517" s="2" t="s">
        <v>236</v>
      </c>
      <c r="G517" s="2" t="s">
        <v>27</v>
      </c>
      <c r="H517" s="2">
        <v>70045</v>
      </c>
      <c r="I517" s="2">
        <v>70242</v>
      </c>
      <c r="J517" s="2" t="s">
        <v>28</v>
      </c>
      <c r="K517" s="2" t="s">
        <v>32</v>
      </c>
      <c r="L517" s="2" t="s">
        <v>31</v>
      </c>
      <c r="M517" s="2" t="s">
        <v>307</v>
      </c>
      <c r="N517" s="3">
        <v>795</v>
      </c>
      <c r="O517" s="3">
        <v>874</v>
      </c>
      <c r="P517" s="3">
        <v>904</v>
      </c>
      <c r="Q517" s="3">
        <v>994</v>
      </c>
      <c r="R517" s="3">
        <v>158</v>
      </c>
      <c r="S517" s="3">
        <v>174</v>
      </c>
      <c r="T517" s="3">
        <v>180</v>
      </c>
      <c r="U517" s="3">
        <v>198</v>
      </c>
      <c r="V517" s="3"/>
    </row>
    <row r="518" spans="2:22" ht="21" x14ac:dyDescent="0.25">
      <c r="B518" s="4" t="s">
        <v>62</v>
      </c>
      <c r="C518" s="4" t="s">
        <v>78</v>
      </c>
      <c r="D518" s="4" t="s">
        <v>79</v>
      </c>
      <c r="E518" s="4" t="s">
        <v>27</v>
      </c>
      <c r="F518" s="4" t="s">
        <v>72</v>
      </c>
      <c r="G518" s="4" t="s">
        <v>27</v>
      </c>
      <c r="H518" s="4">
        <v>2108</v>
      </c>
      <c r="I518" s="4">
        <v>70124</v>
      </c>
      <c r="J518" s="4" t="s">
        <v>28</v>
      </c>
      <c r="K518" s="4" t="s">
        <v>62</v>
      </c>
      <c r="L518" s="4" t="s">
        <v>29</v>
      </c>
      <c r="M518" s="4"/>
      <c r="N518" s="5">
        <v>825</v>
      </c>
      <c r="O518" s="5">
        <v>907</v>
      </c>
      <c r="P518" s="5">
        <v>904</v>
      </c>
      <c r="Q518" s="5">
        <v>994</v>
      </c>
      <c r="R518" s="5">
        <v>164</v>
      </c>
      <c r="S518" s="5">
        <v>181</v>
      </c>
      <c r="T518" s="5">
        <v>180</v>
      </c>
      <c r="U518" s="5">
        <v>198</v>
      </c>
      <c r="V518" s="5"/>
    </row>
    <row r="519" spans="2:22" ht="20" hidden="1" x14ac:dyDescent="0.25">
      <c r="B519" s="2" t="s">
        <v>62</v>
      </c>
      <c r="C519" s="2" t="s">
        <v>78</v>
      </c>
      <c r="D519" s="2" t="s">
        <v>79</v>
      </c>
      <c r="E519" s="2" t="s">
        <v>27</v>
      </c>
      <c r="F519" s="2" t="s">
        <v>72</v>
      </c>
      <c r="G519" s="2" t="s">
        <v>27</v>
      </c>
      <c r="H519" s="2">
        <v>2108</v>
      </c>
      <c r="I519" s="2">
        <v>70124</v>
      </c>
      <c r="J519" s="2" t="s">
        <v>28</v>
      </c>
      <c r="K519" s="2" t="s">
        <v>62</v>
      </c>
      <c r="L519" s="2" t="s">
        <v>30</v>
      </c>
      <c r="M519" s="2" t="s">
        <v>78</v>
      </c>
      <c r="N519" s="3">
        <v>825</v>
      </c>
      <c r="O519" s="3">
        <v>907</v>
      </c>
      <c r="P519" s="3">
        <v>904</v>
      </c>
      <c r="Q519" s="3">
        <v>994</v>
      </c>
      <c r="R519" s="3">
        <v>164</v>
      </c>
      <c r="S519" s="3">
        <v>181</v>
      </c>
      <c r="T519" s="3">
        <v>180</v>
      </c>
      <c r="U519" s="3">
        <v>198</v>
      </c>
      <c r="V519" s="5"/>
    </row>
    <row r="520" spans="2:22" ht="21" x14ac:dyDescent="0.25">
      <c r="B520" s="4" t="s">
        <v>63</v>
      </c>
      <c r="C520" s="4" t="s">
        <v>78</v>
      </c>
      <c r="D520" s="4" t="s">
        <v>79</v>
      </c>
      <c r="E520" s="4" t="s">
        <v>27</v>
      </c>
      <c r="F520" s="4" t="s">
        <v>72</v>
      </c>
      <c r="G520" s="4" t="s">
        <v>27</v>
      </c>
      <c r="H520" s="4">
        <v>2109</v>
      </c>
      <c r="I520" s="4">
        <v>2110</v>
      </c>
      <c r="J520" s="4" t="s">
        <v>28</v>
      </c>
      <c r="K520" s="4" t="s">
        <v>63</v>
      </c>
      <c r="L520" s="4" t="s">
        <v>29</v>
      </c>
      <c r="M520" s="4"/>
      <c r="N520" s="5">
        <v>825</v>
      </c>
      <c r="O520" s="5">
        <v>907</v>
      </c>
      <c r="P520" s="5">
        <v>904</v>
      </c>
      <c r="Q520" s="5">
        <v>994</v>
      </c>
      <c r="R520" s="5">
        <v>164</v>
      </c>
      <c r="S520" s="5">
        <v>181</v>
      </c>
      <c r="T520" s="5">
        <v>180</v>
      </c>
      <c r="U520" s="5">
        <v>198</v>
      </c>
      <c r="V520" s="5"/>
    </row>
    <row r="521" spans="2:22" ht="20" hidden="1" x14ac:dyDescent="0.25">
      <c r="B521" s="2" t="s">
        <v>63</v>
      </c>
      <c r="C521" s="2" t="s">
        <v>78</v>
      </c>
      <c r="D521" s="2" t="s">
        <v>79</v>
      </c>
      <c r="E521" s="2" t="s">
        <v>27</v>
      </c>
      <c r="F521" s="2" t="s">
        <v>72</v>
      </c>
      <c r="G521" s="2" t="s">
        <v>27</v>
      </c>
      <c r="H521" s="2">
        <v>2109</v>
      </c>
      <c r="I521" s="2">
        <v>2110</v>
      </c>
      <c r="J521" s="2" t="s">
        <v>28</v>
      </c>
      <c r="K521" s="2" t="s">
        <v>63</v>
      </c>
      <c r="L521" s="2" t="s">
        <v>30</v>
      </c>
      <c r="M521" s="2" t="s">
        <v>78</v>
      </c>
      <c r="N521" s="3">
        <v>825</v>
      </c>
      <c r="O521" s="3">
        <v>907</v>
      </c>
      <c r="P521" s="3">
        <v>904</v>
      </c>
      <c r="Q521" s="3">
        <v>994</v>
      </c>
      <c r="R521" s="3">
        <v>164</v>
      </c>
      <c r="S521" s="3">
        <v>181</v>
      </c>
      <c r="T521" s="3">
        <v>180</v>
      </c>
      <c r="U521" s="3">
        <v>198</v>
      </c>
      <c r="V521" s="5"/>
    </row>
    <row r="522" spans="2:22" ht="21" x14ac:dyDescent="0.25">
      <c r="B522" s="4" t="s">
        <v>64</v>
      </c>
      <c r="C522" s="4" t="s">
        <v>78</v>
      </c>
      <c r="D522" s="4" t="s">
        <v>79</v>
      </c>
      <c r="E522" s="4" t="s">
        <v>27</v>
      </c>
      <c r="F522" s="4" t="s">
        <v>72</v>
      </c>
      <c r="G522" s="4" t="s">
        <v>27</v>
      </c>
      <c r="H522" s="4">
        <v>2109</v>
      </c>
      <c r="I522" s="4">
        <v>2111</v>
      </c>
      <c r="J522" s="4" t="s">
        <v>28</v>
      </c>
      <c r="K522" s="4" t="s">
        <v>64</v>
      </c>
      <c r="L522" s="4" t="s">
        <v>29</v>
      </c>
      <c r="M522" s="4"/>
      <c r="N522" s="5">
        <v>825</v>
      </c>
      <c r="O522" s="5">
        <v>907</v>
      </c>
      <c r="P522" s="5">
        <v>904</v>
      </c>
      <c r="Q522" s="5">
        <v>994</v>
      </c>
      <c r="R522" s="5">
        <v>164</v>
      </c>
      <c r="S522" s="5">
        <v>181</v>
      </c>
      <c r="T522" s="5">
        <v>180</v>
      </c>
      <c r="U522" s="5">
        <v>198</v>
      </c>
      <c r="V522" s="5"/>
    </row>
    <row r="523" spans="2:22" ht="20" hidden="1" x14ac:dyDescent="0.25">
      <c r="B523" s="2" t="s">
        <v>64</v>
      </c>
      <c r="C523" s="2" t="s">
        <v>78</v>
      </c>
      <c r="D523" s="2" t="s">
        <v>79</v>
      </c>
      <c r="E523" s="2" t="s">
        <v>27</v>
      </c>
      <c r="F523" s="2" t="s">
        <v>72</v>
      </c>
      <c r="G523" s="2" t="s">
        <v>27</v>
      </c>
      <c r="H523" s="2">
        <v>2109</v>
      </c>
      <c r="I523" s="2">
        <v>2111</v>
      </c>
      <c r="J523" s="2" t="s">
        <v>28</v>
      </c>
      <c r="K523" s="2" t="s">
        <v>64</v>
      </c>
      <c r="L523" s="2" t="s">
        <v>30</v>
      </c>
      <c r="M523" s="2" t="s">
        <v>78</v>
      </c>
      <c r="N523" s="3">
        <v>825</v>
      </c>
      <c r="O523" s="3">
        <v>907</v>
      </c>
      <c r="P523" s="3">
        <v>904</v>
      </c>
      <c r="Q523" s="3">
        <v>994</v>
      </c>
      <c r="R523" s="3">
        <v>164</v>
      </c>
      <c r="S523" s="3">
        <v>181</v>
      </c>
      <c r="T523" s="3">
        <v>180</v>
      </c>
      <c r="U523" s="3">
        <v>198</v>
      </c>
      <c r="V523" s="5"/>
    </row>
    <row r="524" spans="2:22" ht="21" hidden="1" x14ac:dyDescent="0.25">
      <c r="B524" s="4" t="s">
        <v>930</v>
      </c>
      <c r="C524" s="4" t="s">
        <v>931</v>
      </c>
      <c r="D524" s="4" t="s">
        <v>832</v>
      </c>
      <c r="E524" s="4" t="s">
        <v>27</v>
      </c>
      <c r="F524" s="4" t="s">
        <v>932</v>
      </c>
      <c r="G524" s="4" t="s">
        <v>27</v>
      </c>
      <c r="H524" s="4">
        <v>70218</v>
      </c>
      <c r="I524" s="4">
        <v>70328</v>
      </c>
      <c r="J524" s="4" t="s">
        <v>42</v>
      </c>
      <c r="K524" s="4" t="s">
        <v>930</v>
      </c>
      <c r="L524" s="4" t="s">
        <v>29</v>
      </c>
      <c r="M524" s="4"/>
      <c r="N524" s="5">
        <v>600</v>
      </c>
      <c r="O524" s="5">
        <v>600</v>
      </c>
      <c r="P524" s="5">
        <v>600</v>
      </c>
      <c r="Q524" s="5">
        <v>600</v>
      </c>
      <c r="R524" s="5">
        <v>120</v>
      </c>
      <c r="S524" s="5">
        <v>120</v>
      </c>
      <c r="T524" s="5">
        <v>120</v>
      </c>
      <c r="U524" s="5">
        <v>120</v>
      </c>
      <c r="V524" s="5"/>
    </row>
    <row r="525" spans="2:22" ht="30" hidden="1" x14ac:dyDescent="0.25">
      <c r="B525" s="2" t="s">
        <v>930</v>
      </c>
      <c r="C525" s="2" t="s">
        <v>931</v>
      </c>
      <c r="D525" s="2" t="s">
        <v>832</v>
      </c>
      <c r="E525" s="2" t="s">
        <v>27</v>
      </c>
      <c r="F525" s="2" t="s">
        <v>932</v>
      </c>
      <c r="G525" s="2" t="s">
        <v>27</v>
      </c>
      <c r="H525" s="2">
        <v>70218</v>
      </c>
      <c r="I525" s="2">
        <v>70328</v>
      </c>
      <c r="J525" s="2" t="s">
        <v>42</v>
      </c>
      <c r="K525" s="2" t="s">
        <v>933</v>
      </c>
      <c r="L525" s="2" t="s">
        <v>36</v>
      </c>
      <c r="M525" s="2" t="s">
        <v>833</v>
      </c>
      <c r="N525" s="3">
        <v>600</v>
      </c>
      <c r="O525" s="3">
        <v>600</v>
      </c>
      <c r="P525" s="3">
        <v>600</v>
      </c>
      <c r="Q525" s="3">
        <v>600</v>
      </c>
      <c r="R525" s="3">
        <v>120</v>
      </c>
      <c r="S525" s="3">
        <v>120</v>
      </c>
      <c r="T525" s="3">
        <v>120</v>
      </c>
      <c r="U525" s="3">
        <v>120</v>
      </c>
      <c r="V525" s="3"/>
    </row>
    <row r="526" spans="2:22" ht="30" hidden="1" x14ac:dyDescent="0.25">
      <c r="B526" s="2" t="s">
        <v>930</v>
      </c>
      <c r="C526" s="2" t="s">
        <v>931</v>
      </c>
      <c r="D526" s="2" t="s">
        <v>832</v>
      </c>
      <c r="E526" s="2" t="s">
        <v>27</v>
      </c>
      <c r="F526" s="2" t="s">
        <v>932</v>
      </c>
      <c r="G526" s="2" t="s">
        <v>27</v>
      </c>
      <c r="H526" s="2">
        <v>70218</v>
      </c>
      <c r="I526" s="2">
        <v>70328</v>
      </c>
      <c r="J526" s="2" t="s">
        <v>42</v>
      </c>
      <c r="K526" s="2" t="s">
        <v>934</v>
      </c>
      <c r="L526" s="2" t="s">
        <v>36</v>
      </c>
      <c r="M526" s="2" t="s">
        <v>833</v>
      </c>
      <c r="N526" s="3">
        <v>600</v>
      </c>
      <c r="O526" s="3">
        <v>600</v>
      </c>
      <c r="P526" s="3">
        <v>600</v>
      </c>
      <c r="Q526" s="3">
        <v>600</v>
      </c>
      <c r="R526" s="3">
        <v>120</v>
      </c>
      <c r="S526" s="3">
        <v>120</v>
      </c>
      <c r="T526" s="3">
        <v>120</v>
      </c>
      <c r="U526" s="3">
        <v>120</v>
      </c>
      <c r="V526" s="3"/>
    </row>
    <row r="527" spans="2:22" ht="30" hidden="1" x14ac:dyDescent="0.25">
      <c r="B527" s="2" t="s">
        <v>930</v>
      </c>
      <c r="C527" s="2" t="s">
        <v>931</v>
      </c>
      <c r="D527" s="2" t="s">
        <v>832</v>
      </c>
      <c r="E527" s="2" t="s">
        <v>27</v>
      </c>
      <c r="F527" s="2" t="s">
        <v>932</v>
      </c>
      <c r="G527" s="2" t="s">
        <v>27</v>
      </c>
      <c r="H527" s="2">
        <v>70218</v>
      </c>
      <c r="I527" s="2">
        <v>70328</v>
      </c>
      <c r="J527" s="2" t="s">
        <v>42</v>
      </c>
      <c r="K527" s="2" t="s">
        <v>935</v>
      </c>
      <c r="L527" s="2" t="s">
        <v>36</v>
      </c>
      <c r="M527" s="2" t="s">
        <v>833</v>
      </c>
      <c r="N527" s="3">
        <v>600</v>
      </c>
      <c r="O527" s="3">
        <v>600</v>
      </c>
      <c r="P527" s="3">
        <v>600</v>
      </c>
      <c r="Q527" s="3">
        <v>600</v>
      </c>
      <c r="R527" s="3">
        <v>120</v>
      </c>
      <c r="S527" s="3">
        <v>120</v>
      </c>
      <c r="T527" s="3">
        <v>120</v>
      </c>
      <c r="U527" s="3">
        <v>120</v>
      </c>
      <c r="V527" s="3"/>
    </row>
    <row r="528" spans="2:22" ht="21" hidden="1" x14ac:dyDescent="0.25">
      <c r="B528" s="4" t="s">
        <v>1058</v>
      </c>
      <c r="C528" s="4" t="s">
        <v>931</v>
      </c>
      <c r="D528" s="4" t="s">
        <v>344</v>
      </c>
      <c r="E528" s="4" t="s">
        <v>27</v>
      </c>
      <c r="F528" s="4" t="s">
        <v>932</v>
      </c>
      <c r="G528" s="4" t="s">
        <v>27</v>
      </c>
      <c r="H528" s="4">
        <v>70287</v>
      </c>
      <c r="I528" s="4">
        <v>70328</v>
      </c>
      <c r="J528" s="4" t="s">
        <v>42</v>
      </c>
      <c r="K528" s="4" t="s">
        <v>1058</v>
      </c>
      <c r="L528" s="4" t="s">
        <v>29</v>
      </c>
      <c r="M528" s="4"/>
      <c r="N528" s="5">
        <v>767</v>
      </c>
      <c r="O528" s="5">
        <v>844</v>
      </c>
      <c r="P528" s="5">
        <v>874</v>
      </c>
      <c r="Q528" s="5">
        <v>900</v>
      </c>
      <c r="R528" s="5">
        <v>153</v>
      </c>
      <c r="S528" s="5">
        <v>168</v>
      </c>
      <c r="T528" s="5">
        <v>174</v>
      </c>
      <c r="U528" s="5">
        <v>179</v>
      </c>
      <c r="V528" s="5"/>
    </row>
    <row r="529" spans="2:22" ht="20" hidden="1" x14ac:dyDescent="0.25">
      <c r="B529" s="2" t="s">
        <v>1058</v>
      </c>
      <c r="C529" s="2" t="s">
        <v>931</v>
      </c>
      <c r="D529" s="2" t="s">
        <v>344</v>
      </c>
      <c r="E529" s="2" t="s">
        <v>27</v>
      </c>
      <c r="F529" s="2" t="s">
        <v>932</v>
      </c>
      <c r="G529" s="2" t="s">
        <v>27</v>
      </c>
      <c r="H529" s="2">
        <v>70287</v>
      </c>
      <c r="I529" s="2">
        <v>70328</v>
      </c>
      <c r="J529" s="2" t="s">
        <v>42</v>
      </c>
      <c r="K529" s="2" t="s">
        <v>32</v>
      </c>
      <c r="L529" s="2" t="s">
        <v>31</v>
      </c>
      <c r="M529" s="2" t="s">
        <v>345</v>
      </c>
      <c r="N529" s="3">
        <v>767</v>
      </c>
      <c r="O529" s="3">
        <v>844</v>
      </c>
      <c r="P529" s="3">
        <v>874</v>
      </c>
      <c r="Q529" s="2">
        <v>962</v>
      </c>
      <c r="R529" s="3">
        <v>153</v>
      </c>
      <c r="S529" s="3">
        <v>168</v>
      </c>
      <c r="T529" s="3">
        <v>174</v>
      </c>
      <c r="U529" s="2">
        <v>192</v>
      </c>
      <c r="V529" s="2"/>
    </row>
    <row r="530" spans="2:22" ht="20" hidden="1" x14ac:dyDescent="0.25">
      <c r="B530" s="2" t="s">
        <v>1058</v>
      </c>
      <c r="C530" s="2" t="s">
        <v>931</v>
      </c>
      <c r="D530" s="2" t="s">
        <v>344</v>
      </c>
      <c r="E530" s="2" t="s">
        <v>27</v>
      </c>
      <c r="F530" s="2" t="s">
        <v>932</v>
      </c>
      <c r="G530" s="2" t="s">
        <v>27</v>
      </c>
      <c r="H530" s="2">
        <v>70287</v>
      </c>
      <c r="I530" s="2">
        <v>70328</v>
      </c>
      <c r="J530" s="2" t="s">
        <v>42</v>
      </c>
      <c r="K530" s="2" t="s">
        <v>1059</v>
      </c>
      <c r="L530" s="2" t="s">
        <v>39</v>
      </c>
      <c r="M530" s="2" t="s">
        <v>345</v>
      </c>
      <c r="N530" s="2">
        <v>900</v>
      </c>
      <c r="O530" s="2">
        <v>900</v>
      </c>
      <c r="P530" s="2">
        <v>900</v>
      </c>
      <c r="Q530" s="3">
        <v>900</v>
      </c>
      <c r="R530" s="2">
        <v>179</v>
      </c>
      <c r="S530" s="2">
        <v>179</v>
      </c>
      <c r="T530" s="2">
        <v>179</v>
      </c>
      <c r="U530" s="3">
        <v>179</v>
      </c>
      <c r="V530" s="3"/>
    </row>
    <row r="531" spans="2:22" ht="20" hidden="1" x14ac:dyDescent="0.25">
      <c r="B531" s="2" t="s">
        <v>1058</v>
      </c>
      <c r="C531" s="2" t="s">
        <v>931</v>
      </c>
      <c r="D531" s="2" t="s">
        <v>344</v>
      </c>
      <c r="E531" s="2" t="s">
        <v>27</v>
      </c>
      <c r="F531" s="2" t="s">
        <v>932</v>
      </c>
      <c r="G531" s="2" t="s">
        <v>27</v>
      </c>
      <c r="H531" s="2">
        <v>70287</v>
      </c>
      <c r="I531" s="2">
        <v>70328</v>
      </c>
      <c r="J531" s="2" t="s">
        <v>42</v>
      </c>
      <c r="K531" s="2" t="s">
        <v>1061</v>
      </c>
      <c r="L531" s="2" t="s">
        <v>39</v>
      </c>
      <c r="M531" s="2" t="s">
        <v>345</v>
      </c>
      <c r="N531" s="2">
        <v>900</v>
      </c>
      <c r="O531" s="2">
        <v>900</v>
      </c>
      <c r="P531" s="2">
        <v>900</v>
      </c>
      <c r="Q531" s="3">
        <v>900</v>
      </c>
      <c r="R531" s="2">
        <v>179</v>
      </c>
      <c r="S531" s="2">
        <v>179</v>
      </c>
      <c r="T531" s="2">
        <v>179</v>
      </c>
      <c r="U531" s="3">
        <v>179</v>
      </c>
      <c r="V531" s="3"/>
    </row>
    <row r="532" spans="2:22" ht="20" hidden="1" x14ac:dyDescent="0.25">
      <c r="B532" s="2" t="s">
        <v>1058</v>
      </c>
      <c r="C532" s="2" t="s">
        <v>931</v>
      </c>
      <c r="D532" s="2" t="s">
        <v>344</v>
      </c>
      <c r="E532" s="2" t="s">
        <v>27</v>
      </c>
      <c r="F532" s="2" t="s">
        <v>932</v>
      </c>
      <c r="G532" s="2" t="s">
        <v>27</v>
      </c>
      <c r="H532" s="2">
        <v>70287</v>
      </c>
      <c r="I532" s="2">
        <v>70328</v>
      </c>
      <c r="J532" s="2" t="s">
        <v>42</v>
      </c>
      <c r="K532" s="2" t="s">
        <v>1060</v>
      </c>
      <c r="L532" s="2" t="s">
        <v>39</v>
      </c>
      <c r="M532" s="2" t="s">
        <v>345</v>
      </c>
      <c r="N532" s="2">
        <v>900</v>
      </c>
      <c r="O532" s="2">
        <v>900</v>
      </c>
      <c r="P532" s="2">
        <v>900</v>
      </c>
      <c r="Q532" s="3">
        <v>900</v>
      </c>
      <c r="R532" s="2">
        <v>179</v>
      </c>
      <c r="S532" s="2">
        <v>179</v>
      </c>
      <c r="T532" s="2">
        <v>179</v>
      </c>
      <c r="U532" s="3">
        <v>179</v>
      </c>
      <c r="V532" s="3"/>
    </row>
    <row r="533" spans="2:22" ht="21" hidden="1" x14ac:dyDescent="0.25">
      <c r="B533" s="4" t="s">
        <v>341</v>
      </c>
      <c r="C533" s="4" t="s">
        <v>342</v>
      </c>
      <c r="D533" s="4" t="s">
        <v>343</v>
      </c>
      <c r="E533" s="4" t="s">
        <v>27</v>
      </c>
      <c r="F533" s="4" t="s">
        <v>344</v>
      </c>
      <c r="G533" s="4" t="s">
        <v>27</v>
      </c>
      <c r="H533" s="4">
        <v>70052</v>
      </c>
      <c r="I533" s="4">
        <v>70287</v>
      </c>
      <c r="J533" s="4" t="s">
        <v>42</v>
      </c>
      <c r="K533" s="4" t="s">
        <v>341</v>
      </c>
      <c r="L533" s="4" t="s">
        <v>29</v>
      </c>
      <c r="M533" s="4"/>
      <c r="N533" s="5">
        <v>767</v>
      </c>
      <c r="O533" s="5">
        <v>800</v>
      </c>
      <c r="P533" s="5">
        <v>832</v>
      </c>
      <c r="Q533" s="5">
        <v>832</v>
      </c>
      <c r="R533" s="5">
        <v>153</v>
      </c>
      <c r="S533" s="5">
        <v>159</v>
      </c>
      <c r="T533" s="5">
        <v>166</v>
      </c>
      <c r="U533" s="5">
        <v>166</v>
      </c>
      <c r="V533" s="5"/>
    </row>
    <row r="534" spans="2:22" ht="20" hidden="1" x14ac:dyDescent="0.25">
      <c r="B534" s="2" t="s">
        <v>341</v>
      </c>
      <c r="C534" s="2" t="s">
        <v>342</v>
      </c>
      <c r="D534" s="2" t="s">
        <v>343</v>
      </c>
      <c r="E534" s="2" t="s">
        <v>27</v>
      </c>
      <c r="F534" s="2" t="s">
        <v>344</v>
      </c>
      <c r="G534" s="2" t="s">
        <v>27</v>
      </c>
      <c r="H534" s="2">
        <v>70052</v>
      </c>
      <c r="I534" s="2">
        <v>70287</v>
      </c>
      <c r="J534" s="2" t="s">
        <v>42</v>
      </c>
      <c r="K534" s="2" t="s">
        <v>32</v>
      </c>
      <c r="L534" s="2" t="s">
        <v>31</v>
      </c>
      <c r="M534" s="2" t="s">
        <v>345</v>
      </c>
      <c r="N534" s="3">
        <v>767</v>
      </c>
      <c r="O534" s="2">
        <v>844</v>
      </c>
      <c r="P534" s="2">
        <v>874</v>
      </c>
      <c r="Q534" s="2">
        <v>962</v>
      </c>
      <c r="R534" s="3">
        <v>153</v>
      </c>
      <c r="S534" s="2">
        <v>168</v>
      </c>
      <c r="T534" s="2">
        <v>174</v>
      </c>
      <c r="U534" s="2">
        <v>192</v>
      </c>
      <c r="V534" s="2"/>
    </row>
    <row r="535" spans="2:22" ht="20" hidden="1" x14ac:dyDescent="0.25">
      <c r="B535" s="2" t="s">
        <v>341</v>
      </c>
      <c r="C535" s="2" t="s">
        <v>342</v>
      </c>
      <c r="D535" s="2" t="s">
        <v>343</v>
      </c>
      <c r="E535" s="2" t="s">
        <v>27</v>
      </c>
      <c r="F535" s="2" t="s">
        <v>344</v>
      </c>
      <c r="G535" s="2" t="s">
        <v>27</v>
      </c>
      <c r="H535" s="2">
        <v>70052</v>
      </c>
      <c r="I535" s="2">
        <v>70287</v>
      </c>
      <c r="J535" s="2" t="s">
        <v>42</v>
      </c>
      <c r="K535" s="2"/>
      <c r="L535" s="2" t="s">
        <v>301</v>
      </c>
      <c r="M535" s="2" t="s">
        <v>346</v>
      </c>
      <c r="N535" s="2">
        <v>800</v>
      </c>
      <c r="O535" s="3">
        <v>800</v>
      </c>
      <c r="P535" s="3">
        <v>832</v>
      </c>
      <c r="Q535" s="3">
        <v>832</v>
      </c>
      <c r="R535" s="2">
        <v>159</v>
      </c>
      <c r="S535" s="3">
        <v>159</v>
      </c>
      <c r="T535" s="3">
        <v>166</v>
      </c>
      <c r="U535" s="3">
        <v>166</v>
      </c>
      <c r="V535" s="3"/>
    </row>
    <row r="536" spans="2:22" ht="21" hidden="1" x14ac:dyDescent="0.25">
      <c r="B536" s="4" t="s">
        <v>568</v>
      </c>
      <c r="C536" s="4" t="s">
        <v>569</v>
      </c>
      <c r="D536" s="4" t="s">
        <v>566</v>
      </c>
      <c r="E536" s="4" t="s">
        <v>27</v>
      </c>
      <c r="F536" s="4" t="s">
        <v>570</v>
      </c>
      <c r="G536" s="4" t="s">
        <v>27</v>
      </c>
      <c r="H536" s="4">
        <v>70114</v>
      </c>
      <c r="I536" s="4">
        <v>70281</v>
      </c>
      <c r="J536" s="4" t="s">
        <v>28</v>
      </c>
      <c r="K536" s="4" t="s">
        <v>568</v>
      </c>
      <c r="L536" s="4" t="s">
        <v>29</v>
      </c>
      <c r="M536" s="4"/>
      <c r="N536" s="5">
        <v>418</v>
      </c>
      <c r="O536" s="5">
        <v>460</v>
      </c>
      <c r="P536" s="5">
        <v>475</v>
      </c>
      <c r="Q536" s="5">
        <v>500</v>
      </c>
      <c r="R536" s="5">
        <v>83</v>
      </c>
      <c r="S536" s="5">
        <v>92</v>
      </c>
      <c r="T536" s="5">
        <v>95</v>
      </c>
      <c r="U536" s="5">
        <v>100</v>
      </c>
      <c r="V536" s="5"/>
    </row>
    <row r="537" spans="2:22" ht="20" hidden="1" x14ac:dyDescent="0.25">
      <c r="B537" s="2" t="s">
        <v>568</v>
      </c>
      <c r="C537" s="2" t="s">
        <v>569</v>
      </c>
      <c r="D537" s="2" t="s">
        <v>566</v>
      </c>
      <c r="E537" s="2" t="s">
        <v>27</v>
      </c>
      <c r="F537" s="2" t="s">
        <v>570</v>
      </c>
      <c r="G537" s="2" t="s">
        <v>27</v>
      </c>
      <c r="H537" s="2">
        <v>70114</v>
      </c>
      <c r="I537" s="2">
        <v>70281</v>
      </c>
      <c r="J537" s="2" t="s">
        <v>28</v>
      </c>
      <c r="K537" s="2" t="s">
        <v>568</v>
      </c>
      <c r="L537" s="2" t="s">
        <v>30</v>
      </c>
      <c r="M537" s="2" t="s">
        <v>569</v>
      </c>
      <c r="N537" s="3">
        <v>418</v>
      </c>
      <c r="O537" s="3">
        <v>460</v>
      </c>
      <c r="P537" s="3">
        <v>475</v>
      </c>
      <c r="Q537" s="2">
        <v>523</v>
      </c>
      <c r="R537" s="3">
        <v>83</v>
      </c>
      <c r="S537" s="3">
        <v>92</v>
      </c>
      <c r="T537" s="3">
        <v>95</v>
      </c>
      <c r="U537" s="2">
        <v>104</v>
      </c>
      <c r="V537" s="2"/>
    </row>
    <row r="538" spans="2:22" ht="30" hidden="1" x14ac:dyDescent="0.25">
      <c r="B538" s="2" t="s">
        <v>568</v>
      </c>
      <c r="C538" s="2" t="s">
        <v>569</v>
      </c>
      <c r="D538" s="2" t="s">
        <v>566</v>
      </c>
      <c r="E538" s="2" t="s">
        <v>27</v>
      </c>
      <c r="F538" s="2" t="s">
        <v>570</v>
      </c>
      <c r="G538" s="2" t="s">
        <v>27</v>
      </c>
      <c r="H538" s="2">
        <v>70114</v>
      </c>
      <c r="I538" s="2">
        <v>70281</v>
      </c>
      <c r="J538" s="2" t="s">
        <v>28</v>
      </c>
      <c r="K538" s="2" t="s">
        <v>571</v>
      </c>
      <c r="L538" s="2" t="s">
        <v>36</v>
      </c>
      <c r="M538" s="2" t="s">
        <v>572</v>
      </c>
      <c r="N538" s="2">
        <v>500</v>
      </c>
      <c r="O538" s="2">
        <v>500</v>
      </c>
      <c r="P538" s="2">
        <v>500</v>
      </c>
      <c r="Q538" s="3">
        <v>500</v>
      </c>
      <c r="R538" s="2">
        <v>100</v>
      </c>
      <c r="S538" s="2">
        <v>100</v>
      </c>
      <c r="T538" s="2">
        <v>100</v>
      </c>
      <c r="U538" s="3">
        <v>100</v>
      </c>
      <c r="V538" s="3"/>
    </row>
    <row r="539" spans="2:22" ht="21" hidden="1" x14ac:dyDescent="0.25">
      <c r="B539" s="4" t="s">
        <v>673</v>
      </c>
      <c r="C539" s="4" t="s">
        <v>674</v>
      </c>
      <c r="D539" s="4" t="s">
        <v>365</v>
      </c>
      <c r="E539" s="4" t="s">
        <v>27</v>
      </c>
      <c r="F539" s="4" t="s">
        <v>675</v>
      </c>
      <c r="G539" s="4" t="s">
        <v>27</v>
      </c>
      <c r="H539" s="4">
        <v>70155</v>
      </c>
      <c r="I539" s="4">
        <v>70421</v>
      </c>
      <c r="J539" s="4" t="s">
        <v>28</v>
      </c>
      <c r="K539" s="4" t="s">
        <v>673</v>
      </c>
      <c r="L539" s="4" t="s">
        <v>29</v>
      </c>
      <c r="M539" s="4"/>
      <c r="N539" s="5">
        <v>418</v>
      </c>
      <c r="O539" s="5">
        <v>460</v>
      </c>
      <c r="P539" s="5">
        <v>475</v>
      </c>
      <c r="Q539" s="5">
        <v>523</v>
      </c>
      <c r="R539" s="5">
        <v>83</v>
      </c>
      <c r="S539" s="5">
        <v>92</v>
      </c>
      <c r="T539" s="5">
        <v>95</v>
      </c>
      <c r="U539" s="5">
        <v>104</v>
      </c>
      <c r="V539" s="5"/>
    </row>
    <row r="540" spans="2:22" hidden="1" x14ac:dyDescent="0.25">
      <c r="B540" s="2" t="s">
        <v>673</v>
      </c>
      <c r="C540" s="2" t="s">
        <v>674</v>
      </c>
      <c r="D540" s="2" t="s">
        <v>365</v>
      </c>
      <c r="E540" s="2" t="s">
        <v>27</v>
      </c>
      <c r="F540" s="2" t="s">
        <v>675</v>
      </c>
      <c r="G540" s="2" t="s">
        <v>27</v>
      </c>
      <c r="H540" s="2">
        <v>70155</v>
      </c>
      <c r="I540" s="2">
        <v>70421</v>
      </c>
      <c r="J540" s="2" t="s">
        <v>28</v>
      </c>
      <c r="K540" s="2" t="s">
        <v>673</v>
      </c>
      <c r="L540" s="2" t="s">
        <v>30</v>
      </c>
      <c r="M540" s="2" t="s">
        <v>674</v>
      </c>
      <c r="N540" s="3">
        <v>418</v>
      </c>
      <c r="O540" s="3">
        <v>460</v>
      </c>
      <c r="P540" s="3">
        <v>475</v>
      </c>
      <c r="Q540" s="3">
        <v>523</v>
      </c>
      <c r="R540" s="3">
        <v>83</v>
      </c>
      <c r="S540" s="3">
        <v>92</v>
      </c>
      <c r="T540" s="3">
        <v>95</v>
      </c>
      <c r="U540" s="3">
        <v>104</v>
      </c>
      <c r="V540" s="3"/>
    </row>
    <row r="541" spans="2:22" ht="21" hidden="1" x14ac:dyDescent="0.25">
      <c r="B541" s="4" t="s">
        <v>1049</v>
      </c>
      <c r="C541" s="4" t="s">
        <v>674</v>
      </c>
      <c r="D541" s="4" t="s">
        <v>570</v>
      </c>
      <c r="E541" s="4" t="s">
        <v>27</v>
      </c>
      <c r="F541" s="4" t="s">
        <v>675</v>
      </c>
      <c r="G541" s="4" t="s">
        <v>27</v>
      </c>
      <c r="H541" s="4">
        <v>70281</v>
      </c>
      <c r="I541" s="4">
        <v>70421</v>
      </c>
      <c r="J541" s="4" t="s">
        <v>28</v>
      </c>
      <c r="K541" s="4" t="s">
        <v>1049</v>
      </c>
      <c r="L541" s="4" t="s">
        <v>29</v>
      </c>
      <c r="M541" s="4"/>
      <c r="N541" s="5">
        <v>418</v>
      </c>
      <c r="O541" s="5">
        <v>460</v>
      </c>
      <c r="P541" s="5">
        <v>475</v>
      </c>
      <c r="Q541" s="5">
        <v>523</v>
      </c>
      <c r="R541" s="5">
        <v>83</v>
      </c>
      <c r="S541" s="5">
        <v>92</v>
      </c>
      <c r="T541" s="5">
        <v>95</v>
      </c>
      <c r="U541" s="5">
        <v>104</v>
      </c>
      <c r="V541" s="5"/>
    </row>
    <row r="542" spans="2:22" ht="20" hidden="1" x14ac:dyDescent="0.25">
      <c r="B542" s="2" t="s">
        <v>1049</v>
      </c>
      <c r="C542" s="2" t="s">
        <v>674</v>
      </c>
      <c r="D542" s="2" t="s">
        <v>570</v>
      </c>
      <c r="E542" s="2" t="s">
        <v>27</v>
      </c>
      <c r="F542" s="2" t="s">
        <v>675</v>
      </c>
      <c r="G542" s="2" t="s">
        <v>27</v>
      </c>
      <c r="H542" s="2">
        <v>70281</v>
      </c>
      <c r="I542" s="2">
        <v>70421</v>
      </c>
      <c r="J542" s="2" t="s">
        <v>28</v>
      </c>
      <c r="K542" s="2" t="s">
        <v>1049</v>
      </c>
      <c r="L542" s="2" t="s">
        <v>30</v>
      </c>
      <c r="M542" s="2" t="s">
        <v>674</v>
      </c>
      <c r="N542" s="3">
        <v>418</v>
      </c>
      <c r="O542" s="3">
        <v>460</v>
      </c>
      <c r="P542" s="3">
        <v>475</v>
      </c>
      <c r="Q542" s="3">
        <v>523</v>
      </c>
      <c r="R542" s="3">
        <v>83</v>
      </c>
      <c r="S542" s="3">
        <v>92</v>
      </c>
      <c r="T542" s="3">
        <v>95</v>
      </c>
      <c r="U542" s="3">
        <v>104</v>
      </c>
      <c r="V542" s="3"/>
    </row>
    <row r="543" spans="2:22" ht="21" hidden="1" x14ac:dyDescent="0.25">
      <c r="B543" s="4" t="s">
        <v>1078</v>
      </c>
      <c r="C543" s="4" t="s">
        <v>1079</v>
      </c>
      <c r="D543" s="4" t="s">
        <v>874</v>
      </c>
      <c r="E543" s="4" t="s">
        <v>27</v>
      </c>
      <c r="F543" s="4" t="s">
        <v>1080</v>
      </c>
      <c r="G543" s="4" t="s">
        <v>40</v>
      </c>
      <c r="H543" s="4">
        <v>70290</v>
      </c>
      <c r="I543" s="4">
        <v>2009</v>
      </c>
      <c r="J543" s="4" t="s">
        <v>28</v>
      </c>
      <c r="K543" s="4" t="s">
        <v>1078</v>
      </c>
      <c r="L543" s="4" t="s">
        <v>29</v>
      </c>
      <c r="M543" s="4"/>
      <c r="N543" s="5">
        <v>300</v>
      </c>
      <c r="O543" s="5">
        <v>300</v>
      </c>
      <c r="P543" s="5">
        <v>300</v>
      </c>
      <c r="Q543" s="5">
        <v>300</v>
      </c>
      <c r="R543" s="5">
        <v>60</v>
      </c>
      <c r="S543" s="5">
        <v>60</v>
      </c>
      <c r="T543" s="5">
        <v>60</v>
      </c>
      <c r="U543" s="5">
        <v>60</v>
      </c>
      <c r="V543" s="5"/>
    </row>
    <row r="544" spans="2:22" ht="20" hidden="1" x14ac:dyDescent="0.25">
      <c r="B544" s="2" t="s">
        <v>1078</v>
      </c>
      <c r="C544" s="2" t="s">
        <v>1079</v>
      </c>
      <c r="D544" s="2" t="s">
        <v>874</v>
      </c>
      <c r="E544" s="2" t="s">
        <v>27</v>
      </c>
      <c r="F544" s="2" t="s">
        <v>1080</v>
      </c>
      <c r="G544" s="2" t="s">
        <v>40</v>
      </c>
      <c r="H544" s="2">
        <v>70290</v>
      </c>
      <c r="I544" s="2">
        <v>2009</v>
      </c>
      <c r="J544" s="2" t="s">
        <v>28</v>
      </c>
      <c r="K544" s="2" t="s">
        <v>1081</v>
      </c>
      <c r="L544" s="2" t="s">
        <v>39</v>
      </c>
      <c r="M544" s="2" t="s">
        <v>876</v>
      </c>
      <c r="N544" s="3">
        <v>300</v>
      </c>
      <c r="O544" s="3">
        <v>300</v>
      </c>
      <c r="P544" s="3">
        <v>300</v>
      </c>
      <c r="Q544" s="3">
        <v>300</v>
      </c>
      <c r="R544" s="3">
        <v>60</v>
      </c>
      <c r="S544" s="3">
        <v>60</v>
      </c>
      <c r="T544" s="3">
        <v>60</v>
      </c>
      <c r="U544" s="3">
        <v>60</v>
      </c>
      <c r="V544" s="3"/>
    </row>
    <row r="545" spans="2:22" ht="20" hidden="1" x14ac:dyDescent="0.25">
      <c r="B545" s="2" t="s">
        <v>1078</v>
      </c>
      <c r="C545" s="2" t="s">
        <v>1079</v>
      </c>
      <c r="D545" s="2" t="s">
        <v>874</v>
      </c>
      <c r="E545" s="2" t="s">
        <v>27</v>
      </c>
      <c r="F545" s="2" t="s">
        <v>1080</v>
      </c>
      <c r="G545" s="2" t="s">
        <v>40</v>
      </c>
      <c r="H545" s="2">
        <v>70290</v>
      </c>
      <c r="I545" s="2">
        <v>2009</v>
      </c>
      <c r="J545" s="2" t="s">
        <v>28</v>
      </c>
      <c r="K545" s="2" t="s">
        <v>213</v>
      </c>
      <c r="L545" s="2" t="s">
        <v>213</v>
      </c>
      <c r="M545" s="2" t="s">
        <v>1082</v>
      </c>
      <c r="N545" s="3">
        <v>300</v>
      </c>
      <c r="O545" s="3">
        <v>300</v>
      </c>
      <c r="P545" s="3">
        <v>300</v>
      </c>
      <c r="Q545" s="3">
        <v>300</v>
      </c>
      <c r="R545" s="3">
        <v>60</v>
      </c>
      <c r="S545" s="3">
        <v>60</v>
      </c>
      <c r="T545" s="3">
        <v>60</v>
      </c>
      <c r="U545" s="3">
        <v>60</v>
      </c>
      <c r="V545" s="3"/>
    </row>
    <row r="546" spans="2:22" ht="21" hidden="1" x14ac:dyDescent="0.25">
      <c r="B546" s="4" t="s">
        <v>1072</v>
      </c>
      <c r="C546" s="4" t="s">
        <v>1073</v>
      </c>
      <c r="D546" s="4" t="s">
        <v>874</v>
      </c>
      <c r="E546" s="4" t="s">
        <v>27</v>
      </c>
      <c r="F546" s="4" t="s">
        <v>1074</v>
      </c>
      <c r="G546" s="4" t="s">
        <v>27</v>
      </c>
      <c r="H546" s="4">
        <v>70290</v>
      </c>
      <c r="I546" s="4">
        <v>70805</v>
      </c>
      <c r="J546" s="4" t="s">
        <v>28</v>
      </c>
      <c r="K546" s="4" t="s">
        <v>1072</v>
      </c>
      <c r="L546" s="4" t="s">
        <v>29</v>
      </c>
      <c r="M546" s="4"/>
      <c r="N546" s="5">
        <v>924</v>
      </c>
      <c r="O546" s="5">
        <v>1075</v>
      </c>
      <c r="P546" s="5">
        <v>1099</v>
      </c>
      <c r="Q546" s="5">
        <v>1200</v>
      </c>
      <c r="R546" s="5">
        <v>184</v>
      </c>
      <c r="S546" s="5">
        <v>214</v>
      </c>
      <c r="T546" s="5">
        <v>219</v>
      </c>
      <c r="U546" s="5">
        <v>239</v>
      </c>
      <c r="V546" s="5"/>
    </row>
    <row r="547" spans="2:22" ht="20" hidden="1" x14ac:dyDescent="0.25">
      <c r="B547" s="2" t="s">
        <v>1072</v>
      </c>
      <c r="C547" s="2" t="s">
        <v>1073</v>
      </c>
      <c r="D547" s="2" t="s">
        <v>874</v>
      </c>
      <c r="E547" s="2" t="s">
        <v>27</v>
      </c>
      <c r="F547" s="2" t="s">
        <v>1074</v>
      </c>
      <c r="G547" s="2" t="s">
        <v>27</v>
      </c>
      <c r="H547" s="2">
        <v>70290</v>
      </c>
      <c r="I547" s="2">
        <v>70805</v>
      </c>
      <c r="J547" s="2" t="s">
        <v>28</v>
      </c>
      <c r="K547" s="2" t="s">
        <v>239</v>
      </c>
      <c r="L547" s="2" t="s">
        <v>31</v>
      </c>
      <c r="M547" s="2" t="s">
        <v>876</v>
      </c>
      <c r="N547" s="3">
        <v>924</v>
      </c>
      <c r="O547" s="3">
        <v>1075</v>
      </c>
      <c r="P547" s="3">
        <v>1099</v>
      </c>
      <c r="Q547" s="2">
        <v>1223</v>
      </c>
      <c r="R547" s="3">
        <v>184</v>
      </c>
      <c r="S547" s="3">
        <v>214</v>
      </c>
      <c r="T547" s="3">
        <v>219</v>
      </c>
      <c r="U547" s="2">
        <v>244</v>
      </c>
      <c r="V547" s="2"/>
    </row>
    <row r="548" spans="2:22" ht="20" hidden="1" x14ac:dyDescent="0.25">
      <c r="B548" s="2" t="s">
        <v>1072</v>
      </c>
      <c r="C548" s="2" t="s">
        <v>1073</v>
      </c>
      <c r="D548" s="2" t="s">
        <v>874</v>
      </c>
      <c r="E548" s="2" t="s">
        <v>27</v>
      </c>
      <c r="F548" s="2" t="s">
        <v>1074</v>
      </c>
      <c r="G548" s="2" t="s">
        <v>27</v>
      </c>
      <c r="H548" s="2">
        <v>70290</v>
      </c>
      <c r="I548" s="2">
        <v>70805</v>
      </c>
      <c r="J548" s="2" t="s">
        <v>28</v>
      </c>
      <c r="K548" s="2" t="s">
        <v>1075</v>
      </c>
      <c r="L548" s="2" t="s">
        <v>39</v>
      </c>
      <c r="M548" s="2" t="s">
        <v>876</v>
      </c>
      <c r="N548" s="2">
        <v>1200</v>
      </c>
      <c r="O548" s="2">
        <v>1200</v>
      </c>
      <c r="P548" s="2">
        <v>1200</v>
      </c>
      <c r="Q548" s="3">
        <v>1200</v>
      </c>
      <c r="R548" s="2">
        <v>239</v>
      </c>
      <c r="S548" s="2">
        <v>239</v>
      </c>
      <c r="T548" s="2">
        <v>239</v>
      </c>
      <c r="U548" s="3">
        <v>239</v>
      </c>
      <c r="V548" s="3"/>
    </row>
    <row r="549" spans="2:22" ht="20" hidden="1" x14ac:dyDescent="0.25">
      <c r="B549" s="2" t="s">
        <v>1072</v>
      </c>
      <c r="C549" s="2" t="s">
        <v>1073</v>
      </c>
      <c r="D549" s="2" t="s">
        <v>874</v>
      </c>
      <c r="E549" s="2" t="s">
        <v>27</v>
      </c>
      <c r="F549" s="2" t="s">
        <v>1074</v>
      </c>
      <c r="G549" s="2" t="s">
        <v>27</v>
      </c>
      <c r="H549" s="2">
        <v>70290</v>
      </c>
      <c r="I549" s="2">
        <v>70805</v>
      </c>
      <c r="J549" s="2" t="s">
        <v>28</v>
      </c>
      <c r="K549" s="2" t="s">
        <v>1076</v>
      </c>
      <c r="L549" s="2" t="s">
        <v>39</v>
      </c>
      <c r="M549" s="2" t="s">
        <v>876</v>
      </c>
      <c r="N549" s="2">
        <v>1200</v>
      </c>
      <c r="O549" s="2">
        <v>1200</v>
      </c>
      <c r="P549" s="2">
        <v>1200</v>
      </c>
      <c r="Q549" s="3">
        <v>1200</v>
      </c>
      <c r="R549" s="2">
        <v>239</v>
      </c>
      <c r="S549" s="2">
        <v>239</v>
      </c>
      <c r="T549" s="2">
        <v>239</v>
      </c>
      <c r="U549" s="3">
        <v>239</v>
      </c>
      <c r="V549" s="3"/>
    </row>
    <row r="550" spans="2:22" ht="20" hidden="1" x14ac:dyDescent="0.25">
      <c r="B550" s="2" t="s">
        <v>1072</v>
      </c>
      <c r="C550" s="2" t="s">
        <v>1073</v>
      </c>
      <c r="D550" s="2" t="s">
        <v>874</v>
      </c>
      <c r="E550" s="2" t="s">
        <v>27</v>
      </c>
      <c r="F550" s="2" t="s">
        <v>1074</v>
      </c>
      <c r="G550" s="2" t="s">
        <v>27</v>
      </c>
      <c r="H550" s="2">
        <v>70290</v>
      </c>
      <c r="I550" s="2">
        <v>70805</v>
      </c>
      <c r="J550" s="2" t="s">
        <v>28</v>
      </c>
      <c r="K550" s="2" t="s">
        <v>1077</v>
      </c>
      <c r="L550" s="2" t="s">
        <v>39</v>
      </c>
      <c r="M550" s="2" t="s">
        <v>876</v>
      </c>
      <c r="N550" s="2">
        <v>1200</v>
      </c>
      <c r="O550" s="2">
        <v>1200</v>
      </c>
      <c r="P550" s="2">
        <v>1200</v>
      </c>
      <c r="Q550" s="3">
        <v>1200</v>
      </c>
      <c r="R550" s="2">
        <v>239</v>
      </c>
      <c r="S550" s="2">
        <v>239</v>
      </c>
      <c r="T550" s="2">
        <v>239</v>
      </c>
      <c r="U550" s="3">
        <v>239</v>
      </c>
      <c r="V550" s="3"/>
    </row>
    <row r="551" spans="2:22" ht="21" hidden="1" x14ac:dyDescent="0.25">
      <c r="B551" s="4" t="s">
        <v>1268</v>
      </c>
      <c r="C551" s="4" t="s">
        <v>1073</v>
      </c>
      <c r="D551" s="4" t="s">
        <v>1208</v>
      </c>
      <c r="E551" s="4" t="s">
        <v>27</v>
      </c>
      <c r="F551" s="4" t="s">
        <v>1074</v>
      </c>
      <c r="G551" s="4" t="s">
        <v>27</v>
      </c>
      <c r="H551" s="4">
        <v>70439</v>
      </c>
      <c r="I551" s="4">
        <v>70805</v>
      </c>
      <c r="J551" s="4" t="s">
        <v>28</v>
      </c>
      <c r="K551" s="4" t="s">
        <v>1268</v>
      </c>
      <c r="L551" s="4" t="s">
        <v>29</v>
      </c>
      <c r="M551" s="4"/>
      <c r="N551" s="5">
        <v>923</v>
      </c>
      <c r="O551" s="5">
        <v>1074</v>
      </c>
      <c r="P551" s="5">
        <v>1099</v>
      </c>
      <c r="Q551" s="5">
        <v>1200</v>
      </c>
      <c r="R551" s="5">
        <v>184</v>
      </c>
      <c r="S551" s="5">
        <v>214</v>
      </c>
      <c r="T551" s="5">
        <v>219</v>
      </c>
      <c r="U551" s="5">
        <v>239</v>
      </c>
      <c r="V551" s="5"/>
    </row>
    <row r="552" spans="2:22" ht="20" hidden="1" x14ac:dyDescent="0.25">
      <c r="B552" s="2" t="s">
        <v>1268</v>
      </c>
      <c r="C552" s="2" t="s">
        <v>1073</v>
      </c>
      <c r="D552" s="2" t="s">
        <v>1208</v>
      </c>
      <c r="E552" s="2" t="s">
        <v>27</v>
      </c>
      <c r="F552" s="2" t="s">
        <v>1074</v>
      </c>
      <c r="G552" s="2" t="s">
        <v>27</v>
      </c>
      <c r="H552" s="2">
        <v>70439</v>
      </c>
      <c r="I552" s="2">
        <v>70805</v>
      </c>
      <c r="J552" s="2" t="s">
        <v>28</v>
      </c>
      <c r="K552" s="2" t="s">
        <v>239</v>
      </c>
      <c r="L552" s="2" t="s">
        <v>31</v>
      </c>
      <c r="M552" s="2" t="s">
        <v>1209</v>
      </c>
      <c r="N552" s="3">
        <v>923</v>
      </c>
      <c r="O552" s="3">
        <v>1074</v>
      </c>
      <c r="P552" s="3">
        <v>1099</v>
      </c>
      <c r="Q552" s="2">
        <v>1222</v>
      </c>
      <c r="R552" s="3">
        <v>184</v>
      </c>
      <c r="S552" s="3">
        <v>214</v>
      </c>
      <c r="T552" s="3">
        <v>219</v>
      </c>
      <c r="U552" s="2">
        <v>243</v>
      </c>
      <c r="V552" s="2"/>
    </row>
    <row r="553" spans="2:22" ht="20" hidden="1" x14ac:dyDescent="0.25">
      <c r="B553" s="2" t="s">
        <v>1268</v>
      </c>
      <c r="C553" s="2" t="s">
        <v>1073</v>
      </c>
      <c r="D553" s="2" t="s">
        <v>1208</v>
      </c>
      <c r="E553" s="2" t="s">
        <v>27</v>
      </c>
      <c r="F553" s="2" t="s">
        <v>1074</v>
      </c>
      <c r="G553" s="2" t="s">
        <v>27</v>
      </c>
      <c r="H553" s="2">
        <v>70439</v>
      </c>
      <c r="I553" s="2">
        <v>70805</v>
      </c>
      <c r="J553" s="2" t="s">
        <v>28</v>
      </c>
      <c r="K553" s="2" t="s">
        <v>1076</v>
      </c>
      <c r="L553" s="2" t="s">
        <v>39</v>
      </c>
      <c r="M553" s="2" t="s">
        <v>1209</v>
      </c>
      <c r="N553" s="2">
        <v>1200</v>
      </c>
      <c r="O553" s="2">
        <v>1200</v>
      </c>
      <c r="P553" s="2">
        <v>1200</v>
      </c>
      <c r="Q553" s="3">
        <v>1200</v>
      </c>
      <c r="R553" s="2">
        <v>239</v>
      </c>
      <c r="S553" s="2">
        <v>239</v>
      </c>
      <c r="T553" s="2">
        <v>239</v>
      </c>
      <c r="U553" s="3">
        <v>239</v>
      </c>
      <c r="V553" s="3"/>
    </row>
    <row r="554" spans="2:22" ht="20" hidden="1" x14ac:dyDescent="0.25">
      <c r="B554" s="2" t="s">
        <v>1268</v>
      </c>
      <c r="C554" s="2" t="s">
        <v>1073</v>
      </c>
      <c r="D554" s="2" t="s">
        <v>1208</v>
      </c>
      <c r="E554" s="2" t="s">
        <v>27</v>
      </c>
      <c r="F554" s="2" t="s">
        <v>1074</v>
      </c>
      <c r="G554" s="2" t="s">
        <v>27</v>
      </c>
      <c r="H554" s="2">
        <v>70439</v>
      </c>
      <c r="I554" s="2">
        <v>70805</v>
      </c>
      <c r="J554" s="2" t="s">
        <v>28</v>
      </c>
      <c r="K554" s="2" t="s">
        <v>1077</v>
      </c>
      <c r="L554" s="2" t="s">
        <v>39</v>
      </c>
      <c r="M554" s="2" t="s">
        <v>1209</v>
      </c>
      <c r="N554" s="2">
        <v>1200</v>
      </c>
      <c r="O554" s="2">
        <v>1200</v>
      </c>
      <c r="P554" s="2">
        <v>1200</v>
      </c>
      <c r="Q554" s="3">
        <v>1200</v>
      </c>
      <c r="R554" s="2">
        <v>239</v>
      </c>
      <c r="S554" s="2">
        <v>239</v>
      </c>
      <c r="T554" s="2">
        <v>239</v>
      </c>
      <c r="U554" s="3">
        <v>239</v>
      </c>
      <c r="V554" s="3"/>
    </row>
    <row r="555" spans="2:22" ht="20" hidden="1" x14ac:dyDescent="0.25">
      <c r="B555" s="2" t="s">
        <v>1268</v>
      </c>
      <c r="C555" s="2" t="s">
        <v>1073</v>
      </c>
      <c r="D555" s="2" t="s">
        <v>1208</v>
      </c>
      <c r="E555" s="2" t="s">
        <v>27</v>
      </c>
      <c r="F555" s="2" t="s">
        <v>1074</v>
      </c>
      <c r="G555" s="2" t="s">
        <v>27</v>
      </c>
      <c r="H555" s="2">
        <v>70439</v>
      </c>
      <c r="I555" s="2">
        <v>70805</v>
      </c>
      <c r="J555" s="2" t="s">
        <v>28</v>
      </c>
      <c r="K555" s="2" t="s">
        <v>1075</v>
      </c>
      <c r="L555" s="2" t="s">
        <v>39</v>
      </c>
      <c r="M555" s="2" t="s">
        <v>1209</v>
      </c>
      <c r="N555" s="2">
        <v>1200</v>
      </c>
      <c r="O555" s="2">
        <v>1200</v>
      </c>
      <c r="P555" s="2">
        <v>1200</v>
      </c>
      <c r="Q555" s="3">
        <v>1200</v>
      </c>
      <c r="R555" s="2">
        <v>239</v>
      </c>
      <c r="S555" s="2">
        <v>239</v>
      </c>
      <c r="T555" s="2">
        <v>239</v>
      </c>
      <c r="U555" s="3">
        <v>239</v>
      </c>
      <c r="V555" s="3"/>
    </row>
    <row r="556" spans="2:22" ht="20" hidden="1" x14ac:dyDescent="0.25">
      <c r="B556" s="2" t="s">
        <v>1268</v>
      </c>
      <c r="C556" s="2" t="s">
        <v>1073</v>
      </c>
      <c r="D556" s="2" t="s">
        <v>1208</v>
      </c>
      <c r="E556" s="2" t="s">
        <v>27</v>
      </c>
      <c r="F556" s="2" t="s">
        <v>1074</v>
      </c>
      <c r="G556" s="2" t="s">
        <v>27</v>
      </c>
      <c r="H556" s="2">
        <v>70439</v>
      </c>
      <c r="I556" s="2">
        <v>70805</v>
      </c>
      <c r="J556" s="2" t="s">
        <v>28</v>
      </c>
      <c r="K556" s="2" t="s">
        <v>1269</v>
      </c>
      <c r="L556" s="2" t="s">
        <v>39</v>
      </c>
      <c r="M556" s="2" t="s">
        <v>1209</v>
      </c>
      <c r="N556" s="2">
        <v>1200</v>
      </c>
      <c r="O556" s="2">
        <v>1200</v>
      </c>
      <c r="P556" s="2">
        <v>1200</v>
      </c>
      <c r="Q556" s="3">
        <v>1200</v>
      </c>
      <c r="R556" s="2">
        <v>239</v>
      </c>
      <c r="S556" s="2">
        <v>239</v>
      </c>
      <c r="T556" s="2">
        <v>239</v>
      </c>
      <c r="U556" s="3">
        <v>239</v>
      </c>
      <c r="V556" s="3"/>
    </row>
    <row r="557" spans="2:22" ht="21" x14ac:dyDescent="0.25">
      <c r="B557" s="4" t="s">
        <v>1270</v>
      </c>
      <c r="C557" s="4" t="s">
        <v>1271</v>
      </c>
      <c r="D557" s="4" t="s">
        <v>1208</v>
      </c>
      <c r="E557" s="4" t="s">
        <v>27</v>
      </c>
      <c r="F557" s="4" t="s">
        <v>1272</v>
      </c>
      <c r="G557" s="4" t="s">
        <v>27</v>
      </c>
      <c r="H557" s="4">
        <v>70439</v>
      </c>
      <c r="I557" s="4">
        <v>2007</v>
      </c>
      <c r="J557" s="4" t="s">
        <v>28</v>
      </c>
      <c r="K557" s="4" t="s">
        <v>1270</v>
      </c>
      <c r="L557" s="4" t="s">
        <v>29</v>
      </c>
      <c r="M557" s="4"/>
      <c r="N557" s="5">
        <v>811</v>
      </c>
      <c r="O557" s="5">
        <v>811</v>
      </c>
      <c r="P557" s="5">
        <v>670</v>
      </c>
      <c r="Q557" s="5">
        <v>670</v>
      </c>
      <c r="R557" s="5">
        <v>162</v>
      </c>
      <c r="S557" s="5">
        <v>162</v>
      </c>
      <c r="T557" s="5">
        <v>133</v>
      </c>
      <c r="U557" s="5">
        <v>133</v>
      </c>
      <c r="V557" s="5"/>
    </row>
    <row r="558" spans="2:22" ht="20" hidden="1" x14ac:dyDescent="0.25">
      <c r="B558" s="2" t="s">
        <v>1270</v>
      </c>
      <c r="C558" s="2" t="s">
        <v>1271</v>
      </c>
      <c r="D558" s="2" t="s">
        <v>1208</v>
      </c>
      <c r="E558" s="2" t="s">
        <v>27</v>
      </c>
      <c r="F558" s="2" t="s">
        <v>1272</v>
      </c>
      <c r="G558" s="2" t="s">
        <v>27</v>
      </c>
      <c r="H558" s="2">
        <v>70439</v>
      </c>
      <c r="I558" s="2">
        <v>2007</v>
      </c>
      <c r="J558" s="2" t="s">
        <v>28</v>
      </c>
      <c r="K558" s="2" t="s">
        <v>1270</v>
      </c>
      <c r="L558" s="2" t="s">
        <v>30</v>
      </c>
      <c r="M558" s="2" t="s">
        <v>1271</v>
      </c>
      <c r="N558" s="3">
        <v>811</v>
      </c>
      <c r="O558" s="3">
        <v>811</v>
      </c>
      <c r="P558" s="3">
        <v>670</v>
      </c>
      <c r="Q558" s="3">
        <v>670</v>
      </c>
      <c r="R558" s="3">
        <v>162</v>
      </c>
      <c r="S558" s="3">
        <v>162</v>
      </c>
      <c r="T558" s="3">
        <v>133</v>
      </c>
      <c r="U558" s="3">
        <v>133</v>
      </c>
      <c r="V558" s="3"/>
    </row>
    <row r="559" spans="2:22" ht="21" hidden="1" x14ac:dyDescent="0.25">
      <c r="B559" s="4" t="s">
        <v>849</v>
      </c>
      <c r="C559" s="4" t="s">
        <v>850</v>
      </c>
      <c r="D559" s="4" t="s">
        <v>837</v>
      </c>
      <c r="E559" s="4" t="s">
        <v>27</v>
      </c>
      <c r="F559" s="4" t="s">
        <v>851</v>
      </c>
      <c r="G559" s="4" t="s">
        <v>27</v>
      </c>
      <c r="H559" s="4">
        <v>70202</v>
      </c>
      <c r="I559" s="4">
        <v>70240</v>
      </c>
      <c r="J559" s="4" t="s">
        <v>28</v>
      </c>
      <c r="K559" s="4" t="s">
        <v>849</v>
      </c>
      <c r="L559" s="4" t="s">
        <v>29</v>
      </c>
      <c r="M559" s="4"/>
      <c r="N559" s="5">
        <v>804</v>
      </c>
      <c r="O559" s="5">
        <v>884</v>
      </c>
      <c r="P559" s="5">
        <v>914</v>
      </c>
      <c r="Q559" s="5">
        <v>1005</v>
      </c>
      <c r="R559" s="5">
        <v>160</v>
      </c>
      <c r="S559" s="5">
        <v>176</v>
      </c>
      <c r="T559" s="5">
        <v>182</v>
      </c>
      <c r="U559" s="5">
        <v>200</v>
      </c>
      <c r="V559" s="5"/>
    </row>
    <row r="560" spans="2:22" ht="20" hidden="1" x14ac:dyDescent="0.25">
      <c r="B560" s="2" t="s">
        <v>849</v>
      </c>
      <c r="C560" s="2" t="s">
        <v>850</v>
      </c>
      <c r="D560" s="2" t="s">
        <v>837</v>
      </c>
      <c r="E560" s="2" t="s">
        <v>27</v>
      </c>
      <c r="F560" s="2" t="s">
        <v>851</v>
      </c>
      <c r="G560" s="2" t="s">
        <v>27</v>
      </c>
      <c r="H560" s="2">
        <v>70202</v>
      </c>
      <c r="I560" s="2">
        <v>70240</v>
      </c>
      <c r="J560" s="2" t="s">
        <v>28</v>
      </c>
      <c r="K560" s="2" t="s">
        <v>32</v>
      </c>
      <c r="L560" s="2" t="s">
        <v>31</v>
      </c>
      <c r="M560" s="2" t="s">
        <v>852</v>
      </c>
      <c r="N560" s="3">
        <v>804</v>
      </c>
      <c r="O560" s="3">
        <v>884</v>
      </c>
      <c r="P560" s="3">
        <v>914</v>
      </c>
      <c r="Q560" s="3">
        <v>1005</v>
      </c>
      <c r="R560" s="3">
        <v>160</v>
      </c>
      <c r="S560" s="3">
        <v>176</v>
      </c>
      <c r="T560" s="3">
        <v>182</v>
      </c>
      <c r="U560" s="3">
        <v>200</v>
      </c>
      <c r="V560" s="3"/>
    </row>
    <row r="561" spans="2:22" ht="21" hidden="1" x14ac:dyDescent="0.25">
      <c r="B561" s="4" t="s">
        <v>971</v>
      </c>
      <c r="C561" s="4" t="s">
        <v>850</v>
      </c>
      <c r="D561" s="4" t="s">
        <v>851</v>
      </c>
      <c r="E561" s="4" t="s">
        <v>27</v>
      </c>
      <c r="F561" s="4" t="s">
        <v>817</v>
      </c>
      <c r="G561" s="4" t="s">
        <v>27</v>
      </c>
      <c r="H561" s="4">
        <v>70246</v>
      </c>
      <c r="I561" s="4">
        <v>70470</v>
      </c>
      <c r="J561" s="4" t="s">
        <v>28</v>
      </c>
      <c r="K561" s="4" t="s">
        <v>971</v>
      </c>
      <c r="L561" s="4" t="s">
        <v>29</v>
      </c>
      <c r="M561" s="4"/>
      <c r="N561" s="5">
        <v>939</v>
      </c>
      <c r="O561" s="5">
        <v>1033</v>
      </c>
      <c r="P561" s="5">
        <v>1068</v>
      </c>
      <c r="Q561" s="5">
        <v>1175</v>
      </c>
      <c r="R561" s="5">
        <v>187</v>
      </c>
      <c r="S561" s="5">
        <v>206</v>
      </c>
      <c r="T561" s="5">
        <v>213</v>
      </c>
      <c r="U561" s="5">
        <v>234</v>
      </c>
      <c r="V561" s="5"/>
    </row>
    <row r="562" spans="2:22" ht="20" hidden="1" x14ac:dyDescent="0.25">
      <c r="B562" s="2" t="s">
        <v>971</v>
      </c>
      <c r="C562" s="2" t="s">
        <v>850</v>
      </c>
      <c r="D562" s="2" t="s">
        <v>851</v>
      </c>
      <c r="E562" s="2" t="s">
        <v>27</v>
      </c>
      <c r="F562" s="2" t="s">
        <v>817</v>
      </c>
      <c r="G562" s="2" t="s">
        <v>27</v>
      </c>
      <c r="H562" s="2">
        <v>70246</v>
      </c>
      <c r="I562" s="2">
        <v>70470</v>
      </c>
      <c r="J562" s="2" t="s">
        <v>28</v>
      </c>
      <c r="K562" s="2" t="s">
        <v>960</v>
      </c>
      <c r="L562" s="2" t="s">
        <v>31</v>
      </c>
      <c r="M562" s="2" t="s">
        <v>972</v>
      </c>
      <c r="N562" s="3">
        <v>939</v>
      </c>
      <c r="O562" s="3">
        <v>1033</v>
      </c>
      <c r="P562" s="3">
        <v>1068</v>
      </c>
      <c r="Q562" s="3">
        <v>1175</v>
      </c>
      <c r="R562" s="3">
        <v>187</v>
      </c>
      <c r="S562" s="3">
        <v>206</v>
      </c>
      <c r="T562" s="3">
        <v>213</v>
      </c>
      <c r="U562" s="3">
        <v>234</v>
      </c>
      <c r="V562" s="3"/>
    </row>
    <row r="563" spans="2:22" hidden="1" x14ac:dyDescent="0.25">
      <c r="B563" s="4" t="s">
        <v>676</v>
      </c>
      <c r="C563" s="4" t="s">
        <v>677</v>
      </c>
      <c r="D563" s="4" t="s">
        <v>678</v>
      </c>
      <c r="E563" s="4" t="s">
        <v>27</v>
      </c>
      <c r="F563" s="4" t="s">
        <v>679</v>
      </c>
      <c r="G563" s="4" t="s">
        <v>27</v>
      </c>
      <c r="H563" s="4">
        <v>70157</v>
      </c>
      <c r="I563" s="4">
        <v>70419</v>
      </c>
      <c r="J563" s="4" t="s">
        <v>28</v>
      </c>
      <c r="K563" s="4" t="s">
        <v>676</v>
      </c>
      <c r="L563" s="4" t="s">
        <v>29</v>
      </c>
      <c r="M563" s="4"/>
      <c r="N563" s="5">
        <v>1060</v>
      </c>
      <c r="O563" s="5">
        <v>1166</v>
      </c>
      <c r="P563" s="5">
        <v>1200</v>
      </c>
      <c r="Q563" s="5">
        <v>1200</v>
      </c>
      <c r="R563" s="5">
        <v>211</v>
      </c>
      <c r="S563" s="5">
        <v>232</v>
      </c>
      <c r="T563" s="5">
        <v>239</v>
      </c>
      <c r="U563" s="5">
        <v>239</v>
      </c>
      <c r="V563" s="5"/>
    </row>
    <row r="564" spans="2:22" ht="20" hidden="1" x14ac:dyDescent="0.25">
      <c r="B564" s="2" t="s">
        <v>676</v>
      </c>
      <c r="C564" s="2" t="s">
        <v>677</v>
      </c>
      <c r="D564" s="2" t="s">
        <v>678</v>
      </c>
      <c r="E564" s="2" t="s">
        <v>27</v>
      </c>
      <c r="F564" s="2" t="s">
        <v>679</v>
      </c>
      <c r="G564" s="2" t="s">
        <v>27</v>
      </c>
      <c r="H564" s="2">
        <v>70157</v>
      </c>
      <c r="I564" s="2">
        <v>70419</v>
      </c>
      <c r="J564" s="2" t="s">
        <v>28</v>
      </c>
      <c r="K564" s="2" t="s">
        <v>680</v>
      </c>
      <c r="L564" s="2" t="s">
        <v>31</v>
      </c>
      <c r="M564" s="2" t="s">
        <v>681</v>
      </c>
      <c r="N564" s="3">
        <v>1060</v>
      </c>
      <c r="O564" s="3">
        <v>1166</v>
      </c>
      <c r="P564" s="2">
        <v>1210</v>
      </c>
      <c r="Q564" s="2">
        <v>1331</v>
      </c>
      <c r="R564" s="3">
        <v>211</v>
      </c>
      <c r="S564" s="3">
        <v>232</v>
      </c>
      <c r="T564" s="2">
        <v>241</v>
      </c>
      <c r="U564" s="2">
        <v>265</v>
      </c>
      <c r="V564" s="2"/>
    </row>
    <row r="565" spans="2:22" hidden="1" x14ac:dyDescent="0.25">
      <c r="B565" s="2" t="s">
        <v>676</v>
      </c>
      <c r="C565" s="2" t="s">
        <v>677</v>
      </c>
      <c r="D565" s="2" t="s">
        <v>678</v>
      </c>
      <c r="E565" s="2" t="s">
        <v>27</v>
      </c>
      <c r="F565" s="2" t="s">
        <v>679</v>
      </c>
      <c r="G565" s="2" t="s">
        <v>27</v>
      </c>
      <c r="H565" s="2">
        <v>70157</v>
      </c>
      <c r="I565" s="2">
        <v>70419</v>
      </c>
      <c r="J565" s="2" t="s">
        <v>28</v>
      </c>
      <c r="K565" s="2" t="s">
        <v>677</v>
      </c>
      <c r="L565" s="2" t="s">
        <v>49</v>
      </c>
      <c r="M565" s="2" t="s">
        <v>681</v>
      </c>
      <c r="N565" s="2">
        <v>1200</v>
      </c>
      <c r="O565" s="2">
        <v>1200</v>
      </c>
      <c r="P565" s="3">
        <v>1200</v>
      </c>
      <c r="Q565" s="3">
        <v>1200</v>
      </c>
      <c r="R565" s="2">
        <v>239</v>
      </c>
      <c r="S565" s="2">
        <v>239</v>
      </c>
      <c r="T565" s="3">
        <v>239</v>
      </c>
      <c r="U565" s="3">
        <v>239</v>
      </c>
      <c r="V565" s="3"/>
    </row>
    <row r="566" spans="2:22" ht="21" hidden="1" x14ac:dyDescent="0.25">
      <c r="B566" s="4" t="s">
        <v>1014</v>
      </c>
      <c r="C566" s="4" t="s">
        <v>677</v>
      </c>
      <c r="D566" s="4" t="s">
        <v>679</v>
      </c>
      <c r="E566" s="4" t="s">
        <v>27</v>
      </c>
      <c r="F566" s="4" t="s">
        <v>1015</v>
      </c>
      <c r="G566" s="4" t="s">
        <v>27</v>
      </c>
      <c r="H566" s="4">
        <v>70419</v>
      </c>
      <c r="I566" s="4">
        <v>70426</v>
      </c>
      <c r="J566" s="4" t="s">
        <v>28</v>
      </c>
      <c r="K566" s="4" t="s">
        <v>1014</v>
      </c>
      <c r="L566" s="4" t="s">
        <v>29</v>
      </c>
      <c r="M566" s="4"/>
      <c r="N566" s="5">
        <v>600</v>
      </c>
      <c r="O566" s="5">
        <v>600</v>
      </c>
      <c r="P566" s="5">
        <v>600</v>
      </c>
      <c r="Q566" s="5">
        <v>600</v>
      </c>
      <c r="R566" s="5">
        <v>120</v>
      </c>
      <c r="S566" s="5">
        <v>120</v>
      </c>
      <c r="T566" s="5">
        <v>120</v>
      </c>
      <c r="U566" s="5">
        <v>120</v>
      </c>
      <c r="V566" s="5"/>
    </row>
    <row r="567" spans="2:22" ht="20" hidden="1" x14ac:dyDescent="0.25">
      <c r="B567" s="2" t="s">
        <v>1014</v>
      </c>
      <c r="C567" s="2" t="s">
        <v>677</v>
      </c>
      <c r="D567" s="2" t="s">
        <v>679</v>
      </c>
      <c r="E567" s="2" t="s">
        <v>27</v>
      </c>
      <c r="F567" s="2" t="s">
        <v>1015</v>
      </c>
      <c r="G567" s="2" t="s">
        <v>27</v>
      </c>
      <c r="H567" s="2">
        <v>70419</v>
      </c>
      <c r="I567" s="2">
        <v>70426</v>
      </c>
      <c r="J567" s="2" t="s">
        <v>28</v>
      </c>
      <c r="K567" s="2" t="s">
        <v>1016</v>
      </c>
      <c r="L567" s="2" t="s">
        <v>39</v>
      </c>
      <c r="M567" s="2" t="s">
        <v>1017</v>
      </c>
      <c r="N567" s="3">
        <v>600</v>
      </c>
      <c r="O567" s="3">
        <v>600</v>
      </c>
      <c r="P567" s="3">
        <v>600</v>
      </c>
      <c r="Q567" s="3">
        <v>600</v>
      </c>
      <c r="R567" s="3">
        <v>120</v>
      </c>
      <c r="S567" s="3">
        <v>120</v>
      </c>
      <c r="T567" s="3">
        <v>120</v>
      </c>
      <c r="U567" s="3">
        <v>120</v>
      </c>
      <c r="V567" s="3"/>
    </row>
    <row r="568" spans="2:22" ht="21" hidden="1" x14ac:dyDescent="0.25">
      <c r="B568" s="4" t="s">
        <v>170</v>
      </c>
      <c r="C568" s="4" t="s">
        <v>171</v>
      </c>
      <c r="D568" s="4" t="s">
        <v>319</v>
      </c>
      <c r="E568" s="4" t="s">
        <v>27</v>
      </c>
      <c r="F568" s="4" t="s">
        <v>325</v>
      </c>
      <c r="G568" s="4" t="s">
        <v>40</v>
      </c>
      <c r="H568" s="4">
        <v>79006</v>
      </c>
      <c r="I568" s="4">
        <v>79068</v>
      </c>
      <c r="J568" s="4" t="s">
        <v>42</v>
      </c>
      <c r="K568" s="4" t="s">
        <v>170</v>
      </c>
      <c r="L568" s="4" t="s">
        <v>29</v>
      </c>
      <c r="M568" s="4"/>
      <c r="N568" s="5">
        <v>600</v>
      </c>
      <c r="O568" s="5">
        <v>600</v>
      </c>
      <c r="P568" s="5">
        <v>600</v>
      </c>
      <c r="Q568" s="5">
        <v>600</v>
      </c>
      <c r="R568" s="5">
        <v>120</v>
      </c>
      <c r="S568" s="5">
        <v>120</v>
      </c>
      <c r="T568" s="5">
        <v>120</v>
      </c>
      <c r="U568" s="5">
        <v>120</v>
      </c>
      <c r="V568" s="5"/>
    </row>
    <row r="569" spans="2:22" ht="30" hidden="1" x14ac:dyDescent="0.25">
      <c r="B569" s="2" t="s">
        <v>170</v>
      </c>
      <c r="C569" s="2" t="s">
        <v>171</v>
      </c>
      <c r="D569" s="2" t="s">
        <v>319</v>
      </c>
      <c r="E569" s="2" t="s">
        <v>27</v>
      </c>
      <c r="F569" s="2" t="s">
        <v>325</v>
      </c>
      <c r="G569" s="2" t="s">
        <v>40</v>
      </c>
      <c r="H569" s="2">
        <v>79006</v>
      </c>
      <c r="I569" s="2">
        <v>79068</v>
      </c>
      <c r="J569" s="2" t="s">
        <v>42</v>
      </c>
      <c r="K569" s="2" t="s">
        <v>326</v>
      </c>
      <c r="L569" s="2" t="s">
        <v>36</v>
      </c>
      <c r="M569" s="2" t="s">
        <v>322</v>
      </c>
      <c r="N569" s="3">
        <v>600</v>
      </c>
      <c r="O569" s="3">
        <v>600</v>
      </c>
      <c r="P569" s="3">
        <v>600</v>
      </c>
      <c r="Q569" s="3">
        <v>600</v>
      </c>
      <c r="R569" s="3">
        <v>120</v>
      </c>
      <c r="S569" s="3">
        <v>120</v>
      </c>
      <c r="T569" s="3">
        <v>120</v>
      </c>
      <c r="U569" s="3">
        <v>120</v>
      </c>
      <c r="V569" s="3"/>
    </row>
    <row r="570" spans="2:22" ht="20" hidden="1" x14ac:dyDescent="0.25">
      <c r="B570" s="2" t="s">
        <v>170</v>
      </c>
      <c r="C570" s="2" t="s">
        <v>171</v>
      </c>
      <c r="D570" s="2" t="s">
        <v>319</v>
      </c>
      <c r="E570" s="2" t="s">
        <v>27</v>
      </c>
      <c r="F570" s="2" t="s">
        <v>325</v>
      </c>
      <c r="G570" s="2" t="s">
        <v>40</v>
      </c>
      <c r="H570" s="2">
        <v>79006</v>
      </c>
      <c r="I570" s="2">
        <v>79068</v>
      </c>
      <c r="J570" s="2" t="s">
        <v>42</v>
      </c>
      <c r="K570" s="2" t="s">
        <v>327</v>
      </c>
      <c r="L570" s="2" t="s">
        <v>39</v>
      </c>
      <c r="M570" s="2" t="s">
        <v>322</v>
      </c>
      <c r="N570" s="3">
        <v>600</v>
      </c>
      <c r="O570" s="3">
        <v>600</v>
      </c>
      <c r="P570" s="3">
        <v>600</v>
      </c>
      <c r="Q570" s="3">
        <v>600</v>
      </c>
      <c r="R570" s="3">
        <v>120</v>
      </c>
      <c r="S570" s="3">
        <v>120</v>
      </c>
      <c r="T570" s="3">
        <v>120</v>
      </c>
      <c r="U570" s="3">
        <v>120</v>
      </c>
      <c r="V570" s="3"/>
    </row>
    <row r="571" spans="2:22" ht="20" hidden="1" x14ac:dyDescent="0.25">
      <c r="B571" s="2" t="s">
        <v>170</v>
      </c>
      <c r="C571" s="2" t="s">
        <v>171</v>
      </c>
      <c r="D571" s="2" t="s">
        <v>319</v>
      </c>
      <c r="E571" s="2" t="s">
        <v>27</v>
      </c>
      <c r="F571" s="2" t="s">
        <v>325</v>
      </c>
      <c r="G571" s="2" t="s">
        <v>40</v>
      </c>
      <c r="H571" s="2">
        <v>79006</v>
      </c>
      <c r="I571" s="2">
        <v>79068</v>
      </c>
      <c r="J571" s="2" t="s">
        <v>42</v>
      </c>
      <c r="K571" s="2" t="s">
        <v>328</v>
      </c>
      <c r="L571" s="2" t="s">
        <v>39</v>
      </c>
      <c r="M571" s="2" t="s">
        <v>322</v>
      </c>
      <c r="N571" s="3">
        <v>600</v>
      </c>
      <c r="O571" s="3">
        <v>600</v>
      </c>
      <c r="P571" s="3">
        <v>600</v>
      </c>
      <c r="Q571" s="3">
        <v>600</v>
      </c>
      <c r="R571" s="3">
        <v>120</v>
      </c>
      <c r="S571" s="3">
        <v>120</v>
      </c>
      <c r="T571" s="3">
        <v>120</v>
      </c>
      <c r="U571" s="3">
        <v>120</v>
      </c>
      <c r="V571" s="3"/>
    </row>
    <row r="572" spans="2:22" ht="20" hidden="1" x14ac:dyDescent="0.25">
      <c r="B572" s="2" t="s">
        <v>170</v>
      </c>
      <c r="C572" s="2" t="s">
        <v>171</v>
      </c>
      <c r="D572" s="2" t="s">
        <v>319</v>
      </c>
      <c r="E572" s="2" t="s">
        <v>27</v>
      </c>
      <c r="F572" s="2" t="s">
        <v>325</v>
      </c>
      <c r="G572" s="2" t="s">
        <v>40</v>
      </c>
      <c r="H572" s="2">
        <v>79006</v>
      </c>
      <c r="I572" s="2">
        <v>79068</v>
      </c>
      <c r="J572" s="2" t="s">
        <v>42</v>
      </c>
      <c r="K572" s="2" t="s">
        <v>213</v>
      </c>
      <c r="L572" s="2" t="s">
        <v>213</v>
      </c>
      <c r="M572" s="2" t="s">
        <v>329</v>
      </c>
      <c r="N572" s="3">
        <v>600</v>
      </c>
      <c r="O572" s="3">
        <v>600</v>
      </c>
      <c r="P572" s="2">
        <v>743</v>
      </c>
      <c r="Q572" s="2">
        <v>743</v>
      </c>
      <c r="R572" s="3">
        <v>120</v>
      </c>
      <c r="S572" s="3">
        <v>120</v>
      </c>
      <c r="T572" s="2">
        <v>148</v>
      </c>
      <c r="U572" s="2">
        <v>148</v>
      </c>
      <c r="V572" s="2"/>
    </row>
    <row r="573" spans="2:22" ht="21" hidden="1" x14ac:dyDescent="0.25">
      <c r="B573" s="4" t="s">
        <v>1294</v>
      </c>
      <c r="C573" s="4" t="s">
        <v>1295</v>
      </c>
      <c r="D573" s="4" t="s">
        <v>1289</v>
      </c>
      <c r="E573" s="4" t="s">
        <v>27</v>
      </c>
      <c r="F573" s="4" t="s">
        <v>325</v>
      </c>
      <c r="G573" s="4" t="s">
        <v>40</v>
      </c>
      <c r="H573" s="4">
        <v>79066</v>
      </c>
      <c r="I573" s="4">
        <v>79068</v>
      </c>
      <c r="J573" s="4" t="s">
        <v>42</v>
      </c>
      <c r="K573" s="4" t="s">
        <v>1294</v>
      </c>
      <c r="L573" s="4" t="s">
        <v>29</v>
      </c>
      <c r="M573" s="4"/>
      <c r="N573" s="5">
        <v>600</v>
      </c>
      <c r="O573" s="5">
        <v>600</v>
      </c>
      <c r="P573" s="5">
        <v>600</v>
      </c>
      <c r="Q573" s="5">
        <v>600</v>
      </c>
      <c r="R573" s="5">
        <v>120</v>
      </c>
      <c r="S573" s="5">
        <v>120</v>
      </c>
      <c r="T573" s="5">
        <v>120</v>
      </c>
      <c r="U573" s="5">
        <v>120</v>
      </c>
      <c r="V573" s="5"/>
    </row>
    <row r="574" spans="2:22" ht="20" hidden="1" x14ac:dyDescent="0.25">
      <c r="B574" s="2" t="s">
        <v>1294</v>
      </c>
      <c r="C574" s="2" t="s">
        <v>1295</v>
      </c>
      <c r="D574" s="2" t="s">
        <v>1289</v>
      </c>
      <c r="E574" s="2" t="s">
        <v>27</v>
      </c>
      <c r="F574" s="2" t="s">
        <v>325</v>
      </c>
      <c r="G574" s="2" t="s">
        <v>40</v>
      </c>
      <c r="H574" s="2">
        <v>79066</v>
      </c>
      <c r="I574" s="2">
        <v>79068</v>
      </c>
      <c r="J574" s="2" t="s">
        <v>42</v>
      </c>
      <c r="K574" s="2" t="s">
        <v>1290</v>
      </c>
      <c r="L574" s="2" t="s">
        <v>39</v>
      </c>
      <c r="M574" s="2" t="s">
        <v>1291</v>
      </c>
      <c r="N574" s="3">
        <v>600</v>
      </c>
      <c r="O574" s="3">
        <v>600</v>
      </c>
      <c r="P574" s="3">
        <v>600</v>
      </c>
      <c r="Q574" s="3">
        <v>600</v>
      </c>
      <c r="R574" s="3">
        <v>120</v>
      </c>
      <c r="S574" s="3">
        <v>120</v>
      </c>
      <c r="T574" s="3">
        <v>120</v>
      </c>
      <c r="U574" s="3">
        <v>120</v>
      </c>
      <c r="V574" s="3"/>
    </row>
    <row r="575" spans="2:22" ht="20" hidden="1" x14ac:dyDescent="0.25">
      <c r="B575" s="2" t="s">
        <v>1294</v>
      </c>
      <c r="C575" s="2" t="s">
        <v>1295</v>
      </c>
      <c r="D575" s="2" t="s">
        <v>1289</v>
      </c>
      <c r="E575" s="2" t="s">
        <v>27</v>
      </c>
      <c r="F575" s="2" t="s">
        <v>325</v>
      </c>
      <c r="G575" s="2" t="s">
        <v>40</v>
      </c>
      <c r="H575" s="2">
        <v>79066</v>
      </c>
      <c r="I575" s="2">
        <v>79068</v>
      </c>
      <c r="J575" s="2" t="s">
        <v>42</v>
      </c>
      <c r="K575" s="2" t="s">
        <v>1296</v>
      </c>
      <c r="L575" s="2" t="s">
        <v>39</v>
      </c>
      <c r="M575" s="2" t="s">
        <v>1291</v>
      </c>
      <c r="N575" s="3">
        <v>600</v>
      </c>
      <c r="O575" s="3">
        <v>600</v>
      </c>
      <c r="P575" s="3">
        <v>600</v>
      </c>
      <c r="Q575" s="3">
        <v>600</v>
      </c>
      <c r="R575" s="3">
        <v>120</v>
      </c>
      <c r="S575" s="3">
        <v>120</v>
      </c>
      <c r="T575" s="3">
        <v>120</v>
      </c>
      <c r="U575" s="3">
        <v>120</v>
      </c>
      <c r="V575" s="3"/>
    </row>
    <row r="576" spans="2:22" ht="20" hidden="1" x14ac:dyDescent="0.25">
      <c r="B576" s="2" t="s">
        <v>1294</v>
      </c>
      <c r="C576" s="2" t="s">
        <v>1295</v>
      </c>
      <c r="D576" s="2" t="s">
        <v>1289</v>
      </c>
      <c r="E576" s="2" t="s">
        <v>27</v>
      </c>
      <c r="F576" s="2" t="s">
        <v>325</v>
      </c>
      <c r="G576" s="2" t="s">
        <v>40</v>
      </c>
      <c r="H576" s="2">
        <v>79066</v>
      </c>
      <c r="I576" s="2">
        <v>79068</v>
      </c>
      <c r="J576" s="2" t="s">
        <v>42</v>
      </c>
      <c r="K576" s="2" t="s">
        <v>1293</v>
      </c>
      <c r="L576" s="2" t="s">
        <v>39</v>
      </c>
      <c r="M576" s="2" t="s">
        <v>1291</v>
      </c>
      <c r="N576" s="3">
        <v>600</v>
      </c>
      <c r="O576" s="3">
        <v>600</v>
      </c>
      <c r="P576" s="3">
        <v>600</v>
      </c>
      <c r="Q576" s="3">
        <v>600</v>
      </c>
      <c r="R576" s="3">
        <v>120</v>
      </c>
      <c r="S576" s="3">
        <v>120</v>
      </c>
      <c r="T576" s="3">
        <v>120</v>
      </c>
      <c r="U576" s="3">
        <v>120</v>
      </c>
      <c r="V576" s="3"/>
    </row>
    <row r="577" spans="2:22" ht="21" hidden="1" x14ac:dyDescent="0.25">
      <c r="B577" s="4" t="s">
        <v>317</v>
      </c>
      <c r="C577" s="4" t="s">
        <v>318</v>
      </c>
      <c r="D577" s="4" t="s">
        <v>319</v>
      </c>
      <c r="E577" s="4" t="s">
        <v>27</v>
      </c>
      <c r="F577" s="4" t="s">
        <v>320</v>
      </c>
      <c r="G577" s="4" t="s">
        <v>27</v>
      </c>
      <c r="H577" s="4">
        <v>79006</v>
      </c>
      <c r="I577" s="4">
        <v>79092</v>
      </c>
      <c r="J577" s="4" t="s">
        <v>42</v>
      </c>
      <c r="K577" s="4" t="s">
        <v>317</v>
      </c>
      <c r="L577" s="4" t="s">
        <v>29</v>
      </c>
      <c r="M577" s="4"/>
      <c r="N577" s="5">
        <v>600</v>
      </c>
      <c r="O577" s="5">
        <v>600</v>
      </c>
      <c r="P577" s="5">
        <v>600</v>
      </c>
      <c r="Q577" s="5">
        <v>600</v>
      </c>
      <c r="R577" s="5">
        <v>120</v>
      </c>
      <c r="S577" s="5">
        <v>120</v>
      </c>
      <c r="T577" s="5">
        <v>120</v>
      </c>
      <c r="U577" s="5">
        <v>120</v>
      </c>
      <c r="V577" s="5"/>
    </row>
    <row r="578" spans="2:22" ht="20" hidden="1" x14ac:dyDescent="0.25">
      <c r="B578" s="2" t="s">
        <v>317</v>
      </c>
      <c r="C578" s="2" t="s">
        <v>318</v>
      </c>
      <c r="D578" s="2" t="s">
        <v>319</v>
      </c>
      <c r="E578" s="2" t="s">
        <v>27</v>
      </c>
      <c r="F578" s="2" t="s">
        <v>320</v>
      </c>
      <c r="G578" s="2" t="s">
        <v>27</v>
      </c>
      <c r="H578" s="2">
        <v>79006</v>
      </c>
      <c r="I578" s="2">
        <v>79092</v>
      </c>
      <c r="J578" s="2" t="s">
        <v>42</v>
      </c>
      <c r="K578" s="2" t="s">
        <v>321</v>
      </c>
      <c r="L578" s="2" t="s">
        <v>39</v>
      </c>
      <c r="M578" s="2" t="s">
        <v>322</v>
      </c>
      <c r="N578" s="3">
        <v>600</v>
      </c>
      <c r="O578" s="3">
        <v>600</v>
      </c>
      <c r="P578" s="3">
        <v>600</v>
      </c>
      <c r="Q578" s="3">
        <v>600</v>
      </c>
      <c r="R578" s="3">
        <v>120</v>
      </c>
      <c r="S578" s="3">
        <v>120</v>
      </c>
      <c r="T578" s="3">
        <v>120</v>
      </c>
      <c r="U578" s="3">
        <v>120</v>
      </c>
      <c r="V578" s="3"/>
    </row>
    <row r="579" spans="2:22" ht="30" hidden="1" x14ac:dyDescent="0.25">
      <c r="B579" s="2" t="s">
        <v>317</v>
      </c>
      <c r="C579" s="2" t="s">
        <v>318</v>
      </c>
      <c r="D579" s="2" t="s">
        <v>319</v>
      </c>
      <c r="E579" s="2" t="s">
        <v>27</v>
      </c>
      <c r="F579" s="2" t="s">
        <v>320</v>
      </c>
      <c r="G579" s="2" t="s">
        <v>27</v>
      </c>
      <c r="H579" s="2">
        <v>79006</v>
      </c>
      <c r="I579" s="2">
        <v>79092</v>
      </c>
      <c r="J579" s="2" t="s">
        <v>42</v>
      </c>
      <c r="K579" s="2" t="s">
        <v>323</v>
      </c>
      <c r="L579" s="2" t="s">
        <v>36</v>
      </c>
      <c r="M579" s="2" t="s">
        <v>322</v>
      </c>
      <c r="N579" s="3">
        <v>600</v>
      </c>
      <c r="O579" s="3">
        <v>600</v>
      </c>
      <c r="P579" s="3">
        <v>600</v>
      </c>
      <c r="Q579" s="3">
        <v>600</v>
      </c>
      <c r="R579" s="3">
        <v>120</v>
      </c>
      <c r="S579" s="3">
        <v>120</v>
      </c>
      <c r="T579" s="3">
        <v>120</v>
      </c>
      <c r="U579" s="3">
        <v>120</v>
      </c>
      <c r="V579" s="3"/>
    </row>
    <row r="580" spans="2:22" ht="20" hidden="1" x14ac:dyDescent="0.25">
      <c r="B580" s="2" t="s">
        <v>317</v>
      </c>
      <c r="C580" s="2" t="s">
        <v>318</v>
      </c>
      <c r="D580" s="2" t="s">
        <v>319</v>
      </c>
      <c r="E580" s="2" t="s">
        <v>27</v>
      </c>
      <c r="F580" s="2" t="s">
        <v>320</v>
      </c>
      <c r="G580" s="2" t="s">
        <v>27</v>
      </c>
      <c r="H580" s="2">
        <v>79006</v>
      </c>
      <c r="I580" s="2">
        <v>79092</v>
      </c>
      <c r="J580" s="2" t="s">
        <v>42</v>
      </c>
      <c r="K580" s="2" t="s">
        <v>324</v>
      </c>
      <c r="L580" s="2" t="s">
        <v>39</v>
      </c>
      <c r="M580" s="2" t="s">
        <v>322</v>
      </c>
      <c r="N580" s="3">
        <v>600</v>
      </c>
      <c r="O580" s="3">
        <v>600</v>
      </c>
      <c r="P580" s="3">
        <v>600</v>
      </c>
      <c r="Q580" s="3">
        <v>600</v>
      </c>
      <c r="R580" s="3">
        <v>120</v>
      </c>
      <c r="S580" s="3">
        <v>120</v>
      </c>
      <c r="T580" s="3">
        <v>120</v>
      </c>
      <c r="U580" s="3">
        <v>120</v>
      </c>
      <c r="V580" s="3"/>
    </row>
    <row r="581" spans="2:22" ht="21" hidden="1" x14ac:dyDescent="0.25">
      <c r="B581" s="4" t="s">
        <v>1287</v>
      </c>
      <c r="C581" s="4" t="s">
        <v>1288</v>
      </c>
      <c r="D581" s="4" t="s">
        <v>1289</v>
      </c>
      <c r="E581" s="4" t="s">
        <v>27</v>
      </c>
      <c r="F581" s="4" t="s">
        <v>320</v>
      </c>
      <c r="G581" s="4" t="s">
        <v>27</v>
      </c>
      <c r="H581" s="4">
        <v>79066</v>
      </c>
      <c r="I581" s="4">
        <v>79092</v>
      </c>
      <c r="J581" s="4" t="s">
        <v>42</v>
      </c>
      <c r="K581" s="4" t="s">
        <v>1287</v>
      </c>
      <c r="L581" s="4" t="s">
        <v>29</v>
      </c>
      <c r="M581" s="4"/>
      <c r="N581" s="5">
        <v>600</v>
      </c>
      <c r="O581" s="5">
        <v>600</v>
      </c>
      <c r="P581" s="5">
        <v>600</v>
      </c>
      <c r="Q581" s="5">
        <v>600</v>
      </c>
      <c r="R581" s="5">
        <v>120</v>
      </c>
      <c r="S581" s="5">
        <v>120</v>
      </c>
      <c r="T581" s="5">
        <v>120</v>
      </c>
      <c r="U581" s="5">
        <v>120</v>
      </c>
      <c r="V581" s="5"/>
    </row>
    <row r="582" spans="2:22" ht="20" hidden="1" x14ac:dyDescent="0.25">
      <c r="B582" s="2" t="s">
        <v>1287</v>
      </c>
      <c r="C582" s="2" t="s">
        <v>1288</v>
      </c>
      <c r="D582" s="2" t="s">
        <v>1289</v>
      </c>
      <c r="E582" s="2" t="s">
        <v>27</v>
      </c>
      <c r="F582" s="2" t="s">
        <v>320</v>
      </c>
      <c r="G582" s="2" t="s">
        <v>27</v>
      </c>
      <c r="H582" s="2">
        <v>79066</v>
      </c>
      <c r="I582" s="2">
        <v>79092</v>
      </c>
      <c r="J582" s="2" t="s">
        <v>42</v>
      </c>
      <c r="K582" s="2" t="s">
        <v>1290</v>
      </c>
      <c r="L582" s="2" t="s">
        <v>39</v>
      </c>
      <c r="M582" s="2" t="s">
        <v>1291</v>
      </c>
      <c r="N582" s="3">
        <v>600</v>
      </c>
      <c r="O582" s="3">
        <v>600</v>
      </c>
      <c r="P582" s="3">
        <v>600</v>
      </c>
      <c r="Q582" s="3">
        <v>600</v>
      </c>
      <c r="R582" s="3">
        <v>120</v>
      </c>
      <c r="S582" s="3">
        <v>120</v>
      </c>
      <c r="T582" s="3">
        <v>120</v>
      </c>
      <c r="U582" s="3">
        <v>120</v>
      </c>
      <c r="V582" s="3"/>
    </row>
    <row r="583" spans="2:22" ht="20" hidden="1" x14ac:dyDescent="0.25">
      <c r="B583" s="2" t="s">
        <v>1287</v>
      </c>
      <c r="C583" s="2" t="s">
        <v>1288</v>
      </c>
      <c r="D583" s="2" t="s">
        <v>1289</v>
      </c>
      <c r="E583" s="2" t="s">
        <v>27</v>
      </c>
      <c r="F583" s="2" t="s">
        <v>320</v>
      </c>
      <c r="G583" s="2" t="s">
        <v>27</v>
      </c>
      <c r="H583" s="2">
        <v>79066</v>
      </c>
      <c r="I583" s="2">
        <v>79092</v>
      </c>
      <c r="J583" s="2" t="s">
        <v>42</v>
      </c>
      <c r="K583" s="2" t="s">
        <v>1292</v>
      </c>
      <c r="L583" s="2" t="s">
        <v>39</v>
      </c>
      <c r="M583" s="2" t="s">
        <v>1291</v>
      </c>
      <c r="N583" s="3">
        <v>600</v>
      </c>
      <c r="O583" s="3">
        <v>600</v>
      </c>
      <c r="P583" s="3">
        <v>600</v>
      </c>
      <c r="Q583" s="3">
        <v>600</v>
      </c>
      <c r="R583" s="3">
        <v>120</v>
      </c>
      <c r="S583" s="3">
        <v>120</v>
      </c>
      <c r="T583" s="3">
        <v>120</v>
      </c>
      <c r="U583" s="3">
        <v>120</v>
      </c>
      <c r="V583" s="3"/>
    </row>
    <row r="584" spans="2:22" ht="20" hidden="1" x14ac:dyDescent="0.25">
      <c r="B584" s="2" t="s">
        <v>1287</v>
      </c>
      <c r="C584" s="2" t="s">
        <v>1288</v>
      </c>
      <c r="D584" s="2" t="s">
        <v>1289</v>
      </c>
      <c r="E584" s="2" t="s">
        <v>27</v>
      </c>
      <c r="F584" s="2" t="s">
        <v>320</v>
      </c>
      <c r="G584" s="2" t="s">
        <v>27</v>
      </c>
      <c r="H584" s="2">
        <v>79066</v>
      </c>
      <c r="I584" s="2">
        <v>79092</v>
      </c>
      <c r="J584" s="2" t="s">
        <v>42</v>
      </c>
      <c r="K584" s="2" t="s">
        <v>1293</v>
      </c>
      <c r="L584" s="2" t="s">
        <v>39</v>
      </c>
      <c r="M584" s="2" t="s">
        <v>1291</v>
      </c>
      <c r="N584" s="3">
        <v>600</v>
      </c>
      <c r="O584" s="3">
        <v>600</v>
      </c>
      <c r="P584" s="3">
        <v>600</v>
      </c>
      <c r="Q584" s="3">
        <v>600</v>
      </c>
      <c r="R584" s="3">
        <v>120</v>
      </c>
      <c r="S584" s="3">
        <v>120</v>
      </c>
      <c r="T584" s="3">
        <v>120</v>
      </c>
      <c r="U584" s="3">
        <v>120</v>
      </c>
      <c r="V584" s="3"/>
    </row>
    <row r="585" spans="2:22" ht="21" hidden="1" x14ac:dyDescent="0.25">
      <c r="B585" s="4" t="s">
        <v>1304</v>
      </c>
      <c r="C585" s="4" t="s">
        <v>1305</v>
      </c>
      <c r="D585" s="4" t="s">
        <v>1306</v>
      </c>
      <c r="E585" s="4" t="s">
        <v>27</v>
      </c>
      <c r="F585" s="4" t="s">
        <v>678</v>
      </c>
      <c r="G585" s="4" t="s">
        <v>27</v>
      </c>
      <c r="H585" s="4">
        <v>70476</v>
      </c>
      <c r="I585" s="4">
        <v>70157</v>
      </c>
      <c r="J585" s="4" t="s">
        <v>28</v>
      </c>
      <c r="K585" s="4" t="s">
        <v>1304</v>
      </c>
      <c r="L585" s="4" t="s">
        <v>29</v>
      </c>
      <c r="M585" s="4"/>
      <c r="N585" s="5">
        <v>600</v>
      </c>
      <c r="O585" s="5">
        <v>775</v>
      </c>
      <c r="P585" s="5">
        <v>743</v>
      </c>
      <c r="Q585" s="5">
        <v>890</v>
      </c>
      <c r="R585" s="5">
        <v>120</v>
      </c>
      <c r="S585" s="5">
        <v>154</v>
      </c>
      <c r="T585" s="5">
        <v>148</v>
      </c>
      <c r="U585" s="5">
        <v>177</v>
      </c>
      <c r="V585" s="5"/>
    </row>
    <row r="586" spans="2:22" ht="20" hidden="1" x14ac:dyDescent="0.25">
      <c r="B586" s="2" t="s">
        <v>1304</v>
      </c>
      <c r="C586" s="2" t="s">
        <v>1305</v>
      </c>
      <c r="D586" s="2" t="s">
        <v>1306</v>
      </c>
      <c r="E586" s="2" t="s">
        <v>27</v>
      </c>
      <c r="F586" s="2" t="s">
        <v>678</v>
      </c>
      <c r="G586" s="2" t="s">
        <v>27</v>
      </c>
      <c r="H586" s="2">
        <v>70476</v>
      </c>
      <c r="I586" s="2">
        <v>70157</v>
      </c>
      <c r="J586" s="2" t="s">
        <v>28</v>
      </c>
      <c r="K586" s="2" t="s">
        <v>1307</v>
      </c>
      <c r="L586" s="2" t="s">
        <v>34</v>
      </c>
      <c r="M586" s="2" t="s">
        <v>1308</v>
      </c>
      <c r="N586" s="3">
        <v>600</v>
      </c>
      <c r="O586" s="3">
        <v>775</v>
      </c>
      <c r="P586" s="3">
        <v>743</v>
      </c>
      <c r="Q586" s="3">
        <v>890</v>
      </c>
      <c r="R586" s="3">
        <v>120</v>
      </c>
      <c r="S586" s="3">
        <v>154</v>
      </c>
      <c r="T586" s="3">
        <v>148</v>
      </c>
      <c r="U586" s="3">
        <v>177</v>
      </c>
      <c r="V586" s="3"/>
    </row>
    <row r="587" spans="2:22" ht="21" hidden="1" x14ac:dyDescent="0.25">
      <c r="B587" s="4" t="s">
        <v>1309</v>
      </c>
      <c r="C587" s="4" t="s">
        <v>1305</v>
      </c>
      <c r="D587" s="4" t="s">
        <v>1306</v>
      </c>
      <c r="E587" s="4" t="s">
        <v>27</v>
      </c>
      <c r="F587" s="4" t="s">
        <v>1310</v>
      </c>
      <c r="G587" s="4" t="s">
        <v>27</v>
      </c>
      <c r="H587" s="4">
        <v>70476</v>
      </c>
      <c r="I587" s="4">
        <v>73476</v>
      </c>
      <c r="J587" s="4" t="s">
        <v>28</v>
      </c>
      <c r="K587" s="4" t="s">
        <v>1309</v>
      </c>
      <c r="L587" s="4" t="s">
        <v>29</v>
      </c>
      <c r="M587" s="4"/>
      <c r="N587" s="5">
        <v>600</v>
      </c>
      <c r="O587" s="5">
        <v>600</v>
      </c>
      <c r="P587" s="5">
        <v>600</v>
      </c>
      <c r="Q587" s="5">
        <v>600</v>
      </c>
      <c r="R587" s="5">
        <v>120</v>
      </c>
      <c r="S587" s="5">
        <v>120</v>
      </c>
      <c r="T587" s="5">
        <v>120</v>
      </c>
      <c r="U587" s="5">
        <v>120</v>
      </c>
      <c r="V587" s="5"/>
    </row>
    <row r="588" spans="2:22" ht="20" hidden="1" x14ac:dyDescent="0.25">
      <c r="B588" s="2" t="s">
        <v>1309</v>
      </c>
      <c r="C588" s="2" t="s">
        <v>1305</v>
      </c>
      <c r="D588" s="2" t="s">
        <v>1306</v>
      </c>
      <c r="E588" s="2" t="s">
        <v>27</v>
      </c>
      <c r="F588" s="2" t="s">
        <v>1310</v>
      </c>
      <c r="G588" s="2" t="s">
        <v>27</v>
      </c>
      <c r="H588" s="2">
        <v>70476</v>
      </c>
      <c r="I588" s="2">
        <v>73476</v>
      </c>
      <c r="J588" s="2" t="s">
        <v>28</v>
      </c>
      <c r="K588" s="2" t="s">
        <v>1311</v>
      </c>
      <c r="L588" s="2" t="s">
        <v>39</v>
      </c>
      <c r="M588" s="2" t="s">
        <v>1312</v>
      </c>
      <c r="N588" s="3">
        <v>600</v>
      </c>
      <c r="O588" s="3">
        <v>600</v>
      </c>
      <c r="P588" s="3">
        <v>600</v>
      </c>
      <c r="Q588" s="3">
        <v>600</v>
      </c>
      <c r="R588" s="3">
        <v>120</v>
      </c>
      <c r="S588" s="3">
        <v>120</v>
      </c>
      <c r="T588" s="3">
        <v>120</v>
      </c>
      <c r="U588" s="3">
        <v>120</v>
      </c>
      <c r="V588" s="3"/>
    </row>
    <row r="589" spans="2:22" ht="20" hidden="1" x14ac:dyDescent="0.25">
      <c r="B589" s="2" t="s">
        <v>1309</v>
      </c>
      <c r="C589" s="2" t="s">
        <v>1305</v>
      </c>
      <c r="D589" s="2" t="s">
        <v>1306</v>
      </c>
      <c r="E589" s="2" t="s">
        <v>27</v>
      </c>
      <c r="F589" s="2" t="s">
        <v>1310</v>
      </c>
      <c r="G589" s="2" t="s">
        <v>27</v>
      </c>
      <c r="H589" s="2">
        <v>70476</v>
      </c>
      <c r="I589" s="2">
        <v>73476</v>
      </c>
      <c r="J589" s="2" t="s">
        <v>28</v>
      </c>
      <c r="K589" s="2" t="s">
        <v>1313</v>
      </c>
      <c r="L589" s="2" t="s">
        <v>39</v>
      </c>
      <c r="M589" s="2" t="s">
        <v>1312</v>
      </c>
      <c r="N589" s="3">
        <v>600</v>
      </c>
      <c r="O589" s="3">
        <v>600</v>
      </c>
      <c r="P589" s="3">
        <v>600</v>
      </c>
      <c r="Q589" s="3">
        <v>600</v>
      </c>
      <c r="R589" s="3">
        <v>120</v>
      </c>
      <c r="S589" s="3">
        <v>120</v>
      </c>
      <c r="T589" s="3">
        <v>120</v>
      </c>
      <c r="U589" s="3">
        <v>120</v>
      </c>
      <c r="V589" s="3"/>
    </row>
    <row r="590" spans="2:22" ht="20" hidden="1" x14ac:dyDescent="0.25">
      <c r="B590" s="2" t="s">
        <v>1309</v>
      </c>
      <c r="C590" s="2" t="s">
        <v>1305</v>
      </c>
      <c r="D590" s="2" t="s">
        <v>1306</v>
      </c>
      <c r="E590" s="2" t="s">
        <v>27</v>
      </c>
      <c r="F590" s="2" t="s">
        <v>1310</v>
      </c>
      <c r="G590" s="2" t="s">
        <v>27</v>
      </c>
      <c r="H590" s="2">
        <v>70476</v>
      </c>
      <c r="I590" s="2">
        <v>73476</v>
      </c>
      <c r="J590" s="2" t="s">
        <v>28</v>
      </c>
      <c r="K590" s="2" t="s">
        <v>1314</v>
      </c>
      <c r="L590" s="2" t="s">
        <v>39</v>
      </c>
      <c r="M590" s="2" t="s">
        <v>1312</v>
      </c>
      <c r="N590" s="3">
        <v>600</v>
      </c>
      <c r="O590" s="3">
        <v>600</v>
      </c>
      <c r="P590" s="3">
        <v>600</v>
      </c>
      <c r="Q590" s="3">
        <v>600</v>
      </c>
      <c r="R590" s="3">
        <v>120</v>
      </c>
      <c r="S590" s="3">
        <v>120</v>
      </c>
      <c r="T590" s="3">
        <v>120</v>
      </c>
      <c r="U590" s="3">
        <v>120</v>
      </c>
      <c r="V590" s="3"/>
    </row>
    <row r="591" spans="2:22" ht="20" hidden="1" x14ac:dyDescent="0.25">
      <c r="B591" s="2" t="s">
        <v>1309</v>
      </c>
      <c r="C591" s="2" t="s">
        <v>1305</v>
      </c>
      <c r="D591" s="2" t="s">
        <v>1306</v>
      </c>
      <c r="E591" s="2" t="s">
        <v>27</v>
      </c>
      <c r="F591" s="2" t="s">
        <v>1310</v>
      </c>
      <c r="G591" s="2" t="s">
        <v>27</v>
      </c>
      <c r="H591" s="2">
        <v>70476</v>
      </c>
      <c r="I591" s="2">
        <v>73476</v>
      </c>
      <c r="J591" s="2" t="s">
        <v>28</v>
      </c>
      <c r="K591" s="2" t="s">
        <v>1307</v>
      </c>
      <c r="L591" s="2" t="s">
        <v>34</v>
      </c>
      <c r="M591" s="2" t="s">
        <v>1308</v>
      </c>
      <c r="N591" s="3">
        <v>600</v>
      </c>
      <c r="O591" s="2">
        <v>775</v>
      </c>
      <c r="P591" s="2">
        <v>743</v>
      </c>
      <c r="Q591" s="2">
        <v>890</v>
      </c>
      <c r="R591" s="3">
        <v>120</v>
      </c>
      <c r="S591" s="2">
        <v>154</v>
      </c>
      <c r="T591" s="2">
        <v>148</v>
      </c>
      <c r="U591" s="2">
        <v>177</v>
      </c>
      <c r="V591" s="2"/>
    </row>
    <row r="592" spans="2:22" ht="21" hidden="1" x14ac:dyDescent="0.25">
      <c r="B592" s="4" t="s">
        <v>853</v>
      </c>
      <c r="C592" s="4" t="s">
        <v>854</v>
      </c>
      <c r="D592" s="4" t="s">
        <v>305</v>
      </c>
      <c r="E592" s="4" t="s">
        <v>27</v>
      </c>
      <c r="F592" s="4" t="s">
        <v>855</v>
      </c>
      <c r="G592" s="4" t="s">
        <v>27</v>
      </c>
      <c r="H592" s="4">
        <v>70208</v>
      </c>
      <c r="I592" s="4">
        <v>70251</v>
      </c>
      <c r="J592" s="4" t="s">
        <v>28</v>
      </c>
      <c r="K592" s="4" t="s">
        <v>853</v>
      </c>
      <c r="L592" s="4" t="s">
        <v>29</v>
      </c>
      <c r="M592" s="4"/>
      <c r="N592" s="5">
        <v>557</v>
      </c>
      <c r="O592" s="5">
        <v>600</v>
      </c>
      <c r="P592" s="5">
        <v>600</v>
      </c>
      <c r="Q592" s="5">
        <v>600</v>
      </c>
      <c r="R592" s="5">
        <v>111</v>
      </c>
      <c r="S592" s="5">
        <v>120</v>
      </c>
      <c r="T592" s="5">
        <v>120</v>
      </c>
      <c r="U592" s="5">
        <v>120</v>
      </c>
      <c r="V592" s="5"/>
    </row>
    <row r="593" spans="2:22" ht="20" hidden="1" x14ac:dyDescent="0.25">
      <c r="B593" s="2" t="s">
        <v>853</v>
      </c>
      <c r="C593" s="2" t="s">
        <v>854</v>
      </c>
      <c r="D593" s="2" t="s">
        <v>305</v>
      </c>
      <c r="E593" s="2" t="s">
        <v>27</v>
      </c>
      <c r="F593" s="2" t="s">
        <v>855</v>
      </c>
      <c r="G593" s="2" t="s">
        <v>27</v>
      </c>
      <c r="H593" s="2">
        <v>70208</v>
      </c>
      <c r="I593" s="2">
        <v>70251</v>
      </c>
      <c r="J593" s="2" t="s">
        <v>28</v>
      </c>
      <c r="K593" s="2" t="s">
        <v>856</v>
      </c>
      <c r="L593" s="2" t="s">
        <v>31</v>
      </c>
      <c r="M593" s="2" t="s">
        <v>857</v>
      </c>
      <c r="N593" s="3">
        <v>557</v>
      </c>
      <c r="O593" s="2">
        <v>613</v>
      </c>
      <c r="P593" s="2">
        <v>640</v>
      </c>
      <c r="Q593" s="2">
        <v>704</v>
      </c>
      <c r="R593" s="3">
        <v>111</v>
      </c>
      <c r="S593" s="2">
        <v>122</v>
      </c>
      <c r="T593" s="2">
        <v>127</v>
      </c>
      <c r="U593" s="2">
        <v>140</v>
      </c>
      <c r="V593" s="2"/>
    </row>
    <row r="594" spans="2:22" ht="30" hidden="1" x14ac:dyDescent="0.25">
      <c r="B594" s="2" t="s">
        <v>853</v>
      </c>
      <c r="C594" s="2" t="s">
        <v>854</v>
      </c>
      <c r="D594" s="2" t="s">
        <v>305</v>
      </c>
      <c r="E594" s="2" t="s">
        <v>27</v>
      </c>
      <c r="F594" s="2" t="s">
        <v>855</v>
      </c>
      <c r="G594" s="2" t="s">
        <v>27</v>
      </c>
      <c r="H594" s="2">
        <v>70208</v>
      </c>
      <c r="I594" s="2">
        <v>70251</v>
      </c>
      <c r="J594" s="2" t="s">
        <v>28</v>
      </c>
      <c r="K594" s="2" t="s">
        <v>858</v>
      </c>
      <c r="L594" s="2" t="s">
        <v>36</v>
      </c>
      <c r="M594" s="2" t="s">
        <v>710</v>
      </c>
      <c r="N594" s="2">
        <v>600</v>
      </c>
      <c r="O594" s="3">
        <v>600</v>
      </c>
      <c r="P594" s="3">
        <v>600</v>
      </c>
      <c r="Q594" s="3">
        <v>600</v>
      </c>
      <c r="R594" s="2">
        <v>120</v>
      </c>
      <c r="S594" s="3">
        <v>120</v>
      </c>
      <c r="T594" s="3">
        <v>120</v>
      </c>
      <c r="U594" s="3">
        <v>120</v>
      </c>
      <c r="V594" s="3"/>
    </row>
    <row r="595" spans="2:22" ht="21" hidden="1" x14ac:dyDescent="0.25">
      <c r="B595" s="4" t="s">
        <v>982</v>
      </c>
      <c r="C595" s="4" t="s">
        <v>854</v>
      </c>
      <c r="D595" s="4" t="s">
        <v>855</v>
      </c>
      <c r="E595" s="4" t="s">
        <v>27</v>
      </c>
      <c r="F595" s="4" t="s">
        <v>983</v>
      </c>
      <c r="G595" s="4" t="s">
        <v>27</v>
      </c>
      <c r="H595" s="4">
        <v>70251</v>
      </c>
      <c r="I595" s="4">
        <v>70354</v>
      </c>
      <c r="J595" s="4" t="s">
        <v>28</v>
      </c>
      <c r="K595" s="4" t="s">
        <v>982</v>
      </c>
      <c r="L595" s="4" t="s">
        <v>29</v>
      </c>
      <c r="M595" s="4"/>
      <c r="N595" s="5">
        <v>557</v>
      </c>
      <c r="O595" s="5">
        <v>600</v>
      </c>
      <c r="P595" s="5">
        <v>600</v>
      </c>
      <c r="Q595" s="5">
        <v>600</v>
      </c>
      <c r="R595" s="5">
        <v>111</v>
      </c>
      <c r="S595" s="5">
        <v>120</v>
      </c>
      <c r="T595" s="5">
        <v>120</v>
      </c>
      <c r="U595" s="5">
        <v>120</v>
      </c>
      <c r="V595" s="5"/>
    </row>
    <row r="596" spans="2:22" ht="20" hidden="1" x14ac:dyDescent="0.25">
      <c r="B596" s="2" t="s">
        <v>982</v>
      </c>
      <c r="C596" s="2" t="s">
        <v>854</v>
      </c>
      <c r="D596" s="2" t="s">
        <v>855</v>
      </c>
      <c r="E596" s="2" t="s">
        <v>27</v>
      </c>
      <c r="F596" s="2" t="s">
        <v>983</v>
      </c>
      <c r="G596" s="2" t="s">
        <v>27</v>
      </c>
      <c r="H596" s="2">
        <v>70251</v>
      </c>
      <c r="I596" s="2">
        <v>70354</v>
      </c>
      <c r="J596" s="2" t="s">
        <v>28</v>
      </c>
      <c r="K596" s="2" t="s">
        <v>856</v>
      </c>
      <c r="L596" s="2" t="s">
        <v>31</v>
      </c>
      <c r="M596" s="2" t="s">
        <v>857</v>
      </c>
      <c r="N596" s="3">
        <v>557</v>
      </c>
      <c r="O596" s="2">
        <v>613</v>
      </c>
      <c r="P596" s="2">
        <v>640</v>
      </c>
      <c r="Q596" s="2">
        <v>704</v>
      </c>
      <c r="R596" s="3">
        <v>111</v>
      </c>
      <c r="S596" s="2">
        <v>122</v>
      </c>
      <c r="T596" s="2">
        <v>127</v>
      </c>
      <c r="U596" s="2">
        <v>140</v>
      </c>
      <c r="V596" s="2"/>
    </row>
    <row r="597" spans="2:22" ht="30" hidden="1" x14ac:dyDescent="0.25">
      <c r="B597" s="2" t="s">
        <v>982</v>
      </c>
      <c r="C597" s="2" t="s">
        <v>854</v>
      </c>
      <c r="D597" s="2" t="s">
        <v>855</v>
      </c>
      <c r="E597" s="2" t="s">
        <v>27</v>
      </c>
      <c r="F597" s="2" t="s">
        <v>983</v>
      </c>
      <c r="G597" s="2" t="s">
        <v>27</v>
      </c>
      <c r="H597" s="2">
        <v>70251</v>
      </c>
      <c r="I597" s="2">
        <v>70354</v>
      </c>
      <c r="J597" s="2" t="s">
        <v>28</v>
      </c>
      <c r="K597" s="2" t="s">
        <v>858</v>
      </c>
      <c r="L597" s="2" t="s">
        <v>36</v>
      </c>
      <c r="M597" s="2" t="s">
        <v>984</v>
      </c>
      <c r="N597" s="2">
        <v>600</v>
      </c>
      <c r="O597" s="3">
        <v>600</v>
      </c>
      <c r="P597" s="3">
        <v>600</v>
      </c>
      <c r="Q597" s="3">
        <v>600</v>
      </c>
      <c r="R597" s="2">
        <v>120</v>
      </c>
      <c r="S597" s="3">
        <v>120</v>
      </c>
      <c r="T597" s="3">
        <v>120</v>
      </c>
      <c r="U597" s="3">
        <v>120</v>
      </c>
      <c r="V597" s="3"/>
    </row>
    <row r="598" spans="2:22" ht="21" hidden="1" x14ac:dyDescent="0.25">
      <c r="B598" s="4" t="s">
        <v>275</v>
      </c>
      <c r="C598" s="4" t="s">
        <v>276</v>
      </c>
      <c r="D598" s="4" t="s">
        <v>270</v>
      </c>
      <c r="E598" s="4" t="s">
        <v>27</v>
      </c>
      <c r="F598" s="4" t="s">
        <v>277</v>
      </c>
      <c r="G598" s="4" t="s">
        <v>27</v>
      </c>
      <c r="H598" s="4">
        <v>70039</v>
      </c>
      <c r="I598" s="4">
        <v>70148</v>
      </c>
      <c r="J598" s="4" t="s">
        <v>28</v>
      </c>
      <c r="K598" s="4" t="s">
        <v>275</v>
      </c>
      <c r="L598" s="4" t="s">
        <v>29</v>
      </c>
      <c r="M598" s="4"/>
      <c r="N598" s="5">
        <v>2394</v>
      </c>
      <c r="O598" s="5">
        <v>2400</v>
      </c>
      <c r="P598" s="5">
        <v>2400</v>
      </c>
      <c r="Q598" s="5">
        <v>2400</v>
      </c>
      <c r="R598" s="5">
        <v>477</v>
      </c>
      <c r="S598" s="5">
        <v>478</v>
      </c>
      <c r="T598" s="5">
        <v>478</v>
      </c>
      <c r="U598" s="5">
        <v>478</v>
      </c>
      <c r="V598" s="5"/>
    </row>
    <row r="599" spans="2:22" ht="20" hidden="1" x14ac:dyDescent="0.25">
      <c r="B599" s="2" t="s">
        <v>275</v>
      </c>
      <c r="C599" s="2" t="s">
        <v>276</v>
      </c>
      <c r="D599" s="2" t="s">
        <v>270</v>
      </c>
      <c r="E599" s="2" t="s">
        <v>27</v>
      </c>
      <c r="F599" s="2" t="s">
        <v>277</v>
      </c>
      <c r="G599" s="2" t="s">
        <v>27</v>
      </c>
      <c r="H599" s="2">
        <v>70039</v>
      </c>
      <c r="I599" s="2">
        <v>70148</v>
      </c>
      <c r="J599" s="2" t="s">
        <v>28</v>
      </c>
      <c r="K599" s="2" t="s">
        <v>275</v>
      </c>
      <c r="L599" s="2" t="s">
        <v>30</v>
      </c>
      <c r="M599" s="2" t="s">
        <v>276</v>
      </c>
      <c r="N599" s="3">
        <v>2394</v>
      </c>
      <c r="O599" s="2">
        <v>2633</v>
      </c>
      <c r="P599" s="2">
        <v>2726</v>
      </c>
      <c r="Q599" s="2">
        <v>2999</v>
      </c>
      <c r="R599" s="3">
        <v>477</v>
      </c>
      <c r="S599" s="2">
        <v>524</v>
      </c>
      <c r="T599" s="2">
        <v>543</v>
      </c>
      <c r="U599" s="2">
        <v>597</v>
      </c>
      <c r="V599" s="2"/>
    </row>
    <row r="600" spans="2:22" ht="20" hidden="1" x14ac:dyDescent="0.25">
      <c r="B600" s="2" t="s">
        <v>275</v>
      </c>
      <c r="C600" s="2" t="s">
        <v>276</v>
      </c>
      <c r="D600" s="2" t="s">
        <v>270</v>
      </c>
      <c r="E600" s="2" t="s">
        <v>27</v>
      </c>
      <c r="F600" s="2" t="s">
        <v>277</v>
      </c>
      <c r="G600" s="2" t="s">
        <v>27</v>
      </c>
      <c r="H600" s="2">
        <v>70039</v>
      </c>
      <c r="I600" s="2">
        <v>70148</v>
      </c>
      <c r="J600" s="2" t="s">
        <v>28</v>
      </c>
      <c r="K600" s="2" t="s">
        <v>278</v>
      </c>
      <c r="L600" s="2" t="s">
        <v>39</v>
      </c>
      <c r="M600" s="2" t="s">
        <v>279</v>
      </c>
      <c r="N600" s="2">
        <v>2400</v>
      </c>
      <c r="O600" s="3">
        <v>2400</v>
      </c>
      <c r="P600" s="3">
        <v>2400</v>
      </c>
      <c r="Q600" s="3">
        <v>2400</v>
      </c>
      <c r="R600" s="2">
        <v>478</v>
      </c>
      <c r="S600" s="3">
        <v>478</v>
      </c>
      <c r="T600" s="3">
        <v>478</v>
      </c>
      <c r="U600" s="3">
        <v>478</v>
      </c>
      <c r="V600" s="3"/>
    </row>
    <row r="601" spans="2:22" ht="30" hidden="1" x14ac:dyDescent="0.25">
      <c r="B601" s="2" t="s">
        <v>275</v>
      </c>
      <c r="C601" s="2" t="s">
        <v>276</v>
      </c>
      <c r="D601" s="2" t="s">
        <v>270</v>
      </c>
      <c r="E601" s="2" t="s">
        <v>27</v>
      </c>
      <c r="F601" s="2" t="s">
        <v>277</v>
      </c>
      <c r="G601" s="2" t="s">
        <v>27</v>
      </c>
      <c r="H601" s="2">
        <v>70039</v>
      </c>
      <c r="I601" s="2">
        <v>70148</v>
      </c>
      <c r="J601" s="2" t="s">
        <v>28</v>
      </c>
      <c r="K601" s="2" t="s">
        <v>280</v>
      </c>
      <c r="L601" s="2" t="s">
        <v>36</v>
      </c>
      <c r="M601" s="2" t="s">
        <v>279</v>
      </c>
      <c r="N601" s="2">
        <v>2400</v>
      </c>
      <c r="O601" s="3">
        <v>2400</v>
      </c>
      <c r="P601" s="3">
        <v>2400</v>
      </c>
      <c r="Q601" s="3">
        <v>2400</v>
      </c>
      <c r="R601" s="2">
        <v>478</v>
      </c>
      <c r="S601" s="3">
        <v>478</v>
      </c>
      <c r="T601" s="3">
        <v>478</v>
      </c>
      <c r="U601" s="3">
        <v>478</v>
      </c>
      <c r="V601" s="3"/>
    </row>
    <row r="602" spans="2:22" ht="30" hidden="1" x14ac:dyDescent="0.25">
      <c r="B602" s="2" t="s">
        <v>275</v>
      </c>
      <c r="C602" s="2" t="s">
        <v>276</v>
      </c>
      <c r="D602" s="2" t="s">
        <v>270</v>
      </c>
      <c r="E602" s="2" t="s">
        <v>27</v>
      </c>
      <c r="F602" s="2" t="s">
        <v>277</v>
      </c>
      <c r="G602" s="2" t="s">
        <v>27</v>
      </c>
      <c r="H602" s="2">
        <v>70039</v>
      </c>
      <c r="I602" s="2">
        <v>70148</v>
      </c>
      <c r="J602" s="2" t="s">
        <v>28</v>
      </c>
      <c r="K602" s="2" t="s">
        <v>281</v>
      </c>
      <c r="L602" s="2" t="s">
        <v>36</v>
      </c>
      <c r="M602" s="2" t="s">
        <v>279</v>
      </c>
      <c r="N602" s="2">
        <v>2400</v>
      </c>
      <c r="O602" s="3">
        <v>2400</v>
      </c>
      <c r="P602" s="3">
        <v>2400</v>
      </c>
      <c r="Q602" s="3">
        <v>2400</v>
      </c>
      <c r="R602" s="2">
        <v>478</v>
      </c>
      <c r="S602" s="3">
        <v>478</v>
      </c>
      <c r="T602" s="3">
        <v>478</v>
      </c>
      <c r="U602" s="3">
        <v>478</v>
      </c>
      <c r="V602" s="3"/>
    </row>
    <row r="603" spans="2:22" ht="30" hidden="1" x14ac:dyDescent="0.25">
      <c r="B603" s="2" t="s">
        <v>275</v>
      </c>
      <c r="C603" s="2" t="s">
        <v>276</v>
      </c>
      <c r="D603" s="2" t="s">
        <v>270</v>
      </c>
      <c r="E603" s="2" t="s">
        <v>27</v>
      </c>
      <c r="F603" s="2" t="s">
        <v>277</v>
      </c>
      <c r="G603" s="2" t="s">
        <v>27</v>
      </c>
      <c r="H603" s="2">
        <v>70039</v>
      </c>
      <c r="I603" s="2">
        <v>70148</v>
      </c>
      <c r="J603" s="2" t="s">
        <v>28</v>
      </c>
      <c r="K603" s="2" t="s">
        <v>282</v>
      </c>
      <c r="L603" s="2" t="s">
        <v>36</v>
      </c>
      <c r="M603" s="2" t="s">
        <v>271</v>
      </c>
      <c r="N603" s="2">
        <v>2400</v>
      </c>
      <c r="O603" s="3">
        <v>2400</v>
      </c>
      <c r="P603" s="3">
        <v>2400</v>
      </c>
      <c r="Q603" s="3">
        <v>2400</v>
      </c>
      <c r="R603" s="2">
        <v>478</v>
      </c>
      <c r="S603" s="3">
        <v>478</v>
      </c>
      <c r="T603" s="3">
        <v>478</v>
      </c>
      <c r="U603" s="3">
        <v>478</v>
      </c>
      <c r="V603" s="3"/>
    </row>
    <row r="604" spans="2:22" ht="20" hidden="1" x14ac:dyDescent="0.25">
      <c r="B604" s="2" t="s">
        <v>275</v>
      </c>
      <c r="C604" s="2" t="s">
        <v>276</v>
      </c>
      <c r="D604" s="2" t="s">
        <v>270</v>
      </c>
      <c r="E604" s="2" t="s">
        <v>27</v>
      </c>
      <c r="F604" s="2" t="s">
        <v>277</v>
      </c>
      <c r="G604" s="2" t="s">
        <v>27</v>
      </c>
      <c r="H604" s="2">
        <v>70039</v>
      </c>
      <c r="I604" s="2">
        <v>70148</v>
      </c>
      <c r="J604" s="2" t="s">
        <v>28</v>
      </c>
      <c r="K604" s="2" t="s">
        <v>283</v>
      </c>
      <c r="L604" s="2" t="s">
        <v>39</v>
      </c>
      <c r="M604" s="2" t="s">
        <v>271</v>
      </c>
      <c r="N604" s="2">
        <v>2400</v>
      </c>
      <c r="O604" s="3">
        <v>2400</v>
      </c>
      <c r="P604" s="3">
        <v>2400</v>
      </c>
      <c r="Q604" s="3">
        <v>2400</v>
      </c>
      <c r="R604" s="2">
        <v>478</v>
      </c>
      <c r="S604" s="3">
        <v>478</v>
      </c>
      <c r="T604" s="3">
        <v>478</v>
      </c>
      <c r="U604" s="3">
        <v>478</v>
      </c>
      <c r="V604" s="3"/>
    </row>
    <row r="605" spans="2:22" ht="20" hidden="1" x14ac:dyDescent="0.25">
      <c r="B605" s="2" t="s">
        <v>275</v>
      </c>
      <c r="C605" s="2" t="s">
        <v>276</v>
      </c>
      <c r="D605" s="2" t="s">
        <v>270</v>
      </c>
      <c r="E605" s="2" t="s">
        <v>27</v>
      </c>
      <c r="F605" s="2" t="s">
        <v>277</v>
      </c>
      <c r="G605" s="2" t="s">
        <v>27</v>
      </c>
      <c r="H605" s="2">
        <v>70039</v>
      </c>
      <c r="I605" s="2">
        <v>70148</v>
      </c>
      <c r="J605" s="2" t="s">
        <v>28</v>
      </c>
      <c r="K605" s="2" t="s">
        <v>278</v>
      </c>
      <c r="L605" s="2" t="s">
        <v>39</v>
      </c>
      <c r="M605" s="2" t="s">
        <v>271</v>
      </c>
      <c r="N605" s="2">
        <v>2400</v>
      </c>
      <c r="O605" s="3">
        <v>2400</v>
      </c>
      <c r="P605" s="3">
        <v>2400</v>
      </c>
      <c r="Q605" s="3">
        <v>2400</v>
      </c>
      <c r="R605" s="2">
        <v>478</v>
      </c>
      <c r="S605" s="3">
        <v>478</v>
      </c>
      <c r="T605" s="3">
        <v>478</v>
      </c>
      <c r="U605" s="3">
        <v>478</v>
      </c>
      <c r="V605" s="3"/>
    </row>
    <row r="606" spans="2:22" ht="21" hidden="1" x14ac:dyDescent="0.25">
      <c r="B606" s="4" t="s">
        <v>859</v>
      </c>
      <c r="C606" s="4" t="s">
        <v>860</v>
      </c>
      <c r="D606" s="4" t="s">
        <v>305</v>
      </c>
      <c r="E606" s="4" t="s">
        <v>27</v>
      </c>
      <c r="F606" s="4" t="s">
        <v>855</v>
      </c>
      <c r="G606" s="4" t="s">
        <v>27</v>
      </c>
      <c r="H606" s="4">
        <v>70208</v>
      </c>
      <c r="I606" s="4">
        <v>70252</v>
      </c>
      <c r="J606" s="4" t="s">
        <v>28</v>
      </c>
      <c r="K606" s="4" t="s">
        <v>859</v>
      </c>
      <c r="L606" s="4" t="s">
        <v>29</v>
      </c>
      <c r="M606" s="4"/>
      <c r="N606" s="5">
        <v>557</v>
      </c>
      <c r="O606" s="5">
        <v>600</v>
      </c>
      <c r="P606" s="5">
        <v>600</v>
      </c>
      <c r="Q606" s="5">
        <v>600</v>
      </c>
      <c r="R606" s="5">
        <v>111</v>
      </c>
      <c r="S606" s="5">
        <v>120</v>
      </c>
      <c r="T606" s="5">
        <v>120</v>
      </c>
      <c r="U606" s="5">
        <v>120</v>
      </c>
      <c r="V606" s="5"/>
    </row>
    <row r="607" spans="2:22" ht="20" hidden="1" x14ac:dyDescent="0.25">
      <c r="B607" s="2" t="s">
        <v>859</v>
      </c>
      <c r="C607" s="2" t="s">
        <v>860</v>
      </c>
      <c r="D607" s="2" t="s">
        <v>305</v>
      </c>
      <c r="E607" s="2" t="s">
        <v>27</v>
      </c>
      <c r="F607" s="2" t="s">
        <v>855</v>
      </c>
      <c r="G607" s="2" t="s">
        <v>27</v>
      </c>
      <c r="H607" s="2">
        <v>70208</v>
      </c>
      <c r="I607" s="2">
        <v>70252</v>
      </c>
      <c r="J607" s="2" t="s">
        <v>28</v>
      </c>
      <c r="K607" s="2" t="s">
        <v>856</v>
      </c>
      <c r="L607" s="2" t="s">
        <v>31</v>
      </c>
      <c r="M607" s="2" t="s">
        <v>857</v>
      </c>
      <c r="N607" s="3">
        <v>557</v>
      </c>
      <c r="O607" s="2">
        <v>613</v>
      </c>
      <c r="P607" s="2">
        <v>640</v>
      </c>
      <c r="Q607" s="2">
        <v>704</v>
      </c>
      <c r="R607" s="3">
        <v>111</v>
      </c>
      <c r="S607" s="2">
        <v>122</v>
      </c>
      <c r="T607" s="2">
        <v>127</v>
      </c>
      <c r="U607" s="2">
        <v>140</v>
      </c>
      <c r="V607" s="2"/>
    </row>
    <row r="608" spans="2:22" ht="30" hidden="1" x14ac:dyDescent="0.25">
      <c r="B608" s="2" t="s">
        <v>859</v>
      </c>
      <c r="C608" s="2" t="s">
        <v>860</v>
      </c>
      <c r="D608" s="2" t="s">
        <v>305</v>
      </c>
      <c r="E608" s="2" t="s">
        <v>27</v>
      </c>
      <c r="F608" s="2" t="s">
        <v>855</v>
      </c>
      <c r="G608" s="2" t="s">
        <v>27</v>
      </c>
      <c r="H608" s="2">
        <v>70208</v>
      </c>
      <c r="I608" s="2">
        <v>70252</v>
      </c>
      <c r="J608" s="2" t="s">
        <v>28</v>
      </c>
      <c r="K608" s="2" t="s">
        <v>861</v>
      </c>
      <c r="L608" s="2" t="s">
        <v>36</v>
      </c>
      <c r="M608" s="2" t="s">
        <v>710</v>
      </c>
      <c r="N608" s="2">
        <v>600</v>
      </c>
      <c r="O608" s="3">
        <v>600</v>
      </c>
      <c r="P608" s="3">
        <v>600</v>
      </c>
      <c r="Q608" s="3">
        <v>600</v>
      </c>
      <c r="R608" s="2">
        <v>120</v>
      </c>
      <c r="S608" s="3">
        <v>120</v>
      </c>
      <c r="T608" s="3">
        <v>120</v>
      </c>
      <c r="U608" s="3">
        <v>120</v>
      </c>
      <c r="V608" s="3"/>
    </row>
    <row r="609" spans="2:22" ht="21" hidden="1" x14ac:dyDescent="0.25">
      <c r="B609" s="4" t="s">
        <v>985</v>
      </c>
      <c r="C609" s="4" t="s">
        <v>860</v>
      </c>
      <c r="D609" s="4" t="s">
        <v>855</v>
      </c>
      <c r="E609" s="4" t="s">
        <v>27</v>
      </c>
      <c r="F609" s="4" t="s">
        <v>983</v>
      </c>
      <c r="G609" s="4" t="s">
        <v>27</v>
      </c>
      <c r="H609" s="4">
        <v>70252</v>
      </c>
      <c r="I609" s="4">
        <v>70354</v>
      </c>
      <c r="J609" s="4" t="s">
        <v>28</v>
      </c>
      <c r="K609" s="4" t="s">
        <v>985</v>
      </c>
      <c r="L609" s="4" t="s">
        <v>29</v>
      </c>
      <c r="M609" s="4"/>
      <c r="N609" s="5">
        <v>557</v>
      </c>
      <c r="O609" s="5">
        <v>600</v>
      </c>
      <c r="P609" s="5">
        <v>600</v>
      </c>
      <c r="Q609" s="5">
        <v>600</v>
      </c>
      <c r="R609" s="5">
        <v>111</v>
      </c>
      <c r="S609" s="5">
        <v>120</v>
      </c>
      <c r="T609" s="5">
        <v>120</v>
      </c>
      <c r="U609" s="5">
        <v>120</v>
      </c>
      <c r="V609" s="5"/>
    </row>
    <row r="610" spans="2:22" ht="20" hidden="1" x14ac:dyDescent="0.25">
      <c r="B610" s="2" t="s">
        <v>985</v>
      </c>
      <c r="C610" s="2" t="s">
        <v>860</v>
      </c>
      <c r="D610" s="2" t="s">
        <v>855</v>
      </c>
      <c r="E610" s="2" t="s">
        <v>27</v>
      </c>
      <c r="F610" s="2" t="s">
        <v>983</v>
      </c>
      <c r="G610" s="2" t="s">
        <v>27</v>
      </c>
      <c r="H610" s="2">
        <v>70252</v>
      </c>
      <c r="I610" s="2">
        <v>70354</v>
      </c>
      <c r="J610" s="2" t="s">
        <v>28</v>
      </c>
      <c r="K610" s="2" t="s">
        <v>856</v>
      </c>
      <c r="L610" s="2" t="s">
        <v>31</v>
      </c>
      <c r="M610" s="2" t="s">
        <v>857</v>
      </c>
      <c r="N610" s="3">
        <v>557</v>
      </c>
      <c r="O610" s="2">
        <v>613</v>
      </c>
      <c r="P610" s="2">
        <v>640</v>
      </c>
      <c r="Q610" s="2">
        <v>704</v>
      </c>
      <c r="R610" s="3">
        <v>111</v>
      </c>
      <c r="S610" s="2">
        <v>122</v>
      </c>
      <c r="T610" s="2">
        <v>127</v>
      </c>
      <c r="U610" s="2">
        <v>140</v>
      </c>
      <c r="V610" s="2"/>
    </row>
    <row r="611" spans="2:22" ht="30" hidden="1" x14ac:dyDescent="0.25">
      <c r="B611" s="2" t="s">
        <v>985</v>
      </c>
      <c r="C611" s="2" t="s">
        <v>860</v>
      </c>
      <c r="D611" s="2" t="s">
        <v>855</v>
      </c>
      <c r="E611" s="2" t="s">
        <v>27</v>
      </c>
      <c r="F611" s="2" t="s">
        <v>983</v>
      </c>
      <c r="G611" s="2" t="s">
        <v>27</v>
      </c>
      <c r="H611" s="2">
        <v>70252</v>
      </c>
      <c r="I611" s="2">
        <v>70354</v>
      </c>
      <c r="J611" s="2" t="s">
        <v>28</v>
      </c>
      <c r="K611" s="2" t="s">
        <v>861</v>
      </c>
      <c r="L611" s="2" t="s">
        <v>36</v>
      </c>
      <c r="M611" s="2" t="s">
        <v>984</v>
      </c>
      <c r="N611" s="2">
        <v>600</v>
      </c>
      <c r="O611" s="3">
        <v>600</v>
      </c>
      <c r="P611" s="3">
        <v>600</v>
      </c>
      <c r="Q611" s="3">
        <v>600</v>
      </c>
      <c r="R611" s="2">
        <v>120</v>
      </c>
      <c r="S611" s="3">
        <v>120</v>
      </c>
      <c r="T611" s="3">
        <v>120</v>
      </c>
      <c r="U611" s="3">
        <v>120</v>
      </c>
      <c r="V611" s="3"/>
    </row>
    <row r="612" spans="2:22" ht="21" hidden="1" x14ac:dyDescent="0.25">
      <c r="B612" s="4" t="s">
        <v>462</v>
      </c>
      <c r="C612" s="4" t="s">
        <v>463</v>
      </c>
      <c r="D612" s="4" t="s">
        <v>460</v>
      </c>
      <c r="E612" s="4" t="s">
        <v>27</v>
      </c>
      <c r="F612" s="4" t="s">
        <v>277</v>
      </c>
      <c r="G612" s="4" t="s">
        <v>27</v>
      </c>
      <c r="H612" s="4">
        <v>70087</v>
      </c>
      <c r="I612" s="4">
        <v>70148</v>
      </c>
      <c r="J612" s="4" t="s">
        <v>28</v>
      </c>
      <c r="K612" s="4" t="s">
        <v>462</v>
      </c>
      <c r="L612" s="4" t="s">
        <v>29</v>
      </c>
      <c r="M612" s="4"/>
      <c r="N612" s="5">
        <v>660</v>
      </c>
      <c r="O612" s="5">
        <v>726</v>
      </c>
      <c r="P612" s="5">
        <v>660</v>
      </c>
      <c r="Q612" s="5">
        <v>726</v>
      </c>
      <c r="R612" s="5">
        <v>131</v>
      </c>
      <c r="S612" s="5">
        <v>145</v>
      </c>
      <c r="T612" s="5">
        <v>131</v>
      </c>
      <c r="U612" s="5">
        <v>145</v>
      </c>
      <c r="V612" s="5"/>
    </row>
    <row r="613" spans="2:22" ht="20" hidden="1" x14ac:dyDescent="0.25">
      <c r="B613" s="2" t="s">
        <v>462</v>
      </c>
      <c r="C613" s="2" t="s">
        <v>463</v>
      </c>
      <c r="D613" s="2" t="s">
        <v>460</v>
      </c>
      <c r="E613" s="2" t="s">
        <v>27</v>
      </c>
      <c r="F613" s="2" t="s">
        <v>277</v>
      </c>
      <c r="G613" s="2" t="s">
        <v>27</v>
      </c>
      <c r="H613" s="2">
        <v>70087</v>
      </c>
      <c r="I613" s="2">
        <v>70148</v>
      </c>
      <c r="J613" s="2" t="s">
        <v>28</v>
      </c>
      <c r="K613" s="2" t="s">
        <v>462</v>
      </c>
      <c r="L613" s="2" t="s">
        <v>30</v>
      </c>
      <c r="M613" s="2" t="s">
        <v>463</v>
      </c>
      <c r="N613" s="3">
        <v>660</v>
      </c>
      <c r="O613" s="3">
        <v>726</v>
      </c>
      <c r="P613" s="3">
        <v>660</v>
      </c>
      <c r="Q613" s="3">
        <v>726</v>
      </c>
      <c r="R613" s="3">
        <v>131</v>
      </c>
      <c r="S613" s="3">
        <v>145</v>
      </c>
      <c r="T613" s="3">
        <v>131</v>
      </c>
      <c r="U613" s="3">
        <v>145</v>
      </c>
      <c r="V613" s="3"/>
    </row>
    <row r="614" spans="2:22" ht="21" hidden="1" x14ac:dyDescent="0.25">
      <c r="B614" s="4" t="s">
        <v>707</v>
      </c>
      <c r="C614" s="4" t="s">
        <v>708</v>
      </c>
      <c r="D614" s="4" t="s">
        <v>277</v>
      </c>
      <c r="E614" s="4" t="s">
        <v>27</v>
      </c>
      <c r="F614" s="4" t="s">
        <v>305</v>
      </c>
      <c r="G614" s="4" t="s">
        <v>27</v>
      </c>
      <c r="H614" s="4">
        <v>70148</v>
      </c>
      <c r="I614" s="4">
        <v>70208</v>
      </c>
      <c r="J614" s="4" t="s">
        <v>28</v>
      </c>
      <c r="K614" s="4" t="s">
        <v>707</v>
      </c>
      <c r="L614" s="4" t="s">
        <v>29</v>
      </c>
      <c r="M614" s="4"/>
      <c r="N614" s="5">
        <v>1200</v>
      </c>
      <c r="O614" s="5">
        <v>1200</v>
      </c>
      <c r="P614" s="5">
        <v>1200</v>
      </c>
      <c r="Q614" s="5">
        <v>1200</v>
      </c>
      <c r="R614" s="5">
        <v>239</v>
      </c>
      <c r="S614" s="5">
        <v>239</v>
      </c>
      <c r="T614" s="5">
        <v>239</v>
      </c>
      <c r="U614" s="5">
        <v>239</v>
      </c>
      <c r="V614" s="5"/>
    </row>
    <row r="615" spans="2:22" ht="30" hidden="1" x14ac:dyDescent="0.25">
      <c r="B615" s="2" t="s">
        <v>707</v>
      </c>
      <c r="C615" s="2" t="s">
        <v>708</v>
      </c>
      <c r="D615" s="2" t="s">
        <v>277</v>
      </c>
      <c r="E615" s="2" t="s">
        <v>27</v>
      </c>
      <c r="F615" s="2" t="s">
        <v>305</v>
      </c>
      <c r="G615" s="2" t="s">
        <v>27</v>
      </c>
      <c r="H615" s="2">
        <v>70148</v>
      </c>
      <c r="I615" s="2">
        <v>70208</v>
      </c>
      <c r="J615" s="2" t="s">
        <v>28</v>
      </c>
      <c r="K615" s="2" t="s">
        <v>709</v>
      </c>
      <c r="L615" s="2" t="s">
        <v>36</v>
      </c>
      <c r="M615" s="2" t="s">
        <v>710</v>
      </c>
      <c r="N615" s="3">
        <v>1200</v>
      </c>
      <c r="O615" s="3">
        <v>1200</v>
      </c>
      <c r="P615" s="3">
        <v>1200</v>
      </c>
      <c r="Q615" s="3">
        <v>1200</v>
      </c>
      <c r="R615" s="3">
        <v>239</v>
      </c>
      <c r="S615" s="3">
        <v>239</v>
      </c>
      <c r="T615" s="3">
        <v>239</v>
      </c>
      <c r="U615" s="3">
        <v>239</v>
      </c>
      <c r="V615" s="3"/>
    </row>
    <row r="616" spans="2:22" ht="30" hidden="1" x14ac:dyDescent="0.25">
      <c r="B616" s="2" t="s">
        <v>707</v>
      </c>
      <c r="C616" s="2" t="s">
        <v>708</v>
      </c>
      <c r="D616" s="2" t="s">
        <v>277</v>
      </c>
      <c r="E616" s="2" t="s">
        <v>27</v>
      </c>
      <c r="F616" s="2" t="s">
        <v>305</v>
      </c>
      <c r="G616" s="2" t="s">
        <v>27</v>
      </c>
      <c r="H616" s="2">
        <v>70148</v>
      </c>
      <c r="I616" s="2">
        <v>70208</v>
      </c>
      <c r="J616" s="2" t="s">
        <v>28</v>
      </c>
      <c r="K616" s="2" t="s">
        <v>711</v>
      </c>
      <c r="L616" s="2" t="s">
        <v>36</v>
      </c>
      <c r="M616" s="2" t="s">
        <v>279</v>
      </c>
      <c r="N616" s="3">
        <v>1200</v>
      </c>
      <c r="O616" s="3">
        <v>1200</v>
      </c>
      <c r="P616" s="3">
        <v>1200</v>
      </c>
      <c r="Q616" s="3">
        <v>1200</v>
      </c>
      <c r="R616" s="3">
        <v>239</v>
      </c>
      <c r="S616" s="3">
        <v>239</v>
      </c>
      <c r="T616" s="3">
        <v>239</v>
      </c>
      <c r="U616" s="3">
        <v>239</v>
      </c>
      <c r="V616" s="3"/>
    </row>
    <row r="617" spans="2:22" ht="30" hidden="1" x14ac:dyDescent="0.25">
      <c r="B617" s="2" t="s">
        <v>707</v>
      </c>
      <c r="C617" s="2" t="s">
        <v>708</v>
      </c>
      <c r="D617" s="2" t="s">
        <v>277</v>
      </c>
      <c r="E617" s="2" t="s">
        <v>27</v>
      </c>
      <c r="F617" s="2" t="s">
        <v>305</v>
      </c>
      <c r="G617" s="2" t="s">
        <v>27</v>
      </c>
      <c r="H617" s="2">
        <v>70148</v>
      </c>
      <c r="I617" s="2">
        <v>70208</v>
      </c>
      <c r="J617" s="2" t="s">
        <v>28</v>
      </c>
      <c r="K617" s="2" t="s">
        <v>712</v>
      </c>
      <c r="L617" s="2" t="s">
        <v>36</v>
      </c>
      <c r="M617" s="2" t="s">
        <v>279</v>
      </c>
      <c r="N617" s="3">
        <v>1200</v>
      </c>
      <c r="O617" s="3">
        <v>1200</v>
      </c>
      <c r="P617" s="3">
        <v>1200</v>
      </c>
      <c r="Q617" s="3">
        <v>1200</v>
      </c>
      <c r="R617" s="3">
        <v>239</v>
      </c>
      <c r="S617" s="3">
        <v>239</v>
      </c>
      <c r="T617" s="3">
        <v>239</v>
      </c>
      <c r="U617" s="3">
        <v>239</v>
      </c>
      <c r="V617" s="3"/>
    </row>
    <row r="618" spans="2:22" ht="20" hidden="1" x14ac:dyDescent="0.25">
      <c r="B618" s="2" t="s">
        <v>707</v>
      </c>
      <c r="C618" s="2" t="s">
        <v>708</v>
      </c>
      <c r="D618" s="2" t="s">
        <v>277</v>
      </c>
      <c r="E618" s="2" t="s">
        <v>27</v>
      </c>
      <c r="F618" s="2" t="s">
        <v>305</v>
      </c>
      <c r="G618" s="2" t="s">
        <v>27</v>
      </c>
      <c r="H618" s="2">
        <v>70148</v>
      </c>
      <c r="I618" s="2">
        <v>70208</v>
      </c>
      <c r="J618" s="2" t="s">
        <v>28</v>
      </c>
      <c r="K618" s="2" t="s">
        <v>713</v>
      </c>
      <c r="L618" s="2" t="s">
        <v>34</v>
      </c>
      <c r="M618" s="2" t="s">
        <v>710</v>
      </c>
      <c r="N618" s="3">
        <v>1200</v>
      </c>
      <c r="O618" s="2">
        <v>1549</v>
      </c>
      <c r="P618" s="2">
        <v>1486</v>
      </c>
      <c r="Q618" s="2">
        <v>1780</v>
      </c>
      <c r="R618" s="3">
        <v>239</v>
      </c>
      <c r="S618" s="2">
        <v>309</v>
      </c>
      <c r="T618" s="2">
        <v>296</v>
      </c>
      <c r="U618" s="2">
        <v>355</v>
      </c>
      <c r="V618" s="2"/>
    </row>
    <row r="619" spans="2:22" ht="20" hidden="1" x14ac:dyDescent="0.25">
      <c r="B619" s="2" t="s">
        <v>707</v>
      </c>
      <c r="C619" s="2" t="s">
        <v>708</v>
      </c>
      <c r="D619" s="2" t="s">
        <v>277</v>
      </c>
      <c r="E619" s="2" t="s">
        <v>27</v>
      </c>
      <c r="F619" s="2" t="s">
        <v>305</v>
      </c>
      <c r="G619" s="2" t="s">
        <v>27</v>
      </c>
      <c r="H619" s="2">
        <v>70148</v>
      </c>
      <c r="I619" s="2">
        <v>70208</v>
      </c>
      <c r="J619" s="2" t="s">
        <v>28</v>
      </c>
      <c r="K619" s="2" t="s">
        <v>714</v>
      </c>
      <c r="L619" s="2" t="s">
        <v>34</v>
      </c>
      <c r="M619" s="2" t="s">
        <v>710</v>
      </c>
      <c r="N619" s="3">
        <v>1200</v>
      </c>
      <c r="O619" s="2">
        <v>1549</v>
      </c>
      <c r="P619" s="2">
        <v>1486</v>
      </c>
      <c r="Q619" s="2">
        <v>1780</v>
      </c>
      <c r="R619" s="3">
        <v>239</v>
      </c>
      <c r="S619" s="2">
        <v>309</v>
      </c>
      <c r="T619" s="2">
        <v>296</v>
      </c>
      <c r="U619" s="2">
        <v>355</v>
      </c>
      <c r="V619" s="2"/>
    </row>
    <row r="620" spans="2:22" ht="20" hidden="1" x14ac:dyDescent="0.25">
      <c r="B620" s="2" t="s">
        <v>707</v>
      </c>
      <c r="C620" s="2" t="s">
        <v>708</v>
      </c>
      <c r="D620" s="2" t="s">
        <v>277</v>
      </c>
      <c r="E620" s="2" t="s">
        <v>27</v>
      </c>
      <c r="F620" s="2" t="s">
        <v>305</v>
      </c>
      <c r="G620" s="2" t="s">
        <v>27</v>
      </c>
      <c r="H620" s="2">
        <v>70148</v>
      </c>
      <c r="I620" s="2">
        <v>70208</v>
      </c>
      <c r="J620" s="2" t="s">
        <v>28</v>
      </c>
      <c r="K620" s="2" t="s">
        <v>714</v>
      </c>
      <c r="L620" s="2" t="s">
        <v>34</v>
      </c>
      <c r="M620" s="2" t="s">
        <v>279</v>
      </c>
      <c r="N620" s="3">
        <v>1200</v>
      </c>
      <c r="O620" s="2">
        <v>1549</v>
      </c>
      <c r="P620" s="2">
        <v>1486</v>
      </c>
      <c r="Q620" s="2">
        <v>1780</v>
      </c>
      <c r="R620" s="3">
        <v>239</v>
      </c>
      <c r="S620" s="2">
        <v>309</v>
      </c>
      <c r="T620" s="2">
        <v>296</v>
      </c>
      <c r="U620" s="2">
        <v>355</v>
      </c>
      <c r="V620" s="2"/>
    </row>
    <row r="621" spans="2:22" ht="31.5" hidden="1" x14ac:dyDescent="0.25">
      <c r="B621" s="4" t="s">
        <v>749</v>
      </c>
      <c r="C621" s="4" t="s">
        <v>750</v>
      </c>
      <c r="D621" s="4" t="s">
        <v>741</v>
      </c>
      <c r="E621" s="4" t="s">
        <v>27</v>
      </c>
      <c r="F621" s="4" t="s">
        <v>381</v>
      </c>
      <c r="G621" s="4" t="s">
        <v>27</v>
      </c>
      <c r="H621" s="4">
        <v>70164</v>
      </c>
      <c r="I621" s="4">
        <v>70444</v>
      </c>
      <c r="J621" s="4" t="s">
        <v>28</v>
      </c>
      <c r="K621" s="4" t="s">
        <v>749</v>
      </c>
      <c r="L621" s="4" t="s">
        <v>29</v>
      </c>
      <c r="M621" s="4"/>
      <c r="N621" s="5">
        <v>600</v>
      </c>
      <c r="O621" s="5">
        <v>600</v>
      </c>
      <c r="P621" s="5">
        <v>600</v>
      </c>
      <c r="Q621" s="5">
        <v>600</v>
      </c>
      <c r="R621" s="5">
        <v>120</v>
      </c>
      <c r="S621" s="5">
        <v>120</v>
      </c>
      <c r="T621" s="5">
        <v>120</v>
      </c>
      <c r="U621" s="5">
        <v>120</v>
      </c>
      <c r="V621" s="5"/>
    </row>
    <row r="622" spans="2:22" ht="30" hidden="1" x14ac:dyDescent="0.25">
      <c r="B622" s="2" t="s">
        <v>749</v>
      </c>
      <c r="C622" s="2" t="s">
        <v>750</v>
      </c>
      <c r="D622" s="2" t="s">
        <v>741</v>
      </c>
      <c r="E622" s="2" t="s">
        <v>27</v>
      </c>
      <c r="F622" s="2" t="s">
        <v>381</v>
      </c>
      <c r="G622" s="2" t="s">
        <v>27</v>
      </c>
      <c r="H622" s="2">
        <v>70164</v>
      </c>
      <c r="I622" s="2">
        <v>70444</v>
      </c>
      <c r="J622" s="2" t="s">
        <v>28</v>
      </c>
      <c r="K622" s="2" t="s">
        <v>751</v>
      </c>
      <c r="L622" s="2" t="s">
        <v>39</v>
      </c>
      <c r="M622" s="2" t="s">
        <v>743</v>
      </c>
      <c r="N622" s="3">
        <v>600</v>
      </c>
      <c r="O622" s="3">
        <v>600</v>
      </c>
      <c r="P622" s="3">
        <v>600</v>
      </c>
      <c r="Q622" s="3">
        <v>600</v>
      </c>
      <c r="R622" s="3">
        <v>120</v>
      </c>
      <c r="S622" s="3">
        <v>120</v>
      </c>
      <c r="T622" s="3">
        <v>120</v>
      </c>
      <c r="U622" s="3">
        <v>120</v>
      </c>
      <c r="V622" s="3"/>
    </row>
    <row r="623" spans="2:22" ht="30" hidden="1" x14ac:dyDescent="0.25">
      <c r="B623" s="2" t="s">
        <v>749</v>
      </c>
      <c r="C623" s="2" t="s">
        <v>750</v>
      </c>
      <c r="D623" s="2" t="s">
        <v>741</v>
      </c>
      <c r="E623" s="2" t="s">
        <v>27</v>
      </c>
      <c r="F623" s="2" t="s">
        <v>381</v>
      </c>
      <c r="G623" s="2" t="s">
        <v>27</v>
      </c>
      <c r="H623" s="2">
        <v>70164</v>
      </c>
      <c r="I623" s="2">
        <v>70444</v>
      </c>
      <c r="J623" s="2" t="s">
        <v>28</v>
      </c>
      <c r="K623" s="2" t="s">
        <v>752</v>
      </c>
      <c r="L623" s="2" t="s">
        <v>39</v>
      </c>
      <c r="M623" s="2" t="s">
        <v>382</v>
      </c>
      <c r="N623" s="3">
        <v>600</v>
      </c>
      <c r="O623" s="3">
        <v>600</v>
      </c>
      <c r="P623" s="3">
        <v>600</v>
      </c>
      <c r="Q623" s="3">
        <v>600</v>
      </c>
      <c r="R623" s="3">
        <v>120</v>
      </c>
      <c r="S623" s="3">
        <v>120</v>
      </c>
      <c r="T623" s="3">
        <v>120</v>
      </c>
      <c r="U623" s="3">
        <v>120</v>
      </c>
      <c r="V623" s="3"/>
    </row>
    <row r="624" spans="2:22" ht="30" hidden="1" x14ac:dyDescent="0.25">
      <c r="B624" s="2" t="s">
        <v>749</v>
      </c>
      <c r="C624" s="2" t="s">
        <v>750</v>
      </c>
      <c r="D624" s="2" t="s">
        <v>741</v>
      </c>
      <c r="E624" s="2" t="s">
        <v>27</v>
      </c>
      <c r="F624" s="2" t="s">
        <v>381</v>
      </c>
      <c r="G624" s="2" t="s">
        <v>27</v>
      </c>
      <c r="H624" s="2">
        <v>70164</v>
      </c>
      <c r="I624" s="2">
        <v>70444</v>
      </c>
      <c r="J624" s="2" t="s">
        <v>28</v>
      </c>
      <c r="K624" s="2" t="s">
        <v>753</v>
      </c>
      <c r="L624" s="2" t="s">
        <v>39</v>
      </c>
      <c r="M624" s="2" t="s">
        <v>382</v>
      </c>
      <c r="N624" s="3">
        <v>600</v>
      </c>
      <c r="O624" s="3">
        <v>600</v>
      </c>
      <c r="P624" s="3">
        <v>600</v>
      </c>
      <c r="Q624" s="3">
        <v>600</v>
      </c>
      <c r="R624" s="3">
        <v>120</v>
      </c>
      <c r="S624" s="3">
        <v>120</v>
      </c>
      <c r="T624" s="3">
        <v>120</v>
      </c>
      <c r="U624" s="3">
        <v>120</v>
      </c>
      <c r="V624" s="3"/>
    </row>
    <row r="625" spans="2:22" ht="30" hidden="1" x14ac:dyDescent="0.25">
      <c r="B625" s="2" t="s">
        <v>749</v>
      </c>
      <c r="C625" s="2" t="s">
        <v>750</v>
      </c>
      <c r="D625" s="2" t="s">
        <v>741</v>
      </c>
      <c r="E625" s="2" t="s">
        <v>27</v>
      </c>
      <c r="F625" s="2" t="s">
        <v>381</v>
      </c>
      <c r="G625" s="2" t="s">
        <v>27</v>
      </c>
      <c r="H625" s="2">
        <v>70164</v>
      </c>
      <c r="I625" s="2">
        <v>70444</v>
      </c>
      <c r="J625" s="2" t="s">
        <v>28</v>
      </c>
      <c r="K625" s="2" t="s">
        <v>754</v>
      </c>
      <c r="L625" s="2" t="s">
        <v>39</v>
      </c>
      <c r="M625" s="2" t="s">
        <v>743</v>
      </c>
      <c r="N625" s="3">
        <v>600</v>
      </c>
      <c r="O625" s="3">
        <v>600</v>
      </c>
      <c r="P625" s="3">
        <v>600</v>
      </c>
      <c r="Q625" s="3">
        <v>600</v>
      </c>
      <c r="R625" s="3">
        <v>120</v>
      </c>
      <c r="S625" s="3">
        <v>120</v>
      </c>
      <c r="T625" s="3">
        <v>120</v>
      </c>
      <c r="U625" s="3">
        <v>120</v>
      </c>
      <c r="V625" s="3"/>
    </row>
    <row r="626" spans="2:22" ht="30" hidden="1" x14ac:dyDescent="0.25">
      <c r="B626" s="2" t="s">
        <v>749</v>
      </c>
      <c r="C626" s="2" t="s">
        <v>750</v>
      </c>
      <c r="D626" s="2" t="s">
        <v>741</v>
      </c>
      <c r="E626" s="2" t="s">
        <v>27</v>
      </c>
      <c r="F626" s="2" t="s">
        <v>381</v>
      </c>
      <c r="G626" s="2" t="s">
        <v>27</v>
      </c>
      <c r="H626" s="2">
        <v>70164</v>
      </c>
      <c r="I626" s="2">
        <v>70444</v>
      </c>
      <c r="J626" s="2" t="s">
        <v>28</v>
      </c>
      <c r="K626" s="2" t="s">
        <v>755</v>
      </c>
      <c r="L626" s="2" t="s">
        <v>39</v>
      </c>
      <c r="M626" s="2" t="s">
        <v>382</v>
      </c>
      <c r="N626" s="3">
        <v>600</v>
      </c>
      <c r="O626" s="3">
        <v>600</v>
      </c>
      <c r="P626" s="3">
        <v>600</v>
      </c>
      <c r="Q626" s="3">
        <v>600</v>
      </c>
      <c r="R626" s="3">
        <v>120</v>
      </c>
      <c r="S626" s="3">
        <v>120</v>
      </c>
      <c r="T626" s="3">
        <v>120</v>
      </c>
      <c r="U626" s="3">
        <v>120</v>
      </c>
      <c r="V626" s="3"/>
    </row>
    <row r="627" spans="2:22" ht="30" hidden="1" x14ac:dyDescent="0.25">
      <c r="B627" s="2" t="s">
        <v>749</v>
      </c>
      <c r="C627" s="2" t="s">
        <v>750</v>
      </c>
      <c r="D627" s="2" t="s">
        <v>741</v>
      </c>
      <c r="E627" s="2" t="s">
        <v>27</v>
      </c>
      <c r="F627" s="2" t="s">
        <v>381</v>
      </c>
      <c r="G627" s="2" t="s">
        <v>27</v>
      </c>
      <c r="H627" s="2">
        <v>70164</v>
      </c>
      <c r="I627" s="2">
        <v>70444</v>
      </c>
      <c r="J627" s="2" t="s">
        <v>28</v>
      </c>
      <c r="K627" s="2" t="s">
        <v>756</v>
      </c>
      <c r="L627" s="2" t="s">
        <v>36</v>
      </c>
      <c r="M627" s="2" t="s">
        <v>743</v>
      </c>
      <c r="N627" s="3">
        <v>600</v>
      </c>
      <c r="O627" s="3">
        <v>600</v>
      </c>
      <c r="P627" s="3">
        <v>600</v>
      </c>
      <c r="Q627" s="3">
        <v>600</v>
      </c>
      <c r="R627" s="3">
        <v>120</v>
      </c>
      <c r="S627" s="3">
        <v>120</v>
      </c>
      <c r="T627" s="3">
        <v>120</v>
      </c>
      <c r="U627" s="3">
        <v>120</v>
      </c>
      <c r="V627" s="3"/>
    </row>
    <row r="628" spans="2:22" ht="30" hidden="1" x14ac:dyDescent="0.25">
      <c r="B628" s="2" t="s">
        <v>749</v>
      </c>
      <c r="C628" s="2" t="s">
        <v>750</v>
      </c>
      <c r="D628" s="2" t="s">
        <v>741</v>
      </c>
      <c r="E628" s="2" t="s">
        <v>27</v>
      </c>
      <c r="F628" s="2" t="s">
        <v>381</v>
      </c>
      <c r="G628" s="2" t="s">
        <v>27</v>
      </c>
      <c r="H628" s="2">
        <v>70164</v>
      </c>
      <c r="I628" s="2">
        <v>70444</v>
      </c>
      <c r="J628" s="2" t="s">
        <v>28</v>
      </c>
      <c r="K628" s="2" t="s">
        <v>757</v>
      </c>
      <c r="L628" s="2" t="s">
        <v>39</v>
      </c>
      <c r="M628" s="2" t="s">
        <v>743</v>
      </c>
      <c r="N628" s="3">
        <v>600</v>
      </c>
      <c r="O628" s="3">
        <v>600</v>
      </c>
      <c r="P628" s="3">
        <v>600</v>
      </c>
      <c r="Q628" s="3">
        <v>600</v>
      </c>
      <c r="R628" s="3">
        <v>120</v>
      </c>
      <c r="S628" s="3">
        <v>120</v>
      </c>
      <c r="T628" s="3">
        <v>120</v>
      </c>
      <c r="U628" s="3">
        <v>120</v>
      </c>
      <c r="V628" s="3"/>
    </row>
    <row r="629" spans="2:22" ht="30" hidden="1" x14ac:dyDescent="0.25">
      <c r="B629" s="2" t="s">
        <v>749</v>
      </c>
      <c r="C629" s="2" t="s">
        <v>750</v>
      </c>
      <c r="D629" s="2" t="s">
        <v>741</v>
      </c>
      <c r="E629" s="2" t="s">
        <v>27</v>
      </c>
      <c r="F629" s="2" t="s">
        <v>381</v>
      </c>
      <c r="G629" s="2" t="s">
        <v>27</v>
      </c>
      <c r="H629" s="2">
        <v>70164</v>
      </c>
      <c r="I629" s="2">
        <v>70444</v>
      </c>
      <c r="J629" s="2" t="s">
        <v>28</v>
      </c>
      <c r="K629" s="2" t="s">
        <v>758</v>
      </c>
      <c r="L629" s="2" t="s">
        <v>34</v>
      </c>
      <c r="M629" s="2" t="s">
        <v>743</v>
      </c>
      <c r="N629" s="3">
        <v>600</v>
      </c>
      <c r="O629" s="2">
        <v>775</v>
      </c>
      <c r="P629" s="2">
        <v>743</v>
      </c>
      <c r="Q629" s="2">
        <v>890</v>
      </c>
      <c r="R629" s="3">
        <v>120</v>
      </c>
      <c r="S629" s="2">
        <v>154</v>
      </c>
      <c r="T629" s="2">
        <v>148</v>
      </c>
      <c r="U629" s="2">
        <v>177</v>
      </c>
      <c r="V629" s="2"/>
    </row>
    <row r="630" spans="2:22" ht="21" hidden="1" x14ac:dyDescent="0.25">
      <c r="B630" s="4" t="s">
        <v>371</v>
      </c>
      <c r="C630" s="4" t="s">
        <v>203</v>
      </c>
      <c r="D630" s="4" t="s">
        <v>369</v>
      </c>
      <c r="E630" s="4" t="s">
        <v>27</v>
      </c>
      <c r="F630" s="4" t="s">
        <v>372</v>
      </c>
      <c r="G630" s="4" t="s">
        <v>27</v>
      </c>
      <c r="H630" s="4">
        <v>70065</v>
      </c>
      <c r="I630" s="4">
        <v>70269</v>
      </c>
      <c r="J630" s="4" t="s">
        <v>28</v>
      </c>
      <c r="K630" s="4" t="s">
        <v>371</v>
      </c>
      <c r="L630" s="4" t="s">
        <v>29</v>
      </c>
      <c r="M630" s="4"/>
      <c r="N630" s="5">
        <v>800</v>
      </c>
      <c r="O630" s="5">
        <v>800</v>
      </c>
      <c r="P630" s="5">
        <v>832</v>
      </c>
      <c r="Q630" s="5">
        <v>832</v>
      </c>
      <c r="R630" s="5">
        <v>159</v>
      </c>
      <c r="S630" s="5">
        <v>159</v>
      </c>
      <c r="T630" s="5">
        <v>166</v>
      </c>
      <c r="U630" s="5">
        <v>166</v>
      </c>
      <c r="V630" s="5"/>
    </row>
    <row r="631" spans="2:22" ht="20" hidden="1" x14ac:dyDescent="0.25">
      <c r="B631" s="2" t="s">
        <v>371</v>
      </c>
      <c r="C631" s="2" t="s">
        <v>203</v>
      </c>
      <c r="D631" s="2" t="s">
        <v>369</v>
      </c>
      <c r="E631" s="2" t="s">
        <v>27</v>
      </c>
      <c r="F631" s="2" t="s">
        <v>372</v>
      </c>
      <c r="G631" s="2" t="s">
        <v>27</v>
      </c>
      <c r="H631" s="2">
        <v>70065</v>
      </c>
      <c r="I631" s="2">
        <v>70269</v>
      </c>
      <c r="J631" s="2" t="s">
        <v>28</v>
      </c>
      <c r="K631" s="2"/>
      <c r="L631" s="2" t="s">
        <v>301</v>
      </c>
      <c r="M631" s="2" t="s">
        <v>373</v>
      </c>
      <c r="N631" s="3">
        <v>800</v>
      </c>
      <c r="O631" s="3">
        <v>800</v>
      </c>
      <c r="P631" s="3">
        <v>832</v>
      </c>
      <c r="Q631" s="3">
        <v>832</v>
      </c>
      <c r="R631" s="3">
        <v>159</v>
      </c>
      <c r="S631" s="3">
        <v>159</v>
      </c>
      <c r="T631" s="3">
        <v>166</v>
      </c>
      <c r="U631" s="3">
        <v>166</v>
      </c>
      <c r="V631" s="3"/>
    </row>
    <row r="632" spans="2:22" ht="31.5" hidden="1" x14ac:dyDescent="0.25">
      <c r="B632" s="4" t="s">
        <v>202</v>
      </c>
      <c r="C632" s="4" t="s">
        <v>203</v>
      </c>
      <c r="D632" s="4" t="s">
        <v>372</v>
      </c>
      <c r="E632" s="4" t="s">
        <v>27</v>
      </c>
      <c r="F632" s="4" t="s">
        <v>381</v>
      </c>
      <c r="G632" s="4" t="s">
        <v>27</v>
      </c>
      <c r="H632" s="4">
        <v>70269</v>
      </c>
      <c r="I632" s="4">
        <v>70444</v>
      </c>
      <c r="J632" s="4" t="s">
        <v>28</v>
      </c>
      <c r="K632" s="4" t="s">
        <v>202</v>
      </c>
      <c r="L632" s="4" t="s">
        <v>29</v>
      </c>
      <c r="M632" s="4"/>
      <c r="N632" s="5">
        <v>1066</v>
      </c>
      <c r="O632" s="5">
        <v>1173</v>
      </c>
      <c r="P632" s="5">
        <v>1200</v>
      </c>
      <c r="Q632" s="5">
        <v>1200</v>
      </c>
      <c r="R632" s="5">
        <v>212</v>
      </c>
      <c r="S632" s="5">
        <v>234</v>
      </c>
      <c r="T632" s="5">
        <v>239</v>
      </c>
      <c r="U632" s="5">
        <v>239</v>
      </c>
      <c r="V632" s="5"/>
    </row>
    <row r="633" spans="2:22" ht="30" hidden="1" x14ac:dyDescent="0.25">
      <c r="B633" s="2" t="s">
        <v>202</v>
      </c>
      <c r="C633" s="2" t="s">
        <v>203</v>
      </c>
      <c r="D633" s="2" t="s">
        <v>372</v>
      </c>
      <c r="E633" s="2" t="s">
        <v>27</v>
      </c>
      <c r="F633" s="2" t="s">
        <v>381</v>
      </c>
      <c r="G633" s="2" t="s">
        <v>27</v>
      </c>
      <c r="H633" s="2">
        <v>70269</v>
      </c>
      <c r="I633" s="2">
        <v>70444</v>
      </c>
      <c r="J633" s="2" t="s">
        <v>28</v>
      </c>
      <c r="K633" s="2" t="s">
        <v>239</v>
      </c>
      <c r="L633" s="2" t="s">
        <v>31</v>
      </c>
      <c r="M633" s="2" t="s">
        <v>1031</v>
      </c>
      <c r="N633" s="3">
        <v>1066</v>
      </c>
      <c r="O633" s="3">
        <v>1173</v>
      </c>
      <c r="P633" s="2">
        <v>1214</v>
      </c>
      <c r="Q633" s="2">
        <v>1335</v>
      </c>
      <c r="R633" s="3">
        <v>212</v>
      </c>
      <c r="S633" s="3">
        <v>234</v>
      </c>
      <c r="T633" s="2">
        <v>242</v>
      </c>
      <c r="U633" s="2">
        <v>266</v>
      </c>
      <c r="V633" s="2"/>
    </row>
    <row r="634" spans="2:22" ht="30" hidden="1" x14ac:dyDescent="0.25">
      <c r="B634" s="2" t="s">
        <v>202</v>
      </c>
      <c r="C634" s="2" t="s">
        <v>203</v>
      </c>
      <c r="D634" s="2" t="s">
        <v>372</v>
      </c>
      <c r="E634" s="2" t="s">
        <v>27</v>
      </c>
      <c r="F634" s="2" t="s">
        <v>381</v>
      </c>
      <c r="G634" s="2" t="s">
        <v>27</v>
      </c>
      <c r="H634" s="2">
        <v>70269</v>
      </c>
      <c r="I634" s="2">
        <v>70444</v>
      </c>
      <c r="J634" s="2" t="s">
        <v>28</v>
      </c>
      <c r="K634" s="2" t="s">
        <v>1032</v>
      </c>
      <c r="L634" s="2" t="s">
        <v>39</v>
      </c>
      <c r="M634" s="2" t="s">
        <v>382</v>
      </c>
      <c r="N634" s="2">
        <v>1200</v>
      </c>
      <c r="O634" s="2">
        <v>1200</v>
      </c>
      <c r="P634" s="3">
        <v>1200</v>
      </c>
      <c r="Q634" s="3">
        <v>1200</v>
      </c>
      <c r="R634" s="2">
        <v>239</v>
      </c>
      <c r="S634" s="2">
        <v>239</v>
      </c>
      <c r="T634" s="3">
        <v>239</v>
      </c>
      <c r="U634" s="3">
        <v>239</v>
      </c>
      <c r="V634" s="3"/>
    </row>
    <row r="635" spans="2:22" ht="30" hidden="1" x14ac:dyDescent="0.25">
      <c r="B635" s="2" t="s">
        <v>202</v>
      </c>
      <c r="C635" s="2" t="s">
        <v>203</v>
      </c>
      <c r="D635" s="2" t="s">
        <v>372</v>
      </c>
      <c r="E635" s="2" t="s">
        <v>27</v>
      </c>
      <c r="F635" s="2" t="s">
        <v>381</v>
      </c>
      <c r="G635" s="2" t="s">
        <v>27</v>
      </c>
      <c r="H635" s="2">
        <v>70269</v>
      </c>
      <c r="I635" s="2">
        <v>70444</v>
      </c>
      <c r="J635" s="2" t="s">
        <v>28</v>
      </c>
      <c r="K635" s="2" t="s">
        <v>1033</v>
      </c>
      <c r="L635" s="2" t="s">
        <v>39</v>
      </c>
      <c r="M635" s="2" t="s">
        <v>382</v>
      </c>
      <c r="N635" s="2">
        <v>1200</v>
      </c>
      <c r="O635" s="2">
        <v>1200</v>
      </c>
      <c r="P635" s="3">
        <v>1200</v>
      </c>
      <c r="Q635" s="3">
        <v>1200</v>
      </c>
      <c r="R635" s="2">
        <v>239</v>
      </c>
      <c r="S635" s="2">
        <v>239</v>
      </c>
      <c r="T635" s="3">
        <v>239</v>
      </c>
      <c r="U635" s="3">
        <v>239</v>
      </c>
      <c r="V635" s="3"/>
    </row>
    <row r="636" spans="2:22" ht="30" hidden="1" x14ac:dyDescent="0.25">
      <c r="B636" s="2" t="s">
        <v>202</v>
      </c>
      <c r="C636" s="2" t="s">
        <v>203</v>
      </c>
      <c r="D636" s="2" t="s">
        <v>372</v>
      </c>
      <c r="E636" s="2" t="s">
        <v>27</v>
      </c>
      <c r="F636" s="2" t="s">
        <v>381</v>
      </c>
      <c r="G636" s="2" t="s">
        <v>27</v>
      </c>
      <c r="H636" s="2">
        <v>70269</v>
      </c>
      <c r="I636" s="2">
        <v>70444</v>
      </c>
      <c r="J636" s="2" t="s">
        <v>28</v>
      </c>
      <c r="K636" s="2" t="s">
        <v>204</v>
      </c>
      <c r="L636" s="2" t="s">
        <v>1315</v>
      </c>
      <c r="M636" s="2" t="s">
        <v>1031</v>
      </c>
      <c r="N636" s="2">
        <v>1200</v>
      </c>
      <c r="O636" s="2">
        <v>1200</v>
      </c>
      <c r="P636" s="3">
        <v>1200</v>
      </c>
      <c r="Q636" s="3">
        <v>1200</v>
      </c>
      <c r="R636" s="2">
        <v>239</v>
      </c>
      <c r="S636" s="2">
        <v>239</v>
      </c>
      <c r="T636" s="3">
        <v>239</v>
      </c>
      <c r="U636" s="3">
        <v>239</v>
      </c>
      <c r="V636" s="3"/>
    </row>
    <row r="637" spans="2:22" ht="30" hidden="1" x14ac:dyDescent="0.25">
      <c r="B637" s="2" t="s">
        <v>202</v>
      </c>
      <c r="C637" s="2" t="s">
        <v>203</v>
      </c>
      <c r="D637" s="2" t="s">
        <v>372</v>
      </c>
      <c r="E637" s="2" t="s">
        <v>27</v>
      </c>
      <c r="F637" s="2" t="s">
        <v>381</v>
      </c>
      <c r="G637" s="2" t="s">
        <v>27</v>
      </c>
      <c r="H637" s="2">
        <v>70269</v>
      </c>
      <c r="I637" s="2">
        <v>70444</v>
      </c>
      <c r="J637" s="2" t="s">
        <v>28</v>
      </c>
      <c r="K637" s="2" t="s">
        <v>1034</v>
      </c>
      <c r="L637" s="2" t="s">
        <v>39</v>
      </c>
      <c r="M637" s="2" t="s">
        <v>382</v>
      </c>
      <c r="N637" s="2">
        <v>1200</v>
      </c>
      <c r="O637" s="2">
        <v>1200</v>
      </c>
      <c r="P637" s="3">
        <v>1200</v>
      </c>
      <c r="Q637" s="3">
        <v>1200</v>
      </c>
      <c r="R637" s="2">
        <v>239</v>
      </c>
      <c r="S637" s="2">
        <v>239</v>
      </c>
      <c r="T637" s="3">
        <v>239</v>
      </c>
      <c r="U637" s="3">
        <v>239</v>
      </c>
      <c r="V637" s="3"/>
    </row>
    <row r="638" spans="2:22" ht="30" hidden="1" x14ac:dyDescent="0.25">
      <c r="B638" s="2" t="s">
        <v>202</v>
      </c>
      <c r="C638" s="2" t="s">
        <v>203</v>
      </c>
      <c r="D638" s="2" t="s">
        <v>372</v>
      </c>
      <c r="E638" s="2" t="s">
        <v>27</v>
      </c>
      <c r="F638" s="2" t="s">
        <v>381</v>
      </c>
      <c r="G638" s="2" t="s">
        <v>27</v>
      </c>
      <c r="H638" s="2">
        <v>70269</v>
      </c>
      <c r="I638" s="2">
        <v>70444</v>
      </c>
      <c r="J638" s="2" t="s">
        <v>28</v>
      </c>
      <c r="K638" s="2" t="s">
        <v>1035</v>
      </c>
      <c r="L638" s="2" t="s">
        <v>39</v>
      </c>
      <c r="M638" s="2" t="s">
        <v>382</v>
      </c>
      <c r="N638" s="2">
        <v>1200</v>
      </c>
      <c r="O638" s="2">
        <v>1200</v>
      </c>
      <c r="P638" s="3">
        <v>1200</v>
      </c>
      <c r="Q638" s="3">
        <v>1200</v>
      </c>
      <c r="R638" s="2">
        <v>239</v>
      </c>
      <c r="S638" s="2">
        <v>239</v>
      </c>
      <c r="T638" s="3">
        <v>239</v>
      </c>
      <c r="U638" s="3">
        <v>239</v>
      </c>
      <c r="V638" s="3"/>
    </row>
    <row r="639" spans="2:22" ht="21" hidden="1" x14ac:dyDescent="0.25">
      <c r="B639" s="4" t="s">
        <v>205</v>
      </c>
      <c r="C639" s="4" t="s">
        <v>206</v>
      </c>
      <c r="D639" s="4" t="s">
        <v>821</v>
      </c>
      <c r="E639" s="4" t="s">
        <v>27</v>
      </c>
      <c r="F639" s="4" t="s">
        <v>822</v>
      </c>
      <c r="G639" s="4" t="s">
        <v>40</v>
      </c>
      <c r="H639" s="4">
        <v>70194</v>
      </c>
      <c r="I639" s="4">
        <v>70604</v>
      </c>
      <c r="J639" s="4" t="s">
        <v>28</v>
      </c>
      <c r="K639" s="4" t="s">
        <v>205</v>
      </c>
      <c r="L639" s="4" t="s">
        <v>29</v>
      </c>
      <c r="M639" s="4"/>
      <c r="N639" s="5">
        <v>921</v>
      </c>
      <c r="O639" s="5">
        <v>1072</v>
      </c>
      <c r="P639" s="5">
        <v>1096</v>
      </c>
      <c r="Q639" s="5">
        <v>1200</v>
      </c>
      <c r="R639" s="5">
        <v>183</v>
      </c>
      <c r="S639" s="5">
        <v>213</v>
      </c>
      <c r="T639" s="5">
        <v>218</v>
      </c>
      <c r="U639" s="5">
        <v>239</v>
      </c>
      <c r="V639" s="5"/>
    </row>
    <row r="640" spans="2:22" ht="20" hidden="1" x14ac:dyDescent="0.25">
      <c r="B640" s="2" t="s">
        <v>205</v>
      </c>
      <c r="C640" s="2" t="s">
        <v>206</v>
      </c>
      <c r="D640" s="2" t="s">
        <v>821</v>
      </c>
      <c r="E640" s="2" t="s">
        <v>27</v>
      </c>
      <c r="F640" s="2" t="s">
        <v>822</v>
      </c>
      <c r="G640" s="2" t="s">
        <v>40</v>
      </c>
      <c r="H640" s="2">
        <v>70194</v>
      </c>
      <c r="I640" s="2">
        <v>70604</v>
      </c>
      <c r="J640" s="2" t="s">
        <v>28</v>
      </c>
      <c r="K640" s="2" t="s">
        <v>239</v>
      </c>
      <c r="L640" s="2" t="s">
        <v>31</v>
      </c>
      <c r="M640" s="2" t="s">
        <v>823</v>
      </c>
      <c r="N640" s="3">
        <v>921</v>
      </c>
      <c r="O640" s="3">
        <v>1072</v>
      </c>
      <c r="P640" s="3">
        <v>1096</v>
      </c>
      <c r="Q640" s="2">
        <v>1219</v>
      </c>
      <c r="R640" s="3">
        <v>183</v>
      </c>
      <c r="S640" s="3">
        <v>213</v>
      </c>
      <c r="T640" s="3">
        <v>218</v>
      </c>
      <c r="U640" s="2">
        <v>243</v>
      </c>
      <c r="V640" s="2"/>
    </row>
    <row r="641" spans="2:22" ht="20" hidden="1" x14ac:dyDescent="0.25">
      <c r="B641" s="2" t="s">
        <v>205</v>
      </c>
      <c r="C641" s="2" t="s">
        <v>206</v>
      </c>
      <c r="D641" s="2" t="s">
        <v>821</v>
      </c>
      <c r="E641" s="2" t="s">
        <v>27</v>
      </c>
      <c r="F641" s="2" t="s">
        <v>822</v>
      </c>
      <c r="G641" s="2" t="s">
        <v>40</v>
      </c>
      <c r="H641" s="2">
        <v>70194</v>
      </c>
      <c r="I641" s="2">
        <v>70604</v>
      </c>
      <c r="J641" s="2" t="s">
        <v>28</v>
      </c>
      <c r="K641" s="2" t="s">
        <v>207</v>
      </c>
      <c r="L641" s="2" t="s">
        <v>1315</v>
      </c>
      <c r="M641" s="2" t="s">
        <v>823</v>
      </c>
      <c r="N641" s="2">
        <v>1200</v>
      </c>
      <c r="O641" s="2">
        <v>1200</v>
      </c>
      <c r="P641" s="2">
        <v>1200</v>
      </c>
      <c r="Q641" s="3">
        <v>1200</v>
      </c>
      <c r="R641" s="2">
        <v>239</v>
      </c>
      <c r="S641" s="2">
        <v>239</v>
      </c>
      <c r="T641" s="2">
        <v>239</v>
      </c>
      <c r="U641" s="3">
        <v>239</v>
      </c>
      <c r="V641" s="3"/>
    </row>
    <row r="642" spans="2:22" ht="21" hidden="1" x14ac:dyDescent="0.25">
      <c r="B642" s="4" t="s">
        <v>1179</v>
      </c>
      <c r="C642" s="4" t="s">
        <v>206</v>
      </c>
      <c r="D642" s="4" t="s">
        <v>1180</v>
      </c>
      <c r="E642" s="4" t="s">
        <v>27</v>
      </c>
      <c r="F642" s="4" t="s">
        <v>767</v>
      </c>
      <c r="G642" s="4" t="s">
        <v>27</v>
      </c>
      <c r="H642" s="4">
        <v>70127</v>
      </c>
      <c r="I642" s="4">
        <v>70191</v>
      </c>
      <c r="J642" s="4" t="s">
        <v>28</v>
      </c>
      <c r="K642" s="4" t="s">
        <v>1179</v>
      </c>
      <c r="L642" s="4" t="s">
        <v>29</v>
      </c>
      <c r="M642" s="4"/>
      <c r="N642" s="5">
        <v>1200</v>
      </c>
      <c r="O642" s="5">
        <v>1200</v>
      </c>
      <c r="P642" s="5">
        <v>1200</v>
      </c>
      <c r="Q642" s="5">
        <v>1200</v>
      </c>
      <c r="R642" s="5">
        <v>239</v>
      </c>
      <c r="S642" s="5">
        <v>239</v>
      </c>
      <c r="T642" s="5">
        <v>239</v>
      </c>
      <c r="U642" s="5">
        <v>239</v>
      </c>
      <c r="V642" s="5"/>
    </row>
    <row r="643" spans="2:22" ht="20" hidden="1" x14ac:dyDescent="0.25">
      <c r="B643" s="2" t="s">
        <v>1179</v>
      </c>
      <c r="C643" s="2" t="s">
        <v>206</v>
      </c>
      <c r="D643" s="2" t="s">
        <v>1180</v>
      </c>
      <c r="E643" s="2" t="s">
        <v>27</v>
      </c>
      <c r="F643" s="2" t="s">
        <v>767</v>
      </c>
      <c r="G643" s="2" t="s">
        <v>27</v>
      </c>
      <c r="H643" s="2">
        <v>70127</v>
      </c>
      <c r="I643" s="2">
        <v>70191</v>
      </c>
      <c r="J643" s="2" t="s">
        <v>28</v>
      </c>
      <c r="K643" s="2" t="s">
        <v>1181</v>
      </c>
      <c r="L643" s="2" t="s">
        <v>39</v>
      </c>
      <c r="M643" s="2" t="s">
        <v>771</v>
      </c>
      <c r="N643" s="3">
        <v>1200</v>
      </c>
      <c r="O643" s="3">
        <v>1200</v>
      </c>
      <c r="P643" s="3">
        <v>1200</v>
      </c>
      <c r="Q643" s="3">
        <v>1200</v>
      </c>
      <c r="R643" s="3">
        <v>239</v>
      </c>
      <c r="S643" s="3">
        <v>239</v>
      </c>
      <c r="T643" s="3">
        <v>239</v>
      </c>
      <c r="U643" s="3">
        <v>239</v>
      </c>
      <c r="V643" s="3"/>
    </row>
    <row r="644" spans="2:22" ht="20" hidden="1" x14ac:dyDescent="0.25">
      <c r="B644" s="2" t="s">
        <v>1179</v>
      </c>
      <c r="C644" s="2" t="s">
        <v>206</v>
      </c>
      <c r="D644" s="2" t="s">
        <v>1180</v>
      </c>
      <c r="E644" s="2" t="s">
        <v>27</v>
      </c>
      <c r="F644" s="2" t="s">
        <v>767</v>
      </c>
      <c r="G644" s="2" t="s">
        <v>27</v>
      </c>
      <c r="H644" s="2">
        <v>70127</v>
      </c>
      <c r="I644" s="2">
        <v>70191</v>
      </c>
      <c r="J644" s="2" t="s">
        <v>28</v>
      </c>
      <c r="K644" s="2" t="s">
        <v>1182</v>
      </c>
      <c r="L644" s="2" t="s">
        <v>39</v>
      </c>
      <c r="M644" s="2" t="s">
        <v>771</v>
      </c>
      <c r="N644" s="3">
        <v>1200</v>
      </c>
      <c r="O644" s="3">
        <v>1200</v>
      </c>
      <c r="P644" s="3">
        <v>1200</v>
      </c>
      <c r="Q644" s="3">
        <v>1200</v>
      </c>
      <c r="R644" s="3">
        <v>239</v>
      </c>
      <c r="S644" s="3">
        <v>239</v>
      </c>
      <c r="T644" s="3">
        <v>239</v>
      </c>
      <c r="U644" s="3">
        <v>239</v>
      </c>
      <c r="V644" s="3"/>
    </row>
    <row r="645" spans="2:22" ht="20" hidden="1" x14ac:dyDescent="0.25">
      <c r="B645" s="2" t="s">
        <v>1179</v>
      </c>
      <c r="C645" s="2" t="s">
        <v>206</v>
      </c>
      <c r="D645" s="2" t="s">
        <v>1180</v>
      </c>
      <c r="E645" s="2" t="s">
        <v>27</v>
      </c>
      <c r="F645" s="2" t="s">
        <v>767</v>
      </c>
      <c r="G645" s="2" t="s">
        <v>27</v>
      </c>
      <c r="H645" s="2">
        <v>70127</v>
      </c>
      <c r="I645" s="2">
        <v>70191</v>
      </c>
      <c r="J645" s="2" t="s">
        <v>28</v>
      </c>
      <c r="K645" s="2" t="s">
        <v>1183</v>
      </c>
      <c r="L645" s="2" t="s">
        <v>39</v>
      </c>
      <c r="M645" s="2" t="s">
        <v>771</v>
      </c>
      <c r="N645" s="3">
        <v>1200</v>
      </c>
      <c r="O645" s="3">
        <v>1200</v>
      </c>
      <c r="P645" s="3">
        <v>1200</v>
      </c>
      <c r="Q645" s="3">
        <v>1200</v>
      </c>
      <c r="R645" s="3">
        <v>239</v>
      </c>
      <c r="S645" s="3">
        <v>239</v>
      </c>
      <c r="T645" s="3">
        <v>239</v>
      </c>
      <c r="U645" s="3">
        <v>239</v>
      </c>
      <c r="V645" s="3"/>
    </row>
    <row r="646" spans="2:22" ht="20" hidden="1" x14ac:dyDescent="0.25">
      <c r="B646" s="2" t="s">
        <v>1179</v>
      </c>
      <c r="C646" s="2" t="s">
        <v>206</v>
      </c>
      <c r="D646" s="2" t="s">
        <v>1180</v>
      </c>
      <c r="E646" s="2" t="s">
        <v>27</v>
      </c>
      <c r="F646" s="2" t="s">
        <v>767</v>
      </c>
      <c r="G646" s="2" t="s">
        <v>27</v>
      </c>
      <c r="H646" s="2">
        <v>70127</v>
      </c>
      <c r="I646" s="2">
        <v>70191</v>
      </c>
      <c r="J646" s="2" t="s">
        <v>28</v>
      </c>
      <c r="K646" s="2" t="s">
        <v>206</v>
      </c>
      <c r="L646" s="2" t="s">
        <v>49</v>
      </c>
      <c r="M646" s="2" t="s">
        <v>771</v>
      </c>
      <c r="N646" s="3">
        <v>1200</v>
      </c>
      <c r="O646" s="3">
        <v>1200</v>
      </c>
      <c r="P646" s="3">
        <v>1200</v>
      </c>
      <c r="Q646" s="3">
        <v>1200</v>
      </c>
      <c r="R646" s="3">
        <v>239</v>
      </c>
      <c r="S646" s="3">
        <v>239</v>
      </c>
      <c r="T646" s="3">
        <v>239</v>
      </c>
      <c r="U646" s="3">
        <v>239</v>
      </c>
      <c r="V646" s="3"/>
    </row>
    <row r="647" spans="2:22" ht="20" hidden="1" x14ac:dyDescent="0.25">
      <c r="B647" s="2" t="s">
        <v>1179</v>
      </c>
      <c r="C647" s="2" t="s">
        <v>206</v>
      </c>
      <c r="D647" s="2" t="s">
        <v>1180</v>
      </c>
      <c r="E647" s="2" t="s">
        <v>27</v>
      </c>
      <c r="F647" s="2" t="s">
        <v>767</v>
      </c>
      <c r="G647" s="2" t="s">
        <v>27</v>
      </c>
      <c r="H647" s="2">
        <v>70127</v>
      </c>
      <c r="I647" s="2">
        <v>70191</v>
      </c>
      <c r="J647" s="2" t="s">
        <v>28</v>
      </c>
      <c r="K647" s="2" t="s">
        <v>1184</v>
      </c>
      <c r="L647" s="2" t="s">
        <v>39</v>
      </c>
      <c r="M647" s="2" t="s">
        <v>771</v>
      </c>
      <c r="N647" s="3">
        <v>1200</v>
      </c>
      <c r="O647" s="3">
        <v>1200</v>
      </c>
      <c r="P647" s="3">
        <v>1200</v>
      </c>
      <c r="Q647" s="3">
        <v>1200</v>
      </c>
      <c r="R647" s="3">
        <v>239</v>
      </c>
      <c r="S647" s="3">
        <v>239</v>
      </c>
      <c r="T647" s="3">
        <v>239</v>
      </c>
      <c r="U647" s="3">
        <v>239</v>
      </c>
      <c r="V647" s="3"/>
    </row>
    <row r="648" spans="2:22" ht="20" hidden="1" x14ac:dyDescent="0.25">
      <c r="B648" s="2" t="s">
        <v>1179</v>
      </c>
      <c r="C648" s="2" t="s">
        <v>206</v>
      </c>
      <c r="D648" s="2" t="s">
        <v>1180</v>
      </c>
      <c r="E648" s="2" t="s">
        <v>27</v>
      </c>
      <c r="F648" s="2" t="s">
        <v>767</v>
      </c>
      <c r="G648" s="2" t="s">
        <v>27</v>
      </c>
      <c r="H648" s="2">
        <v>70127</v>
      </c>
      <c r="I648" s="2">
        <v>70191</v>
      </c>
      <c r="J648" s="2" t="s">
        <v>28</v>
      </c>
      <c r="K648" s="2" t="s">
        <v>1185</v>
      </c>
      <c r="L648" s="2" t="s">
        <v>34</v>
      </c>
      <c r="M648" s="2" t="s">
        <v>771</v>
      </c>
      <c r="N648" s="3">
        <v>1200</v>
      </c>
      <c r="O648" s="2">
        <v>1549</v>
      </c>
      <c r="P648" s="2">
        <v>1486</v>
      </c>
      <c r="Q648" s="2">
        <v>1780</v>
      </c>
      <c r="R648" s="3">
        <v>239</v>
      </c>
      <c r="S648" s="2">
        <v>309</v>
      </c>
      <c r="T648" s="2">
        <v>296</v>
      </c>
      <c r="U648" s="2">
        <v>355</v>
      </c>
      <c r="V648" s="2"/>
    </row>
    <row r="649" spans="2:22" ht="20" hidden="1" x14ac:dyDescent="0.25">
      <c r="B649" s="2" t="s">
        <v>1179</v>
      </c>
      <c r="C649" s="2" t="s">
        <v>206</v>
      </c>
      <c r="D649" s="2" t="s">
        <v>1180</v>
      </c>
      <c r="E649" s="2" t="s">
        <v>27</v>
      </c>
      <c r="F649" s="2" t="s">
        <v>767</v>
      </c>
      <c r="G649" s="2" t="s">
        <v>27</v>
      </c>
      <c r="H649" s="2">
        <v>70127</v>
      </c>
      <c r="I649" s="2">
        <v>70191</v>
      </c>
      <c r="J649" s="2" t="s">
        <v>28</v>
      </c>
      <c r="K649" s="2" t="s">
        <v>1186</v>
      </c>
      <c r="L649" s="2" t="s">
        <v>34</v>
      </c>
      <c r="M649" s="2" t="s">
        <v>1187</v>
      </c>
      <c r="N649" s="3">
        <v>1200</v>
      </c>
      <c r="O649" s="2">
        <v>1549</v>
      </c>
      <c r="P649" s="2">
        <v>1486</v>
      </c>
      <c r="Q649" s="2">
        <v>1780</v>
      </c>
      <c r="R649" s="3">
        <v>239</v>
      </c>
      <c r="S649" s="2">
        <v>309</v>
      </c>
      <c r="T649" s="2">
        <v>296</v>
      </c>
      <c r="U649" s="2">
        <v>355</v>
      </c>
      <c r="V649" s="2"/>
    </row>
    <row r="650" spans="2:22" ht="20" hidden="1" x14ac:dyDescent="0.25">
      <c r="B650" s="2" t="s">
        <v>1179</v>
      </c>
      <c r="C650" s="2" t="s">
        <v>206</v>
      </c>
      <c r="D650" s="2" t="s">
        <v>1180</v>
      </c>
      <c r="E650" s="2" t="s">
        <v>27</v>
      </c>
      <c r="F650" s="2" t="s">
        <v>767</v>
      </c>
      <c r="G650" s="2" t="s">
        <v>27</v>
      </c>
      <c r="H650" s="2">
        <v>70127</v>
      </c>
      <c r="I650" s="2">
        <v>70191</v>
      </c>
      <c r="J650" s="2" t="s">
        <v>28</v>
      </c>
      <c r="K650" s="2" t="s">
        <v>1188</v>
      </c>
      <c r="L650" s="2" t="s">
        <v>34</v>
      </c>
      <c r="M650" s="2" t="s">
        <v>1187</v>
      </c>
      <c r="N650" s="3">
        <v>1200</v>
      </c>
      <c r="O650" s="2">
        <v>1549</v>
      </c>
      <c r="P650" s="2">
        <v>1486</v>
      </c>
      <c r="Q650" s="2">
        <v>1780</v>
      </c>
      <c r="R650" s="3">
        <v>239</v>
      </c>
      <c r="S650" s="2">
        <v>309</v>
      </c>
      <c r="T650" s="2">
        <v>296</v>
      </c>
      <c r="U650" s="2">
        <v>355</v>
      </c>
      <c r="V650" s="2"/>
    </row>
    <row r="651" spans="2:22" ht="21" hidden="1" x14ac:dyDescent="0.25">
      <c r="B651" s="4" t="s">
        <v>1189</v>
      </c>
      <c r="C651" s="4" t="s">
        <v>206</v>
      </c>
      <c r="D651" s="4" t="s">
        <v>1180</v>
      </c>
      <c r="E651" s="4" t="s">
        <v>27</v>
      </c>
      <c r="F651" s="4" t="s">
        <v>821</v>
      </c>
      <c r="G651" s="4" t="s">
        <v>27</v>
      </c>
      <c r="H651" s="4">
        <v>70127</v>
      </c>
      <c r="I651" s="4">
        <v>70194</v>
      </c>
      <c r="J651" s="4" t="s">
        <v>28</v>
      </c>
      <c r="K651" s="4" t="s">
        <v>1189</v>
      </c>
      <c r="L651" s="4" t="s">
        <v>29</v>
      </c>
      <c r="M651" s="4"/>
      <c r="N651" s="5">
        <v>1072</v>
      </c>
      <c r="O651" s="5">
        <v>1179</v>
      </c>
      <c r="P651" s="5">
        <v>1219</v>
      </c>
      <c r="Q651" s="5">
        <v>1341</v>
      </c>
      <c r="R651" s="5">
        <v>213</v>
      </c>
      <c r="S651" s="5">
        <v>235</v>
      </c>
      <c r="T651" s="5">
        <v>243</v>
      </c>
      <c r="U651" s="5">
        <v>267</v>
      </c>
      <c r="V651" s="5"/>
    </row>
    <row r="652" spans="2:22" ht="20" hidden="1" x14ac:dyDescent="0.25">
      <c r="B652" s="2" t="s">
        <v>1189</v>
      </c>
      <c r="C652" s="2" t="s">
        <v>206</v>
      </c>
      <c r="D652" s="2" t="s">
        <v>1180</v>
      </c>
      <c r="E652" s="2" t="s">
        <v>27</v>
      </c>
      <c r="F652" s="2" t="s">
        <v>821</v>
      </c>
      <c r="G652" s="2" t="s">
        <v>27</v>
      </c>
      <c r="H652" s="2">
        <v>70127</v>
      </c>
      <c r="I652" s="2">
        <v>70194</v>
      </c>
      <c r="J652" s="2" t="s">
        <v>28</v>
      </c>
      <c r="K652" s="2" t="s">
        <v>239</v>
      </c>
      <c r="L652" s="2" t="s">
        <v>31</v>
      </c>
      <c r="M652" s="2" t="s">
        <v>1187</v>
      </c>
      <c r="N652" s="3">
        <v>1072</v>
      </c>
      <c r="O652" s="3">
        <v>1179</v>
      </c>
      <c r="P652" s="3">
        <v>1219</v>
      </c>
      <c r="Q652" s="3">
        <v>1341</v>
      </c>
      <c r="R652" s="3">
        <v>213</v>
      </c>
      <c r="S652" s="3">
        <v>235</v>
      </c>
      <c r="T652" s="3">
        <v>243</v>
      </c>
      <c r="U652" s="3">
        <v>267</v>
      </c>
      <c r="V652" s="3"/>
    </row>
    <row r="653" spans="2:22" ht="20" hidden="1" x14ac:dyDescent="0.25">
      <c r="B653" s="2" t="s">
        <v>1189</v>
      </c>
      <c r="C653" s="2" t="s">
        <v>206</v>
      </c>
      <c r="D653" s="2" t="s">
        <v>1180</v>
      </c>
      <c r="E653" s="2" t="s">
        <v>27</v>
      </c>
      <c r="F653" s="2" t="s">
        <v>821</v>
      </c>
      <c r="G653" s="2" t="s">
        <v>27</v>
      </c>
      <c r="H653" s="2">
        <v>70127</v>
      </c>
      <c r="I653" s="2">
        <v>70194</v>
      </c>
      <c r="J653" s="2" t="s">
        <v>28</v>
      </c>
      <c r="K653" s="2" t="s">
        <v>239</v>
      </c>
      <c r="L653" s="2" t="s">
        <v>31</v>
      </c>
      <c r="M653" s="2" t="s">
        <v>823</v>
      </c>
      <c r="N653" s="3">
        <v>1072</v>
      </c>
      <c r="O653" s="3">
        <v>1179</v>
      </c>
      <c r="P653" s="3">
        <v>1219</v>
      </c>
      <c r="Q653" s="3">
        <v>1341</v>
      </c>
      <c r="R653" s="3">
        <v>213</v>
      </c>
      <c r="S653" s="3">
        <v>235</v>
      </c>
      <c r="T653" s="3">
        <v>243</v>
      </c>
      <c r="U653" s="3">
        <v>267</v>
      </c>
      <c r="V653" s="3"/>
    </row>
    <row r="654" spans="2:22" ht="21" hidden="1" x14ac:dyDescent="0.25">
      <c r="B654" s="4" t="s">
        <v>1171</v>
      </c>
      <c r="C654" s="4" t="s">
        <v>1172</v>
      </c>
      <c r="D654" s="4" t="s">
        <v>748</v>
      </c>
      <c r="E654" s="4" t="s">
        <v>27</v>
      </c>
      <c r="F654" s="4" t="s">
        <v>983</v>
      </c>
      <c r="G654" s="4" t="s">
        <v>27</v>
      </c>
      <c r="H654" s="4">
        <v>70345</v>
      </c>
      <c r="I654" s="4">
        <v>70354</v>
      </c>
      <c r="J654" s="4" t="s">
        <v>28</v>
      </c>
      <c r="K654" s="4" t="s">
        <v>1171</v>
      </c>
      <c r="L654" s="4" t="s">
        <v>29</v>
      </c>
      <c r="M654" s="4"/>
      <c r="N654" s="5">
        <v>600</v>
      </c>
      <c r="O654" s="5">
        <v>600</v>
      </c>
      <c r="P654" s="5">
        <v>600</v>
      </c>
      <c r="Q654" s="5">
        <v>600</v>
      </c>
      <c r="R654" s="5">
        <v>120</v>
      </c>
      <c r="S654" s="5">
        <v>120</v>
      </c>
      <c r="T654" s="5">
        <v>120</v>
      </c>
      <c r="U654" s="5">
        <v>120</v>
      </c>
      <c r="V654" s="5"/>
    </row>
    <row r="655" spans="2:22" ht="30" hidden="1" x14ac:dyDescent="0.25">
      <c r="B655" s="2" t="s">
        <v>1171</v>
      </c>
      <c r="C655" s="2" t="s">
        <v>1172</v>
      </c>
      <c r="D655" s="2" t="s">
        <v>748</v>
      </c>
      <c r="E655" s="2" t="s">
        <v>27</v>
      </c>
      <c r="F655" s="2" t="s">
        <v>983</v>
      </c>
      <c r="G655" s="2" t="s">
        <v>27</v>
      </c>
      <c r="H655" s="2">
        <v>70345</v>
      </c>
      <c r="I655" s="2">
        <v>70354</v>
      </c>
      <c r="J655" s="2" t="s">
        <v>28</v>
      </c>
      <c r="K655" s="2" t="s">
        <v>1173</v>
      </c>
      <c r="L655" s="2" t="s">
        <v>36</v>
      </c>
      <c r="M655" s="2" t="s">
        <v>984</v>
      </c>
      <c r="N655" s="3">
        <v>600</v>
      </c>
      <c r="O655" s="3">
        <v>600</v>
      </c>
      <c r="P655" s="3">
        <v>600</v>
      </c>
      <c r="Q655" s="3">
        <v>600</v>
      </c>
      <c r="R655" s="3">
        <v>120</v>
      </c>
      <c r="S655" s="3">
        <v>120</v>
      </c>
      <c r="T655" s="3">
        <v>120</v>
      </c>
      <c r="U655" s="3">
        <v>120</v>
      </c>
      <c r="V655" s="3"/>
    </row>
    <row r="656" spans="2:22" ht="31.5" hidden="1" x14ac:dyDescent="0.25">
      <c r="B656" s="4" t="s">
        <v>1176</v>
      </c>
      <c r="C656" s="4" t="s">
        <v>1172</v>
      </c>
      <c r="D656" s="4" t="s">
        <v>748</v>
      </c>
      <c r="E656" s="4" t="s">
        <v>27</v>
      </c>
      <c r="F656" s="4" t="s">
        <v>381</v>
      </c>
      <c r="G656" s="4" t="s">
        <v>27</v>
      </c>
      <c r="H656" s="4">
        <v>70345</v>
      </c>
      <c r="I656" s="4">
        <v>70444</v>
      </c>
      <c r="J656" s="4" t="s">
        <v>28</v>
      </c>
      <c r="K656" s="4" t="s">
        <v>1176</v>
      </c>
      <c r="L656" s="4" t="s">
        <v>29</v>
      </c>
      <c r="M656" s="4"/>
      <c r="N656" s="5">
        <v>600</v>
      </c>
      <c r="O656" s="5">
        <v>705</v>
      </c>
      <c r="P656" s="5">
        <v>729</v>
      </c>
      <c r="Q656" s="5">
        <v>802</v>
      </c>
      <c r="R656" s="5">
        <v>120</v>
      </c>
      <c r="S656" s="5">
        <v>140</v>
      </c>
      <c r="T656" s="5">
        <v>145</v>
      </c>
      <c r="U656" s="5">
        <v>160</v>
      </c>
      <c r="V656" s="5"/>
    </row>
    <row r="657" spans="2:22" ht="30" hidden="1" x14ac:dyDescent="0.25">
      <c r="B657" s="2" t="s">
        <v>1176</v>
      </c>
      <c r="C657" s="2" t="s">
        <v>1172</v>
      </c>
      <c r="D657" s="2" t="s">
        <v>748</v>
      </c>
      <c r="E657" s="2" t="s">
        <v>27</v>
      </c>
      <c r="F657" s="2" t="s">
        <v>381</v>
      </c>
      <c r="G657" s="2" t="s">
        <v>27</v>
      </c>
      <c r="H657" s="2">
        <v>70345</v>
      </c>
      <c r="I657" s="2">
        <v>70444</v>
      </c>
      <c r="J657" s="2" t="s">
        <v>28</v>
      </c>
      <c r="K657" s="2" t="s">
        <v>1177</v>
      </c>
      <c r="L657" s="2" t="s">
        <v>34</v>
      </c>
      <c r="M657" s="2" t="s">
        <v>382</v>
      </c>
      <c r="N657" s="3">
        <v>600</v>
      </c>
      <c r="O657" s="2">
        <v>775</v>
      </c>
      <c r="P657" s="2">
        <v>743</v>
      </c>
      <c r="Q657" s="2">
        <v>890</v>
      </c>
      <c r="R657" s="3">
        <v>120</v>
      </c>
      <c r="S657" s="2">
        <v>154</v>
      </c>
      <c r="T657" s="2">
        <v>148</v>
      </c>
      <c r="U657" s="2">
        <v>177</v>
      </c>
      <c r="V657" s="2"/>
    </row>
    <row r="658" spans="2:22" ht="30" hidden="1" x14ac:dyDescent="0.25">
      <c r="B658" s="2" t="s">
        <v>1176</v>
      </c>
      <c r="C658" s="2" t="s">
        <v>1172</v>
      </c>
      <c r="D658" s="2" t="s">
        <v>748</v>
      </c>
      <c r="E658" s="2" t="s">
        <v>27</v>
      </c>
      <c r="F658" s="2" t="s">
        <v>381</v>
      </c>
      <c r="G658" s="2" t="s">
        <v>27</v>
      </c>
      <c r="H658" s="2">
        <v>70345</v>
      </c>
      <c r="I658" s="2">
        <v>70444</v>
      </c>
      <c r="J658" s="2" t="s">
        <v>28</v>
      </c>
      <c r="K658" s="2" t="s">
        <v>1178</v>
      </c>
      <c r="L658" s="2" t="s">
        <v>34</v>
      </c>
      <c r="M658" s="2" t="s">
        <v>382</v>
      </c>
      <c r="N658" s="3">
        <v>600</v>
      </c>
      <c r="O658" s="2">
        <v>775</v>
      </c>
      <c r="P658" s="2">
        <v>743</v>
      </c>
      <c r="Q658" s="2">
        <v>890</v>
      </c>
      <c r="R658" s="3">
        <v>120</v>
      </c>
      <c r="S658" s="2">
        <v>154</v>
      </c>
      <c r="T658" s="2">
        <v>148</v>
      </c>
      <c r="U658" s="2">
        <v>177</v>
      </c>
      <c r="V658" s="2"/>
    </row>
    <row r="659" spans="2:22" ht="30" hidden="1" x14ac:dyDescent="0.25">
      <c r="B659" s="2" t="s">
        <v>1176</v>
      </c>
      <c r="C659" s="2" t="s">
        <v>1172</v>
      </c>
      <c r="D659" s="2" t="s">
        <v>748</v>
      </c>
      <c r="E659" s="2" t="s">
        <v>27</v>
      </c>
      <c r="F659" s="2" t="s">
        <v>381</v>
      </c>
      <c r="G659" s="2" t="s">
        <v>27</v>
      </c>
      <c r="H659" s="2">
        <v>70345</v>
      </c>
      <c r="I659" s="2">
        <v>70444</v>
      </c>
      <c r="J659" s="2" t="s">
        <v>28</v>
      </c>
      <c r="K659" s="2" t="s">
        <v>1176</v>
      </c>
      <c r="L659" s="2" t="s">
        <v>30</v>
      </c>
      <c r="M659" s="2" t="s">
        <v>1172</v>
      </c>
      <c r="N659" s="2">
        <v>641</v>
      </c>
      <c r="O659" s="3">
        <v>705</v>
      </c>
      <c r="P659" s="3">
        <v>729</v>
      </c>
      <c r="Q659" s="3">
        <v>802</v>
      </c>
      <c r="R659" s="2">
        <v>128</v>
      </c>
      <c r="S659" s="3">
        <v>140</v>
      </c>
      <c r="T659" s="3">
        <v>145</v>
      </c>
      <c r="U659" s="3">
        <v>160</v>
      </c>
      <c r="V659" s="3"/>
    </row>
    <row r="660" spans="2:22" ht="31.5" hidden="1" x14ac:dyDescent="0.25">
      <c r="B660" s="4" t="s">
        <v>505</v>
      </c>
      <c r="C660" s="4" t="s">
        <v>506</v>
      </c>
      <c r="D660" s="4" t="s">
        <v>294</v>
      </c>
      <c r="E660" s="4" t="s">
        <v>27</v>
      </c>
      <c r="F660" s="4" t="s">
        <v>370</v>
      </c>
      <c r="G660" s="4" t="s">
        <v>27</v>
      </c>
      <c r="H660" s="4">
        <v>70110</v>
      </c>
      <c r="I660" s="4">
        <v>70175</v>
      </c>
      <c r="J660" s="4" t="s">
        <v>28</v>
      </c>
      <c r="K660" s="4" t="s">
        <v>505</v>
      </c>
      <c r="L660" s="4" t="s">
        <v>29</v>
      </c>
      <c r="M660" s="4"/>
      <c r="N660" s="5">
        <v>1032</v>
      </c>
      <c r="O660" s="5">
        <v>1135</v>
      </c>
      <c r="P660" s="5">
        <v>1110</v>
      </c>
      <c r="Q660" s="5">
        <v>1221</v>
      </c>
      <c r="R660" s="5">
        <v>206</v>
      </c>
      <c r="S660" s="5">
        <v>226</v>
      </c>
      <c r="T660" s="5">
        <v>221</v>
      </c>
      <c r="U660" s="5">
        <v>243</v>
      </c>
      <c r="V660" s="5"/>
    </row>
    <row r="661" spans="2:22" ht="30" hidden="1" x14ac:dyDescent="0.25">
      <c r="B661" s="2" t="s">
        <v>505</v>
      </c>
      <c r="C661" s="2" t="s">
        <v>506</v>
      </c>
      <c r="D661" s="2" t="s">
        <v>294</v>
      </c>
      <c r="E661" s="2" t="s">
        <v>27</v>
      </c>
      <c r="F661" s="2" t="s">
        <v>370</v>
      </c>
      <c r="G661" s="2" t="s">
        <v>27</v>
      </c>
      <c r="H661" s="2">
        <v>70110</v>
      </c>
      <c r="I661" s="2">
        <v>70175</v>
      </c>
      <c r="J661" s="2" t="s">
        <v>28</v>
      </c>
      <c r="K661" s="2" t="s">
        <v>505</v>
      </c>
      <c r="L661" s="2" t="s">
        <v>30</v>
      </c>
      <c r="M661" s="2" t="s">
        <v>506</v>
      </c>
      <c r="N661" s="3">
        <v>1032</v>
      </c>
      <c r="O661" s="3">
        <v>1135</v>
      </c>
      <c r="P661" s="3">
        <v>1110</v>
      </c>
      <c r="Q661" s="3">
        <v>1221</v>
      </c>
      <c r="R661" s="3">
        <v>206</v>
      </c>
      <c r="S661" s="3">
        <v>226</v>
      </c>
      <c r="T661" s="3">
        <v>221</v>
      </c>
      <c r="U661" s="3">
        <v>243</v>
      </c>
      <c r="V661" s="3"/>
    </row>
    <row r="662" spans="2:22" ht="21" hidden="1" x14ac:dyDescent="0.25">
      <c r="B662" s="4" t="s">
        <v>763</v>
      </c>
      <c r="C662" s="4" t="s">
        <v>506</v>
      </c>
      <c r="D662" s="4" t="s">
        <v>370</v>
      </c>
      <c r="E662" s="4" t="s">
        <v>27</v>
      </c>
      <c r="F662" s="4" t="s">
        <v>376</v>
      </c>
      <c r="G662" s="4" t="s">
        <v>27</v>
      </c>
      <c r="H662" s="4">
        <v>70175</v>
      </c>
      <c r="I662" s="4">
        <v>70382</v>
      </c>
      <c r="J662" s="4" t="s">
        <v>28</v>
      </c>
      <c r="K662" s="4" t="s">
        <v>763</v>
      </c>
      <c r="L662" s="4" t="s">
        <v>29</v>
      </c>
      <c r="M662" s="4"/>
      <c r="N662" s="5">
        <v>800</v>
      </c>
      <c r="O662" s="5">
        <v>880</v>
      </c>
      <c r="P662" s="5">
        <v>910</v>
      </c>
      <c r="Q662" s="5">
        <v>1001</v>
      </c>
      <c r="R662" s="5">
        <v>159</v>
      </c>
      <c r="S662" s="5">
        <v>175</v>
      </c>
      <c r="T662" s="5">
        <v>181</v>
      </c>
      <c r="U662" s="5">
        <v>199</v>
      </c>
      <c r="V662" s="5"/>
    </row>
    <row r="663" spans="2:22" ht="20" hidden="1" x14ac:dyDescent="0.25">
      <c r="B663" s="2" t="s">
        <v>763</v>
      </c>
      <c r="C663" s="2" t="s">
        <v>506</v>
      </c>
      <c r="D663" s="2" t="s">
        <v>370</v>
      </c>
      <c r="E663" s="2" t="s">
        <v>27</v>
      </c>
      <c r="F663" s="2" t="s">
        <v>376</v>
      </c>
      <c r="G663" s="2" t="s">
        <v>27</v>
      </c>
      <c r="H663" s="2">
        <v>70175</v>
      </c>
      <c r="I663" s="2">
        <v>70382</v>
      </c>
      <c r="J663" s="2" t="s">
        <v>28</v>
      </c>
      <c r="K663" s="2" t="s">
        <v>763</v>
      </c>
      <c r="L663" s="2" t="s">
        <v>30</v>
      </c>
      <c r="M663" s="2" t="s">
        <v>506</v>
      </c>
      <c r="N663" s="3">
        <v>800</v>
      </c>
      <c r="O663" s="3">
        <v>880</v>
      </c>
      <c r="P663" s="3">
        <v>910</v>
      </c>
      <c r="Q663" s="3">
        <v>1001</v>
      </c>
      <c r="R663" s="3">
        <v>159</v>
      </c>
      <c r="S663" s="3">
        <v>175</v>
      </c>
      <c r="T663" s="3">
        <v>181</v>
      </c>
      <c r="U663" s="3">
        <v>199</v>
      </c>
      <c r="V663" s="3"/>
    </row>
    <row r="664" spans="2:22" ht="31.5" hidden="1" x14ac:dyDescent="0.25">
      <c r="B664" s="4" t="s">
        <v>408</v>
      </c>
      <c r="C664" s="4" t="s">
        <v>409</v>
      </c>
      <c r="D664" s="4" t="s">
        <v>407</v>
      </c>
      <c r="E664" s="4" t="s">
        <v>27</v>
      </c>
      <c r="F664" s="4" t="s">
        <v>381</v>
      </c>
      <c r="G664" s="4" t="s">
        <v>27</v>
      </c>
      <c r="H664" s="4">
        <v>70059</v>
      </c>
      <c r="I664" s="4">
        <v>70444</v>
      </c>
      <c r="J664" s="4" t="s">
        <v>28</v>
      </c>
      <c r="K664" s="4" t="s">
        <v>408</v>
      </c>
      <c r="L664" s="4" t="s">
        <v>29</v>
      </c>
      <c r="M664" s="4"/>
      <c r="N664" s="5">
        <v>799</v>
      </c>
      <c r="O664" s="5">
        <v>879</v>
      </c>
      <c r="P664" s="5">
        <v>900</v>
      </c>
      <c r="Q664" s="5">
        <v>900</v>
      </c>
      <c r="R664" s="5">
        <v>159</v>
      </c>
      <c r="S664" s="5">
        <v>175</v>
      </c>
      <c r="T664" s="5">
        <v>179</v>
      </c>
      <c r="U664" s="5">
        <v>179</v>
      </c>
      <c r="V664" s="5"/>
    </row>
    <row r="665" spans="2:22" ht="30" hidden="1" x14ac:dyDescent="0.25">
      <c r="B665" s="2" t="s">
        <v>408</v>
      </c>
      <c r="C665" s="2" t="s">
        <v>409</v>
      </c>
      <c r="D665" s="2" t="s">
        <v>407</v>
      </c>
      <c r="E665" s="2" t="s">
        <v>27</v>
      </c>
      <c r="F665" s="2" t="s">
        <v>381</v>
      </c>
      <c r="G665" s="2" t="s">
        <v>27</v>
      </c>
      <c r="H665" s="2">
        <v>70059</v>
      </c>
      <c r="I665" s="2">
        <v>70444</v>
      </c>
      <c r="J665" s="2" t="s">
        <v>28</v>
      </c>
      <c r="K665" s="2" t="s">
        <v>32</v>
      </c>
      <c r="L665" s="2" t="s">
        <v>31</v>
      </c>
      <c r="M665" s="2" t="s">
        <v>410</v>
      </c>
      <c r="N665" s="3">
        <v>799</v>
      </c>
      <c r="O665" s="3">
        <v>879</v>
      </c>
      <c r="P665" s="2">
        <v>908</v>
      </c>
      <c r="Q665" s="2">
        <v>999</v>
      </c>
      <c r="R665" s="3">
        <v>159</v>
      </c>
      <c r="S665" s="3">
        <v>175</v>
      </c>
      <c r="T665" s="2">
        <v>181</v>
      </c>
      <c r="U665" s="2">
        <v>199</v>
      </c>
      <c r="V665" s="2"/>
    </row>
    <row r="666" spans="2:22" ht="30" hidden="1" x14ac:dyDescent="0.25">
      <c r="B666" s="2" t="s">
        <v>408</v>
      </c>
      <c r="C666" s="2" t="s">
        <v>409</v>
      </c>
      <c r="D666" s="2" t="s">
        <v>407</v>
      </c>
      <c r="E666" s="2" t="s">
        <v>27</v>
      </c>
      <c r="F666" s="2" t="s">
        <v>381</v>
      </c>
      <c r="G666" s="2" t="s">
        <v>27</v>
      </c>
      <c r="H666" s="2">
        <v>70059</v>
      </c>
      <c r="I666" s="2">
        <v>70444</v>
      </c>
      <c r="J666" s="2" t="s">
        <v>28</v>
      </c>
      <c r="K666" s="2" t="s">
        <v>411</v>
      </c>
      <c r="L666" s="2" t="s">
        <v>39</v>
      </c>
      <c r="M666" s="2" t="s">
        <v>410</v>
      </c>
      <c r="N666" s="2">
        <v>900</v>
      </c>
      <c r="O666" s="2">
        <v>900</v>
      </c>
      <c r="P666" s="3">
        <v>900</v>
      </c>
      <c r="Q666" s="3">
        <v>900</v>
      </c>
      <c r="R666" s="2">
        <v>179</v>
      </c>
      <c r="S666" s="2">
        <v>179</v>
      </c>
      <c r="T666" s="3">
        <v>179</v>
      </c>
      <c r="U666" s="3">
        <v>179</v>
      </c>
      <c r="V666" s="3"/>
    </row>
    <row r="667" spans="2:22" ht="30" hidden="1" x14ac:dyDescent="0.25">
      <c r="B667" s="2" t="s">
        <v>408</v>
      </c>
      <c r="C667" s="2" t="s">
        <v>409</v>
      </c>
      <c r="D667" s="2" t="s">
        <v>407</v>
      </c>
      <c r="E667" s="2" t="s">
        <v>27</v>
      </c>
      <c r="F667" s="2" t="s">
        <v>381</v>
      </c>
      <c r="G667" s="2" t="s">
        <v>27</v>
      </c>
      <c r="H667" s="2">
        <v>70059</v>
      </c>
      <c r="I667" s="2">
        <v>70444</v>
      </c>
      <c r="J667" s="2" t="s">
        <v>28</v>
      </c>
      <c r="K667" s="2" t="s">
        <v>412</v>
      </c>
      <c r="L667" s="2" t="s">
        <v>39</v>
      </c>
      <c r="M667" s="2" t="s">
        <v>410</v>
      </c>
      <c r="N667" s="2">
        <v>900</v>
      </c>
      <c r="O667" s="2">
        <v>900</v>
      </c>
      <c r="P667" s="3">
        <v>900</v>
      </c>
      <c r="Q667" s="3">
        <v>900</v>
      </c>
      <c r="R667" s="2">
        <v>179</v>
      </c>
      <c r="S667" s="2">
        <v>179</v>
      </c>
      <c r="T667" s="3">
        <v>179</v>
      </c>
      <c r="U667" s="3">
        <v>179</v>
      </c>
      <c r="V667" s="3"/>
    </row>
    <row r="668" spans="2:22" ht="31.5" hidden="1" x14ac:dyDescent="0.25">
      <c r="B668" s="4" t="s">
        <v>413</v>
      </c>
      <c r="C668" s="4" t="s">
        <v>414</v>
      </c>
      <c r="D668" s="4" t="s">
        <v>407</v>
      </c>
      <c r="E668" s="4" t="s">
        <v>27</v>
      </c>
      <c r="F668" s="4" t="s">
        <v>381</v>
      </c>
      <c r="G668" s="4" t="s">
        <v>27</v>
      </c>
      <c r="H668" s="4">
        <v>70059</v>
      </c>
      <c r="I668" s="4">
        <v>70444</v>
      </c>
      <c r="J668" s="4" t="s">
        <v>28</v>
      </c>
      <c r="K668" s="4" t="s">
        <v>413</v>
      </c>
      <c r="L668" s="4" t="s">
        <v>29</v>
      </c>
      <c r="M668" s="4"/>
      <c r="N668" s="5">
        <v>800</v>
      </c>
      <c r="O668" s="5">
        <v>880</v>
      </c>
      <c r="P668" s="5">
        <v>900</v>
      </c>
      <c r="Q668" s="5">
        <v>900</v>
      </c>
      <c r="R668" s="5">
        <v>159</v>
      </c>
      <c r="S668" s="5">
        <v>175</v>
      </c>
      <c r="T668" s="5">
        <v>179</v>
      </c>
      <c r="U668" s="5">
        <v>179</v>
      </c>
      <c r="V668" s="5"/>
    </row>
    <row r="669" spans="2:22" ht="30" hidden="1" x14ac:dyDescent="0.25">
      <c r="B669" s="2" t="s">
        <v>413</v>
      </c>
      <c r="C669" s="2" t="s">
        <v>414</v>
      </c>
      <c r="D669" s="2" t="s">
        <v>407</v>
      </c>
      <c r="E669" s="2" t="s">
        <v>27</v>
      </c>
      <c r="F669" s="2" t="s">
        <v>381</v>
      </c>
      <c r="G669" s="2" t="s">
        <v>27</v>
      </c>
      <c r="H669" s="2">
        <v>70059</v>
      </c>
      <c r="I669" s="2">
        <v>70444</v>
      </c>
      <c r="J669" s="2" t="s">
        <v>28</v>
      </c>
      <c r="K669" s="2" t="s">
        <v>413</v>
      </c>
      <c r="L669" s="2" t="s">
        <v>30</v>
      </c>
      <c r="M669" s="2" t="s">
        <v>414</v>
      </c>
      <c r="N669" s="3">
        <v>800</v>
      </c>
      <c r="O669" s="3">
        <v>880</v>
      </c>
      <c r="P669" s="2">
        <v>910</v>
      </c>
      <c r="Q669" s="2">
        <v>1001</v>
      </c>
      <c r="R669" s="3">
        <v>159</v>
      </c>
      <c r="S669" s="3">
        <v>175</v>
      </c>
      <c r="T669" s="2">
        <v>181</v>
      </c>
      <c r="U669" s="2">
        <v>199</v>
      </c>
      <c r="V669" s="2"/>
    </row>
    <row r="670" spans="2:22" ht="30" hidden="1" x14ac:dyDescent="0.25">
      <c r="B670" s="2" t="s">
        <v>413</v>
      </c>
      <c r="C670" s="2" t="s">
        <v>414</v>
      </c>
      <c r="D670" s="2" t="s">
        <v>407</v>
      </c>
      <c r="E670" s="2" t="s">
        <v>27</v>
      </c>
      <c r="F670" s="2" t="s">
        <v>381</v>
      </c>
      <c r="G670" s="2" t="s">
        <v>27</v>
      </c>
      <c r="H670" s="2">
        <v>70059</v>
      </c>
      <c r="I670" s="2">
        <v>70444</v>
      </c>
      <c r="J670" s="2" t="s">
        <v>28</v>
      </c>
      <c r="K670" s="2" t="s">
        <v>415</v>
      </c>
      <c r="L670" s="2" t="s">
        <v>39</v>
      </c>
      <c r="M670" s="2" t="s">
        <v>410</v>
      </c>
      <c r="N670" s="2">
        <v>900</v>
      </c>
      <c r="O670" s="2">
        <v>900</v>
      </c>
      <c r="P670" s="3">
        <v>900</v>
      </c>
      <c r="Q670" s="3">
        <v>900</v>
      </c>
      <c r="R670" s="2">
        <v>179</v>
      </c>
      <c r="S670" s="2">
        <v>179</v>
      </c>
      <c r="T670" s="3">
        <v>179</v>
      </c>
      <c r="U670" s="3">
        <v>179</v>
      </c>
      <c r="V670" s="3"/>
    </row>
    <row r="671" spans="2:22" ht="31.5" hidden="1" x14ac:dyDescent="0.25">
      <c r="B671" s="4" t="s">
        <v>379</v>
      </c>
      <c r="C671" s="4" t="s">
        <v>380</v>
      </c>
      <c r="D671" s="4" t="s">
        <v>369</v>
      </c>
      <c r="E671" s="4" t="s">
        <v>27</v>
      </c>
      <c r="F671" s="4" t="s">
        <v>381</v>
      </c>
      <c r="G671" s="4" t="s">
        <v>27</v>
      </c>
      <c r="H671" s="4">
        <v>70065</v>
      </c>
      <c r="I671" s="4">
        <v>70444</v>
      </c>
      <c r="J671" s="4" t="s">
        <v>28</v>
      </c>
      <c r="K671" s="4" t="s">
        <v>379</v>
      </c>
      <c r="L671" s="4" t="s">
        <v>29</v>
      </c>
      <c r="M671" s="4"/>
      <c r="N671" s="5">
        <v>1445</v>
      </c>
      <c r="O671" s="5">
        <v>1590</v>
      </c>
      <c r="P671" s="5">
        <v>1648</v>
      </c>
      <c r="Q671" s="5">
        <v>1766</v>
      </c>
      <c r="R671" s="5">
        <v>288</v>
      </c>
      <c r="S671" s="5">
        <v>317</v>
      </c>
      <c r="T671" s="5">
        <v>328</v>
      </c>
      <c r="U671" s="5">
        <v>352</v>
      </c>
      <c r="V671" s="5"/>
    </row>
    <row r="672" spans="2:22" ht="30" hidden="1" x14ac:dyDescent="0.25">
      <c r="B672" s="2" t="s">
        <v>379</v>
      </c>
      <c r="C672" s="2" t="s">
        <v>380</v>
      </c>
      <c r="D672" s="2" t="s">
        <v>369</v>
      </c>
      <c r="E672" s="2" t="s">
        <v>27</v>
      </c>
      <c r="F672" s="2" t="s">
        <v>381</v>
      </c>
      <c r="G672" s="2" t="s">
        <v>27</v>
      </c>
      <c r="H672" s="2">
        <v>70065</v>
      </c>
      <c r="I672" s="2">
        <v>70444</v>
      </c>
      <c r="J672" s="2" t="s">
        <v>28</v>
      </c>
      <c r="K672" s="2" t="s">
        <v>379</v>
      </c>
      <c r="L672" s="2" t="s">
        <v>30</v>
      </c>
      <c r="M672" s="2" t="s">
        <v>380</v>
      </c>
      <c r="N672" s="3">
        <v>1445</v>
      </c>
      <c r="O672" s="3">
        <v>1590</v>
      </c>
      <c r="P672" s="3">
        <v>1648</v>
      </c>
      <c r="Q672" s="2">
        <v>1813</v>
      </c>
      <c r="R672" s="3">
        <v>288</v>
      </c>
      <c r="S672" s="3">
        <v>317</v>
      </c>
      <c r="T672" s="3">
        <v>328</v>
      </c>
      <c r="U672" s="2">
        <v>361</v>
      </c>
      <c r="V672" s="2"/>
    </row>
    <row r="673" spans="2:22" ht="30" hidden="1" x14ac:dyDescent="0.25">
      <c r="B673" s="2" t="s">
        <v>379</v>
      </c>
      <c r="C673" s="2" t="s">
        <v>380</v>
      </c>
      <c r="D673" s="2" t="s">
        <v>369</v>
      </c>
      <c r="E673" s="2" t="s">
        <v>27</v>
      </c>
      <c r="F673" s="2" t="s">
        <v>381</v>
      </c>
      <c r="G673" s="2" t="s">
        <v>27</v>
      </c>
      <c r="H673" s="2">
        <v>70065</v>
      </c>
      <c r="I673" s="2">
        <v>70444</v>
      </c>
      <c r="J673" s="2" t="s">
        <v>28</v>
      </c>
      <c r="K673" s="2"/>
      <c r="L673" s="2" t="s">
        <v>301</v>
      </c>
      <c r="M673" s="2" t="s">
        <v>382</v>
      </c>
      <c r="N673" s="2">
        <v>1600</v>
      </c>
      <c r="O673" s="2">
        <v>1600</v>
      </c>
      <c r="P673" s="2">
        <v>1766</v>
      </c>
      <c r="Q673" s="3">
        <v>1766</v>
      </c>
      <c r="R673" s="2">
        <v>319</v>
      </c>
      <c r="S673" s="2">
        <v>319</v>
      </c>
      <c r="T673" s="2">
        <v>352</v>
      </c>
      <c r="U673" s="3">
        <v>352</v>
      </c>
      <c r="V673" s="3"/>
    </row>
    <row r="674" spans="2:22" ht="21" hidden="1" x14ac:dyDescent="0.25">
      <c r="B674" s="4" t="s">
        <v>872</v>
      </c>
      <c r="C674" s="4" t="s">
        <v>873</v>
      </c>
      <c r="D674" s="4" t="s">
        <v>844</v>
      </c>
      <c r="E674" s="4" t="s">
        <v>27</v>
      </c>
      <c r="F674" s="4" t="s">
        <v>874</v>
      </c>
      <c r="G674" s="4" t="s">
        <v>27</v>
      </c>
      <c r="H674" s="4">
        <v>70209</v>
      </c>
      <c r="I674" s="4">
        <v>70290</v>
      </c>
      <c r="J674" s="4" t="s">
        <v>28</v>
      </c>
      <c r="K674" s="4" t="s">
        <v>872</v>
      </c>
      <c r="L674" s="4" t="s">
        <v>29</v>
      </c>
      <c r="M674" s="4"/>
      <c r="N674" s="5">
        <v>1110</v>
      </c>
      <c r="O674" s="5">
        <v>1200</v>
      </c>
      <c r="P674" s="5">
        <v>1200</v>
      </c>
      <c r="Q674" s="5">
        <v>1200</v>
      </c>
      <c r="R674" s="5">
        <v>221</v>
      </c>
      <c r="S674" s="5">
        <v>239</v>
      </c>
      <c r="T674" s="5">
        <v>239</v>
      </c>
      <c r="U674" s="5">
        <v>239</v>
      </c>
      <c r="V674" s="5"/>
    </row>
    <row r="675" spans="2:22" ht="20" hidden="1" x14ac:dyDescent="0.25">
      <c r="B675" s="2" t="s">
        <v>872</v>
      </c>
      <c r="C675" s="2" t="s">
        <v>873</v>
      </c>
      <c r="D675" s="2" t="s">
        <v>844</v>
      </c>
      <c r="E675" s="2" t="s">
        <v>27</v>
      </c>
      <c r="F675" s="2" t="s">
        <v>874</v>
      </c>
      <c r="G675" s="2" t="s">
        <v>27</v>
      </c>
      <c r="H675" s="2">
        <v>70209</v>
      </c>
      <c r="I675" s="2">
        <v>70290</v>
      </c>
      <c r="J675" s="2" t="s">
        <v>28</v>
      </c>
      <c r="K675" s="2" t="s">
        <v>872</v>
      </c>
      <c r="L675" s="2" t="s">
        <v>30</v>
      </c>
      <c r="M675" s="2" t="s">
        <v>873</v>
      </c>
      <c r="N675" s="3">
        <v>1110</v>
      </c>
      <c r="O675" s="2">
        <v>1221</v>
      </c>
      <c r="P675" s="2">
        <v>1264</v>
      </c>
      <c r="Q675" s="2">
        <v>1391</v>
      </c>
      <c r="R675" s="3">
        <v>221</v>
      </c>
      <c r="S675" s="2">
        <v>243</v>
      </c>
      <c r="T675" s="2">
        <v>252</v>
      </c>
      <c r="U675" s="2">
        <v>277</v>
      </c>
      <c r="V675" s="2"/>
    </row>
    <row r="676" spans="2:22" ht="20" hidden="1" x14ac:dyDescent="0.25">
      <c r="B676" s="2" t="s">
        <v>872</v>
      </c>
      <c r="C676" s="2" t="s">
        <v>873</v>
      </c>
      <c r="D676" s="2" t="s">
        <v>844</v>
      </c>
      <c r="E676" s="2" t="s">
        <v>27</v>
      </c>
      <c r="F676" s="2" t="s">
        <v>874</v>
      </c>
      <c r="G676" s="2" t="s">
        <v>27</v>
      </c>
      <c r="H676" s="2">
        <v>70209</v>
      </c>
      <c r="I676" s="2">
        <v>70290</v>
      </c>
      <c r="J676" s="2" t="s">
        <v>28</v>
      </c>
      <c r="K676" s="2" t="s">
        <v>875</v>
      </c>
      <c r="L676" s="2" t="s">
        <v>39</v>
      </c>
      <c r="M676" s="2" t="s">
        <v>876</v>
      </c>
      <c r="N676" s="2">
        <v>1200</v>
      </c>
      <c r="O676" s="3">
        <v>1200</v>
      </c>
      <c r="P676" s="3">
        <v>1200</v>
      </c>
      <c r="Q676" s="3">
        <v>1200</v>
      </c>
      <c r="R676" s="2">
        <v>239</v>
      </c>
      <c r="S676" s="3">
        <v>239</v>
      </c>
      <c r="T676" s="3">
        <v>239</v>
      </c>
      <c r="U676" s="3">
        <v>239</v>
      </c>
      <c r="V676" s="3"/>
    </row>
    <row r="677" spans="2:22" ht="20" hidden="1" x14ac:dyDescent="0.25">
      <c r="B677" s="2" t="s">
        <v>872</v>
      </c>
      <c r="C677" s="2" t="s">
        <v>873</v>
      </c>
      <c r="D677" s="2" t="s">
        <v>844</v>
      </c>
      <c r="E677" s="2" t="s">
        <v>27</v>
      </c>
      <c r="F677" s="2" t="s">
        <v>874</v>
      </c>
      <c r="G677" s="2" t="s">
        <v>27</v>
      </c>
      <c r="H677" s="2">
        <v>70209</v>
      </c>
      <c r="I677" s="2">
        <v>70290</v>
      </c>
      <c r="J677" s="2" t="s">
        <v>28</v>
      </c>
      <c r="K677" s="2" t="s">
        <v>877</v>
      </c>
      <c r="L677" s="2" t="s">
        <v>39</v>
      </c>
      <c r="M677" s="2" t="s">
        <v>876</v>
      </c>
      <c r="N677" s="2">
        <v>1200</v>
      </c>
      <c r="O677" s="3">
        <v>1200</v>
      </c>
      <c r="P677" s="3">
        <v>1200</v>
      </c>
      <c r="Q677" s="3">
        <v>1200</v>
      </c>
      <c r="R677" s="2">
        <v>239</v>
      </c>
      <c r="S677" s="3">
        <v>239</v>
      </c>
      <c r="T677" s="3">
        <v>239</v>
      </c>
      <c r="U677" s="3">
        <v>239</v>
      </c>
      <c r="V677" s="3"/>
    </row>
    <row r="678" spans="2:22" ht="20" hidden="1" x14ac:dyDescent="0.25">
      <c r="B678" s="2" t="s">
        <v>872</v>
      </c>
      <c r="C678" s="2" t="s">
        <v>873</v>
      </c>
      <c r="D678" s="2" t="s">
        <v>844</v>
      </c>
      <c r="E678" s="2" t="s">
        <v>27</v>
      </c>
      <c r="F678" s="2" t="s">
        <v>874</v>
      </c>
      <c r="G678" s="2" t="s">
        <v>27</v>
      </c>
      <c r="H678" s="2">
        <v>70209</v>
      </c>
      <c r="I678" s="2">
        <v>70290</v>
      </c>
      <c r="J678" s="2" t="s">
        <v>28</v>
      </c>
      <c r="K678" s="2" t="s">
        <v>878</v>
      </c>
      <c r="L678" s="2" t="s">
        <v>39</v>
      </c>
      <c r="M678" s="2" t="s">
        <v>876</v>
      </c>
      <c r="N678" s="2">
        <v>1200</v>
      </c>
      <c r="O678" s="3">
        <v>1200</v>
      </c>
      <c r="P678" s="3">
        <v>1200</v>
      </c>
      <c r="Q678" s="3">
        <v>1200</v>
      </c>
      <c r="R678" s="2">
        <v>239</v>
      </c>
      <c r="S678" s="3">
        <v>239</v>
      </c>
      <c r="T678" s="3">
        <v>239</v>
      </c>
      <c r="U678" s="3">
        <v>239</v>
      </c>
      <c r="V678" s="3"/>
    </row>
    <row r="679" spans="2:22" ht="20" hidden="1" x14ac:dyDescent="0.25">
      <c r="B679" s="2" t="s">
        <v>872</v>
      </c>
      <c r="C679" s="2" t="s">
        <v>873</v>
      </c>
      <c r="D679" s="2" t="s">
        <v>844</v>
      </c>
      <c r="E679" s="2" t="s">
        <v>27</v>
      </c>
      <c r="F679" s="2" t="s">
        <v>874</v>
      </c>
      <c r="G679" s="2" t="s">
        <v>27</v>
      </c>
      <c r="H679" s="2">
        <v>70209</v>
      </c>
      <c r="I679" s="2">
        <v>70290</v>
      </c>
      <c r="J679" s="2" t="s">
        <v>28</v>
      </c>
      <c r="K679" s="2"/>
      <c r="L679" s="2" t="s">
        <v>301</v>
      </c>
      <c r="M679" s="2" t="s">
        <v>876</v>
      </c>
      <c r="N679" s="2">
        <v>1200</v>
      </c>
      <c r="O679" s="3">
        <v>1200</v>
      </c>
      <c r="P679" s="2">
        <v>1325</v>
      </c>
      <c r="Q679" s="2">
        <v>1325</v>
      </c>
      <c r="R679" s="2">
        <v>239</v>
      </c>
      <c r="S679" s="3">
        <v>239</v>
      </c>
      <c r="T679" s="2">
        <v>264</v>
      </c>
      <c r="U679" s="2">
        <v>264</v>
      </c>
      <c r="V679" s="2"/>
    </row>
    <row r="680" spans="2:22" ht="21" hidden="1" x14ac:dyDescent="0.25">
      <c r="B680" s="4" t="s">
        <v>842</v>
      </c>
      <c r="C680" s="4" t="s">
        <v>843</v>
      </c>
      <c r="D680" s="4" t="s">
        <v>837</v>
      </c>
      <c r="E680" s="4" t="s">
        <v>27</v>
      </c>
      <c r="F680" s="4" t="s">
        <v>844</v>
      </c>
      <c r="G680" s="4" t="s">
        <v>27</v>
      </c>
      <c r="H680" s="4">
        <v>70202</v>
      </c>
      <c r="I680" s="4">
        <v>70209</v>
      </c>
      <c r="J680" s="4" t="s">
        <v>28</v>
      </c>
      <c r="K680" s="4" t="s">
        <v>842</v>
      </c>
      <c r="L680" s="4" t="s">
        <v>29</v>
      </c>
      <c r="M680" s="4"/>
      <c r="N680" s="5">
        <v>781</v>
      </c>
      <c r="O680" s="5">
        <v>800</v>
      </c>
      <c r="P680" s="5">
        <v>800</v>
      </c>
      <c r="Q680" s="5">
        <v>800</v>
      </c>
      <c r="R680" s="5">
        <v>156</v>
      </c>
      <c r="S680" s="5">
        <v>159</v>
      </c>
      <c r="T680" s="5">
        <v>159</v>
      </c>
      <c r="U680" s="5">
        <v>159</v>
      </c>
      <c r="V680" s="5"/>
    </row>
    <row r="681" spans="2:22" ht="20" hidden="1" x14ac:dyDescent="0.25">
      <c r="B681" s="2" t="s">
        <v>842</v>
      </c>
      <c r="C681" s="2" t="s">
        <v>843</v>
      </c>
      <c r="D681" s="2" t="s">
        <v>837</v>
      </c>
      <c r="E681" s="2" t="s">
        <v>27</v>
      </c>
      <c r="F681" s="2" t="s">
        <v>844</v>
      </c>
      <c r="G681" s="2" t="s">
        <v>27</v>
      </c>
      <c r="H681" s="2">
        <v>70202</v>
      </c>
      <c r="I681" s="2">
        <v>70209</v>
      </c>
      <c r="J681" s="2" t="s">
        <v>28</v>
      </c>
      <c r="K681" s="2" t="s">
        <v>842</v>
      </c>
      <c r="L681" s="2" t="s">
        <v>30</v>
      </c>
      <c r="M681" s="2" t="s">
        <v>843</v>
      </c>
      <c r="N681" s="3">
        <v>781</v>
      </c>
      <c r="O681" s="2">
        <v>859</v>
      </c>
      <c r="P681" s="2">
        <v>894</v>
      </c>
      <c r="Q681" s="2">
        <v>983</v>
      </c>
      <c r="R681" s="3">
        <v>156</v>
      </c>
      <c r="S681" s="2">
        <v>171</v>
      </c>
      <c r="T681" s="2">
        <v>178</v>
      </c>
      <c r="U681" s="2">
        <v>196</v>
      </c>
      <c r="V681" s="2"/>
    </row>
    <row r="682" spans="2:22" ht="20" hidden="1" x14ac:dyDescent="0.25">
      <c r="B682" s="2" t="s">
        <v>842</v>
      </c>
      <c r="C682" s="2" t="s">
        <v>843</v>
      </c>
      <c r="D682" s="2" t="s">
        <v>837</v>
      </c>
      <c r="E682" s="2" t="s">
        <v>27</v>
      </c>
      <c r="F682" s="2" t="s">
        <v>844</v>
      </c>
      <c r="G682" s="2" t="s">
        <v>27</v>
      </c>
      <c r="H682" s="2">
        <v>70202</v>
      </c>
      <c r="I682" s="2">
        <v>70209</v>
      </c>
      <c r="J682" s="2" t="s">
        <v>28</v>
      </c>
      <c r="K682" s="2" t="s">
        <v>845</v>
      </c>
      <c r="L682" s="2" t="s">
        <v>39</v>
      </c>
      <c r="M682" s="2" t="s">
        <v>846</v>
      </c>
      <c r="N682" s="2">
        <v>800</v>
      </c>
      <c r="O682" s="3">
        <v>800</v>
      </c>
      <c r="P682" s="3">
        <v>800</v>
      </c>
      <c r="Q682" s="3">
        <v>800</v>
      </c>
      <c r="R682" s="2">
        <v>159</v>
      </c>
      <c r="S682" s="3">
        <v>159</v>
      </c>
      <c r="T682" s="3">
        <v>159</v>
      </c>
      <c r="U682" s="3">
        <v>159</v>
      </c>
      <c r="V682" s="3"/>
    </row>
    <row r="683" spans="2:22" ht="20" hidden="1" x14ac:dyDescent="0.25">
      <c r="B683" s="2" t="s">
        <v>842</v>
      </c>
      <c r="C683" s="2" t="s">
        <v>843</v>
      </c>
      <c r="D683" s="2" t="s">
        <v>837</v>
      </c>
      <c r="E683" s="2" t="s">
        <v>27</v>
      </c>
      <c r="F683" s="2" t="s">
        <v>844</v>
      </c>
      <c r="G683" s="2" t="s">
        <v>27</v>
      </c>
      <c r="H683" s="2">
        <v>70202</v>
      </c>
      <c r="I683" s="2">
        <v>70209</v>
      </c>
      <c r="J683" s="2" t="s">
        <v>28</v>
      </c>
      <c r="K683" s="2" t="s">
        <v>847</v>
      </c>
      <c r="L683" s="2" t="s">
        <v>39</v>
      </c>
      <c r="M683" s="2" t="s">
        <v>846</v>
      </c>
      <c r="N683" s="2">
        <v>800</v>
      </c>
      <c r="O683" s="3">
        <v>800</v>
      </c>
      <c r="P683" s="3">
        <v>800</v>
      </c>
      <c r="Q683" s="3">
        <v>800</v>
      </c>
      <c r="R683" s="2">
        <v>159</v>
      </c>
      <c r="S683" s="3">
        <v>159</v>
      </c>
      <c r="T683" s="3">
        <v>159</v>
      </c>
      <c r="U683" s="3">
        <v>159</v>
      </c>
      <c r="V683" s="3"/>
    </row>
    <row r="684" spans="2:22" ht="20" hidden="1" x14ac:dyDescent="0.25">
      <c r="B684" s="2" t="s">
        <v>842</v>
      </c>
      <c r="C684" s="2" t="s">
        <v>843</v>
      </c>
      <c r="D684" s="2" t="s">
        <v>837</v>
      </c>
      <c r="E684" s="2" t="s">
        <v>27</v>
      </c>
      <c r="F684" s="2" t="s">
        <v>844</v>
      </c>
      <c r="G684" s="2" t="s">
        <v>27</v>
      </c>
      <c r="H684" s="2">
        <v>70202</v>
      </c>
      <c r="I684" s="2">
        <v>70209</v>
      </c>
      <c r="J684" s="2" t="s">
        <v>28</v>
      </c>
      <c r="K684" s="2" t="s">
        <v>848</v>
      </c>
      <c r="L684" s="2" t="s">
        <v>39</v>
      </c>
      <c r="M684" s="2" t="s">
        <v>846</v>
      </c>
      <c r="N684" s="2">
        <v>800</v>
      </c>
      <c r="O684" s="3">
        <v>800</v>
      </c>
      <c r="P684" s="3">
        <v>800</v>
      </c>
      <c r="Q684" s="3">
        <v>800</v>
      </c>
      <c r="R684" s="2">
        <v>159</v>
      </c>
      <c r="S684" s="3">
        <v>159</v>
      </c>
      <c r="T684" s="3">
        <v>159</v>
      </c>
      <c r="U684" s="3">
        <v>159</v>
      </c>
      <c r="V684" s="3"/>
    </row>
    <row r="685" spans="2:22" ht="21" hidden="1" x14ac:dyDescent="0.25">
      <c r="B685" s="4" t="s">
        <v>698</v>
      </c>
      <c r="C685" s="4" t="s">
        <v>699</v>
      </c>
      <c r="D685" s="4" t="s">
        <v>277</v>
      </c>
      <c r="E685" s="4" t="s">
        <v>27</v>
      </c>
      <c r="F685" s="4" t="s">
        <v>700</v>
      </c>
      <c r="G685" s="4" t="s">
        <v>27</v>
      </c>
      <c r="H685" s="4">
        <v>70148</v>
      </c>
      <c r="I685" s="4">
        <v>70173</v>
      </c>
      <c r="J685" s="4" t="s">
        <v>28</v>
      </c>
      <c r="K685" s="4" t="s">
        <v>698</v>
      </c>
      <c r="L685" s="4" t="s">
        <v>29</v>
      </c>
      <c r="M685" s="4"/>
      <c r="N685" s="5">
        <v>1200</v>
      </c>
      <c r="O685" s="5">
        <v>1200</v>
      </c>
      <c r="P685" s="5">
        <v>1200</v>
      </c>
      <c r="Q685" s="5">
        <v>1200</v>
      </c>
      <c r="R685" s="5">
        <v>239</v>
      </c>
      <c r="S685" s="5">
        <v>239</v>
      </c>
      <c r="T685" s="5">
        <v>239</v>
      </c>
      <c r="U685" s="5">
        <v>239</v>
      </c>
      <c r="V685" s="5"/>
    </row>
    <row r="686" spans="2:22" ht="30" hidden="1" x14ac:dyDescent="0.25">
      <c r="B686" s="2" t="s">
        <v>698</v>
      </c>
      <c r="C686" s="2" t="s">
        <v>699</v>
      </c>
      <c r="D686" s="2" t="s">
        <v>277</v>
      </c>
      <c r="E686" s="2" t="s">
        <v>27</v>
      </c>
      <c r="F686" s="2" t="s">
        <v>700</v>
      </c>
      <c r="G686" s="2" t="s">
        <v>27</v>
      </c>
      <c r="H686" s="2">
        <v>70148</v>
      </c>
      <c r="I686" s="2">
        <v>70173</v>
      </c>
      <c r="J686" s="2" t="s">
        <v>28</v>
      </c>
      <c r="K686" s="2" t="s">
        <v>701</v>
      </c>
      <c r="L686" s="2" t="s">
        <v>36</v>
      </c>
      <c r="M686" s="2" t="s">
        <v>279</v>
      </c>
      <c r="N686" s="3">
        <v>1200</v>
      </c>
      <c r="O686" s="3">
        <v>1200</v>
      </c>
      <c r="P686" s="3">
        <v>1200</v>
      </c>
      <c r="Q686" s="3">
        <v>1200</v>
      </c>
      <c r="R686" s="3">
        <v>239</v>
      </c>
      <c r="S686" s="3">
        <v>239</v>
      </c>
      <c r="T686" s="3">
        <v>239</v>
      </c>
      <c r="U686" s="3">
        <v>239</v>
      </c>
      <c r="V686" s="3"/>
    </row>
    <row r="687" spans="2:22" ht="30" hidden="1" x14ac:dyDescent="0.25">
      <c r="B687" s="2" t="s">
        <v>698</v>
      </c>
      <c r="C687" s="2" t="s">
        <v>699</v>
      </c>
      <c r="D687" s="2" t="s">
        <v>277</v>
      </c>
      <c r="E687" s="2" t="s">
        <v>27</v>
      </c>
      <c r="F687" s="2" t="s">
        <v>700</v>
      </c>
      <c r="G687" s="2" t="s">
        <v>27</v>
      </c>
      <c r="H687" s="2">
        <v>70148</v>
      </c>
      <c r="I687" s="2">
        <v>70173</v>
      </c>
      <c r="J687" s="2" t="s">
        <v>28</v>
      </c>
      <c r="K687" s="2" t="s">
        <v>702</v>
      </c>
      <c r="L687" s="2" t="s">
        <v>36</v>
      </c>
      <c r="M687" s="2" t="s">
        <v>279</v>
      </c>
      <c r="N687" s="3">
        <v>1200</v>
      </c>
      <c r="O687" s="3">
        <v>1200</v>
      </c>
      <c r="P687" s="3">
        <v>1200</v>
      </c>
      <c r="Q687" s="3">
        <v>1200</v>
      </c>
      <c r="R687" s="3">
        <v>239</v>
      </c>
      <c r="S687" s="3">
        <v>239</v>
      </c>
      <c r="T687" s="3">
        <v>239</v>
      </c>
      <c r="U687" s="3">
        <v>239</v>
      </c>
      <c r="V687" s="3"/>
    </row>
    <row r="688" spans="2:22" ht="30" hidden="1" x14ac:dyDescent="0.25">
      <c r="B688" s="2" t="s">
        <v>698</v>
      </c>
      <c r="C688" s="2" t="s">
        <v>699</v>
      </c>
      <c r="D688" s="2" t="s">
        <v>277</v>
      </c>
      <c r="E688" s="2" t="s">
        <v>27</v>
      </c>
      <c r="F688" s="2" t="s">
        <v>700</v>
      </c>
      <c r="G688" s="2" t="s">
        <v>27</v>
      </c>
      <c r="H688" s="2">
        <v>70148</v>
      </c>
      <c r="I688" s="2">
        <v>70173</v>
      </c>
      <c r="J688" s="2" t="s">
        <v>28</v>
      </c>
      <c r="K688" s="2" t="s">
        <v>703</v>
      </c>
      <c r="L688" s="2" t="s">
        <v>36</v>
      </c>
      <c r="M688" s="2" t="s">
        <v>279</v>
      </c>
      <c r="N688" s="3">
        <v>1200</v>
      </c>
      <c r="O688" s="3">
        <v>1200</v>
      </c>
      <c r="P688" s="3">
        <v>1200</v>
      </c>
      <c r="Q688" s="3">
        <v>1200</v>
      </c>
      <c r="R688" s="3">
        <v>239</v>
      </c>
      <c r="S688" s="3">
        <v>239</v>
      </c>
      <c r="T688" s="3">
        <v>239</v>
      </c>
      <c r="U688" s="3">
        <v>239</v>
      </c>
      <c r="V688" s="3"/>
    </row>
    <row r="689" spans="2:22" ht="30" hidden="1" x14ac:dyDescent="0.25">
      <c r="B689" s="2" t="s">
        <v>698</v>
      </c>
      <c r="C689" s="2" t="s">
        <v>699</v>
      </c>
      <c r="D689" s="2" t="s">
        <v>277</v>
      </c>
      <c r="E689" s="2" t="s">
        <v>27</v>
      </c>
      <c r="F689" s="2" t="s">
        <v>700</v>
      </c>
      <c r="G689" s="2" t="s">
        <v>27</v>
      </c>
      <c r="H689" s="2">
        <v>70148</v>
      </c>
      <c r="I689" s="2">
        <v>70173</v>
      </c>
      <c r="J689" s="2" t="s">
        <v>28</v>
      </c>
      <c r="K689" s="2" t="s">
        <v>704</v>
      </c>
      <c r="L689" s="2" t="s">
        <v>36</v>
      </c>
      <c r="M689" s="2" t="s">
        <v>279</v>
      </c>
      <c r="N689" s="3">
        <v>1200</v>
      </c>
      <c r="O689" s="3">
        <v>1200</v>
      </c>
      <c r="P689" s="3">
        <v>1200</v>
      </c>
      <c r="Q689" s="3">
        <v>1200</v>
      </c>
      <c r="R689" s="3">
        <v>239</v>
      </c>
      <c r="S689" s="3">
        <v>239</v>
      </c>
      <c r="T689" s="3">
        <v>239</v>
      </c>
      <c r="U689" s="3">
        <v>239</v>
      </c>
      <c r="V689" s="3"/>
    </row>
    <row r="690" spans="2:22" ht="30" hidden="1" x14ac:dyDescent="0.25">
      <c r="B690" s="2" t="s">
        <v>698</v>
      </c>
      <c r="C690" s="2" t="s">
        <v>699</v>
      </c>
      <c r="D690" s="2" t="s">
        <v>277</v>
      </c>
      <c r="E690" s="2" t="s">
        <v>27</v>
      </c>
      <c r="F690" s="2" t="s">
        <v>700</v>
      </c>
      <c r="G690" s="2" t="s">
        <v>27</v>
      </c>
      <c r="H690" s="2">
        <v>70148</v>
      </c>
      <c r="I690" s="2">
        <v>70173</v>
      </c>
      <c r="J690" s="2" t="s">
        <v>28</v>
      </c>
      <c r="K690" s="2" t="s">
        <v>705</v>
      </c>
      <c r="L690" s="2" t="s">
        <v>36</v>
      </c>
      <c r="M690" s="2" t="s">
        <v>279</v>
      </c>
      <c r="N690" s="3">
        <v>1200</v>
      </c>
      <c r="O690" s="3">
        <v>1200</v>
      </c>
      <c r="P690" s="3">
        <v>1200</v>
      </c>
      <c r="Q690" s="3">
        <v>1200</v>
      </c>
      <c r="R690" s="3">
        <v>239</v>
      </c>
      <c r="S690" s="3">
        <v>239</v>
      </c>
      <c r="T690" s="3">
        <v>239</v>
      </c>
      <c r="U690" s="3">
        <v>239</v>
      </c>
      <c r="V690" s="3"/>
    </row>
    <row r="691" spans="2:22" ht="20" hidden="1" x14ac:dyDescent="0.25">
      <c r="B691" s="2" t="s">
        <v>698</v>
      </c>
      <c r="C691" s="2" t="s">
        <v>699</v>
      </c>
      <c r="D691" s="2" t="s">
        <v>277</v>
      </c>
      <c r="E691" s="2" t="s">
        <v>27</v>
      </c>
      <c r="F691" s="2" t="s">
        <v>700</v>
      </c>
      <c r="G691" s="2" t="s">
        <v>27</v>
      </c>
      <c r="H691" s="2">
        <v>70148</v>
      </c>
      <c r="I691" s="2">
        <v>70173</v>
      </c>
      <c r="J691" s="2" t="s">
        <v>28</v>
      </c>
      <c r="K691" s="2" t="s">
        <v>706</v>
      </c>
      <c r="L691" s="2" t="s">
        <v>34</v>
      </c>
      <c r="M691" s="2" t="s">
        <v>279</v>
      </c>
      <c r="N691" s="3">
        <v>1200</v>
      </c>
      <c r="O691" s="2">
        <v>1549</v>
      </c>
      <c r="P691" s="2">
        <v>1486</v>
      </c>
      <c r="Q691" s="2">
        <v>1780</v>
      </c>
      <c r="R691" s="3">
        <v>239</v>
      </c>
      <c r="S691" s="2">
        <v>309</v>
      </c>
      <c r="T691" s="2">
        <v>296</v>
      </c>
      <c r="U691" s="2">
        <v>355</v>
      </c>
      <c r="V691" s="2"/>
    </row>
    <row r="692" spans="2:22" ht="21" hidden="1" x14ac:dyDescent="0.25">
      <c r="B692" s="4" t="s">
        <v>761</v>
      </c>
      <c r="C692" s="4" t="s">
        <v>699</v>
      </c>
      <c r="D692" s="4" t="s">
        <v>700</v>
      </c>
      <c r="E692" s="4" t="s">
        <v>27</v>
      </c>
      <c r="F692" s="4" t="s">
        <v>762</v>
      </c>
      <c r="G692" s="4" t="s">
        <v>27</v>
      </c>
      <c r="H692" s="4">
        <v>70173</v>
      </c>
      <c r="I692" s="4">
        <v>70342</v>
      </c>
      <c r="J692" s="4" t="s">
        <v>28</v>
      </c>
      <c r="K692" s="4" t="s">
        <v>761</v>
      </c>
      <c r="L692" s="4" t="s">
        <v>29</v>
      </c>
      <c r="M692" s="4"/>
      <c r="N692" s="5">
        <v>1280</v>
      </c>
      <c r="O692" s="5">
        <v>1408</v>
      </c>
      <c r="P692" s="5">
        <v>1280</v>
      </c>
      <c r="Q692" s="5">
        <v>1408</v>
      </c>
      <c r="R692" s="5">
        <v>255</v>
      </c>
      <c r="S692" s="5">
        <v>280</v>
      </c>
      <c r="T692" s="5">
        <v>255</v>
      </c>
      <c r="U692" s="5">
        <v>280</v>
      </c>
      <c r="V692" s="5"/>
    </row>
    <row r="693" spans="2:22" ht="20" hidden="1" x14ac:dyDescent="0.25">
      <c r="B693" s="2" t="s">
        <v>761</v>
      </c>
      <c r="C693" s="2" t="s">
        <v>699</v>
      </c>
      <c r="D693" s="2" t="s">
        <v>700</v>
      </c>
      <c r="E693" s="2" t="s">
        <v>27</v>
      </c>
      <c r="F693" s="2" t="s">
        <v>762</v>
      </c>
      <c r="G693" s="2" t="s">
        <v>27</v>
      </c>
      <c r="H693" s="2">
        <v>70173</v>
      </c>
      <c r="I693" s="2">
        <v>70342</v>
      </c>
      <c r="J693" s="2" t="s">
        <v>28</v>
      </c>
      <c r="K693" s="2" t="s">
        <v>761</v>
      </c>
      <c r="L693" s="2" t="s">
        <v>30</v>
      </c>
      <c r="M693" s="2" t="s">
        <v>699</v>
      </c>
      <c r="N693" s="3">
        <v>1280</v>
      </c>
      <c r="O693" s="3">
        <v>1408</v>
      </c>
      <c r="P693" s="3">
        <v>1280</v>
      </c>
      <c r="Q693" s="3">
        <v>1408</v>
      </c>
      <c r="R693" s="3">
        <v>255</v>
      </c>
      <c r="S693" s="3">
        <v>280</v>
      </c>
      <c r="T693" s="3">
        <v>255</v>
      </c>
      <c r="U693" s="3">
        <v>280</v>
      </c>
      <c r="V693" s="3"/>
    </row>
    <row r="694" spans="2:22" ht="21" hidden="1" x14ac:dyDescent="0.25">
      <c r="B694" s="4" t="s">
        <v>1023</v>
      </c>
      <c r="C694" s="4" t="s">
        <v>699</v>
      </c>
      <c r="D694" s="4" t="s">
        <v>445</v>
      </c>
      <c r="E694" s="4" t="s">
        <v>27</v>
      </c>
      <c r="F694" s="4" t="s">
        <v>762</v>
      </c>
      <c r="G694" s="4" t="s">
        <v>27</v>
      </c>
      <c r="H694" s="4">
        <v>70265</v>
      </c>
      <c r="I694" s="4">
        <v>70342</v>
      </c>
      <c r="J694" s="4" t="s">
        <v>28</v>
      </c>
      <c r="K694" s="4" t="s">
        <v>1023</v>
      </c>
      <c r="L694" s="4" t="s">
        <v>29</v>
      </c>
      <c r="M694" s="4"/>
      <c r="N694" s="5">
        <v>1159</v>
      </c>
      <c r="O694" s="5">
        <v>1200</v>
      </c>
      <c r="P694" s="5">
        <v>1200</v>
      </c>
      <c r="Q694" s="5">
        <v>1200</v>
      </c>
      <c r="R694" s="5">
        <v>231</v>
      </c>
      <c r="S694" s="5">
        <v>239</v>
      </c>
      <c r="T694" s="5">
        <v>239</v>
      </c>
      <c r="U694" s="5">
        <v>239</v>
      </c>
      <c r="V694" s="5"/>
    </row>
    <row r="695" spans="2:22" ht="20" hidden="1" x14ac:dyDescent="0.25">
      <c r="B695" s="2" t="s">
        <v>1023</v>
      </c>
      <c r="C695" s="2" t="s">
        <v>699</v>
      </c>
      <c r="D695" s="2" t="s">
        <v>445</v>
      </c>
      <c r="E695" s="2" t="s">
        <v>27</v>
      </c>
      <c r="F695" s="2" t="s">
        <v>762</v>
      </c>
      <c r="G695" s="2" t="s">
        <v>27</v>
      </c>
      <c r="H695" s="2">
        <v>70265</v>
      </c>
      <c r="I695" s="2">
        <v>70342</v>
      </c>
      <c r="J695" s="2" t="s">
        <v>28</v>
      </c>
      <c r="K695" s="2" t="s">
        <v>1024</v>
      </c>
      <c r="L695" s="2" t="s">
        <v>31</v>
      </c>
      <c r="M695" s="2" t="s">
        <v>447</v>
      </c>
      <c r="N695" s="3">
        <v>1159</v>
      </c>
      <c r="O695" s="2">
        <v>1367</v>
      </c>
      <c r="P695" s="2">
        <v>1394</v>
      </c>
      <c r="Q695" s="2">
        <v>1563</v>
      </c>
      <c r="R695" s="3">
        <v>231</v>
      </c>
      <c r="S695" s="2">
        <v>272</v>
      </c>
      <c r="T695" s="2">
        <v>278</v>
      </c>
      <c r="U695" s="2">
        <v>311</v>
      </c>
      <c r="V695" s="2"/>
    </row>
    <row r="696" spans="2:22" ht="30" hidden="1" x14ac:dyDescent="0.25">
      <c r="B696" s="2" t="s">
        <v>1023</v>
      </c>
      <c r="C696" s="2" t="s">
        <v>699</v>
      </c>
      <c r="D696" s="2" t="s">
        <v>445</v>
      </c>
      <c r="E696" s="2" t="s">
        <v>27</v>
      </c>
      <c r="F696" s="2" t="s">
        <v>762</v>
      </c>
      <c r="G696" s="2" t="s">
        <v>27</v>
      </c>
      <c r="H696" s="2">
        <v>70265</v>
      </c>
      <c r="I696" s="2">
        <v>70342</v>
      </c>
      <c r="J696" s="2" t="s">
        <v>28</v>
      </c>
      <c r="K696" s="2" t="s">
        <v>1025</v>
      </c>
      <c r="L696" s="2" t="s">
        <v>36</v>
      </c>
      <c r="M696" s="2" t="s">
        <v>447</v>
      </c>
      <c r="N696" s="2">
        <v>1200</v>
      </c>
      <c r="O696" s="3">
        <v>1200</v>
      </c>
      <c r="P696" s="3">
        <v>1200</v>
      </c>
      <c r="Q696" s="3">
        <v>1200</v>
      </c>
      <c r="R696" s="2">
        <v>239</v>
      </c>
      <c r="S696" s="3">
        <v>239</v>
      </c>
      <c r="T696" s="3">
        <v>239</v>
      </c>
      <c r="U696" s="3">
        <v>239</v>
      </c>
      <c r="V696" s="3"/>
    </row>
    <row r="697" spans="2:22" ht="21" hidden="1" x14ac:dyDescent="0.25">
      <c r="B697" s="4" t="s">
        <v>174</v>
      </c>
      <c r="C697" s="4" t="s">
        <v>175</v>
      </c>
      <c r="D697" s="4" t="s">
        <v>383</v>
      </c>
      <c r="E697" s="4" t="s">
        <v>27</v>
      </c>
      <c r="F697" s="4" t="s">
        <v>384</v>
      </c>
      <c r="G697" s="4" t="s">
        <v>40</v>
      </c>
      <c r="H697" s="4">
        <v>2003</v>
      </c>
      <c r="I697" s="4">
        <v>2004</v>
      </c>
      <c r="J697" s="4" t="s">
        <v>28</v>
      </c>
      <c r="K697" s="4" t="s">
        <v>174</v>
      </c>
      <c r="L697" s="4" t="s">
        <v>29</v>
      </c>
      <c r="M697" s="4"/>
      <c r="N697" s="5">
        <v>402</v>
      </c>
      <c r="O697" s="5">
        <v>402</v>
      </c>
      <c r="P697" s="5">
        <v>402</v>
      </c>
      <c r="Q697" s="5">
        <v>402</v>
      </c>
      <c r="R697" s="5">
        <v>80</v>
      </c>
      <c r="S697" s="5">
        <v>80</v>
      </c>
      <c r="T697" s="5">
        <v>80</v>
      </c>
      <c r="U697" s="5">
        <v>80</v>
      </c>
      <c r="V697" s="5"/>
    </row>
    <row r="698" spans="2:22" ht="20" hidden="1" x14ac:dyDescent="0.25">
      <c r="B698" s="2" t="s">
        <v>174</v>
      </c>
      <c r="C698" s="2" t="s">
        <v>175</v>
      </c>
      <c r="D698" s="2" t="s">
        <v>383</v>
      </c>
      <c r="E698" s="2" t="s">
        <v>27</v>
      </c>
      <c r="F698" s="2" t="s">
        <v>384</v>
      </c>
      <c r="G698" s="2" t="s">
        <v>40</v>
      </c>
      <c r="H698" s="2">
        <v>2003</v>
      </c>
      <c r="I698" s="2">
        <v>2004</v>
      </c>
      <c r="J698" s="2" t="s">
        <v>28</v>
      </c>
      <c r="K698" s="2" t="s">
        <v>213</v>
      </c>
      <c r="L698" s="2" t="s">
        <v>213</v>
      </c>
      <c r="M698" s="2" t="s">
        <v>385</v>
      </c>
      <c r="N698" s="3">
        <v>402</v>
      </c>
      <c r="O698" s="3">
        <v>402</v>
      </c>
      <c r="P698" s="3">
        <v>402</v>
      </c>
      <c r="Q698" s="3">
        <v>402</v>
      </c>
      <c r="R698" s="3">
        <v>80</v>
      </c>
      <c r="S698" s="3">
        <v>80</v>
      </c>
      <c r="T698" s="3">
        <v>80</v>
      </c>
      <c r="U698" s="3">
        <v>80</v>
      </c>
      <c r="V698" s="3"/>
    </row>
    <row r="699" spans="2:22" ht="21" hidden="1" x14ac:dyDescent="0.25">
      <c r="B699" s="4" t="s">
        <v>393</v>
      </c>
      <c r="C699" s="4" t="s">
        <v>394</v>
      </c>
      <c r="D699" s="4" t="s">
        <v>383</v>
      </c>
      <c r="E699" s="4" t="s">
        <v>27</v>
      </c>
      <c r="F699" s="4" t="s">
        <v>395</v>
      </c>
      <c r="G699" s="4" t="s">
        <v>27</v>
      </c>
      <c r="H699" s="4">
        <v>2003</v>
      </c>
      <c r="I699" s="4">
        <v>2005</v>
      </c>
      <c r="J699" s="4" t="s">
        <v>28</v>
      </c>
      <c r="K699" s="4" t="s">
        <v>393</v>
      </c>
      <c r="L699" s="4" t="s">
        <v>29</v>
      </c>
      <c r="M699" s="4"/>
      <c r="N699" s="5">
        <v>800</v>
      </c>
      <c r="O699" s="5">
        <v>800</v>
      </c>
      <c r="P699" s="5">
        <v>800</v>
      </c>
      <c r="Q699" s="5">
        <v>800</v>
      </c>
      <c r="R699" s="5">
        <v>159</v>
      </c>
      <c r="S699" s="5">
        <v>159</v>
      </c>
      <c r="T699" s="5">
        <v>159</v>
      </c>
      <c r="U699" s="5">
        <v>159</v>
      </c>
      <c r="V699" s="5"/>
    </row>
    <row r="700" spans="2:22" ht="30" hidden="1" x14ac:dyDescent="0.25">
      <c r="B700" s="2" t="s">
        <v>393</v>
      </c>
      <c r="C700" s="2" t="s">
        <v>394</v>
      </c>
      <c r="D700" s="2" t="s">
        <v>383</v>
      </c>
      <c r="E700" s="2" t="s">
        <v>27</v>
      </c>
      <c r="F700" s="2" t="s">
        <v>395</v>
      </c>
      <c r="G700" s="2" t="s">
        <v>27</v>
      </c>
      <c r="H700" s="2">
        <v>2003</v>
      </c>
      <c r="I700" s="2">
        <v>2005</v>
      </c>
      <c r="J700" s="2" t="s">
        <v>28</v>
      </c>
      <c r="K700" s="2" t="s">
        <v>396</v>
      </c>
      <c r="L700" s="2" t="s">
        <v>36</v>
      </c>
      <c r="M700" s="2" t="s">
        <v>397</v>
      </c>
      <c r="N700" s="3">
        <v>800</v>
      </c>
      <c r="O700" s="3">
        <v>800</v>
      </c>
      <c r="P700" s="3">
        <v>800</v>
      </c>
      <c r="Q700" s="3">
        <v>800</v>
      </c>
      <c r="R700" s="3">
        <v>159</v>
      </c>
      <c r="S700" s="3">
        <v>159</v>
      </c>
      <c r="T700" s="3">
        <v>159</v>
      </c>
      <c r="U700" s="3">
        <v>159</v>
      </c>
      <c r="V700" s="3"/>
    </row>
    <row r="701" spans="2:22" ht="30" hidden="1" x14ac:dyDescent="0.25">
      <c r="B701" s="2" t="s">
        <v>393</v>
      </c>
      <c r="C701" s="2" t="s">
        <v>394</v>
      </c>
      <c r="D701" s="2" t="s">
        <v>383</v>
      </c>
      <c r="E701" s="2" t="s">
        <v>27</v>
      </c>
      <c r="F701" s="2" t="s">
        <v>395</v>
      </c>
      <c r="G701" s="2" t="s">
        <v>27</v>
      </c>
      <c r="H701" s="2">
        <v>2003</v>
      </c>
      <c r="I701" s="2">
        <v>2005</v>
      </c>
      <c r="J701" s="2" t="s">
        <v>28</v>
      </c>
      <c r="K701" s="2" t="s">
        <v>398</v>
      </c>
      <c r="L701" s="2" t="s">
        <v>36</v>
      </c>
      <c r="M701" s="2" t="s">
        <v>397</v>
      </c>
      <c r="N701" s="3">
        <v>800</v>
      </c>
      <c r="O701" s="3">
        <v>800</v>
      </c>
      <c r="P701" s="3">
        <v>800</v>
      </c>
      <c r="Q701" s="3">
        <v>800</v>
      </c>
      <c r="R701" s="3">
        <v>159</v>
      </c>
      <c r="S701" s="3">
        <v>159</v>
      </c>
      <c r="T701" s="3">
        <v>159</v>
      </c>
      <c r="U701" s="3">
        <v>159</v>
      </c>
      <c r="V701" s="3"/>
    </row>
    <row r="702" spans="2:22" ht="30" hidden="1" x14ac:dyDescent="0.25">
      <c r="B702" s="2" t="s">
        <v>393</v>
      </c>
      <c r="C702" s="2" t="s">
        <v>394</v>
      </c>
      <c r="D702" s="2" t="s">
        <v>383</v>
      </c>
      <c r="E702" s="2" t="s">
        <v>27</v>
      </c>
      <c r="F702" s="2" t="s">
        <v>395</v>
      </c>
      <c r="G702" s="2" t="s">
        <v>27</v>
      </c>
      <c r="H702" s="2">
        <v>2003</v>
      </c>
      <c r="I702" s="2">
        <v>2005</v>
      </c>
      <c r="J702" s="2" t="s">
        <v>28</v>
      </c>
      <c r="K702" s="2" t="s">
        <v>399</v>
      </c>
      <c r="L702" s="2" t="s">
        <v>36</v>
      </c>
      <c r="M702" s="2" t="s">
        <v>397</v>
      </c>
      <c r="N702" s="3">
        <v>800</v>
      </c>
      <c r="O702" s="3">
        <v>800</v>
      </c>
      <c r="P702" s="3">
        <v>800</v>
      </c>
      <c r="Q702" s="3">
        <v>800</v>
      </c>
      <c r="R702" s="3">
        <v>159</v>
      </c>
      <c r="S702" s="3">
        <v>159</v>
      </c>
      <c r="T702" s="3">
        <v>159</v>
      </c>
      <c r="U702" s="3">
        <v>159</v>
      </c>
      <c r="V702" s="3"/>
    </row>
    <row r="703" spans="2:22" ht="30" hidden="1" x14ac:dyDescent="0.25">
      <c r="B703" s="2" t="s">
        <v>393</v>
      </c>
      <c r="C703" s="2" t="s">
        <v>394</v>
      </c>
      <c r="D703" s="2" t="s">
        <v>383</v>
      </c>
      <c r="E703" s="2" t="s">
        <v>27</v>
      </c>
      <c r="F703" s="2" t="s">
        <v>395</v>
      </c>
      <c r="G703" s="2" t="s">
        <v>27</v>
      </c>
      <c r="H703" s="2">
        <v>2003</v>
      </c>
      <c r="I703" s="2">
        <v>2005</v>
      </c>
      <c r="J703" s="2" t="s">
        <v>28</v>
      </c>
      <c r="K703" s="2" t="s">
        <v>400</v>
      </c>
      <c r="L703" s="2" t="s">
        <v>36</v>
      </c>
      <c r="M703" s="2" t="s">
        <v>397</v>
      </c>
      <c r="N703" s="3">
        <v>800</v>
      </c>
      <c r="O703" s="3">
        <v>800</v>
      </c>
      <c r="P703" s="3">
        <v>800</v>
      </c>
      <c r="Q703" s="3">
        <v>800</v>
      </c>
      <c r="R703" s="3">
        <v>159</v>
      </c>
      <c r="S703" s="3">
        <v>159</v>
      </c>
      <c r="T703" s="3">
        <v>159</v>
      </c>
      <c r="U703" s="3">
        <v>159</v>
      </c>
      <c r="V703" s="3"/>
    </row>
    <row r="704" spans="2:22" ht="20" hidden="1" x14ac:dyDescent="0.25">
      <c r="B704" s="2" t="s">
        <v>393</v>
      </c>
      <c r="C704" s="2" t="s">
        <v>394</v>
      </c>
      <c r="D704" s="2" t="s">
        <v>383</v>
      </c>
      <c r="E704" s="2" t="s">
        <v>27</v>
      </c>
      <c r="F704" s="2" t="s">
        <v>395</v>
      </c>
      <c r="G704" s="2" t="s">
        <v>27</v>
      </c>
      <c r="H704" s="2">
        <v>2003</v>
      </c>
      <c r="I704" s="2">
        <v>2005</v>
      </c>
      <c r="J704" s="2" t="s">
        <v>28</v>
      </c>
      <c r="K704" s="2" t="s">
        <v>401</v>
      </c>
      <c r="L704" s="2" t="s">
        <v>39</v>
      </c>
      <c r="M704" s="2" t="s">
        <v>397</v>
      </c>
      <c r="N704" s="3">
        <v>800</v>
      </c>
      <c r="O704" s="3">
        <v>800</v>
      </c>
      <c r="P704" s="3">
        <v>800</v>
      </c>
      <c r="Q704" s="3">
        <v>800</v>
      </c>
      <c r="R704" s="3">
        <v>159</v>
      </c>
      <c r="S704" s="3">
        <v>159</v>
      </c>
      <c r="T704" s="3">
        <v>159</v>
      </c>
      <c r="U704" s="3">
        <v>159</v>
      </c>
      <c r="V704" s="3"/>
    </row>
    <row r="705" spans="2:22" ht="30" hidden="1" x14ac:dyDescent="0.25">
      <c r="B705" s="2" t="s">
        <v>393</v>
      </c>
      <c r="C705" s="2" t="s">
        <v>394</v>
      </c>
      <c r="D705" s="2" t="s">
        <v>383</v>
      </c>
      <c r="E705" s="2" t="s">
        <v>27</v>
      </c>
      <c r="F705" s="2" t="s">
        <v>395</v>
      </c>
      <c r="G705" s="2" t="s">
        <v>27</v>
      </c>
      <c r="H705" s="2">
        <v>2003</v>
      </c>
      <c r="I705" s="2">
        <v>2005</v>
      </c>
      <c r="J705" s="2" t="s">
        <v>28</v>
      </c>
      <c r="K705" s="2" t="s">
        <v>402</v>
      </c>
      <c r="L705" s="2" t="s">
        <v>36</v>
      </c>
      <c r="M705" s="2" t="s">
        <v>397</v>
      </c>
      <c r="N705" s="3">
        <v>800</v>
      </c>
      <c r="O705" s="3">
        <v>800</v>
      </c>
      <c r="P705" s="3">
        <v>800</v>
      </c>
      <c r="Q705" s="3">
        <v>800</v>
      </c>
      <c r="R705" s="3">
        <v>159</v>
      </c>
      <c r="S705" s="3">
        <v>159</v>
      </c>
      <c r="T705" s="3">
        <v>159</v>
      </c>
      <c r="U705" s="3">
        <v>159</v>
      </c>
      <c r="V705" s="3"/>
    </row>
    <row r="706" spans="2:22" ht="21" hidden="1" x14ac:dyDescent="0.25">
      <c r="B706" s="4" t="s">
        <v>403</v>
      </c>
      <c r="C706" s="4" t="s">
        <v>404</v>
      </c>
      <c r="D706" s="4" t="s">
        <v>383</v>
      </c>
      <c r="E706" s="4" t="s">
        <v>27</v>
      </c>
      <c r="F706" s="4" t="s">
        <v>395</v>
      </c>
      <c r="G706" s="4" t="s">
        <v>27</v>
      </c>
      <c r="H706" s="4">
        <v>2003</v>
      </c>
      <c r="I706" s="4">
        <v>2150</v>
      </c>
      <c r="J706" s="4" t="s">
        <v>28</v>
      </c>
      <c r="K706" s="4" t="s">
        <v>403</v>
      </c>
      <c r="L706" s="4" t="s">
        <v>29</v>
      </c>
      <c r="M706" s="4"/>
      <c r="N706" s="5">
        <v>600</v>
      </c>
      <c r="O706" s="5">
        <v>600</v>
      </c>
      <c r="P706" s="5">
        <v>600</v>
      </c>
      <c r="Q706" s="5">
        <v>600</v>
      </c>
      <c r="R706" s="5">
        <v>120</v>
      </c>
      <c r="S706" s="5">
        <v>120</v>
      </c>
      <c r="T706" s="5">
        <v>120</v>
      </c>
      <c r="U706" s="5">
        <v>120</v>
      </c>
      <c r="V706" s="5"/>
    </row>
    <row r="707" spans="2:22" ht="20" hidden="1" x14ac:dyDescent="0.25">
      <c r="B707" s="2" t="s">
        <v>403</v>
      </c>
      <c r="C707" s="2" t="s">
        <v>404</v>
      </c>
      <c r="D707" s="2" t="s">
        <v>383</v>
      </c>
      <c r="E707" s="2" t="s">
        <v>27</v>
      </c>
      <c r="F707" s="2" t="s">
        <v>395</v>
      </c>
      <c r="G707" s="2" t="s">
        <v>27</v>
      </c>
      <c r="H707" s="2">
        <v>2003</v>
      </c>
      <c r="I707" s="2">
        <v>2150</v>
      </c>
      <c r="J707" s="2" t="s">
        <v>28</v>
      </c>
      <c r="K707" s="2" t="s">
        <v>405</v>
      </c>
      <c r="L707" s="2" t="s">
        <v>39</v>
      </c>
      <c r="M707" s="2" t="s">
        <v>397</v>
      </c>
      <c r="N707" s="3">
        <v>600</v>
      </c>
      <c r="O707" s="3">
        <v>600</v>
      </c>
      <c r="P707" s="3">
        <v>600</v>
      </c>
      <c r="Q707" s="3">
        <v>600</v>
      </c>
      <c r="R707" s="3">
        <v>120</v>
      </c>
      <c r="S707" s="3">
        <v>120</v>
      </c>
      <c r="T707" s="3">
        <v>120</v>
      </c>
      <c r="U707" s="3">
        <v>120</v>
      </c>
      <c r="V707" s="3"/>
    </row>
    <row r="708" spans="2:22" ht="21" hidden="1" x14ac:dyDescent="0.25">
      <c r="B708" s="4" t="s">
        <v>730</v>
      </c>
      <c r="C708" s="4" t="s">
        <v>731</v>
      </c>
      <c r="D708" s="4" t="s">
        <v>722</v>
      </c>
      <c r="E708" s="4" t="s">
        <v>27</v>
      </c>
      <c r="F708" s="4" t="s">
        <v>422</v>
      </c>
      <c r="G708" s="4" t="s">
        <v>27</v>
      </c>
      <c r="H708" s="4">
        <v>70162</v>
      </c>
      <c r="I708" s="4">
        <v>70395</v>
      </c>
      <c r="J708" s="4" t="s">
        <v>28</v>
      </c>
      <c r="K708" s="4" t="s">
        <v>730</v>
      </c>
      <c r="L708" s="4" t="s">
        <v>29</v>
      </c>
      <c r="M708" s="4"/>
      <c r="N708" s="5">
        <v>600</v>
      </c>
      <c r="O708" s="5">
        <v>600</v>
      </c>
      <c r="P708" s="5">
        <v>600</v>
      </c>
      <c r="Q708" s="5">
        <v>600</v>
      </c>
      <c r="R708" s="5">
        <v>120</v>
      </c>
      <c r="S708" s="5">
        <v>120</v>
      </c>
      <c r="T708" s="5">
        <v>120</v>
      </c>
      <c r="U708" s="5">
        <v>120</v>
      </c>
      <c r="V708" s="5"/>
    </row>
    <row r="709" spans="2:22" ht="20" hidden="1" x14ac:dyDescent="0.25">
      <c r="B709" s="2" t="s">
        <v>730</v>
      </c>
      <c r="C709" s="2" t="s">
        <v>731</v>
      </c>
      <c r="D709" s="2" t="s">
        <v>722</v>
      </c>
      <c r="E709" s="2" t="s">
        <v>27</v>
      </c>
      <c r="F709" s="2" t="s">
        <v>422</v>
      </c>
      <c r="G709" s="2" t="s">
        <v>27</v>
      </c>
      <c r="H709" s="2">
        <v>70162</v>
      </c>
      <c r="I709" s="2">
        <v>70395</v>
      </c>
      <c r="J709" s="2" t="s">
        <v>28</v>
      </c>
      <c r="K709" s="2" t="s">
        <v>732</v>
      </c>
      <c r="L709" s="2" t="s">
        <v>39</v>
      </c>
      <c r="M709" s="2" t="s">
        <v>728</v>
      </c>
      <c r="N709" s="3">
        <v>600</v>
      </c>
      <c r="O709" s="3">
        <v>600</v>
      </c>
      <c r="P709" s="3">
        <v>600</v>
      </c>
      <c r="Q709" s="3">
        <v>600</v>
      </c>
      <c r="R709" s="3">
        <v>120</v>
      </c>
      <c r="S709" s="3">
        <v>120</v>
      </c>
      <c r="T709" s="3">
        <v>120</v>
      </c>
      <c r="U709" s="3">
        <v>120</v>
      </c>
      <c r="V709" s="3"/>
    </row>
    <row r="710" spans="2:22" ht="21" hidden="1" x14ac:dyDescent="0.25">
      <c r="B710" s="4" t="s">
        <v>720</v>
      </c>
      <c r="C710" s="4" t="s">
        <v>721</v>
      </c>
      <c r="D710" s="4" t="s">
        <v>722</v>
      </c>
      <c r="E710" s="4" t="s">
        <v>27</v>
      </c>
      <c r="F710" s="4" t="s">
        <v>723</v>
      </c>
      <c r="G710" s="4" t="s">
        <v>27</v>
      </c>
      <c r="H710" s="4">
        <v>70162</v>
      </c>
      <c r="I710" s="4">
        <v>70538</v>
      </c>
      <c r="J710" s="4" t="s">
        <v>28</v>
      </c>
      <c r="K710" s="4" t="s">
        <v>720</v>
      </c>
      <c r="L710" s="4" t="s">
        <v>29</v>
      </c>
      <c r="M710" s="4"/>
      <c r="N710" s="5">
        <v>800</v>
      </c>
      <c r="O710" s="5">
        <v>880</v>
      </c>
      <c r="P710" s="5">
        <v>910</v>
      </c>
      <c r="Q710" s="5">
        <v>1001</v>
      </c>
      <c r="R710" s="5">
        <v>159</v>
      </c>
      <c r="S710" s="5">
        <v>175</v>
      </c>
      <c r="T710" s="5">
        <v>181</v>
      </c>
      <c r="U710" s="5">
        <v>199</v>
      </c>
      <c r="V710" s="5"/>
    </row>
    <row r="711" spans="2:22" ht="20" hidden="1" x14ac:dyDescent="0.25">
      <c r="B711" s="2" t="s">
        <v>720</v>
      </c>
      <c r="C711" s="2" t="s">
        <v>721</v>
      </c>
      <c r="D711" s="2" t="s">
        <v>722</v>
      </c>
      <c r="E711" s="2" t="s">
        <v>27</v>
      </c>
      <c r="F711" s="2" t="s">
        <v>723</v>
      </c>
      <c r="G711" s="2" t="s">
        <v>27</v>
      </c>
      <c r="H711" s="2">
        <v>70162</v>
      </c>
      <c r="I711" s="2">
        <v>70538</v>
      </c>
      <c r="J711" s="2" t="s">
        <v>28</v>
      </c>
      <c r="K711" s="2" t="s">
        <v>720</v>
      </c>
      <c r="L711" s="2" t="s">
        <v>30</v>
      </c>
      <c r="M711" s="2" t="s">
        <v>721</v>
      </c>
      <c r="N711" s="3">
        <v>800</v>
      </c>
      <c r="O711" s="3">
        <v>880</v>
      </c>
      <c r="P711" s="3">
        <v>910</v>
      </c>
      <c r="Q711" s="3">
        <v>1001</v>
      </c>
      <c r="R711" s="3">
        <v>159</v>
      </c>
      <c r="S711" s="3">
        <v>175</v>
      </c>
      <c r="T711" s="3">
        <v>181</v>
      </c>
      <c r="U711" s="3">
        <v>199</v>
      </c>
      <c r="V711" s="3"/>
    </row>
    <row r="712" spans="2:22" ht="21" hidden="1" x14ac:dyDescent="0.25">
      <c r="B712" s="4" t="s">
        <v>724</v>
      </c>
      <c r="C712" s="4" t="s">
        <v>725</v>
      </c>
      <c r="D712" s="4" t="s">
        <v>722</v>
      </c>
      <c r="E712" s="4" t="s">
        <v>27</v>
      </c>
      <c r="F712" s="4" t="s">
        <v>726</v>
      </c>
      <c r="G712" s="4" t="s">
        <v>27</v>
      </c>
      <c r="H712" s="4">
        <v>70162</v>
      </c>
      <c r="I712" s="4">
        <v>70537</v>
      </c>
      <c r="J712" s="4" t="s">
        <v>28</v>
      </c>
      <c r="K712" s="4" t="s">
        <v>724</v>
      </c>
      <c r="L712" s="4" t="s">
        <v>29</v>
      </c>
      <c r="M712" s="4"/>
      <c r="N712" s="5">
        <v>600</v>
      </c>
      <c r="O712" s="5">
        <v>728</v>
      </c>
      <c r="P712" s="5">
        <v>743</v>
      </c>
      <c r="Q712" s="5">
        <v>827</v>
      </c>
      <c r="R712" s="5">
        <v>120</v>
      </c>
      <c r="S712" s="5">
        <v>145</v>
      </c>
      <c r="T712" s="5">
        <v>148</v>
      </c>
      <c r="U712" s="5">
        <v>165</v>
      </c>
      <c r="V712" s="5"/>
    </row>
    <row r="713" spans="2:22" ht="20" hidden="1" x14ac:dyDescent="0.25">
      <c r="B713" s="2" t="s">
        <v>724</v>
      </c>
      <c r="C713" s="2" t="s">
        <v>725</v>
      </c>
      <c r="D713" s="2" t="s">
        <v>722</v>
      </c>
      <c r="E713" s="2" t="s">
        <v>27</v>
      </c>
      <c r="F713" s="2" t="s">
        <v>726</v>
      </c>
      <c r="G713" s="2" t="s">
        <v>27</v>
      </c>
      <c r="H713" s="2">
        <v>70162</v>
      </c>
      <c r="I713" s="2">
        <v>70537</v>
      </c>
      <c r="J713" s="2" t="s">
        <v>28</v>
      </c>
      <c r="K713" s="2" t="s">
        <v>727</v>
      </c>
      <c r="L713" s="2" t="s">
        <v>34</v>
      </c>
      <c r="M713" s="2" t="s">
        <v>728</v>
      </c>
      <c r="N713" s="3">
        <v>600</v>
      </c>
      <c r="O713" s="2">
        <v>775</v>
      </c>
      <c r="P713" s="3">
        <v>743</v>
      </c>
      <c r="Q713" s="2">
        <v>890</v>
      </c>
      <c r="R713" s="3">
        <v>120</v>
      </c>
      <c r="S713" s="2">
        <v>154</v>
      </c>
      <c r="T713" s="3">
        <v>148</v>
      </c>
      <c r="U713" s="2">
        <v>177</v>
      </c>
      <c r="V713" s="2"/>
    </row>
    <row r="714" spans="2:22" ht="20" hidden="1" x14ac:dyDescent="0.25">
      <c r="B714" s="2" t="s">
        <v>724</v>
      </c>
      <c r="C714" s="2" t="s">
        <v>725</v>
      </c>
      <c r="D714" s="2" t="s">
        <v>722</v>
      </c>
      <c r="E714" s="2" t="s">
        <v>27</v>
      </c>
      <c r="F714" s="2" t="s">
        <v>726</v>
      </c>
      <c r="G714" s="2" t="s">
        <v>27</v>
      </c>
      <c r="H714" s="2">
        <v>70162</v>
      </c>
      <c r="I714" s="2">
        <v>70537</v>
      </c>
      <c r="J714" s="2" t="s">
        <v>28</v>
      </c>
      <c r="K714" s="2" t="s">
        <v>729</v>
      </c>
      <c r="L714" s="2" t="s">
        <v>34</v>
      </c>
      <c r="M714" s="2" t="s">
        <v>728</v>
      </c>
      <c r="N714" s="3">
        <v>600</v>
      </c>
      <c r="O714" s="2">
        <v>775</v>
      </c>
      <c r="P714" s="3">
        <v>743</v>
      </c>
      <c r="Q714" s="2">
        <v>890</v>
      </c>
      <c r="R714" s="3">
        <v>120</v>
      </c>
      <c r="S714" s="2">
        <v>154</v>
      </c>
      <c r="T714" s="3">
        <v>148</v>
      </c>
      <c r="U714" s="2">
        <v>177</v>
      </c>
      <c r="V714" s="2"/>
    </row>
    <row r="715" spans="2:22" ht="20" hidden="1" x14ac:dyDescent="0.25">
      <c r="B715" s="2" t="s">
        <v>724</v>
      </c>
      <c r="C715" s="2" t="s">
        <v>725</v>
      </c>
      <c r="D715" s="2" t="s">
        <v>722</v>
      </c>
      <c r="E715" s="2" t="s">
        <v>27</v>
      </c>
      <c r="F715" s="2" t="s">
        <v>726</v>
      </c>
      <c r="G715" s="2" t="s">
        <v>27</v>
      </c>
      <c r="H715" s="2">
        <v>70162</v>
      </c>
      <c r="I715" s="2">
        <v>70537</v>
      </c>
      <c r="J715" s="2" t="s">
        <v>28</v>
      </c>
      <c r="K715" s="2" t="s">
        <v>501</v>
      </c>
      <c r="L715" s="2" t="s">
        <v>31</v>
      </c>
      <c r="M715" s="2" t="s">
        <v>728</v>
      </c>
      <c r="N715" s="2">
        <v>629</v>
      </c>
      <c r="O715" s="3">
        <v>728</v>
      </c>
      <c r="P715" s="2">
        <v>745</v>
      </c>
      <c r="Q715" s="3">
        <v>827</v>
      </c>
      <c r="R715" s="2">
        <v>125</v>
      </c>
      <c r="S715" s="3">
        <v>145</v>
      </c>
      <c r="T715" s="2">
        <v>148</v>
      </c>
      <c r="U715" s="3">
        <v>165</v>
      </c>
      <c r="V715" s="3"/>
    </row>
    <row r="716" spans="2:22" ht="21" hidden="1" x14ac:dyDescent="0.25">
      <c r="B716" s="4" t="s">
        <v>764</v>
      </c>
      <c r="C716" s="4" t="s">
        <v>725</v>
      </c>
      <c r="D716" s="4" t="s">
        <v>726</v>
      </c>
      <c r="E716" s="4" t="s">
        <v>27</v>
      </c>
      <c r="F716" s="4" t="s">
        <v>723</v>
      </c>
      <c r="G716" s="4" t="s">
        <v>27</v>
      </c>
      <c r="H716" s="4">
        <v>70537</v>
      </c>
      <c r="I716" s="4">
        <v>70538</v>
      </c>
      <c r="J716" s="4" t="s">
        <v>28</v>
      </c>
      <c r="K716" s="4" t="s">
        <v>764</v>
      </c>
      <c r="L716" s="4" t="s">
        <v>29</v>
      </c>
      <c r="M716" s="4"/>
      <c r="N716" s="5">
        <v>800</v>
      </c>
      <c r="O716" s="5">
        <v>880</v>
      </c>
      <c r="P716" s="5">
        <v>910</v>
      </c>
      <c r="Q716" s="5">
        <v>1001</v>
      </c>
      <c r="R716" s="5">
        <v>159</v>
      </c>
      <c r="S716" s="5">
        <v>175</v>
      </c>
      <c r="T716" s="5">
        <v>181</v>
      </c>
      <c r="U716" s="5">
        <v>199</v>
      </c>
      <c r="V716" s="5"/>
    </row>
    <row r="717" spans="2:22" ht="20" hidden="1" x14ac:dyDescent="0.25">
      <c r="B717" s="2" t="s">
        <v>764</v>
      </c>
      <c r="C717" s="2" t="s">
        <v>725</v>
      </c>
      <c r="D717" s="2" t="s">
        <v>726</v>
      </c>
      <c r="E717" s="2" t="s">
        <v>27</v>
      </c>
      <c r="F717" s="2" t="s">
        <v>723</v>
      </c>
      <c r="G717" s="2" t="s">
        <v>27</v>
      </c>
      <c r="H717" s="2">
        <v>70537</v>
      </c>
      <c r="I717" s="2">
        <v>70538</v>
      </c>
      <c r="J717" s="2" t="s">
        <v>28</v>
      </c>
      <c r="K717" s="2" t="s">
        <v>764</v>
      </c>
      <c r="L717" s="2" t="s">
        <v>30</v>
      </c>
      <c r="M717" s="2" t="s">
        <v>725</v>
      </c>
      <c r="N717" s="3">
        <v>800</v>
      </c>
      <c r="O717" s="3">
        <v>880</v>
      </c>
      <c r="P717" s="3">
        <v>910</v>
      </c>
      <c r="Q717" s="3">
        <v>1001</v>
      </c>
      <c r="R717" s="3">
        <v>159</v>
      </c>
      <c r="S717" s="3">
        <v>175</v>
      </c>
      <c r="T717" s="3">
        <v>181</v>
      </c>
      <c r="U717" s="3">
        <v>199</v>
      </c>
      <c r="V717" s="3"/>
    </row>
    <row r="718" spans="2:22" ht="21" hidden="1" x14ac:dyDescent="0.25">
      <c r="B718" s="4" t="s">
        <v>575</v>
      </c>
      <c r="C718" s="4" t="s">
        <v>576</v>
      </c>
      <c r="D718" s="4" t="s">
        <v>566</v>
      </c>
      <c r="E718" s="4" t="s">
        <v>27</v>
      </c>
      <c r="F718" s="4" t="s">
        <v>51</v>
      </c>
      <c r="G718" s="4" t="s">
        <v>27</v>
      </c>
      <c r="H718" s="4">
        <v>70114</v>
      </c>
      <c r="I718" s="4">
        <v>70364</v>
      </c>
      <c r="J718" s="4" t="s">
        <v>28</v>
      </c>
      <c r="K718" s="4" t="s">
        <v>575</v>
      </c>
      <c r="L718" s="4" t="s">
        <v>29</v>
      </c>
      <c r="M718" s="4"/>
      <c r="N718" s="5">
        <v>418</v>
      </c>
      <c r="O718" s="5">
        <v>460</v>
      </c>
      <c r="P718" s="5">
        <v>475</v>
      </c>
      <c r="Q718" s="5">
        <v>523</v>
      </c>
      <c r="R718" s="5">
        <v>83</v>
      </c>
      <c r="S718" s="5">
        <v>92</v>
      </c>
      <c r="T718" s="5">
        <v>95</v>
      </c>
      <c r="U718" s="5">
        <v>104</v>
      </c>
      <c r="V718" s="5"/>
    </row>
    <row r="719" spans="2:22" hidden="1" x14ac:dyDescent="0.25">
      <c r="B719" s="2" t="s">
        <v>575</v>
      </c>
      <c r="C719" s="2" t="s">
        <v>576</v>
      </c>
      <c r="D719" s="2" t="s">
        <v>566</v>
      </c>
      <c r="E719" s="2" t="s">
        <v>27</v>
      </c>
      <c r="F719" s="2" t="s">
        <v>51</v>
      </c>
      <c r="G719" s="2" t="s">
        <v>27</v>
      </c>
      <c r="H719" s="2">
        <v>70114</v>
      </c>
      <c r="I719" s="2">
        <v>70364</v>
      </c>
      <c r="J719" s="2" t="s">
        <v>28</v>
      </c>
      <c r="K719" s="2" t="s">
        <v>575</v>
      </c>
      <c r="L719" s="2" t="s">
        <v>30</v>
      </c>
      <c r="M719" s="2" t="s">
        <v>576</v>
      </c>
      <c r="N719" s="3">
        <v>418</v>
      </c>
      <c r="O719" s="3">
        <v>460</v>
      </c>
      <c r="P719" s="3">
        <v>475</v>
      </c>
      <c r="Q719" s="3">
        <v>523</v>
      </c>
      <c r="R719" s="3">
        <v>83</v>
      </c>
      <c r="S719" s="3">
        <v>92</v>
      </c>
      <c r="T719" s="3">
        <v>95</v>
      </c>
      <c r="U719" s="3">
        <v>104</v>
      </c>
      <c r="V719" s="3"/>
    </row>
    <row r="720" spans="2:22" ht="21" hidden="1" x14ac:dyDescent="0.25">
      <c r="B720" s="4" t="s">
        <v>1201</v>
      </c>
      <c r="C720" s="4" t="s">
        <v>576</v>
      </c>
      <c r="D720" s="4" t="s">
        <v>51</v>
      </c>
      <c r="E720" s="4" t="s">
        <v>27</v>
      </c>
      <c r="F720" s="4" t="s">
        <v>675</v>
      </c>
      <c r="G720" s="4" t="s">
        <v>27</v>
      </c>
      <c r="H720" s="4">
        <v>70389</v>
      </c>
      <c r="I720" s="4">
        <v>70418</v>
      </c>
      <c r="J720" s="4" t="s">
        <v>28</v>
      </c>
      <c r="K720" s="4" t="s">
        <v>1201</v>
      </c>
      <c r="L720" s="4" t="s">
        <v>29</v>
      </c>
      <c r="M720" s="4"/>
      <c r="N720" s="5">
        <v>418</v>
      </c>
      <c r="O720" s="5">
        <v>460</v>
      </c>
      <c r="P720" s="5">
        <v>475</v>
      </c>
      <c r="Q720" s="5">
        <v>523</v>
      </c>
      <c r="R720" s="5">
        <v>83</v>
      </c>
      <c r="S720" s="5">
        <v>92</v>
      </c>
      <c r="T720" s="5">
        <v>95</v>
      </c>
      <c r="U720" s="5">
        <v>104</v>
      </c>
      <c r="V720" s="5"/>
    </row>
    <row r="721" spans="2:22" hidden="1" x14ac:dyDescent="0.25">
      <c r="B721" s="2" t="s">
        <v>1201</v>
      </c>
      <c r="C721" s="2" t="s">
        <v>576</v>
      </c>
      <c r="D721" s="2" t="s">
        <v>51</v>
      </c>
      <c r="E721" s="2" t="s">
        <v>27</v>
      </c>
      <c r="F721" s="2" t="s">
        <v>675</v>
      </c>
      <c r="G721" s="2" t="s">
        <v>27</v>
      </c>
      <c r="H721" s="2">
        <v>70389</v>
      </c>
      <c r="I721" s="2">
        <v>70418</v>
      </c>
      <c r="J721" s="2" t="s">
        <v>28</v>
      </c>
      <c r="K721" s="2" t="s">
        <v>1201</v>
      </c>
      <c r="L721" s="2" t="s">
        <v>30</v>
      </c>
      <c r="M721" s="2" t="s">
        <v>576</v>
      </c>
      <c r="N721" s="3">
        <v>418</v>
      </c>
      <c r="O721" s="3">
        <v>460</v>
      </c>
      <c r="P721" s="3">
        <v>475</v>
      </c>
      <c r="Q721" s="3">
        <v>523</v>
      </c>
      <c r="R721" s="3">
        <v>83</v>
      </c>
      <c r="S721" s="3">
        <v>92</v>
      </c>
      <c r="T721" s="3">
        <v>95</v>
      </c>
      <c r="U721" s="3">
        <v>104</v>
      </c>
      <c r="V721" s="3"/>
    </row>
    <row r="722" spans="2:22" ht="21" hidden="1" x14ac:dyDescent="0.25">
      <c r="B722" s="4" t="s">
        <v>332</v>
      </c>
      <c r="C722" s="4" t="s">
        <v>333</v>
      </c>
      <c r="D722" s="4" t="s">
        <v>334</v>
      </c>
      <c r="E722" s="4" t="s">
        <v>27</v>
      </c>
      <c r="F722" s="4" t="s">
        <v>335</v>
      </c>
      <c r="G722" s="4" t="s">
        <v>27</v>
      </c>
      <c r="H722" s="4">
        <v>70058</v>
      </c>
      <c r="I722" s="4">
        <v>70295</v>
      </c>
      <c r="J722" s="4" t="s">
        <v>28</v>
      </c>
      <c r="K722" s="4" t="s">
        <v>332</v>
      </c>
      <c r="L722" s="4" t="s">
        <v>29</v>
      </c>
      <c r="M722" s="4"/>
      <c r="N722" s="5">
        <v>808</v>
      </c>
      <c r="O722" s="5">
        <v>889</v>
      </c>
      <c r="P722" s="5">
        <v>909</v>
      </c>
      <c r="Q722" s="5">
        <v>1000</v>
      </c>
      <c r="R722" s="5">
        <v>161</v>
      </c>
      <c r="S722" s="5">
        <v>177</v>
      </c>
      <c r="T722" s="5">
        <v>181</v>
      </c>
      <c r="U722" s="5">
        <v>199</v>
      </c>
      <c r="V722" s="5"/>
    </row>
    <row r="723" spans="2:22" ht="20" hidden="1" x14ac:dyDescent="0.25">
      <c r="B723" s="2" t="s">
        <v>332</v>
      </c>
      <c r="C723" s="2" t="s">
        <v>333</v>
      </c>
      <c r="D723" s="2" t="s">
        <v>334</v>
      </c>
      <c r="E723" s="2" t="s">
        <v>27</v>
      </c>
      <c r="F723" s="2" t="s">
        <v>335</v>
      </c>
      <c r="G723" s="2" t="s">
        <v>27</v>
      </c>
      <c r="H723" s="2">
        <v>70058</v>
      </c>
      <c r="I723" s="2">
        <v>70295</v>
      </c>
      <c r="J723" s="2" t="s">
        <v>28</v>
      </c>
      <c r="K723" s="2" t="s">
        <v>332</v>
      </c>
      <c r="L723" s="2" t="s">
        <v>30</v>
      </c>
      <c r="M723" s="2" t="s">
        <v>333</v>
      </c>
      <c r="N723" s="3">
        <v>808</v>
      </c>
      <c r="O723" s="3">
        <v>889</v>
      </c>
      <c r="P723" s="3">
        <v>909</v>
      </c>
      <c r="Q723" s="3">
        <v>1000</v>
      </c>
      <c r="R723" s="3">
        <v>161</v>
      </c>
      <c r="S723" s="3">
        <v>177</v>
      </c>
      <c r="T723" s="3">
        <v>181</v>
      </c>
      <c r="U723" s="3">
        <v>199</v>
      </c>
      <c r="V723" s="3"/>
    </row>
    <row r="724" spans="2:22" ht="31.5" hidden="1" x14ac:dyDescent="0.25">
      <c r="B724" s="4" t="s">
        <v>740</v>
      </c>
      <c r="C724" s="4" t="s">
        <v>333</v>
      </c>
      <c r="D724" s="4" t="s">
        <v>741</v>
      </c>
      <c r="E724" s="4" t="s">
        <v>27</v>
      </c>
      <c r="F724" s="4" t="s">
        <v>335</v>
      </c>
      <c r="G724" s="4" t="s">
        <v>27</v>
      </c>
      <c r="H724" s="4">
        <v>70164</v>
      </c>
      <c r="I724" s="4">
        <v>70295</v>
      </c>
      <c r="J724" s="4" t="s">
        <v>28</v>
      </c>
      <c r="K724" s="4" t="s">
        <v>740</v>
      </c>
      <c r="L724" s="4" t="s">
        <v>29</v>
      </c>
      <c r="M724" s="4"/>
      <c r="N724" s="5">
        <v>800</v>
      </c>
      <c r="O724" s="5">
        <v>800</v>
      </c>
      <c r="P724" s="5">
        <v>800</v>
      </c>
      <c r="Q724" s="5">
        <v>800</v>
      </c>
      <c r="R724" s="5">
        <v>159</v>
      </c>
      <c r="S724" s="5">
        <v>159</v>
      </c>
      <c r="T724" s="5">
        <v>159</v>
      </c>
      <c r="U724" s="5">
        <v>159</v>
      </c>
      <c r="V724" s="5"/>
    </row>
    <row r="725" spans="2:22" ht="30" hidden="1" x14ac:dyDescent="0.25">
      <c r="B725" s="2" t="s">
        <v>740</v>
      </c>
      <c r="C725" s="2" t="s">
        <v>333</v>
      </c>
      <c r="D725" s="2" t="s">
        <v>741</v>
      </c>
      <c r="E725" s="2" t="s">
        <v>27</v>
      </c>
      <c r="F725" s="2" t="s">
        <v>335</v>
      </c>
      <c r="G725" s="2" t="s">
        <v>27</v>
      </c>
      <c r="H725" s="2">
        <v>70164</v>
      </c>
      <c r="I725" s="2">
        <v>70295</v>
      </c>
      <c r="J725" s="2" t="s">
        <v>28</v>
      </c>
      <c r="K725" s="2" t="s">
        <v>742</v>
      </c>
      <c r="L725" s="2" t="s">
        <v>36</v>
      </c>
      <c r="M725" s="2" t="s">
        <v>743</v>
      </c>
      <c r="N725" s="3">
        <v>800</v>
      </c>
      <c r="O725" s="3">
        <v>800</v>
      </c>
      <c r="P725" s="3">
        <v>800</v>
      </c>
      <c r="Q725" s="3">
        <v>800</v>
      </c>
      <c r="R725" s="3">
        <v>159</v>
      </c>
      <c r="S725" s="3">
        <v>159</v>
      </c>
      <c r="T725" s="3">
        <v>159</v>
      </c>
      <c r="U725" s="3">
        <v>159</v>
      </c>
      <c r="V725" s="3"/>
    </row>
    <row r="726" spans="2:22" ht="21" hidden="1" x14ac:dyDescent="0.25">
      <c r="B726" s="4" t="s">
        <v>336</v>
      </c>
      <c r="C726" s="4" t="s">
        <v>337</v>
      </c>
      <c r="D726" s="4" t="s">
        <v>334</v>
      </c>
      <c r="E726" s="4" t="s">
        <v>27</v>
      </c>
      <c r="F726" s="4" t="s">
        <v>338</v>
      </c>
      <c r="G726" s="4" t="s">
        <v>27</v>
      </c>
      <c r="H726" s="4">
        <v>70058</v>
      </c>
      <c r="I726" s="4">
        <v>70423</v>
      </c>
      <c r="J726" s="4" t="s">
        <v>28</v>
      </c>
      <c r="K726" s="4" t="s">
        <v>336</v>
      </c>
      <c r="L726" s="4" t="s">
        <v>29</v>
      </c>
      <c r="M726" s="4"/>
      <c r="N726" s="5">
        <v>627</v>
      </c>
      <c r="O726" s="5">
        <v>689</v>
      </c>
      <c r="P726" s="5">
        <v>712</v>
      </c>
      <c r="Q726" s="5">
        <v>783</v>
      </c>
      <c r="R726" s="5">
        <v>125</v>
      </c>
      <c r="S726" s="5">
        <v>137</v>
      </c>
      <c r="T726" s="5">
        <v>142</v>
      </c>
      <c r="U726" s="5">
        <v>156</v>
      </c>
      <c r="V726" s="5"/>
    </row>
    <row r="727" spans="2:22" ht="20" hidden="1" x14ac:dyDescent="0.25">
      <c r="B727" s="2" t="s">
        <v>336</v>
      </c>
      <c r="C727" s="2" t="s">
        <v>337</v>
      </c>
      <c r="D727" s="2" t="s">
        <v>334</v>
      </c>
      <c r="E727" s="2" t="s">
        <v>27</v>
      </c>
      <c r="F727" s="2" t="s">
        <v>338</v>
      </c>
      <c r="G727" s="2" t="s">
        <v>27</v>
      </c>
      <c r="H727" s="2">
        <v>70058</v>
      </c>
      <c r="I727" s="2">
        <v>70423</v>
      </c>
      <c r="J727" s="2" t="s">
        <v>28</v>
      </c>
      <c r="K727" s="2" t="s">
        <v>339</v>
      </c>
      <c r="L727" s="2" t="s">
        <v>31</v>
      </c>
      <c r="M727" s="2" t="s">
        <v>340</v>
      </c>
      <c r="N727" s="3">
        <v>627</v>
      </c>
      <c r="O727" s="3">
        <v>689</v>
      </c>
      <c r="P727" s="3">
        <v>712</v>
      </c>
      <c r="Q727" s="3">
        <v>783</v>
      </c>
      <c r="R727" s="3">
        <v>125</v>
      </c>
      <c r="S727" s="3">
        <v>137</v>
      </c>
      <c r="T727" s="3">
        <v>142</v>
      </c>
      <c r="U727" s="3">
        <v>156</v>
      </c>
      <c r="V727" s="3"/>
    </row>
    <row r="728" spans="2:22" ht="21" hidden="1" x14ac:dyDescent="0.25">
      <c r="B728" s="4" t="s">
        <v>406</v>
      </c>
      <c r="C728" s="4" t="s">
        <v>337</v>
      </c>
      <c r="D728" s="4" t="s">
        <v>407</v>
      </c>
      <c r="E728" s="4" t="s">
        <v>27</v>
      </c>
      <c r="F728" s="4" t="s">
        <v>338</v>
      </c>
      <c r="G728" s="4" t="s">
        <v>27</v>
      </c>
      <c r="H728" s="4">
        <v>70059</v>
      </c>
      <c r="I728" s="4">
        <v>70423</v>
      </c>
      <c r="J728" s="4" t="s">
        <v>28</v>
      </c>
      <c r="K728" s="4" t="s">
        <v>406</v>
      </c>
      <c r="L728" s="4" t="s">
        <v>29</v>
      </c>
      <c r="M728" s="4"/>
      <c r="N728" s="5">
        <v>627</v>
      </c>
      <c r="O728" s="5">
        <v>689</v>
      </c>
      <c r="P728" s="5">
        <v>712</v>
      </c>
      <c r="Q728" s="5">
        <v>783</v>
      </c>
      <c r="R728" s="5">
        <v>125</v>
      </c>
      <c r="S728" s="5">
        <v>137</v>
      </c>
      <c r="T728" s="5">
        <v>142</v>
      </c>
      <c r="U728" s="5">
        <v>156</v>
      </c>
      <c r="V728" s="5"/>
    </row>
    <row r="729" spans="2:22" ht="20" hidden="1" x14ac:dyDescent="0.25">
      <c r="B729" s="2" t="s">
        <v>406</v>
      </c>
      <c r="C729" s="2" t="s">
        <v>337</v>
      </c>
      <c r="D729" s="2" t="s">
        <v>407</v>
      </c>
      <c r="E729" s="2" t="s">
        <v>27</v>
      </c>
      <c r="F729" s="2" t="s">
        <v>338</v>
      </c>
      <c r="G729" s="2" t="s">
        <v>27</v>
      </c>
      <c r="H729" s="2">
        <v>70059</v>
      </c>
      <c r="I729" s="2">
        <v>70423</v>
      </c>
      <c r="J729" s="2" t="s">
        <v>28</v>
      </c>
      <c r="K729" s="2" t="s">
        <v>339</v>
      </c>
      <c r="L729" s="2" t="s">
        <v>31</v>
      </c>
      <c r="M729" s="2" t="s">
        <v>340</v>
      </c>
      <c r="N729" s="3">
        <v>627</v>
      </c>
      <c r="O729" s="3">
        <v>689</v>
      </c>
      <c r="P729" s="3">
        <v>712</v>
      </c>
      <c r="Q729" s="3">
        <v>783</v>
      </c>
      <c r="R729" s="3">
        <v>125</v>
      </c>
      <c r="S729" s="3">
        <v>137</v>
      </c>
      <c r="T729" s="3">
        <v>142</v>
      </c>
      <c r="U729" s="3">
        <v>156</v>
      </c>
      <c r="V729" s="3"/>
    </row>
    <row r="730" spans="2:22" ht="21" hidden="1" x14ac:dyDescent="0.25">
      <c r="B730" s="4" t="s">
        <v>564</v>
      </c>
      <c r="C730" s="4" t="s">
        <v>565</v>
      </c>
      <c r="D730" s="4" t="s">
        <v>566</v>
      </c>
      <c r="E730" s="4" t="s">
        <v>27</v>
      </c>
      <c r="F730" s="4" t="s">
        <v>567</v>
      </c>
      <c r="G730" s="4" t="s">
        <v>27</v>
      </c>
      <c r="H730" s="4">
        <v>70114</v>
      </c>
      <c r="I730" s="4">
        <v>2114</v>
      </c>
      <c r="J730" s="4" t="s">
        <v>28</v>
      </c>
      <c r="K730" s="4" t="s">
        <v>564</v>
      </c>
      <c r="L730" s="4" t="s">
        <v>29</v>
      </c>
      <c r="M730" s="4"/>
      <c r="N730" s="5">
        <v>370</v>
      </c>
      <c r="O730" s="5">
        <v>407</v>
      </c>
      <c r="P730" s="5">
        <v>420</v>
      </c>
      <c r="Q730" s="5">
        <v>462</v>
      </c>
      <c r="R730" s="5">
        <v>74</v>
      </c>
      <c r="S730" s="5">
        <v>81</v>
      </c>
      <c r="T730" s="5">
        <v>84</v>
      </c>
      <c r="U730" s="5">
        <v>92</v>
      </c>
      <c r="V730" s="5"/>
    </row>
    <row r="731" spans="2:22" hidden="1" x14ac:dyDescent="0.25">
      <c r="B731" s="2" t="s">
        <v>564</v>
      </c>
      <c r="C731" s="2" t="s">
        <v>565</v>
      </c>
      <c r="D731" s="2" t="s">
        <v>566</v>
      </c>
      <c r="E731" s="2" t="s">
        <v>27</v>
      </c>
      <c r="F731" s="2" t="s">
        <v>567</v>
      </c>
      <c r="G731" s="2" t="s">
        <v>27</v>
      </c>
      <c r="H731" s="2">
        <v>70114</v>
      </c>
      <c r="I731" s="2">
        <v>2114</v>
      </c>
      <c r="J731" s="2" t="s">
        <v>28</v>
      </c>
      <c r="K731" s="2" t="s">
        <v>564</v>
      </c>
      <c r="L731" s="2" t="s">
        <v>30</v>
      </c>
      <c r="M731" s="2" t="s">
        <v>565</v>
      </c>
      <c r="N731" s="3">
        <v>370</v>
      </c>
      <c r="O731" s="3">
        <v>407</v>
      </c>
      <c r="P731" s="3">
        <v>420</v>
      </c>
      <c r="Q731" s="3">
        <v>462</v>
      </c>
      <c r="R731" s="3">
        <v>74</v>
      </c>
      <c r="S731" s="3">
        <v>81</v>
      </c>
      <c r="T731" s="3">
        <v>84</v>
      </c>
      <c r="U731" s="3">
        <v>92</v>
      </c>
      <c r="V731" s="3"/>
    </row>
    <row r="732" spans="2:22" ht="21" hidden="1" x14ac:dyDescent="0.25">
      <c r="B732" s="4" t="s">
        <v>995</v>
      </c>
      <c r="C732" s="4" t="s">
        <v>565</v>
      </c>
      <c r="D732" s="4" t="s">
        <v>567</v>
      </c>
      <c r="E732" s="4" t="s">
        <v>27</v>
      </c>
      <c r="F732" s="4" t="s">
        <v>993</v>
      </c>
      <c r="G732" s="4" t="s">
        <v>27</v>
      </c>
      <c r="H732" s="4">
        <v>2114</v>
      </c>
      <c r="I732" s="4">
        <v>70257</v>
      </c>
      <c r="J732" s="4" t="s">
        <v>28</v>
      </c>
      <c r="K732" s="4" t="s">
        <v>995</v>
      </c>
      <c r="L732" s="4" t="s">
        <v>29</v>
      </c>
      <c r="M732" s="4"/>
      <c r="N732" s="5">
        <v>477</v>
      </c>
      <c r="O732" s="5">
        <v>554</v>
      </c>
      <c r="P732" s="5">
        <v>567</v>
      </c>
      <c r="Q732" s="5">
        <v>629</v>
      </c>
      <c r="R732" s="5">
        <v>95</v>
      </c>
      <c r="S732" s="5">
        <v>110</v>
      </c>
      <c r="T732" s="5">
        <v>113</v>
      </c>
      <c r="U732" s="5">
        <v>125</v>
      </c>
      <c r="V732" s="5"/>
    </row>
    <row r="733" spans="2:22" ht="20" hidden="1" x14ac:dyDescent="0.25">
      <c r="B733" s="2" t="s">
        <v>995</v>
      </c>
      <c r="C733" s="2" t="s">
        <v>565</v>
      </c>
      <c r="D733" s="2" t="s">
        <v>567</v>
      </c>
      <c r="E733" s="2" t="s">
        <v>27</v>
      </c>
      <c r="F733" s="2" t="s">
        <v>993</v>
      </c>
      <c r="G733" s="2" t="s">
        <v>27</v>
      </c>
      <c r="H733" s="2">
        <v>2114</v>
      </c>
      <c r="I733" s="2">
        <v>70257</v>
      </c>
      <c r="J733" s="2" t="s">
        <v>28</v>
      </c>
      <c r="K733" s="2" t="s">
        <v>856</v>
      </c>
      <c r="L733" s="2" t="s">
        <v>31</v>
      </c>
      <c r="M733" s="2" t="s">
        <v>994</v>
      </c>
      <c r="N733" s="3">
        <v>477</v>
      </c>
      <c r="O733" s="3">
        <v>554</v>
      </c>
      <c r="P733" s="3">
        <v>567</v>
      </c>
      <c r="Q733" s="3">
        <v>629</v>
      </c>
      <c r="R733" s="3">
        <v>95</v>
      </c>
      <c r="S733" s="3">
        <v>110</v>
      </c>
      <c r="T733" s="3">
        <v>113</v>
      </c>
      <c r="U733" s="3">
        <v>125</v>
      </c>
      <c r="V733" s="3"/>
    </row>
    <row r="734" spans="2:22" hidden="1" x14ac:dyDescent="0.25">
      <c r="B734" s="4" t="s">
        <v>996</v>
      </c>
      <c r="C734" s="4" t="s">
        <v>565</v>
      </c>
      <c r="D734" s="4" t="s">
        <v>567</v>
      </c>
      <c r="E734" s="4" t="s">
        <v>27</v>
      </c>
      <c r="F734" s="4" t="s">
        <v>223</v>
      </c>
      <c r="G734" s="4" t="s">
        <v>27</v>
      </c>
      <c r="H734" s="4">
        <v>2114</v>
      </c>
      <c r="I734" s="4">
        <v>70273</v>
      </c>
      <c r="J734" s="4" t="s">
        <v>28</v>
      </c>
      <c r="K734" s="4" t="s">
        <v>996</v>
      </c>
      <c r="L734" s="4" t="s">
        <v>29</v>
      </c>
      <c r="M734" s="4"/>
      <c r="N734" s="5">
        <v>648</v>
      </c>
      <c r="O734" s="5">
        <v>713</v>
      </c>
      <c r="P734" s="5">
        <v>737</v>
      </c>
      <c r="Q734" s="5">
        <v>811</v>
      </c>
      <c r="R734" s="5">
        <v>129</v>
      </c>
      <c r="S734" s="5">
        <v>142</v>
      </c>
      <c r="T734" s="5">
        <v>147</v>
      </c>
      <c r="U734" s="5">
        <v>162</v>
      </c>
      <c r="V734" s="5"/>
    </row>
    <row r="735" spans="2:22" hidden="1" x14ac:dyDescent="0.25">
      <c r="B735" s="2" t="s">
        <v>996</v>
      </c>
      <c r="C735" s="2" t="s">
        <v>565</v>
      </c>
      <c r="D735" s="2" t="s">
        <v>567</v>
      </c>
      <c r="E735" s="2" t="s">
        <v>27</v>
      </c>
      <c r="F735" s="2" t="s">
        <v>223</v>
      </c>
      <c r="G735" s="2" t="s">
        <v>27</v>
      </c>
      <c r="H735" s="2">
        <v>2114</v>
      </c>
      <c r="I735" s="2">
        <v>70273</v>
      </c>
      <c r="J735" s="2" t="s">
        <v>28</v>
      </c>
      <c r="K735" s="2" t="s">
        <v>996</v>
      </c>
      <c r="L735" s="2" t="s">
        <v>30</v>
      </c>
      <c r="M735" s="2" t="s">
        <v>565</v>
      </c>
      <c r="N735" s="3">
        <v>648</v>
      </c>
      <c r="O735" s="3">
        <v>713</v>
      </c>
      <c r="P735" s="3">
        <v>737</v>
      </c>
      <c r="Q735" s="3">
        <v>811</v>
      </c>
      <c r="R735" s="3">
        <v>129</v>
      </c>
      <c r="S735" s="3">
        <v>142</v>
      </c>
      <c r="T735" s="3">
        <v>147</v>
      </c>
      <c r="U735" s="3">
        <v>162</v>
      </c>
      <c r="V735" s="3"/>
    </row>
    <row r="736" spans="2:22" ht="21" hidden="1" x14ac:dyDescent="0.25">
      <c r="B736" s="4" t="s">
        <v>161</v>
      </c>
      <c r="C736" s="4" t="s">
        <v>162</v>
      </c>
      <c r="D736" s="4" t="s">
        <v>221</v>
      </c>
      <c r="E736" s="4" t="s">
        <v>27</v>
      </c>
      <c r="F736" s="4" t="s">
        <v>222</v>
      </c>
      <c r="G736" s="4" t="s">
        <v>27</v>
      </c>
      <c r="H736" s="4">
        <v>70056</v>
      </c>
      <c r="I736" s="4">
        <v>70312</v>
      </c>
      <c r="J736" s="4" t="s">
        <v>28</v>
      </c>
      <c r="K736" s="4" t="s">
        <v>161</v>
      </c>
      <c r="L736" s="4" t="s">
        <v>29</v>
      </c>
      <c r="M736" s="4"/>
      <c r="N736" s="5"/>
      <c r="O736" s="5"/>
      <c r="P736" s="5"/>
      <c r="Q736" s="5"/>
      <c r="R736" s="5"/>
      <c r="S736" s="5"/>
      <c r="T736" s="5"/>
      <c r="U736" s="5"/>
      <c r="V736" s="6" t="s">
        <v>1316</v>
      </c>
    </row>
    <row r="737" spans="2:22" ht="21" hidden="1" x14ac:dyDescent="0.25">
      <c r="B737" s="4" t="s">
        <v>167</v>
      </c>
      <c r="C737" s="4" t="s">
        <v>162</v>
      </c>
      <c r="D737" s="4" t="s">
        <v>223</v>
      </c>
      <c r="E737" s="4" t="s">
        <v>27</v>
      </c>
      <c r="F737" s="4" t="s">
        <v>224</v>
      </c>
      <c r="G737" s="4" t="s">
        <v>27</v>
      </c>
      <c r="H737" s="4">
        <v>70273</v>
      </c>
      <c r="I737" s="4">
        <v>70435</v>
      </c>
      <c r="J737" s="4" t="s">
        <v>28</v>
      </c>
      <c r="K737" s="4" t="s">
        <v>167</v>
      </c>
      <c r="L737" s="4" t="s">
        <v>29</v>
      </c>
      <c r="M737" s="4"/>
      <c r="N737" s="5"/>
      <c r="O737" s="5"/>
      <c r="P737" s="5"/>
      <c r="Q737" s="5"/>
      <c r="R737" s="5"/>
      <c r="S737" s="5"/>
      <c r="T737" s="5"/>
      <c r="U737" s="5"/>
      <c r="V737" s="6" t="s">
        <v>1316</v>
      </c>
    </row>
    <row r="738" spans="2:22" ht="21" hidden="1" x14ac:dyDescent="0.25">
      <c r="B738" s="4" t="s">
        <v>172</v>
      </c>
      <c r="C738" s="4" t="s">
        <v>162</v>
      </c>
      <c r="D738" s="4" t="s">
        <v>225</v>
      </c>
      <c r="E738" s="4" t="s">
        <v>27</v>
      </c>
      <c r="F738" s="4" t="s">
        <v>221</v>
      </c>
      <c r="G738" s="4" t="s">
        <v>27</v>
      </c>
      <c r="H738" s="4">
        <v>70304</v>
      </c>
      <c r="I738" s="4">
        <v>70056</v>
      </c>
      <c r="J738" s="4" t="s">
        <v>28</v>
      </c>
      <c r="K738" s="4" t="s">
        <v>172</v>
      </c>
      <c r="L738" s="4" t="s">
        <v>29</v>
      </c>
      <c r="M738" s="4"/>
      <c r="N738" s="5"/>
      <c r="O738" s="5"/>
      <c r="P738" s="5"/>
      <c r="Q738" s="5"/>
      <c r="R738" s="5"/>
      <c r="S738" s="5"/>
      <c r="T738" s="5"/>
      <c r="U738" s="5"/>
      <c r="V738" s="6" t="s">
        <v>1316</v>
      </c>
    </row>
    <row r="739" spans="2:22" ht="21" hidden="1" x14ac:dyDescent="0.25">
      <c r="B739" s="4" t="s">
        <v>176</v>
      </c>
      <c r="C739" s="4" t="s">
        <v>162</v>
      </c>
      <c r="D739" s="4" t="s">
        <v>222</v>
      </c>
      <c r="E739" s="4" t="s">
        <v>27</v>
      </c>
      <c r="F739" s="4" t="s">
        <v>226</v>
      </c>
      <c r="G739" s="4" t="s">
        <v>27</v>
      </c>
      <c r="H739" s="4">
        <v>70312</v>
      </c>
      <c r="I739" s="4">
        <v>70327</v>
      </c>
      <c r="J739" s="4" t="s">
        <v>28</v>
      </c>
      <c r="K739" s="4" t="s">
        <v>176</v>
      </c>
      <c r="L739" s="4" t="s">
        <v>29</v>
      </c>
      <c r="M739" s="4"/>
      <c r="N739" s="5"/>
      <c r="O739" s="5"/>
      <c r="P739" s="5"/>
      <c r="Q739" s="5"/>
      <c r="R739" s="5"/>
      <c r="S739" s="5"/>
      <c r="T739" s="5"/>
      <c r="U739" s="5"/>
      <c r="V739" s="6" t="s">
        <v>1316</v>
      </c>
    </row>
    <row r="740" spans="2:22" ht="21" hidden="1" x14ac:dyDescent="0.25">
      <c r="B740" s="4" t="s">
        <v>179</v>
      </c>
      <c r="C740" s="4" t="s">
        <v>162</v>
      </c>
      <c r="D740" s="4" t="s">
        <v>224</v>
      </c>
      <c r="E740" s="4" t="s">
        <v>27</v>
      </c>
      <c r="F740" s="4" t="s">
        <v>225</v>
      </c>
      <c r="G740" s="4" t="s">
        <v>27</v>
      </c>
      <c r="H740" s="4">
        <v>70435</v>
      </c>
      <c r="I740" s="4">
        <v>70304</v>
      </c>
      <c r="J740" s="4" t="s">
        <v>28</v>
      </c>
      <c r="K740" s="4" t="s">
        <v>179</v>
      </c>
      <c r="L740" s="4" t="s">
        <v>29</v>
      </c>
      <c r="M740" s="4"/>
      <c r="N740" s="5"/>
      <c r="O740" s="5"/>
      <c r="P740" s="5"/>
      <c r="Q740" s="5"/>
      <c r="R740" s="5"/>
      <c r="S740" s="5"/>
      <c r="T740" s="5"/>
      <c r="U740" s="5"/>
      <c r="V740" s="6" t="s">
        <v>1316</v>
      </c>
    </row>
    <row r="741" spans="2:22" ht="21" hidden="1" x14ac:dyDescent="0.25">
      <c r="B741" s="4" t="s">
        <v>953</v>
      </c>
      <c r="C741" s="4" t="s">
        <v>954</v>
      </c>
      <c r="D741" s="4" t="s">
        <v>58</v>
      </c>
      <c r="E741" s="4" t="s">
        <v>27</v>
      </c>
      <c r="F741" s="4" t="s">
        <v>603</v>
      </c>
      <c r="G741" s="4" t="s">
        <v>27</v>
      </c>
      <c r="H741" s="4">
        <v>70231</v>
      </c>
      <c r="I741" s="4">
        <v>79003</v>
      </c>
      <c r="J741" s="4" t="s">
        <v>28</v>
      </c>
      <c r="K741" s="4" t="s">
        <v>953</v>
      </c>
      <c r="L741" s="4" t="s">
        <v>29</v>
      </c>
      <c r="M741" s="4"/>
      <c r="N741" s="5">
        <v>418</v>
      </c>
      <c r="O741" s="5">
        <v>460</v>
      </c>
      <c r="P741" s="5">
        <v>474</v>
      </c>
      <c r="Q741" s="5">
        <v>521</v>
      </c>
      <c r="R741" s="5">
        <v>83</v>
      </c>
      <c r="S741" s="5">
        <v>92</v>
      </c>
      <c r="T741" s="5">
        <v>94</v>
      </c>
      <c r="U741" s="5">
        <v>104</v>
      </c>
      <c r="V741" s="5"/>
    </row>
    <row r="742" spans="2:22" ht="20" hidden="1" x14ac:dyDescent="0.25">
      <c r="B742" s="2" t="s">
        <v>953</v>
      </c>
      <c r="C742" s="2" t="s">
        <v>954</v>
      </c>
      <c r="D742" s="2" t="s">
        <v>58</v>
      </c>
      <c r="E742" s="2" t="s">
        <v>27</v>
      </c>
      <c r="F742" s="2" t="s">
        <v>603</v>
      </c>
      <c r="G742" s="2" t="s">
        <v>27</v>
      </c>
      <c r="H742" s="2">
        <v>70231</v>
      </c>
      <c r="I742" s="2">
        <v>79003</v>
      </c>
      <c r="J742" s="2" t="s">
        <v>28</v>
      </c>
      <c r="K742" s="2" t="s">
        <v>953</v>
      </c>
      <c r="L742" s="2" t="s">
        <v>30</v>
      </c>
      <c r="M742" s="2" t="s">
        <v>954</v>
      </c>
      <c r="N742" s="3">
        <v>418</v>
      </c>
      <c r="O742" s="3">
        <v>460</v>
      </c>
      <c r="P742" s="3">
        <v>474</v>
      </c>
      <c r="Q742" s="3">
        <v>521</v>
      </c>
      <c r="R742" s="3">
        <v>83</v>
      </c>
      <c r="S742" s="3">
        <v>92</v>
      </c>
      <c r="T742" s="3">
        <v>94</v>
      </c>
      <c r="U742" s="3">
        <v>104</v>
      </c>
      <c r="V742" s="3"/>
    </row>
    <row r="743" spans="2:22" ht="21" hidden="1" x14ac:dyDescent="0.25">
      <c r="B743" s="4" t="s">
        <v>573</v>
      </c>
      <c r="C743" s="4" t="s">
        <v>50</v>
      </c>
      <c r="D743" s="4" t="s">
        <v>566</v>
      </c>
      <c r="E743" s="4" t="s">
        <v>27</v>
      </c>
      <c r="F743" s="4" t="s">
        <v>51</v>
      </c>
      <c r="G743" s="4" t="s">
        <v>27</v>
      </c>
      <c r="H743" s="4">
        <v>70114</v>
      </c>
      <c r="I743" s="4">
        <v>70389</v>
      </c>
      <c r="J743" s="4" t="s">
        <v>28</v>
      </c>
      <c r="K743" s="4" t="s">
        <v>573</v>
      </c>
      <c r="L743" s="4" t="s">
        <v>29</v>
      </c>
      <c r="M743" s="4"/>
      <c r="N743" s="5">
        <v>370</v>
      </c>
      <c r="O743" s="5">
        <v>400</v>
      </c>
      <c r="P743" s="5">
        <v>400</v>
      </c>
      <c r="Q743" s="5">
        <v>400</v>
      </c>
      <c r="R743" s="5">
        <v>74</v>
      </c>
      <c r="S743" s="5">
        <v>80</v>
      </c>
      <c r="T743" s="5">
        <v>80</v>
      </c>
      <c r="U743" s="5">
        <v>80</v>
      </c>
      <c r="V743" s="5"/>
    </row>
    <row r="744" spans="2:22" hidden="1" x14ac:dyDescent="0.25">
      <c r="B744" s="2" t="s">
        <v>573</v>
      </c>
      <c r="C744" s="2" t="s">
        <v>50</v>
      </c>
      <c r="D744" s="2" t="s">
        <v>566</v>
      </c>
      <c r="E744" s="2" t="s">
        <v>27</v>
      </c>
      <c r="F744" s="2" t="s">
        <v>51</v>
      </c>
      <c r="G744" s="2" t="s">
        <v>27</v>
      </c>
      <c r="H744" s="2">
        <v>70114</v>
      </c>
      <c r="I744" s="2">
        <v>70389</v>
      </c>
      <c r="J744" s="2" t="s">
        <v>28</v>
      </c>
      <c r="K744" s="2" t="s">
        <v>573</v>
      </c>
      <c r="L744" s="2" t="s">
        <v>30</v>
      </c>
      <c r="M744" s="2" t="s">
        <v>50</v>
      </c>
      <c r="N744" s="3">
        <v>370</v>
      </c>
      <c r="O744" s="2">
        <v>407</v>
      </c>
      <c r="P744" s="2">
        <v>420</v>
      </c>
      <c r="Q744" s="2">
        <v>462</v>
      </c>
      <c r="R744" s="3">
        <v>74</v>
      </c>
      <c r="S744" s="2">
        <v>81</v>
      </c>
      <c r="T744" s="2">
        <v>84</v>
      </c>
      <c r="U744" s="2">
        <v>92</v>
      </c>
      <c r="V744" s="2"/>
    </row>
    <row r="745" spans="2:22" ht="30" hidden="1" x14ac:dyDescent="0.25">
      <c r="B745" s="2" t="s">
        <v>573</v>
      </c>
      <c r="C745" s="2" t="s">
        <v>50</v>
      </c>
      <c r="D745" s="2" t="s">
        <v>566</v>
      </c>
      <c r="E745" s="2" t="s">
        <v>27</v>
      </c>
      <c r="F745" s="2" t="s">
        <v>51</v>
      </c>
      <c r="G745" s="2" t="s">
        <v>27</v>
      </c>
      <c r="H745" s="2">
        <v>70114</v>
      </c>
      <c r="I745" s="2">
        <v>70389</v>
      </c>
      <c r="J745" s="2" t="s">
        <v>28</v>
      </c>
      <c r="K745" s="2" t="s">
        <v>574</v>
      </c>
      <c r="L745" s="2" t="s">
        <v>36</v>
      </c>
      <c r="M745" s="2" t="s">
        <v>572</v>
      </c>
      <c r="N745" s="2">
        <v>400</v>
      </c>
      <c r="O745" s="3">
        <v>400</v>
      </c>
      <c r="P745" s="3">
        <v>400</v>
      </c>
      <c r="Q745" s="3">
        <v>400</v>
      </c>
      <c r="R745" s="2">
        <v>80</v>
      </c>
      <c r="S745" s="3">
        <v>80</v>
      </c>
      <c r="T745" s="3">
        <v>80</v>
      </c>
      <c r="U745" s="3">
        <v>80</v>
      </c>
      <c r="V745" s="3"/>
    </row>
    <row r="746" spans="2:22" ht="21" hidden="1" x14ac:dyDescent="0.25">
      <c r="B746" s="4" t="s">
        <v>992</v>
      </c>
      <c r="C746" s="4" t="s">
        <v>50</v>
      </c>
      <c r="D746" s="4" t="s">
        <v>993</v>
      </c>
      <c r="E746" s="4" t="s">
        <v>27</v>
      </c>
      <c r="F746" s="4" t="s">
        <v>223</v>
      </c>
      <c r="G746" s="4" t="s">
        <v>27</v>
      </c>
      <c r="H746" s="4">
        <v>70258</v>
      </c>
      <c r="I746" s="4">
        <v>70273</v>
      </c>
      <c r="J746" s="4" t="s">
        <v>28</v>
      </c>
      <c r="K746" s="4" t="s">
        <v>992</v>
      </c>
      <c r="L746" s="4" t="s">
        <v>29</v>
      </c>
      <c r="M746" s="4"/>
      <c r="N746" s="5">
        <v>477</v>
      </c>
      <c r="O746" s="5">
        <v>554</v>
      </c>
      <c r="P746" s="5">
        <v>567</v>
      </c>
      <c r="Q746" s="5">
        <v>629</v>
      </c>
      <c r="R746" s="5">
        <v>95</v>
      </c>
      <c r="S746" s="5">
        <v>110</v>
      </c>
      <c r="T746" s="5">
        <v>113</v>
      </c>
      <c r="U746" s="5">
        <v>125</v>
      </c>
      <c r="V746" s="5"/>
    </row>
    <row r="747" spans="2:22" ht="20" hidden="1" x14ac:dyDescent="0.25">
      <c r="B747" s="2" t="s">
        <v>992</v>
      </c>
      <c r="C747" s="2" t="s">
        <v>50</v>
      </c>
      <c r="D747" s="2" t="s">
        <v>993</v>
      </c>
      <c r="E747" s="2" t="s">
        <v>27</v>
      </c>
      <c r="F747" s="2" t="s">
        <v>223</v>
      </c>
      <c r="G747" s="2" t="s">
        <v>27</v>
      </c>
      <c r="H747" s="2">
        <v>70258</v>
      </c>
      <c r="I747" s="2">
        <v>70273</v>
      </c>
      <c r="J747" s="2" t="s">
        <v>28</v>
      </c>
      <c r="K747" s="2" t="s">
        <v>856</v>
      </c>
      <c r="L747" s="2" t="s">
        <v>31</v>
      </c>
      <c r="M747" s="2" t="s">
        <v>994</v>
      </c>
      <c r="N747" s="3">
        <v>477</v>
      </c>
      <c r="O747" s="3">
        <v>554</v>
      </c>
      <c r="P747" s="3">
        <v>567</v>
      </c>
      <c r="Q747" s="3">
        <v>629</v>
      </c>
      <c r="R747" s="3">
        <v>95</v>
      </c>
      <c r="S747" s="3">
        <v>110</v>
      </c>
      <c r="T747" s="3">
        <v>113</v>
      </c>
      <c r="U747" s="3">
        <v>125</v>
      </c>
      <c r="V747" s="3"/>
    </row>
    <row r="748" spans="2:22" ht="21" hidden="1" x14ac:dyDescent="0.25">
      <c r="B748" s="4" t="s">
        <v>997</v>
      </c>
      <c r="C748" s="4" t="s">
        <v>50</v>
      </c>
      <c r="D748" s="4" t="s">
        <v>998</v>
      </c>
      <c r="E748" s="4" t="s">
        <v>27</v>
      </c>
      <c r="F748" s="4" t="s">
        <v>993</v>
      </c>
      <c r="G748" s="4" t="s">
        <v>27</v>
      </c>
      <c r="H748" s="4">
        <v>2155</v>
      </c>
      <c r="I748" s="4">
        <v>70257</v>
      </c>
      <c r="J748" s="4" t="s">
        <v>28</v>
      </c>
      <c r="K748" s="4" t="s">
        <v>997</v>
      </c>
      <c r="L748" s="4" t="s">
        <v>29</v>
      </c>
      <c r="M748" s="4"/>
      <c r="N748" s="5">
        <v>477</v>
      </c>
      <c r="O748" s="5">
        <v>554</v>
      </c>
      <c r="P748" s="5">
        <v>567</v>
      </c>
      <c r="Q748" s="5">
        <v>629</v>
      </c>
      <c r="R748" s="5">
        <v>95</v>
      </c>
      <c r="S748" s="5">
        <v>110</v>
      </c>
      <c r="T748" s="5">
        <v>113</v>
      </c>
      <c r="U748" s="5">
        <v>125</v>
      </c>
      <c r="V748" s="5"/>
    </row>
    <row r="749" spans="2:22" ht="20" hidden="1" x14ac:dyDescent="0.25">
      <c r="B749" s="2" t="s">
        <v>997</v>
      </c>
      <c r="C749" s="2" t="s">
        <v>50</v>
      </c>
      <c r="D749" s="2" t="s">
        <v>998</v>
      </c>
      <c r="E749" s="2" t="s">
        <v>27</v>
      </c>
      <c r="F749" s="2" t="s">
        <v>993</v>
      </c>
      <c r="G749" s="2" t="s">
        <v>27</v>
      </c>
      <c r="H749" s="2">
        <v>2155</v>
      </c>
      <c r="I749" s="2">
        <v>70257</v>
      </c>
      <c r="J749" s="2" t="s">
        <v>28</v>
      </c>
      <c r="K749" s="2" t="s">
        <v>856</v>
      </c>
      <c r="L749" s="2" t="s">
        <v>31</v>
      </c>
      <c r="M749" s="2" t="s">
        <v>994</v>
      </c>
      <c r="N749" s="3">
        <v>477</v>
      </c>
      <c r="O749" s="3">
        <v>554</v>
      </c>
      <c r="P749" s="3">
        <v>567</v>
      </c>
      <c r="Q749" s="3">
        <v>629</v>
      </c>
      <c r="R749" s="3">
        <v>95</v>
      </c>
      <c r="S749" s="3">
        <v>110</v>
      </c>
      <c r="T749" s="3">
        <v>113</v>
      </c>
      <c r="U749" s="3">
        <v>125</v>
      </c>
      <c r="V749" s="3"/>
    </row>
    <row r="750" spans="2:22" ht="21" hidden="1" x14ac:dyDescent="0.25">
      <c r="B750" s="4" t="s">
        <v>999</v>
      </c>
      <c r="C750" s="4" t="s">
        <v>50</v>
      </c>
      <c r="D750" s="4" t="s">
        <v>998</v>
      </c>
      <c r="E750" s="4" t="s">
        <v>27</v>
      </c>
      <c r="F750" s="4" t="s">
        <v>993</v>
      </c>
      <c r="G750" s="4" t="s">
        <v>27</v>
      </c>
      <c r="H750" s="4">
        <v>2155</v>
      </c>
      <c r="I750" s="4">
        <v>70258</v>
      </c>
      <c r="J750" s="4" t="s">
        <v>28</v>
      </c>
      <c r="K750" s="4" t="s">
        <v>999</v>
      </c>
      <c r="L750" s="4" t="s">
        <v>29</v>
      </c>
      <c r="M750" s="4"/>
      <c r="N750" s="5">
        <v>477</v>
      </c>
      <c r="O750" s="5">
        <v>554</v>
      </c>
      <c r="P750" s="5">
        <v>567</v>
      </c>
      <c r="Q750" s="5">
        <v>629</v>
      </c>
      <c r="R750" s="5">
        <v>95</v>
      </c>
      <c r="S750" s="5">
        <v>110</v>
      </c>
      <c r="T750" s="5">
        <v>113</v>
      </c>
      <c r="U750" s="5">
        <v>125</v>
      </c>
      <c r="V750" s="5"/>
    </row>
    <row r="751" spans="2:22" ht="20" hidden="1" x14ac:dyDescent="0.25">
      <c r="B751" s="2" t="s">
        <v>999</v>
      </c>
      <c r="C751" s="2" t="s">
        <v>50</v>
      </c>
      <c r="D751" s="2" t="s">
        <v>998</v>
      </c>
      <c r="E751" s="2" t="s">
        <v>27</v>
      </c>
      <c r="F751" s="2" t="s">
        <v>993</v>
      </c>
      <c r="G751" s="2" t="s">
        <v>27</v>
      </c>
      <c r="H751" s="2">
        <v>2155</v>
      </c>
      <c r="I751" s="2">
        <v>70258</v>
      </c>
      <c r="J751" s="2" t="s">
        <v>28</v>
      </c>
      <c r="K751" s="2" t="s">
        <v>856</v>
      </c>
      <c r="L751" s="2" t="s">
        <v>31</v>
      </c>
      <c r="M751" s="2" t="s">
        <v>994</v>
      </c>
      <c r="N751" s="3">
        <v>477</v>
      </c>
      <c r="O751" s="3">
        <v>554</v>
      </c>
      <c r="P751" s="3">
        <v>567</v>
      </c>
      <c r="Q751" s="3">
        <v>629</v>
      </c>
      <c r="R751" s="3">
        <v>95</v>
      </c>
      <c r="S751" s="3">
        <v>110</v>
      </c>
      <c r="T751" s="3">
        <v>113</v>
      </c>
      <c r="U751" s="3">
        <v>125</v>
      </c>
      <c r="V751" s="3"/>
    </row>
    <row r="752" spans="2:22" hidden="1" x14ac:dyDescent="0.25">
      <c r="B752" s="4" t="s">
        <v>1000</v>
      </c>
      <c r="C752" s="4" t="s">
        <v>50</v>
      </c>
      <c r="D752" s="4" t="s">
        <v>998</v>
      </c>
      <c r="E752" s="4" t="s">
        <v>27</v>
      </c>
      <c r="F752" s="4" t="s">
        <v>51</v>
      </c>
      <c r="G752" s="4" t="s">
        <v>27</v>
      </c>
      <c r="H752" s="4">
        <v>2155</v>
      </c>
      <c r="I752" s="4">
        <v>70364</v>
      </c>
      <c r="J752" s="4" t="s">
        <v>28</v>
      </c>
      <c r="K752" s="4" t="s">
        <v>1000</v>
      </c>
      <c r="L752" s="4" t="s">
        <v>29</v>
      </c>
      <c r="M752" s="4"/>
      <c r="N752" s="5">
        <v>418</v>
      </c>
      <c r="O752" s="5">
        <v>460</v>
      </c>
      <c r="P752" s="5">
        <v>475</v>
      </c>
      <c r="Q752" s="5">
        <v>523</v>
      </c>
      <c r="R752" s="5">
        <v>83</v>
      </c>
      <c r="S752" s="5">
        <v>92</v>
      </c>
      <c r="T752" s="5">
        <v>95</v>
      </c>
      <c r="U752" s="5">
        <v>104</v>
      </c>
      <c r="V752" s="5"/>
    </row>
    <row r="753" spans="2:22" hidden="1" x14ac:dyDescent="0.25">
      <c r="B753" s="2" t="s">
        <v>1000</v>
      </c>
      <c r="C753" s="2" t="s">
        <v>50</v>
      </c>
      <c r="D753" s="2" t="s">
        <v>998</v>
      </c>
      <c r="E753" s="2" t="s">
        <v>27</v>
      </c>
      <c r="F753" s="2" t="s">
        <v>51</v>
      </c>
      <c r="G753" s="2" t="s">
        <v>27</v>
      </c>
      <c r="H753" s="2">
        <v>2155</v>
      </c>
      <c r="I753" s="2">
        <v>70364</v>
      </c>
      <c r="J753" s="2" t="s">
        <v>28</v>
      </c>
      <c r="K753" s="2" t="s">
        <v>1000</v>
      </c>
      <c r="L753" s="2" t="s">
        <v>30</v>
      </c>
      <c r="M753" s="2" t="s">
        <v>50</v>
      </c>
      <c r="N753" s="3">
        <v>418</v>
      </c>
      <c r="O753" s="3">
        <v>460</v>
      </c>
      <c r="P753" s="3">
        <v>475</v>
      </c>
      <c r="Q753" s="3">
        <v>523</v>
      </c>
      <c r="R753" s="3">
        <v>83</v>
      </c>
      <c r="S753" s="3">
        <v>92</v>
      </c>
      <c r="T753" s="3">
        <v>95</v>
      </c>
      <c r="U753" s="3">
        <v>104</v>
      </c>
      <c r="V753" s="3"/>
    </row>
    <row r="754" spans="2:22" ht="21" x14ac:dyDescent="0.25">
      <c r="B754" s="4" t="s">
        <v>65</v>
      </c>
      <c r="C754" s="4" t="s">
        <v>50</v>
      </c>
      <c r="D754" s="4" t="s">
        <v>73</v>
      </c>
      <c r="E754" s="4" t="s">
        <v>27</v>
      </c>
      <c r="F754" s="4" t="s">
        <v>51</v>
      </c>
      <c r="G754" s="4" t="s">
        <v>27</v>
      </c>
      <c r="H754" s="4">
        <v>70199</v>
      </c>
      <c r="I754" s="4">
        <v>70364</v>
      </c>
      <c r="J754" s="4" t="s">
        <v>28</v>
      </c>
      <c r="K754" s="4" t="s">
        <v>65</v>
      </c>
      <c r="L754" s="4" t="s">
        <v>29</v>
      </c>
      <c r="M754" s="4"/>
      <c r="N754" s="5">
        <v>290</v>
      </c>
      <c r="O754" s="5">
        <v>319</v>
      </c>
      <c r="P754" s="5">
        <v>382</v>
      </c>
      <c r="Q754" s="5">
        <v>420</v>
      </c>
      <c r="R754" s="5">
        <v>58</v>
      </c>
      <c r="S754" s="5">
        <v>64</v>
      </c>
      <c r="T754" s="5">
        <v>76</v>
      </c>
      <c r="U754" s="5">
        <v>84</v>
      </c>
      <c r="V754" s="5"/>
    </row>
    <row r="755" spans="2:22" hidden="1" x14ac:dyDescent="0.25">
      <c r="B755" s="2" t="s">
        <v>65</v>
      </c>
      <c r="C755" s="2" t="s">
        <v>50</v>
      </c>
      <c r="D755" s="2" t="s">
        <v>73</v>
      </c>
      <c r="E755" s="2" t="s">
        <v>27</v>
      </c>
      <c r="F755" s="2" t="s">
        <v>51</v>
      </c>
      <c r="G755" s="2" t="s">
        <v>27</v>
      </c>
      <c r="H755" s="2">
        <v>70199</v>
      </c>
      <c r="I755" s="2">
        <v>70364</v>
      </c>
      <c r="J755" s="2" t="s">
        <v>28</v>
      </c>
      <c r="K755" s="2" t="s">
        <v>65</v>
      </c>
      <c r="L755" s="2" t="s">
        <v>30</v>
      </c>
      <c r="M755" s="2" t="s">
        <v>50</v>
      </c>
      <c r="N755" s="3">
        <v>290</v>
      </c>
      <c r="O755" s="3">
        <v>319</v>
      </c>
      <c r="P755" s="3">
        <v>382</v>
      </c>
      <c r="Q755" s="3">
        <v>420</v>
      </c>
      <c r="R755" s="3">
        <v>58</v>
      </c>
      <c r="S755" s="3">
        <v>64</v>
      </c>
      <c r="T755" s="3">
        <v>76</v>
      </c>
      <c r="U755" s="3">
        <v>84</v>
      </c>
      <c r="V755" s="5"/>
    </row>
    <row r="756" spans="2:22" ht="21" hidden="1" x14ac:dyDescent="0.25">
      <c r="B756" s="4" t="s">
        <v>1002</v>
      </c>
      <c r="C756" s="4" t="s">
        <v>1003</v>
      </c>
      <c r="D756" s="4" t="s">
        <v>923</v>
      </c>
      <c r="E756" s="4" t="s">
        <v>27</v>
      </c>
      <c r="F756" s="4" t="s">
        <v>601</v>
      </c>
      <c r="G756" s="4" t="s">
        <v>27</v>
      </c>
      <c r="H756" s="4">
        <v>70259</v>
      </c>
      <c r="I756" s="4">
        <v>70377</v>
      </c>
      <c r="J756" s="4" t="s">
        <v>28</v>
      </c>
      <c r="K756" s="4" t="s">
        <v>1002</v>
      </c>
      <c r="L756" s="4" t="s">
        <v>29</v>
      </c>
      <c r="M756" s="4"/>
      <c r="N756" s="5">
        <v>1213</v>
      </c>
      <c r="O756" s="5">
        <v>1334</v>
      </c>
      <c r="P756" s="5">
        <v>1213</v>
      </c>
      <c r="Q756" s="5">
        <v>1334</v>
      </c>
      <c r="R756" s="5">
        <v>242</v>
      </c>
      <c r="S756" s="5">
        <v>266</v>
      </c>
      <c r="T756" s="5">
        <v>242</v>
      </c>
      <c r="U756" s="5">
        <v>266</v>
      </c>
      <c r="V756" s="5"/>
    </row>
    <row r="757" spans="2:22" ht="20" hidden="1" x14ac:dyDescent="0.25">
      <c r="B757" s="2" t="s">
        <v>1002</v>
      </c>
      <c r="C757" s="2" t="s">
        <v>1003</v>
      </c>
      <c r="D757" s="2" t="s">
        <v>923</v>
      </c>
      <c r="E757" s="2" t="s">
        <v>27</v>
      </c>
      <c r="F757" s="2" t="s">
        <v>601</v>
      </c>
      <c r="G757" s="2" t="s">
        <v>27</v>
      </c>
      <c r="H757" s="2">
        <v>70259</v>
      </c>
      <c r="I757" s="2">
        <v>70377</v>
      </c>
      <c r="J757" s="2" t="s">
        <v>28</v>
      </c>
      <c r="K757" s="2" t="s">
        <v>1002</v>
      </c>
      <c r="L757" s="2" t="s">
        <v>30</v>
      </c>
      <c r="M757" s="2" t="s">
        <v>1003</v>
      </c>
      <c r="N757" s="3">
        <v>1213</v>
      </c>
      <c r="O757" s="3">
        <v>1334</v>
      </c>
      <c r="P757" s="3">
        <v>1213</v>
      </c>
      <c r="Q757" s="3">
        <v>1334</v>
      </c>
      <c r="R757" s="3">
        <v>242</v>
      </c>
      <c r="S757" s="3">
        <v>266</v>
      </c>
      <c r="T757" s="3">
        <v>242</v>
      </c>
      <c r="U757" s="3">
        <v>266</v>
      </c>
      <c r="V757" s="3"/>
    </row>
    <row r="758" spans="2:22" ht="21" hidden="1" x14ac:dyDescent="0.25">
      <c r="B758" s="4" t="s">
        <v>1093</v>
      </c>
      <c r="C758" s="4" t="s">
        <v>1094</v>
      </c>
      <c r="D758" s="4" t="s">
        <v>1088</v>
      </c>
      <c r="E758" s="4" t="s">
        <v>27</v>
      </c>
      <c r="F758" s="4" t="s">
        <v>601</v>
      </c>
      <c r="G758" s="4" t="s">
        <v>27</v>
      </c>
      <c r="H758" s="4">
        <v>70298</v>
      </c>
      <c r="I758" s="4">
        <v>70377</v>
      </c>
      <c r="J758" s="4" t="s">
        <v>28</v>
      </c>
      <c r="K758" s="4" t="s">
        <v>1093</v>
      </c>
      <c r="L758" s="4" t="s">
        <v>29</v>
      </c>
      <c r="M758" s="4"/>
      <c r="N758" s="5">
        <v>959</v>
      </c>
      <c r="O758" s="5">
        <v>960</v>
      </c>
      <c r="P758" s="5">
        <v>960</v>
      </c>
      <c r="Q758" s="5">
        <v>960</v>
      </c>
      <c r="R758" s="5">
        <v>191</v>
      </c>
      <c r="S758" s="5">
        <v>191</v>
      </c>
      <c r="T758" s="5">
        <v>191</v>
      </c>
      <c r="U758" s="5">
        <v>191</v>
      </c>
      <c r="V758" s="5"/>
    </row>
    <row r="759" spans="2:22" ht="20" hidden="1" x14ac:dyDescent="0.25">
      <c r="B759" s="2" t="s">
        <v>1093</v>
      </c>
      <c r="C759" s="2" t="s">
        <v>1094</v>
      </c>
      <c r="D759" s="2" t="s">
        <v>1088</v>
      </c>
      <c r="E759" s="2" t="s">
        <v>27</v>
      </c>
      <c r="F759" s="2" t="s">
        <v>601</v>
      </c>
      <c r="G759" s="2" t="s">
        <v>27</v>
      </c>
      <c r="H759" s="2">
        <v>70298</v>
      </c>
      <c r="I759" s="2">
        <v>70377</v>
      </c>
      <c r="J759" s="2" t="s">
        <v>28</v>
      </c>
      <c r="K759" s="2" t="s">
        <v>1095</v>
      </c>
      <c r="L759" s="2" t="s">
        <v>31</v>
      </c>
      <c r="M759" s="2" t="s">
        <v>1090</v>
      </c>
      <c r="N759" s="3">
        <v>959</v>
      </c>
      <c r="O759" s="2">
        <v>1055</v>
      </c>
      <c r="P759" s="2">
        <v>1091</v>
      </c>
      <c r="Q759" s="2">
        <v>1200</v>
      </c>
      <c r="R759" s="3">
        <v>191</v>
      </c>
      <c r="S759" s="2">
        <v>210</v>
      </c>
      <c r="T759" s="2">
        <v>217</v>
      </c>
      <c r="U759" s="2">
        <v>239</v>
      </c>
      <c r="V759" s="2"/>
    </row>
    <row r="760" spans="2:22" ht="20" hidden="1" x14ac:dyDescent="0.25">
      <c r="B760" s="2" t="s">
        <v>1093</v>
      </c>
      <c r="C760" s="2" t="s">
        <v>1094</v>
      </c>
      <c r="D760" s="2" t="s">
        <v>1088</v>
      </c>
      <c r="E760" s="2" t="s">
        <v>27</v>
      </c>
      <c r="F760" s="2" t="s">
        <v>601</v>
      </c>
      <c r="G760" s="2" t="s">
        <v>27</v>
      </c>
      <c r="H760" s="2">
        <v>70298</v>
      </c>
      <c r="I760" s="2">
        <v>70377</v>
      </c>
      <c r="J760" s="2" t="s">
        <v>28</v>
      </c>
      <c r="K760" s="2" t="s">
        <v>1093</v>
      </c>
      <c r="L760" s="2" t="s">
        <v>30</v>
      </c>
      <c r="M760" s="2" t="s">
        <v>1094</v>
      </c>
      <c r="N760" s="3">
        <v>959</v>
      </c>
      <c r="O760" s="2">
        <v>1055</v>
      </c>
      <c r="P760" s="2">
        <v>1092</v>
      </c>
      <c r="Q760" s="2">
        <v>1201</v>
      </c>
      <c r="R760" s="3">
        <v>191</v>
      </c>
      <c r="S760" s="2">
        <v>210</v>
      </c>
      <c r="T760" s="2">
        <v>218</v>
      </c>
      <c r="U760" s="2">
        <v>239</v>
      </c>
      <c r="V760" s="2"/>
    </row>
    <row r="761" spans="2:22" ht="30" hidden="1" x14ac:dyDescent="0.25">
      <c r="B761" s="2" t="s">
        <v>1093</v>
      </c>
      <c r="C761" s="2" t="s">
        <v>1094</v>
      </c>
      <c r="D761" s="2" t="s">
        <v>1088</v>
      </c>
      <c r="E761" s="2" t="s">
        <v>27</v>
      </c>
      <c r="F761" s="2" t="s">
        <v>601</v>
      </c>
      <c r="G761" s="2" t="s">
        <v>27</v>
      </c>
      <c r="H761" s="2">
        <v>70298</v>
      </c>
      <c r="I761" s="2">
        <v>70377</v>
      </c>
      <c r="J761" s="2" t="s">
        <v>28</v>
      </c>
      <c r="K761" s="2" t="s">
        <v>1096</v>
      </c>
      <c r="L761" s="2" t="s">
        <v>36</v>
      </c>
      <c r="M761" s="2" t="s">
        <v>1097</v>
      </c>
      <c r="N761" s="2">
        <v>960</v>
      </c>
      <c r="O761" s="3">
        <v>960</v>
      </c>
      <c r="P761" s="3">
        <v>960</v>
      </c>
      <c r="Q761" s="3">
        <v>960</v>
      </c>
      <c r="R761" s="2">
        <v>191</v>
      </c>
      <c r="S761" s="3">
        <v>191</v>
      </c>
      <c r="T761" s="3">
        <v>191</v>
      </c>
      <c r="U761" s="3">
        <v>191</v>
      </c>
      <c r="V761" s="3"/>
    </row>
    <row r="762" spans="2:22" ht="30" hidden="1" x14ac:dyDescent="0.25">
      <c r="B762" s="2" t="s">
        <v>1093</v>
      </c>
      <c r="C762" s="2" t="s">
        <v>1094</v>
      </c>
      <c r="D762" s="2" t="s">
        <v>1088</v>
      </c>
      <c r="E762" s="2" t="s">
        <v>27</v>
      </c>
      <c r="F762" s="2" t="s">
        <v>601</v>
      </c>
      <c r="G762" s="2" t="s">
        <v>27</v>
      </c>
      <c r="H762" s="2">
        <v>70298</v>
      </c>
      <c r="I762" s="2">
        <v>70377</v>
      </c>
      <c r="J762" s="2" t="s">
        <v>28</v>
      </c>
      <c r="K762" s="2" t="s">
        <v>1098</v>
      </c>
      <c r="L762" s="2" t="s">
        <v>36</v>
      </c>
      <c r="M762" s="2" t="s">
        <v>1097</v>
      </c>
      <c r="N762" s="2">
        <v>960</v>
      </c>
      <c r="O762" s="3">
        <v>960</v>
      </c>
      <c r="P762" s="3">
        <v>960</v>
      </c>
      <c r="Q762" s="3">
        <v>960</v>
      </c>
      <c r="R762" s="2">
        <v>191</v>
      </c>
      <c r="S762" s="3">
        <v>191</v>
      </c>
      <c r="T762" s="3">
        <v>191</v>
      </c>
      <c r="U762" s="3">
        <v>191</v>
      </c>
      <c r="V762" s="3"/>
    </row>
    <row r="763" spans="2:22" ht="30" hidden="1" x14ac:dyDescent="0.25">
      <c r="B763" s="2" t="s">
        <v>1093</v>
      </c>
      <c r="C763" s="2" t="s">
        <v>1094</v>
      </c>
      <c r="D763" s="2" t="s">
        <v>1088</v>
      </c>
      <c r="E763" s="2" t="s">
        <v>27</v>
      </c>
      <c r="F763" s="2" t="s">
        <v>601</v>
      </c>
      <c r="G763" s="2" t="s">
        <v>27</v>
      </c>
      <c r="H763" s="2">
        <v>70298</v>
      </c>
      <c r="I763" s="2">
        <v>70377</v>
      </c>
      <c r="J763" s="2" t="s">
        <v>28</v>
      </c>
      <c r="K763" s="2" t="s">
        <v>1099</v>
      </c>
      <c r="L763" s="2" t="s">
        <v>36</v>
      </c>
      <c r="M763" s="2" t="s">
        <v>1090</v>
      </c>
      <c r="N763" s="2">
        <v>960</v>
      </c>
      <c r="O763" s="3">
        <v>960</v>
      </c>
      <c r="P763" s="3">
        <v>960</v>
      </c>
      <c r="Q763" s="3">
        <v>960</v>
      </c>
      <c r="R763" s="2">
        <v>191</v>
      </c>
      <c r="S763" s="3">
        <v>191</v>
      </c>
      <c r="T763" s="3">
        <v>191</v>
      </c>
      <c r="U763" s="3">
        <v>191</v>
      </c>
      <c r="V763" s="3"/>
    </row>
    <row r="764" spans="2:22" ht="30" hidden="1" x14ac:dyDescent="0.25">
      <c r="B764" s="2" t="s">
        <v>1093</v>
      </c>
      <c r="C764" s="2" t="s">
        <v>1094</v>
      </c>
      <c r="D764" s="2" t="s">
        <v>1088</v>
      </c>
      <c r="E764" s="2" t="s">
        <v>27</v>
      </c>
      <c r="F764" s="2" t="s">
        <v>601</v>
      </c>
      <c r="G764" s="2" t="s">
        <v>27</v>
      </c>
      <c r="H764" s="2">
        <v>70298</v>
      </c>
      <c r="I764" s="2">
        <v>70377</v>
      </c>
      <c r="J764" s="2" t="s">
        <v>28</v>
      </c>
      <c r="K764" s="2" t="s">
        <v>1100</v>
      </c>
      <c r="L764" s="2" t="s">
        <v>36</v>
      </c>
      <c r="M764" s="2" t="s">
        <v>1090</v>
      </c>
      <c r="N764" s="2">
        <v>960</v>
      </c>
      <c r="O764" s="3">
        <v>960</v>
      </c>
      <c r="P764" s="3">
        <v>960</v>
      </c>
      <c r="Q764" s="3">
        <v>960</v>
      </c>
      <c r="R764" s="2">
        <v>191</v>
      </c>
      <c r="S764" s="3">
        <v>191</v>
      </c>
      <c r="T764" s="3">
        <v>191</v>
      </c>
      <c r="U764" s="3">
        <v>191</v>
      </c>
      <c r="V764" s="3"/>
    </row>
    <row r="765" spans="2:22" ht="21" hidden="1" x14ac:dyDescent="0.25">
      <c r="B765" s="4" t="s">
        <v>251</v>
      </c>
      <c r="C765" s="4" t="s">
        <v>252</v>
      </c>
      <c r="D765" s="4" t="s">
        <v>33</v>
      </c>
      <c r="E765" s="4" t="s">
        <v>27</v>
      </c>
      <c r="F765" s="4" t="s">
        <v>253</v>
      </c>
      <c r="G765" s="4" t="s">
        <v>27</v>
      </c>
      <c r="H765" s="4">
        <v>70036</v>
      </c>
      <c r="I765" s="4">
        <v>70531</v>
      </c>
      <c r="J765" s="4" t="s">
        <v>28</v>
      </c>
      <c r="K765" s="4" t="s">
        <v>251</v>
      </c>
      <c r="L765" s="4" t="s">
        <v>29</v>
      </c>
      <c r="M765" s="4"/>
      <c r="N765" s="5">
        <v>600</v>
      </c>
      <c r="O765" s="5">
        <v>775</v>
      </c>
      <c r="P765" s="5">
        <v>743</v>
      </c>
      <c r="Q765" s="5">
        <v>890</v>
      </c>
      <c r="R765" s="5">
        <v>120</v>
      </c>
      <c r="S765" s="5">
        <v>154</v>
      </c>
      <c r="T765" s="5">
        <v>148</v>
      </c>
      <c r="U765" s="5">
        <v>177</v>
      </c>
      <c r="V765" s="5"/>
    </row>
    <row r="766" spans="2:22" ht="20" hidden="1" x14ac:dyDescent="0.25">
      <c r="B766" s="2" t="s">
        <v>251</v>
      </c>
      <c r="C766" s="2" t="s">
        <v>252</v>
      </c>
      <c r="D766" s="2" t="s">
        <v>33</v>
      </c>
      <c r="E766" s="2" t="s">
        <v>27</v>
      </c>
      <c r="F766" s="2" t="s">
        <v>253</v>
      </c>
      <c r="G766" s="2" t="s">
        <v>27</v>
      </c>
      <c r="H766" s="2">
        <v>70036</v>
      </c>
      <c r="I766" s="2">
        <v>70531</v>
      </c>
      <c r="J766" s="2" t="s">
        <v>28</v>
      </c>
      <c r="K766" s="2" t="s">
        <v>254</v>
      </c>
      <c r="L766" s="2" t="s">
        <v>34</v>
      </c>
      <c r="M766" s="2" t="s">
        <v>35</v>
      </c>
      <c r="N766" s="3">
        <v>600</v>
      </c>
      <c r="O766" s="3">
        <v>775</v>
      </c>
      <c r="P766" s="3">
        <v>743</v>
      </c>
      <c r="Q766" s="3">
        <v>890</v>
      </c>
      <c r="R766" s="3">
        <v>120</v>
      </c>
      <c r="S766" s="3">
        <v>154</v>
      </c>
      <c r="T766" s="3">
        <v>148</v>
      </c>
      <c r="U766" s="3">
        <v>177</v>
      </c>
      <c r="V766" s="3"/>
    </row>
    <row r="767" spans="2:22" ht="21" hidden="1" x14ac:dyDescent="0.25">
      <c r="B767" s="4" t="s">
        <v>862</v>
      </c>
      <c r="C767" s="4" t="s">
        <v>252</v>
      </c>
      <c r="D767" s="4" t="s">
        <v>305</v>
      </c>
      <c r="E767" s="4" t="s">
        <v>27</v>
      </c>
      <c r="F767" s="4" t="s">
        <v>54</v>
      </c>
      <c r="G767" s="4" t="s">
        <v>27</v>
      </c>
      <c r="H767" s="4">
        <v>70208</v>
      </c>
      <c r="I767" s="4">
        <v>70402</v>
      </c>
      <c r="J767" s="4" t="s">
        <v>28</v>
      </c>
      <c r="K767" s="4" t="s">
        <v>862</v>
      </c>
      <c r="L767" s="4" t="s">
        <v>29</v>
      </c>
      <c r="M767" s="4"/>
      <c r="N767" s="5">
        <v>600</v>
      </c>
      <c r="O767" s="5">
        <v>775</v>
      </c>
      <c r="P767" s="5">
        <v>743</v>
      </c>
      <c r="Q767" s="5">
        <v>890</v>
      </c>
      <c r="R767" s="5">
        <v>120</v>
      </c>
      <c r="S767" s="5">
        <v>154</v>
      </c>
      <c r="T767" s="5">
        <v>148</v>
      </c>
      <c r="U767" s="5">
        <v>177</v>
      </c>
      <c r="V767" s="5"/>
    </row>
    <row r="768" spans="2:22" ht="20" hidden="1" x14ac:dyDescent="0.25">
      <c r="B768" s="2" t="s">
        <v>862</v>
      </c>
      <c r="C768" s="2" t="s">
        <v>252</v>
      </c>
      <c r="D768" s="2" t="s">
        <v>305</v>
      </c>
      <c r="E768" s="2" t="s">
        <v>27</v>
      </c>
      <c r="F768" s="2" t="s">
        <v>54</v>
      </c>
      <c r="G768" s="2" t="s">
        <v>27</v>
      </c>
      <c r="H768" s="2">
        <v>70208</v>
      </c>
      <c r="I768" s="2">
        <v>70402</v>
      </c>
      <c r="J768" s="2" t="s">
        <v>28</v>
      </c>
      <c r="K768" s="2" t="s">
        <v>863</v>
      </c>
      <c r="L768" s="2" t="s">
        <v>34</v>
      </c>
      <c r="M768" s="2" t="s">
        <v>55</v>
      </c>
      <c r="N768" s="3">
        <v>600</v>
      </c>
      <c r="O768" s="3">
        <v>775</v>
      </c>
      <c r="P768" s="3">
        <v>743</v>
      </c>
      <c r="Q768" s="3">
        <v>890</v>
      </c>
      <c r="R768" s="3">
        <v>120</v>
      </c>
      <c r="S768" s="3">
        <v>154</v>
      </c>
      <c r="T768" s="3">
        <v>148</v>
      </c>
      <c r="U768" s="3">
        <v>177</v>
      </c>
      <c r="V768" s="3"/>
    </row>
    <row r="769" spans="2:22" ht="20" hidden="1" x14ac:dyDescent="0.25">
      <c r="B769" s="2" t="s">
        <v>862</v>
      </c>
      <c r="C769" s="2" t="s">
        <v>252</v>
      </c>
      <c r="D769" s="2" t="s">
        <v>305</v>
      </c>
      <c r="E769" s="2" t="s">
        <v>27</v>
      </c>
      <c r="F769" s="2" t="s">
        <v>54</v>
      </c>
      <c r="G769" s="2" t="s">
        <v>27</v>
      </c>
      <c r="H769" s="2">
        <v>70208</v>
      </c>
      <c r="I769" s="2">
        <v>70402</v>
      </c>
      <c r="J769" s="2" t="s">
        <v>28</v>
      </c>
      <c r="K769" s="2" t="s">
        <v>254</v>
      </c>
      <c r="L769" s="2" t="s">
        <v>34</v>
      </c>
      <c r="M769" s="2" t="s">
        <v>710</v>
      </c>
      <c r="N769" s="3">
        <v>600</v>
      </c>
      <c r="O769" s="3">
        <v>775</v>
      </c>
      <c r="P769" s="3">
        <v>743</v>
      </c>
      <c r="Q769" s="3">
        <v>890</v>
      </c>
      <c r="R769" s="3">
        <v>120</v>
      </c>
      <c r="S769" s="3">
        <v>154</v>
      </c>
      <c r="T769" s="3">
        <v>148</v>
      </c>
      <c r="U769" s="3">
        <v>177</v>
      </c>
      <c r="V769" s="3"/>
    </row>
    <row r="770" spans="2:22" ht="20" hidden="1" x14ac:dyDescent="0.25">
      <c r="B770" s="2" t="s">
        <v>862</v>
      </c>
      <c r="C770" s="2" t="s">
        <v>252</v>
      </c>
      <c r="D770" s="2" t="s">
        <v>305</v>
      </c>
      <c r="E770" s="2" t="s">
        <v>27</v>
      </c>
      <c r="F770" s="2" t="s">
        <v>54</v>
      </c>
      <c r="G770" s="2" t="s">
        <v>27</v>
      </c>
      <c r="H770" s="2">
        <v>70208</v>
      </c>
      <c r="I770" s="2">
        <v>70402</v>
      </c>
      <c r="J770" s="2" t="s">
        <v>28</v>
      </c>
      <c r="K770" s="2" t="s">
        <v>864</v>
      </c>
      <c r="L770" s="2" t="s">
        <v>34</v>
      </c>
      <c r="M770" s="2" t="s">
        <v>710</v>
      </c>
      <c r="N770" s="3">
        <v>600</v>
      </c>
      <c r="O770" s="3">
        <v>775</v>
      </c>
      <c r="P770" s="3">
        <v>743</v>
      </c>
      <c r="Q770" s="3">
        <v>890</v>
      </c>
      <c r="R770" s="3">
        <v>120</v>
      </c>
      <c r="S770" s="3">
        <v>154</v>
      </c>
      <c r="T770" s="3">
        <v>148</v>
      </c>
      <c r="U770" s="3">
        <v>177</v>
      </c>
      <c r="V770" s="3"/>
    </row>
    <row r="771" spans="2:22" hidden="1" x14ac:dyDescent="0.25">
      <c r="B771" s="4" t="s">
        <v>1236</v>
      </c>
      <c r="C771" s="4" t="s">
        <v>252</v>
      </c>
      <c r="D771" s="4" t="s">
        <v>54</v>
      </c>
      <c r="E771" s="4" t="s">
        <v>27</v>
      </c>
      <c r="F771" s="4" t="s">
        <v>253</v>
      </c>
      <c r="G771" s="4" t="s">
        <v>27</v>
      </c>
      <c r="H771" s="4">
        <v>70402</v>
      </c>
      <c r="I771" s="4">
        <v>70531</v>
      </c>
      <c r="J771" s="4" t="s">
        <v>28</v>
      </c>
      <c r="K771" s="4" t="s">
        <v>1236</v>
      </c>
      <c r="L771" s="4" t="s">
        <v>29</v>
      </c>
      <c r="M771" s="4"/>
      <c r="N771" s="5">
        <v>600</v>
      </c>
      <c r="O771" s="5">
        <v>775</v>
      </c>
      <c r="P771" s="5">
        <v>743</v>
      </c>
      <c r="Q771" s="5">
        <v>890</v>
      </c>
      <c r="R771" s="5">
        <v>120</v>
      </c>
      <c r="S771" s="5">
        <v>154</v>
      </c>
      <c r="T771" s="5">
        <v>148</v>
      </c>
      <c r="U771" s="5">
        <v>177</v>
      </c>
      <c r="V771" s="5"/>
    </row>
    <row r="772" spans="2:22" hidden="1" x14ac:dyDescent="0.25">
      <c r="B772" s="2" t="s">
        <v>1236</v>
      </c>
      <c r="C772" s="2" t="s">
        <v>252</v>
      </c>
      <c r="D772" s="2" t="s">
        <v>54</v>
      </c>
      <c r="E772" s="2" t="s">
        <v>27</v>
      </c>
      <c r="F772" s="2" t="s">
        <v>253</v>
      </c>
      <c r="G772" s="2" t="s">
        <v>27</v>
      </c>
      <c r="H772" s="2">
        <v>70402</v>
      </c>
      <c r="I772" s="2">
        <v>70531</v>
      </c>
      <c r="J772" s="2" t="s">
        <v>28</v>
      </c>
      <c r="K772" s="2" t="s">
        <v>1237</v>
      </c>
      <c r="L772" s="2" t="s">
        <v>34</v>
      </c>
      <c r="M772" s="2" t="s">
        <v>55</v>
      </c>
      <c r="N772" s="3">
        <v>600</v>
      </c>
      <c r="O772" s="3">
        <v>775</v>
      </c>
      <c r="P772" s="3">
        <v>743</v>
      </c>
      <c r="Q772" s="3">
        <v>890</v>
      </c>
      <c r="R772" s="3">
        <v>120</v>
      </c>
      <c r="S772" s="3">
        <v>154</v>
      </c>
      <c r="T772" s="3">
        <v>148</v>
      </c>
      <c r="U772" s="3">
        <v>177</v>
      </c>
      <c r="V772" s="3"/>
    </row>
    <row r="773" spans="2:22" ht="21" x14ac:dyDescent="0.25">
      <c r="B773" s="4" t="s">
        <v>66</v>
      </c>
      <c r="C773" s="4" t="s">
        <v>75</v>
      </c>
      <c r="D773" s="4" t="s">
        <v>33</v>
      </c>
      <c r="E773" s="4" t="s">
        <v>27</v>
      </c>
      <c r="F773" s="4" t="s">
        <v>76</v>
      </c>
      <c r="G773" s="4" t="s">
        <v>27</v>
      </c>
      <c r="H773" s="4">
        <v>70037</v>
      </c>
      <c r="I773" s="4">
        <v>70167</v>
      </c>
      <c r="J773" s="4" t="s">
        <v>28</v>
      </c>
      <c r="K773" s="4" t="s">
        <v>66</v>
      </c>
      <c r="L773" s="4" t="s">
        <v>29</v>
      </c>
      <c r="M773" s="4"/>
      <c r="N773" s="5">
        <v>640</v>
      </c>
      <c r="O773" s="5">
        <v>705</v>
      </c>
      <c r="P773" s="5">
        <v>728</v>
      </c>
      <c r="Q773" s="5">
        <v>800</v>
      </c>
      <c r="R773" s="5">
        <v>128</v>
      </c>
      <c r="S773" s="5">
        <v>140</v>
      </c>
      <c r="T773" s="5">
        <v>145</v>
      </c>
      <c r="U773" s="5">
        <v>159</v>
      </c>
      <c r="V773" s="5"/>
    </row>
    <row r="774" spans="2:22" ht="20" hidden="1" x14ac:dyDescent="0.25">
      <c r="B774" s="2" t="s">
        <v>66</v>
      </c>
      <c r="C774" s="2" t="s">
        <v>75</v>
      </c>
      <c r="D774" s="2" t="s">
        <v>33</v>
      </c>
      <c r="E774" s="2" t="s">
        <v>27</v>
      </c>
      <c r="F774" s="2" t="s">
        <v>76</v>
      </c>
      <c r="G774" s="2" t="s">
        <v>27</v>
      </c>
      <c r="H774" s="2">
        <v>70037</v>
      </c>
      <c r="I774" s="2">
        <v>70167</v>
      </c>
      <c r="J774" s="2" t="s">
        <v>28</v>
      </c>
      <c r="K774" s="2" t="s">
        <v>61</v>
      </c>
      <c r="L774" s="2" t="s">
        <v>31</v>
      </c>
      <c r="M774" s="2" t="s">
        <v>35</v>
      </c>
      <c r="N774" s="3">
        <v>640</v>
      </c>
      <c r="O774" s="3">
        <v>705</v>
      </c>
      <c r="P774" s="3">
        <v>728</v>
      </c>
      <c r="Q774" s="3">
        <v>800</v>
      </c>
      <c r="R774" s="3">
        <v>128</v>
      </c>
      <c r="S774" s="3">
        <v>140</v>
      </c>
      <c r="T774" s="3">
        <v>145</v>
      </c>
      <c r="U774" s="3">
        <v>159</v>
      </c>
      <c r="V774" s="5"/>
    </row>
    <row r="775" spans="2:22" ht="21" x14ac:dyDescent="0.25">
      <c r="B775" s="4" t="s">
        <v>67</v>
      </c>
      <c r="C775" s="4" t="s">
        <v>77</v>
      </c>
      <c r="D775" s="4" t="s">
        <v>33</v>
      </c>
      <c r="E775" s="4" t="s">
        <v>27</v>
      </c>
      <c r="F775" s="4" t="s">
        <v>74</v>
      </c>
      <c r="G775" s="4" t="s">
        <v>27</v>
      </c>
      <c r="H775" s="4">
        <v>70036</v>
      </c>
      <c r="I775" s="4">
        <v>70384</v>
      </c>
      <c r="J775" s="4" t="s">
        <v>28</v>
      </c>
      <c r="K775" s="4" t="s">
        <v>67</v>
      </c>
      <c r="L775" s="4" t="s">
        <v>29</v>
      </c>
      <c r="M775" s="4"/>
      <c r="N775" s="5">
        <v>640</v>
      </c>
      <c r="O775" s="5">
        <v>705</v>
      </c>
      <c r="P775" s="5">
        <v>728</v>
      </c>
      <c r="Q775" s="5">
        <v>800</v>
      </c>
      <c r="R775" s="5">
        <v>128</v>
      </c>
      <c r="S775" s="5">
        <v>140</v>
      </c>
      <c r="T775" s="5">
        <v>145</v>
      </c>
      <c r="U775" s="5">
        <v>159</v>
      </c>
      <c r="V775" s="5"/>
    </row>
    <row r="776" spans="2:22" ht="20" hidden="1" x14ac:dyDescent="0.25">
      <c r="B776" s="2" t="s">
        <v>67</v>
      </c>
      <c r="C776" s="2" t="s">
        <v>77</v>
      </c>
      <c r="D776" s="2" t="s">
        <v>33</v>
      </c>
      <c r="E776" s="2" t="s">
        <v>27</v>
      </c>
      <c r="F776" s="2" t="s">
        <v>74</v>
      </c>
      <c r="G776" s="2" t="s">
        <v>27</v>
      </c>
      <c r="H776" s="2">
        <v>70036</v>
      </c>
      <c r="I776" s="2">
        <v>70384</v>
      </c>
      <c r="J776" s="2" t="s">
        <v>28</v>
      </c>
      <c r="K776" s="2" t="s">
        <v>61</v>
      </c>
      <c r="L776" s="2" t="s">
        <v>31</v>
      </c>
      <c r="M776" s="2" t="s">
        <v>35</v>
      </c>
      <c r="N776" s="3">
        <v>640</v>
      </c>
      <c r="O776" s="3">
        <v>705</v>
      </c>
      <c r="P776" s="3">
        <v>728</v>
      </c>
      <c r="Q776" s="3">
        <v>800</v>
      </c>
      <c r="R776" s="3">
        <v>128</v>
      </c>
      <c r="S776" s="3">
        <v>140</v>
      </c>
      <c r="T776" s="3">
        <v>145</v>
      </c>
      <c r="U776" s="3">
        <v>159</v>
      </c>
      <c r="V776" s="5"/>
    </row>
    <row r="777" spans="2:22" ht="21" hidden="1" x14ac:dyDescent="0.25">
      <c r="B777" s="4" t="s">
        <v>264</v>
      </c>
      <c r="C777" s="4" t="s">
        <v>37</v>
      </c>
      <c r="D777" s="4" t="s">
        <v>33</v>
      </c>
      <c r="E777" s="4" t="s">
        <v>27</v>
      </c>
      <c r="F777" s="4" t="s">
        <v>38</v>
      </c>
      <c r="G777" s="4" t="s">
        <v>27</v>
      </c>
      <c r="H777" s="4">
        <v>70037</v>
      </c>
      <c r="I777" s="4">
        <v>70398</v>
      </c>
      <c r="J777" s="4" t="s">
        <v>28</v>
      </c>
      <c r="K777" s="4" t="s">
        <v>264</v>
      </c>
      <c r="L777" s="4" t="s">
        <v>29</v>
      </c>
      <c r="M777" s="4"/>
      <c r="N777" s="5">
        <v>775</v>
      </c>
      <c r="O777" s="5">
        <v>853</v>
      </c>
      <c r="P777" s="5">
        <v>843</v>
      </c>
      <c r="Q777" s="5">
        <v>927</v>
      </c>
      <c r="R777" s="5">
        <v>154</v>
      </c>
      <c r="S777" s="5">
        <v>170</v>
      </c>
      <c r="T777" s="5">
        <v>168</v>
      </c>
      <c r="U777" s="5">
        <v>185</v>
      </c>
      <c r="V777" s="5"/>
    </row>
    <row r="778" spans="2:22" ht="20" hidden="1" x14ac:dyDescent="0.25">
      <c r="B778" s="2" t="s">
        <v>264</v>
      </c>
      <c r="C778" s="2" t="s">
        <v>37</v>
      </c>
      <c r="D778" s="2" t="s">
        <v>33</v>
      </c>
      <c r="E778" s="2" t="s">
        <v>27</v>
      </c>
      <c r="F778" s="2" t="s">
        <v>38</v>
      </c>
      <c r="G778" s="2" t="s">
        <v>27</v>
      </c>
      <c r="H778" s="2">
        <v>70037</v>
      </c>
      <c r="I778" s="2">
        <v>70398</v>
      </c>
      <c r="J778" s="2" t="s">
        <v>28</v>
      </c>
      <c r="K778" s="2" t="s">
        <v>264</v>
      </c>
      <c r="L778" s="2" t="s">
        <v>30</v>
      </c>
      <c r="M778" s="2" t="s">
        <v>37</v>
      </c>
      <c r="N778" s="3">
        <v>775</v>
      </c>
      <c r="O778" s="3">
        <v>853</v>
      </c>
      <c r="P778" s="3">
        <v>843</v>
      </c>
      <c r="Q778" s="3">
        <v>927</v>
      </c>
      <c r="R778" s="3">
        <v>154</v>
      </c>
      <c r="S778" s="3">
        <v>170</v>
      </c>
      <c r="T778" s="3">
        <v>168</v>
      </c>
      <c r="U778" s="3">
        <v>185</v>
      </c>
      <c r="V778" s="3"/>
    </row>
    <row r="779" spans="2:22" ht="21" hidden="1" x14ac:dyDescent="0.25">
      <c r="B779" s="4" t="s">
        <v>308</v>
      </c>
      <c r="C779" s="4" t="s">
        <v>37</v>
      </c>
      <c r="D779" s="4" t="s">
        <v>304</v>
      </c>
      <c r="E779" s="4" t="s">
        <v>27</v>
      </c>
      <c r="F779" s="4" t="s">
        <v>38</v>
      </c>
      <c r="G779" s="4" t="s">
        <v>27</v>
      </c>
      <c r="H779" s="4">
        <v>70045</v>
      </c>
      <c r="I779" s="4">
        <v>70398</v>
      </c>
      <c r="J779" s="4" t="s">
        <v>28</v>
      </c>
      <c r="K779" s="4" t="s">
        <v>308</v>
      </c>
      <c r="L779" s="4" t="s">
        <v>29</v>
      </c>
      <c r="M779" s="4"/>
      <c r="N779" s="5">
        <v>800</v>
      </c>
      <c r="O779" s="5">
        <v>880</v>
      </c>
      <c r="P779" s="5">
        <v>910</v>
      </c>
      <c r="Q779" s="5">
        <v>1001</v>
      </c>
      <c r="R779" s="5">
        <v>159</v>
      </c>
      <c r="S779" s="5">
        <v>175</v>
      </c>
      <c r="T779" s="5">
        <v>181</v>
      </c>
      <c r="U779" s="5">
        <v>199</v>
      </c>
      <c r="V779" s="5"/>
    </row>
    <row r="780" spans="2:22" ht="20" hidden="1" x14ac:dyDescent="0.25">
      <c r="B780" s="2" t="s">
        <v>308</v>
      </c>
      <c r="C780" s="2" t="s">
        <v>37</v>
      </c>
      <c r="D780" s="2" t="s">
        <v>304</v>
      </c>
      <c r="E780" s="2" t="s">
        <v>27</v>
      </c>
      <c r="F780" s="2" t="s">
        <v>38</v>
      </c>
      <c r="G780" s="2" t="s">
        <v>27</v>
      </c>
      <c r="H780" s="2">
        <v>70045</v>
      </c>
      <c r="I780" s="2">
        <v>70398</v>
      </c>
      <c r="J780" s="2" t="s">
        <v>28</v>
      </c>
      <c r="K780" s="2" t="s">
        <v>308</v>
      </c>
      <c r="L780" s="2" t="s">
        <v>30</v>
      </c>
      <c r="M780" s="2" t="s">
        <v>37</v>
      </c>
      <c r="N780" s="3">
        <v>800</v>
      </c>
      <c r="O780" s="3">
        <v>880</v>
      </c>
      <c r="P780" s="3">
        <v>910</v>
      </c>
      <c r="Q780" s="3">
        <v>1001</v>
      </c>
      <c r="R780" s="3">
        <v>159</v>
      </c>
      <c r="S780" s="3">
        <v>175</v>
      </c>
      <c r="T780" s="3">
        <v>181</v>
      </c>
      <c r="U780" s="3">
        <v>199</v>
      </c>
      <c r="V780" s="3"/>
    </row>
    <row r="781" spans="2:22" x14ac:dyDescent="0.25">
      <c r="B781" s="4" t="s">
        <v>68</v>
      </c>
      <c r="C781" s="4" t="s">
        <v>37</v>
      </c>
      <c r="D781" s="4" t="s">
        <v>38</v>
      </c>
      <c r="E781" s="4" t="s">
        <v>27</v>
      </c>
      <c r="F781" s="4" t="s">
        <v>54</v>
      </c>
      <c r="G781" s="4" t="s">
        <v>27</v>
      </c>
      <c r="H781" s="4">
        <v>70398</v>
      </c>
      <c r="I781" s="4">
        <v>70401</v>
      </c>
      <c r="J781" s="4" t="s">
        <v>28</v>
      </c>
      <c r="K781" s="4" t="s">
        <v>68</v>
      </c>
      <c r="L781" s="4" t="s">
        <v>29</v>
      </c>
      <c r="M781" s="4"/>
      <c r="N781" s="5">
        <v>600</v>
      </c>
      <c r="O781" s="5">
        <v>775</v>
      </c>
      <c r="P781" s="5">
        <v>743</v>
      </c>
      <c r="Q781" s="5">
        <v>890</v>
      </c>
      <c r="R781" s="5">
        <v>120</v>
      </c>
      <c r="S781" s="5">
        <v>154</v>
      </c>
      <c r="T781" s="5">
        <v>148</v>
      </c>
      <c r="U781" s="5">
        <v>177</v>
      </c>
      <c r="V781" s="5"/>
    </row>
    <row r="782" spans="2:22" hidden="1" x14ac:dyDescent="0.25">
      <c r="B782" s="2" t="s">
        <v>68</v>
      </c>
      <c r="C782" s="2" t="s">
        <v>37</v>
      </c>
      <c r="D782" s="2" t="s">
        <v>38</v>
      </c>
      <c r="E782" s="2" t="s">
        <v>27</v>
      </c>
      <c r="F782" s="2" t="s">
        <v>54</v>
      </c>
      <c r="G782" s="2" t="s">
        <v>27</v>
      </c>
      <c r="H782" s="2">
        <v>70398</v>
      </c>
      <c r="I782" s="2">
        <v>70401</v>
      </c>
      <c r="J782" s="2" t="s">
        <v>28</v>
      </c>
      <c r="K782" s="2" t="s">
        <v>37</v>
      </c>
      <c r="L782" s="2" t="s">
        <v>34</v>
      </c>
      <c r="M782" s="2" t="s">
        <v>55</v>
      </c>
      <c r="N782" s="3">
        <v>600</v>
      </c>
      <c r="O782" s="3">
        <v>775</v>
      </c>
      <c r="P782" s="3">
        <v>743</v>
      </c>
      <c r="Q782" s="3">
        <v>890</v>
      </c>
      <c r="R782" s="3">
        <v>120</v>
      </c>
      <c r="S782" s="3">
        <v>154</v>
      </c>
      <c r="T782" s="3">
        <v>148</v>
      </c>
      <c r="U782" s="3">
        <v>177</v>
      </c>
      <c r="V782" s="5"/>
    </row>
    <row r="783" spans="2:22" ht="21" hidden="1" x14ac:dyDescent="0.25">
      <c r="B783" s="4" t="s">
        <v>258</v>
      </c>
      <c r="C783" s="4" t="s">
        <v>259</v>
      </c>
      <c r="D783" s="4" t="s">
        <v>33</v>
      </c>
      <c r="E783" s="4" t="s">
        <v>27</v>
      </c>
      <c r="F783" s="4" t="s">
        <v>260</v>
      </c>
      <c r="G783" s="4" t="s">
        <v>27</v>
      </c>
      <c r="H783" s="4">
        <v>70037</v>
      </c>
      <c r="I783" s="4">
        <v>70165</v>
      </c>
      <c r="J783" s="4" t="s">
        <v>28</v>
      </c>
      <c r="K783" s="4" t="s">
        <v>258</v>
      </c>
      <c r="L783" s="4" t="s">
        <v>29</v>
      </c>
      <c r="M783" s="4"/>
      <c r="N783" s="5">
        <v>799</v>
      </c>
      <c r="O783" s="5">
        <v>879</v>
      </c>
      <c r="P783" s="5">
        <v>909</v>
      </c>
      <c r="Q783" s="5">
        <v>999</v>
      </c>
      <c r="R783" s="5">
        <v>159</v>
      </c>
      <c r="S783" s="5">
        <v>175</v>
      </c>
      <c r="T783" s="5">
        <v>181</v>
      </c>
      <c r="U783" s="5">
        <v>199</v>
      </c>
      <c r="V783" s="5"/>
    </row>
    <row r="784" spans="2:22" ht="20" hidden="1" x14ac:dyDescent="0.25">
      <c r="B784" s="2" t="s">
        <v>258</v>
      </c>
      <c r="C784" s="2" t="s">
        <v>259</v>
      </c>
      <c r="D784" s="2" t="s">
        <v>33</v>
      </c>
      <c r="E784" s="2" t="s">
        <v>27</v>
      </c>
      <c r="F784" s="2" t="s">
        <v>260</v>
      </c>
      <c r="G784" s="2" t="s">
        <v>27</v>
      </c>
      <c r="H784" s="2">
        <v>70037</v>
      </c>
      <c r="I784" s="2">
        <v>70165</v>
      </c>
      <c r="J784" s="2" t="s">
        <v>28</v>
      </c>
      <c r="K784" s="2" t="s">
        <v>32</v>
      </c>
      <c r="L784" s="2" t="s">
        <v>31</v>
      </c>
      <c r="M784" s="2" t="s">
        <v>35</v>
      </c>
      <c r="N784" s="3">
        <v>799</v>
      </c>
      <c r="O784" s="3">
        <v>879</v>
      </c>
      <c r="P784" s="3">
        <v>909</v>
      </c>
      <c r="Q784" s="3">
        <v>999</v>
      </c>
      <c r="R784" s="3">
        <v>159</v>
      </c>
      <c r="S784" s="3">
        <v>175</v>
      </c>
      <c r="T784" s="3">
        <v>181</v>
      </c>
      <c r="U784" s="3">
        <v>199</v>
      </c>
      <c r="V784" s="3"/>
    </row>
    <row r="785" spans="2:22" ht="21" hidden="1" x14ac:dyDescent="0.25">
      <c r="B785" s="4" t="s">
        <v>759</v>
      </c>
      <c r="C785" s="4" t="s">
        <v>259</v>
      </c>
      <c r="D785" s="4" t="s">
        <v>260</v>
      </c>
      <c r="E785" s="4" t="s">
        <v>27</v>
      </c>
      <c r="F785" s="4" t="s">
        <v>760</v>
      </c>
      <c r="G785" s="4" t="s">
        <v>27</v>
      </c>
      <c r="H785" s="4">
        <v>70165</v>
      </c>
      <c r="I785" s="4">
        <v>70263</v>
      </c>
      <c r="J785" s="4" t="s">
        <v>28</v>
      </c>
      <c r="K785" s="4" t="s">
        <v>759</v>
      </c>
      <c r="L785" s="4" t="s">
        <v>29</v>
      </c>
      <c r="M785" s="4"/>
      <c r="N785" s="5">
        <v>800</v>
      </c>
      <c r="O785" s="5">
        <v>880</v>
      </c>
      <c r="P785" s="5">
        <v>910</v>
      </c>
      <c r="Q785" s="5">
        <v>1001</v>
      </c>
      <c r="R785" s="5">
        <v>159</v>
      </c>
      <c r="S785" s="5">
        <v>175</v>
      </c>
      <c r="T785" s="5">
        <v>181</v>
      </c>
      <c r="U785" s="5">
        <v>199</v>
      </c>
      <c r="V785" s="5"/>
    </row>
    <row r="786" spans="2:22" ht="20" hidden="1" x14ac:dyDescent="0.25">
      <c r="B786" s="2" t="s">
        <v>759</v>
      </c>
      <c r="C786" s="2" t="s">
        <v>259</v>
      </c>
      <c r="D786" s="2" t="s">
        <v>260</v>
      </c>
      <c r="E786" s="2" t="s">
        <v>27</v>
      </c>
      <c r="F786" s="2" t="s">
        <v>760</v>
      </c>
      <c r="G786" s="2" t="s">
        <v>27</v>
      </c>
      <c r="H786" s="2">
        <v>70165</v>
      </c>
      <c r="I786" s="2">
        <v>70263</v>
      </c>
      <c r="J786" s="2" t="s">
        <v>28</v>
      </c>
      <c r="K786" s="2" t="s">
        <v>759</v>
      </c>
      <c r="L786" s="2" t="s">
        <v>30</v>
      </c>
      <c r="M786" s="2" t="s">
        <v>259</v>
      </c>
      <c r="N786" s="3">
        <v>800</v>
      </c>
      <c r="O786" s="3">
        <v>880</v>
      </c>
      <c r="P786" s="3">
        <v>910</v>
      </c>
      <c r="Q786" s="3">
        <v>1001</v>
      </c>
      <c r="R786" s="3">
        <v>159</v>
      </c>
      <c r="S786" s="3">
        <v>175</v>
      </c>
      <c r="T786" s="3">
        <v>181</v>
      </c>
      <c r="U786" s="3">
        <v>199</v>
      </c>
      <c r="V786" s="3"/>
    </row>
    <row r="787" spans="2:22" ht="21" hidden="1" x14ac:dyDescent="0.25">
      <c r="B787" s="4" t="s">
        <v>1012</v>
      </c>
      <c r="C787" s="4" t="s">
        <v>259</v>
      </c>
      <c r="D787" s="4" t="s">
        <v>760</v>
      </c>
      <c r="E787" s="4" t="s">
        <v>27</v>
      </c>
      <c r="F787" s="4" t="s">
        <v>1013</v>
      </c>
      <c r="G787" s="4" t="s">
        <v>27</v>
      </c>
      <c r="H787" s="4">
        <v>70263</v>
      </c>
      <c r="I787" s="4">
        <v>70462</v>
      </c>
      <c r="J787" s="4" t="s">
        <v>28</v>
      </c>
      <c r="K787" s="4" t="s">
        <v>1012</v>
      </c>
      <c r="L787" s="4" t="s">
        <v>29</v>
      </c>
      <c r="M787" s="4"/>
      <c r="N787" s="5">
        <v>800</v>
      </c>
      <c r="O787" s="5">
        <v>880</v>
      </c>
      <c r="P787" s="5">
        <v>910</v>
      </c>
      <c r="Q787" s="5">
        <v>1001</v>
      </c>
      <c r="R787" s="5">
        <v>159</v>
      </c>
      <c r="S787" s="5">
        <v>175</v>
      </c>
      <c r="T787" s="5">
        <v>181</v>
      </c>
      <c r="U787" s="5">
        <v>199</v>
      </c>
      <c r="V787" s="5"/>
    </row>
    <row r="788" spans="2:22" ht="20" hidden="1" x14ac:dyDescent="0.25">
      <c r="B788" s="2" t="s">
        <v>1012</v>
      </c>
      <c r="C788" s="2" t="s">
        <v>259</v>
      </c>
      <c r="D788" s="2" t="s">
        <v>760</v>
      </c>
      <c r="E788" s="2" t="s">
        <v>27</v>
      </c>
      <c r="F788" s="2" t="s">
        <v>1013</v>
      </c>
      <c r="G788" s="2" t="s">
        <v>27</v>
      </c>
      <c r="H788" s="2">
        <v>70263</v>
      </c>
      <c r="I788" s="2">
        <v>70462</v>
      </c>
      <c r="J788" s="2" t="s">
        <v>28</v>
      </c>
      <c r="K788" s="2" t="s">
        <v>1012</v>
      </c>
      <c r="L788" s="2" t="s">
        <v>30</v>
      </c>
      <c r="M788" s="2" t="s">
        <v>259</v>
      </c>
      <c r="N788" s="3">
        <v>800</v>
      </c>
      <c r="O788" s="3">
        <v>880</v>
      </c>
      <c r="P788" s="3">
        <v>910</v>
      </c>
      <c r="Q788" s="3">
        <v>1001</v>
      </c>
      <c r="R788" s="3">
        <v>159</v>
      </c>
      <c r="S788" s="3">
        <v>175</v>
      </c>
      <c r="T788" s="3">
        <v>181</v>
      </c>
      <c r="U788" s="3">
        <v>199</v>
      </c>
      <c r="V788" s="3"/>
    </row>
    <row r="789" spans="2:22" ht="21" hidden="1" x14ac:dyDescent="0.25">
      <c r="B789" s="4" t="s">
        <v>1301</v>
      </c>
      <c r="C789" s="4" t="s">
        <v>259</v>
      </c>
      <c r="D789" s="4" t="s">
        <v>490</v>
      </c>
      <c r="E789" s="4" t="s">
        <v>27</v>
      </c>
      <c r="F789" s="4" t="s">
        <v>1013</v>
      </c>
      <c r="G789" s="4" t="s">
        <v>27</v>
      </c>
      <c r="H789" s="4">
        <v>70463</v>
      </c>
      <c r="I789" s="4">
        <v>70462</v>
      </c>
      <c r="J789" s="4" t="s">
        <v>28</v>
      </c>
      <c r="K789" s="4" t="s">
        <v>1301</v>
      </c>
      <c r="L789" s="4" t="s">
        <v>29</v>
      </c>
      <c r="M789" s="4"/>
      <c r="N789" s="5">
        <v>695</v>
      </c>
      <c r="O789" s="5">
        <v>765</v>
      </c>
      <c r="P789" s="5">
        <v>799</v>
      </c>
      <c r="Q789" s="5">
        <v>879</v>
      </c>
      <c r="R789" s="5">
        <v>139</v>
      </c>
      <c r="S789" s="5">
        <v>152</v>
      </c>
      <c r="T789" s="5">
        <v>159</v>
      </c>
      <c r="U789" s="5">
        <v>175</v>
      </c>
      <c r="V789" s="5"/>
    </row>
    <row r="790" spans="2:22" ht="20" hidden="1" x14ac:dyDescent="0.25">
      <c r="B790" s="2" t="s">
        <v>1301</v>
      </c>
      <c r="C790" s="2" t="s">
        <v>259</v>
      </c>
      <c r="D790" s="2" t="s">
        <v>490</v>
      </c>
      <c r="E790" s="2" t="s">
        <v>27</v>
      </c>
      <c r="F790" s="2" t="s">
        <v>1013</v>
      </c>
      <c r="G790" s="2" t="s">
        <v>27</v>
      </c>
      <c r="H790" s="2">
        <v>70463</v>
      </c>
      <c r="I790" s="2">
        <v>70462</v>
      </c>
      <c r="J790" s="2" t="s">
        <v>28</v>
      </c>
      <c r="K790" s="2" t="s">
        <v>501</v>
      </c>
      <c r="L790" s="2" t="s">
        <v>31</v>
      </c>
      <c r="M790" s="2" t="s">
        <v>1057</v>
      </c>
      <c r="N790" s="3">
        <v>695</v>
      </c>
      <c r="O790" s="3">
        <v>765</v>
      </c>
      <c r="P790" s="3">
        <v>799</v>
      </c>
      <c r="Q790" s="3">
        <v>879</v>
      </c>
      <c r="R790" s="3">
        <v>139</v>
      </c>
      <c r="S790" s="3">
        <v>152</v>
      </c>
      <c r="T790" s="3">
        <v>159</v>
      </c>
      <c r="U790" s="3">
        <v>175</v>
      </c>
      <c r="V790" s="3"/>
    </row>
    <row r="791" spans="2:22" ht="21" hidden="1" x14ac:dyDescent="0.25">
      <c r="B791" s="4" t="s">
        <v>657</v>
      </c>
      <c r="C791" s="4" t="s">
        <v>658</v>
      </c>
      <c r="D791" s="4" t="s">
        <v>659</v>
      </c>
      <c r="E791" s="4" t="s">
        <v>27</v>
      </c>
      <c r="F791" s="4" t="s">
        <v>660</v>
      </c>
      <c r="G791" s="4" t="s">
        <v>27</v>
      </c>
      <c r="H791" s="4">
        <v>70142</v>
      </c>
      <c r="I791" s="4">
        <v>70484</v>
      </c>
      <c r="J791" s="4" t="s">
        <v>28</v>
      </c>
      <c r="K791" s="4" t="s">
        <v>657</v>
      </c>
      <c r="L791" s="4" t="s">
        <v>29</v>
      </c>
      <c r="M791" s="4"/>
      <c r="N791" s="5">
        <v>1262</v>
      </c>
      <c r="O791" s="5">
        <v>1389</v>
      </c>
      <c r="P791" s="5">
        <v>1438</v>
      </c>
      <c r="Q791" s="5">
        <v>1582</v>
      </c>
      <c r="R791" s="5">
        <v>251</v>
      </c>
      <c r="S791" s="5">
        <v>277</v>
      </c>
      <c r="T791" s="5">
        <v>286</v>
      </c>
      <c r="U791" s="5">
        <v>315</v>
      </c>
      <c r="V791" s="5"/>
    </row>
    <row r="792" spans="2:22" ht="20" hidden="1" x14ac:dyDescent="0.25">
      <c r="B792" s="2" t="s">
        <v>657</v>
      </c>
      <c r="C792" s="2" t="s">
        <v>658</v>
      </c>
      <c r="D792" s="2" t="s">
        <v>659</v>
      </c>
      <c r="E792" s="2" t="s">
        <v>27</v>
      </c>
      <c r="F792" s="2" t="s">
        <v>660</v>
      </c>
      <c r="G792" s="2" t="s">
        <v>27</v>
      </c>
      <c r="H792" s="2">
        <v>70142</v>
      </c>
      <c r="I792" s="2">
        <v>70484</v>
      </c>
      <c r="J792" s="2" t="s">
        <v>28</v>
      </c>
      <c r="K792" s="2" t="s">
        <v>657</v>
      </c>
      <c r="L792" s="2" t="s">
        <v>30</v>
      </c>
      <c r="M792" s="2" t="s">
        <v>658</v>
      </c>
      <c r="N792" s="3">
        <v>1262</v>
      </c>
      <c r="O792" s="3">
        <v>1389</v>
      </c>
      <c r="P792" s="3">
        <v>1438</v>
      </c>
      <c r="Q792" s="3">
        <v>1582</v>
      </c>
      <c r="R792" s="3">
        <v>251</v>
      </c>
      <c r="S792" s="3">
        <v>277</v>
      </c>
      <c r="T792" s="3">
        <v>286</v>
      </c>
      <c r="U792" s="3">
        <v>315</v>
      </c>
      <c r="V792" s="3"/>
    </row>
    <row r="793" spans="2:22" ht="21" hidden="1" x14ac:dyDescent="0.25">
      <c r="B793" s="4" t="s">
        <v>661</v>
      </c>
      <c r="C793" s="4" t="s">
        <v>658</v>
      </c>
      <c r="D793" s="4" t="s">
        <v>659</v>
      </c>
      <c r="E793" s="4" t="s">
        <v>27</v>
      </c>
      <c r="F793" s="4" t="s">
        <v>238</v>
      </c>
      <c r="G793" s="4" t="s">
        <v>27</v>
      </c>
      <c r="H793" s="4">
        <v>70142</v>
      </c>
      <c r="I793" s="4">
        <v>70400</v>
      </c>
      <c r="J793" s="4" t="s">
        <v>28</v>
      </c>
      <c r="K793" s="4" t="s">
        <v>661</v>
      </c>
      <c r="L793" s="4" t="s">
        <v>29</v>
      </c>
      <c r="M793" s="4"/>
      <c r="N793" s="5">
        <v>600</v>
      </c>
      <c r="O793" s="5">
        <v>775</v>
      </c>
      <c r="P793" s="5">
        <v>743</v>
      </c>
      <c r="Q793" s="5">
        <v>890</v>
      </c>
      <c r="R793" s="5">
        <v>120</v>
      </c>
      <c r="S793" s="5">
        <v>154</v>
      </c>
      <c r="T793" s="5">
        <v>148</v>
      </c>
      <c r="U793" s="5">
        <v>177</v>
      </c>
      <c r="V793" s="5"/>
    </row>
    <row r="794" spans="2:22" ht="20" hidden="1" x14ac:dyDescent="0.25">
      <c r="B794" s="2" t="s">
        <v>661</v>
      </c>
      <c r="C794" s="2" t="s">
        <v>658</v>
      </c>
      <c r="D794" s="2" t="s">
        <v>659</v>
      </c>
      <c r="E794" s="2" t="s">
        <v>27</v>
      </c>
      <c r="F794" s="2" t="s">
        <v>238</v>
      </c>
      <c r="G794" s="2" t="s">
        <v>27</v>
      </c>
      <c r="H794" s="2">
        <v>70142</v>
      </c>
      <c r="I794" s="2">
        <v>70400</v>
      </c>
      <c r="J794" s="2" t="s">
        <v>28</v>
      </c>
      <c r="K794" s="2" t="s">
        <v>662</v>
      </c>
      <c r="L794" s="2" t="s">
        <v>34</v>
      </c>
      <c r="M794" s="2" t="s">
        <v>241</v>
      </c>
      <c r="N794" s="3">
        <v>600</v>
      </c>
      <c r="O794" s="3">
        <v>775</v>
      </c>
      <c r="P794" s="3">
        <v>743</v>
      </c>
      <c r="Q794" s="3">
        <v>890</v>
      </c>
      <c r="R794" s="3">
        <v>120</v>
      </c>
      <c r="S794" s="3">
        <v>154</v>
      </c>
      <c r="T794" s="3">
        <v>148</v>
      </c>
      <c r="U794" s="3">
        <v>177</v>
      </c>
      <c r="V794" s="3"/>
    </row>
    <row r="795" spans="2:22" ht="21" hidden="1" x14ac:dyDescent="0.25">
      <c r="B795" s="4" t="s">
        <v>1300</v>
      </c>
      <c r="C795" s="4" t="s">
        <v>658</v>
      </c>
      <c r="D795" s="4" t="s">
        <v>490</v>
      </c>
      <c r="E795" s="4" t="s">
        <v>27</v>
      </c>
      <c r="F795" s="4" t="s">
        <v>660</v>
      </c>
      <c r="G795" s="4" t="s">
        <v>27</v>
      </c>
      <c r="H795" s="4">
        <v>70463</v>
      </c>
      <c r="I795" s="4">
        <v>70484</v>
      </c>
      <c r="J795" s="4" t="s">
        <v>28</v>
      </c>
      <c r="K795" s="4" t="s">
        <v>1300</v>
      </c>
      <c r="L795" s="4" t="s">
        <v>29</v>
      </c>
      <c r="M795" s="4"/>
      <c r="N795" s="5">
        <v>638</v>
      </c>
      <c r="O795" s="5">
        <v>702</v>
      </c>
      <c r="P795" s="5">
        <v>725</v>
      </c>
      <c r="Q795" s="5">
        <v>798</v>
      </c>
      <c r="R795" s="5">
        <v>127</v>
      </c>
      <c r="S795" s="5">
        <v>140</v>
      </c>
      <c r="T795" s="5">
        <v>144</v>
      </c>
      <c r="U795" s="5">
        <v>159</v>
      </c>
      <c r="V795" s="5"/>
    </row>
    <row r="796" spans="2:22" ht="20" hidden="1" x14ac:dyDescent="0.25">
      <c r="B796" s="2" t="s">
        <v>1300</v>
      </c>
      <c r="C796" s="2" t="s">
        <v>658</v>
      </c>
      <c r="D796" s="2" t="s">
        <v>490</v>
      </c>
      <c r="E796" s="2" t="s">
        <v>27</v>
      </c>
      <c r="F796" s="2" t="s">
        <v>660</v>
      </c>
      <c r="G796" s="2" t="s">
        <v>27</v>
      </c>
      <c r="H796" s="2">
        <v>70463</v>
      </c>
      <c r="I796" s="2">
        <v>70484</v>
      </c>
      <c r="J796" s="2" t="s">
        <v>28</v>
      </c>
      <c r="K796" s="2" t="s">
        <v>61</v>
      </c>
      <c r="L796" s="2" t="s">
        <v>31</v>
      </c>
      <c r="M796" s="2" t="s">
        <v>1057</v>
      </c>
      <c r="N796" s="3">
        <v>638</v>
      </c>
      <c r="O796" s="3">
        <v>702</v>
      </c>
      <c r="P796" s="3">
        <v>725</v>
      </c>
      <c r="Q796" s="3">
        <v>798</v>
      </c>
      <c r="R796" s="3">
        <v>127</v>
      </c>
      <c r="S796" s="3">
        <v>140</v>
      </c>
      <c r="T796" s="3">
        <v>144</v>
      </c>
      <c r="U796" s="3">
        <v>159</v>
      </c>
      <c r="V796" s="3"/>
    </row>
    <row r="797" spans="2:22" ht="21" hidden="1" x14ac:dyDescent="0.25">
      <c r="B797" s="4" t="s">
        <v>265</v>
      </c>
      <c r="C797" s="4" t="s">
        <v>266</v>
      </c>
      <c r="D797" s="4" t="s">
        <v>33</v>
      </c>
      <c r="E797" s="4" t="s">
        <v>27</v>
      </c>
      <c r="F797" s="4" t="s">
        <v>267</v>
      </c>
      <c r="G797" s="4" t="s">
        <v>27</v>
      </c>
      <c r="H797" s="4">
        <v>70036</v>
      </c>
      <c r="I797" s="4">
        <v>70441</v>
      </c>
      <c r="J797" s="4" t="s">
        <v>28</v>
      </c>
      <c r="K797" s="4" t="s">
        <v>265</v>
      </c>
      <c r="L797" s="4" t="s">
        <v>29</v>
      </c>
      <c r="M797" s="4"/>
      <c r="N797" s="5">
        <v>773</v>
      </c>
      <c r="O797" s="5">
        <v>773</v>
      </c>
      <c r="P797" s="5">
        <v>773</v>
      </c>
      <c r="Q797" s="5">
        <v>773</v>
      </c>
      <c r="R797" s="5">
        <v>154</v>
      </c>
      <c r="S797" s="5">
        <v>154</v>
      </c>
      <c r="T797" s="5">
        <v>154</v>
      </c>
      <c r="U797" s="5">
        <v>154</v>
      </c>
      <c r="V797" s="5"/>
    </row>
    <row r="798" spans="2:22" ht="20" hidden="1" x14ac:dyDescent="0.25">
      <c r="B798" s="2" t="s">
        <v>265</v>
      </c>
      <c r="C798" s="2" t="s">
        <v>266</v>
      </c>
      <c r="D798" s="2" t="s">
        <v>33</v>
      </c>
      <c r="E798" s="2" t="s">
        <v>27</v>
      </c>
      <c r="F798" s="2" t="s">
        <v>267</v>
      </c>
      <c r="G798" s="2" t="s">
        <v>27</v>
      </c>
      <c r="H798" s="2">
        <v>70036</v>
      </c>
      <c r="I798" s="2">
        <v>70441</v>
      </c>
      <c r="J798" s="2" t="s">
        <v>28</v>
      </c>
      <c r="K798" s="2" t="s">
        <v>265</v>
      </c>
      <c r="L798" s="2" t="s">
        <v>30</v>
      </c>
      <c r="M798" s="2" t="s">
        <v>266</v>
      </c>
      <c r="N798" s="3">
        <v>773</v>
      </c>
      <c r="O798" s="3">
        <v>773</v>
      </c>
      <c r="P798" s="3">
        <v>773</v>
      </c>
      <c r="Q798" s="3">
        <v>773</v>
      </c>
      <c r="R798" s="3">
        <v>154</v>
      </c>
      <c r="S798" s="3">
        <v>154</v>
      </c>
      <c r="T798" s="3">
        <v>154</v>
      </c>
      <c r="U798" s="3">
        <v>154</v>
      </c>
      <c r="V798" s="3"/>
    </row>
    <row r="799" spans="2:22" ht="21" hidden="1" x14ac:dyDescent="0.25">
      <c r="B799" s="4" t="s">
        <v>1007</v>
      </c>
      <c r="C799" s="4" t="s">
        <v>266</v>
      </c>
      <c r="D799" s="4" t="s">
        <v>923</v>
      </c>
      <c r="E799" s="4" t="s">
        <v>27</v>
      </c>
      <c r="F799" s="4" t="s">
        <v>267</v>
      </c>
      <c r="G799" s="4" t="s">
        <v>27</v>
      </c>
      <c r="H799" s="4">
        <v>70259</v>
      </c>
      <c r="I799" s="4">
        <v>70441</v>
      </c>
      <c r="J799" s="4" t="s">
        <v>28</v>
      </c>
      <c r="K799" s="4" t="s">
        <v>1007</v>
      </c>
      <c r="L799" s="4" t="s">
        <v>29</v>
      </c>
      <c r="M799" s="4"/>
      <c r="N799" s="5">
        <v>957</v>
      </c>
      <c r="O799" s="5">
        <v>1052</v>
      </c>
      <c r="P799" s="5">
        <v>1088</v>
      </c>
      <c r="Q799" s="5">
        <v>1197</v>
      </c>
      <c r="R799" s="5">
        <v>191</v>
      </c>
      <c r="S799" s="5">
        <v>210</v>
      </c>
      <c r="T799" s="5">
        <v>217</v>
      </c>
      <c r="U799" s="5">
        <v>238</v>
      </c>
      <c r="V799" s="5"/>
    </row>
    <row r="800" spans="2:22" ht="20" hidden="1" x14ac:dyDescent="0.25">
      <c r="B800" s="2" t="s">
        <v>1007</v>
      </c>
      <c r="C800" s="2" t="s">
        <v>266</v>
      </c>
      <c r="D800" s="2" t="s">
        <v>923</v>
      </c>
      <c r="E800" s="2" t="s">
        <v>27</v>
      </c>
      <c r="F800" s="2" t="s">
        <v>267</v>
      </c>
      <c r="G800" s="2" t="s">
        <v>27</v>
      </c>
      <c r="H800" s="2">
        <v>70259</v>
      </c>
      <c r="I800" s="2">
        <v>70441</v>
      </c>
      <c r="J800" s="2" t="s">
        <v>28</v>
      </c>
      <c r="K800" s="2" t="s">
        <v>1007</v>
      </c>
      <c r="L800" s="2" t="s">
        <v>30</v>
      </c>
      <c r="M800" s="2" t="s">
        <v>266</v>
      </c>
      <c r="N800" s="3">
        <v>957</v>
      </c>
      <c r="O800" s="3">
        <v>1052</v>
      </c>
      <c r="P800" s="3">
        <v>1088</v>
      </c>
      <c r="Q800" s="3">
        <v>1197</v>
      </c>
      <c r="R800" s="3">
        <v>191</v>
      </c>
      <c r="S800" s="3">
        <v>210</v>
      </c>
      <c r="T800" s="3">
        <v>217</v>
      </c>
      <c r="U800" s="3">
        <v>238</v>
      </c>
      <c r="V800" s="3"/>
    </row>
    <row r="801" spans="2:22" ht="21" hidden="1" x14ac:dyDescent="0.25">
      <c r="B801" s="4" t="s">
        <v>386</v>
      </c>
      <c r="C801" s="4" t="s">
        <v>387</v>
      </c>
      <c r="D801" s="4" t="s">
        <v>383</v>
      </c>
      <c r="E801" s="4" t="s">
        <v>27</v>
      </c>
      <c r="F801" s="4" t="s">
        <v>43</v>
      </c>
      <c r="G801" s="4" t="s">
        <v>27</v>
      </c>
      <c r="H801" s="4">
        <v>70005</v>
      </c>
      <c r="I801" s="4">
        <v>70397</v>
      </c>
      <c r="J801" s="4" t="s">
        <v>28</v>
      </c>
      <c r="K801" s="4" t="s">
        <v>386</v>
      </c>
      <c r="L801" s="4" t="s">
        <v>29</v>
      </c>
      <c r="M801" s="4"/>
      <c r="N801" s="5">
        <v>1441</v>
      </c>
      <c r="O801" s="5">
        <v>1585</v>
      </c>
      <c r="P801" s="5">
        <v>1641</v>
      </c>
      <c r="Q801" s="5">
        <v>1800</v>
      </c>
      <c r="R801" s="5">
        <v>287</v>
      </c>
      <c r="S801" s="5">
        <v>316</v>
      </c>
      <c r="T801" s="5">
        <v>327</v>
      </c>
      <c r="U801" s="5">
        <v>359</v>
      </c>
      <c r="V801" s="5"/>
    </row>
    <row r="802" spans="2:22" ht="20" hidden="1" x14ac:dyDescent="0.25">
      <c r="B802" s="2" t="s">
        <v>386</v>
      </c>
      <c r="C802" s="2" t="s">
        <v>387</v>
      </c>
      <c r="D802" s="2" t="s">
        <v>383</v>
      </c>
      <c r="E802" s="2" t="s">
        <v>27</v>
      </c>
      <c r="F802" s="2" t="s">
        <v>43</v>
      </c>
      <c r="G802" s="2" t="s">
        <v>27</v>
      </c>
      <c r="H802" s="2">
        <v>70005</v>
      </c>
      <c r="I802" s="2">
        <v>70397</v>
      </c>
      <c r="J802" s="2" t="s">
        <v>28</v>
      </c>
      <c r="K802" s="2" t="s">
        <v>388</v>
      </c>
      <c r="L802" s="2" t="s">
        <v>31</v>
      </c>
      <c r="M802" s="2" t="s">
        <v>47</v>
      </c>
      <c r="N802" s="3">
        <v>1441</v>
      </c>
      <c r="O802" s="3">
        <v>1585</v>
      </c>
      <c r="P802" s="3">
        <v>1641</v>
      </c>
      <c r="Q802" s="2">
        <v>1805</v>
      </c>
      <c r="R802" s="3">
        <v>287</v>
      </c>
      <c r="S802" s="3">
        <v>316</v>
      </c>
      <c r="T802" s="3">
        <v>327</v>
      </c>
      <c r="U802" s="2">
        <v>360</v>
      </c>
      <c r="V802" s="2"/>
    </row>
    <row r="803" spans="2:22" ht="20" hidden="1" x14ac:dyDescent="0.25">
      <c r="B803" s="2" t="s">
        <v>386</v>
      </c>
      <c r="C803" s="2" t="s">
        <v>387</v>
      </c>
      <c r="D803" s="2" t="s">
        <v>383</v>
      </c>
      <c r="E803" s="2" t="s">
        <v>27</v>
      </c>
      <c r="F803" s="2" t="s">
        <v>43</v>
      </c>
      <c r="G803" s="2" t="s">
        <v>27</v>
      </c>
      <c r="H803" s="2">
        <v>70005</v>
      </c>
      <c r="I803" s="2">
        <v>70397</v>
      </c>
      <c r="J803" s="2" t="s">
        <v>28</v>
      </c>
      <c r="K803" s="2" t="s">
        <v>388</v>
      </c>
      <c r="L803" s="2" t="s">
        <v>31</v>
      </c>
      <c r="M803" s="2" t="s">
        <v>389</v>
      </c>
      <c r="N803" s="3">
        <v>1441</v>
      </c>
      <c r="O803" s="2">
        <v>1586</v>
      </c>
      <c r="P803" s="2">
        <v>1642</v>
      </c>
      <c r="Q803" s="2">
        <v>1806</v>
      </c>
      <c r="R803" s="3">
        <v>287</v>
      </c>
      <c r="S803" s="2">
        <v>316</v>
      </c>
      <c r="T803" s="2">
        <v>327</v>
      </c>
      <c r="U803" s="2">
        <v>360</v>
      </c>
      <c r="V803" s="2"/>
    </row>
    <row r="804" spans="2:22" ht="30" hidden="1" x14ac:dyDescent="0.25">
      <c r="B804" s="2" t="s">
        <v>386</v>
      </c>
      <c r="C804" s="2" t="s">
        <v>387</v>
      </c>
      <c r="D804" s="2" t="s">
        <v>383</v>
      </c>
      <c r="E804" s="2" t="s">
        <v>27</v>
      </c>
      <c r="F804" s="2" t="s">
        <v>43</v>
      </c>
      <c r="G804" s="2" t="s">
        <v>27</v>
      </c>
      <c r="H804" s="2">
        <v>70005</v>
      </c>
      <c r="I804" s="2">
        <v>70397</v>
      </c>
      <c r="J804" s="2" t="s">
        <v>28</v>
      </c>
      <c r="K804" s="2" t="s">
        <v>390</v>
      </c>
      <c r="L804" s="2" t="s">
        <v>36</v>
      </c>
      <c r="M804" s="2" t="s">
        <v>389</v>
      </c>
      <c r="N804" s="2">
        <v>1800</v>
      </c>
      <c r="O804" s="2">
        <v>1800</v>
      </c>
      <c r="P804" s="2">
        <v>1800</v>
      </c>
      <c r="Q804" s="3">
        <v>1800</v>
      </c>
      <c r="R804" s="2">
        <v>359</v>
      </c>
      <c r="S804" s="2">
        <v>359</v>
      </c>
      <c r="T804" s="2">
        <v>359</v>
      </c>
      <c r="U804" s="3">
        <v>359</v>
      </c>
      <c r="V804" s="3"/>
    </row>
    <row r="805" spans="2:22" ht="21" hidden="1" x14ac:dyDescent="0.25">
      <c r="B805" s="4" t="s">
        <v>391</v>
      </c>
      <c r="C805" s="4" t="s">
        <v>392</v>
      </c>
      <c r="D805" s="4" t="s">
        <v>383</v>
      </c>
      <c r="E805" s="4" t="s">
        <v>27</v>
      </c>
      <c r="F805" s="4" t="s">
        <v>43</v>
      </c>
      <c r="G805" s="4" t="s">
        <v>27</v>
      </c>
      <c r="H805" s="4">
        <v>70005</v>
      </c>
      <c r="I805" s="4">
        <v>70397</v>
      </c>
      <c r="J805" s="4" t="s">
        <v>28</v>
      </c>
      <c r="K805" s="4" t="s">
        <v>391</v>
      </c>
      <c r="L805" s="4" t="s">
        <v>29</v>
      </c>
      <c r="M805" s="4"/>
      <c r="N805" s="5">
        <v>1600</v>
      </c>
      <c r="O805" s="5">
        <v>1600</v>
      </c>
      <c r="P805" s="5">
        <v>1600</v>
      </c>
      <c r="Q805" s="5">
        <v>1600</v>
      </c>
      <c r="R805" s="5">
        <v>319</v>
      </c>
      <c r="S805" s="5">
        <v>319</v>
      </c>
      <c r="T805" s="5">
        <v>319</v>
      </c>
      <c r="U805" s="5">
        <v>319</v>
      </c>
      <c r="V805" s="5"/>
    </row>
    <row r="806" spans="2:22" ht="20" hidden="1" x14ac:dyDescent="0.25">
      <c r="B806" s="2" t="s">
        <v>391</v>
      </c>
      <c r="C806" s="2" t="s">
        <v>392</v>
      </c>
      <c r="D806" s="2" t="s">
        <v>383</v>
      </c>
      <c r="E806" s="2" t="s">
        <v>27</v>
      </c>
      <c r="F806" s="2" t="s">
        <v>43</v>
      </c>
      <c r="G806" s="2" t="s">
        <v>27</v>
      </c>
      <c r="H806" s="2">
        <v>70005</v>
      </c>
      <c r="I806" s="2">
        <v>70397</v>
      </c>
      <c r="J806" s="2" t="s">
        <v>28</v>
      </c>
      <c r="K806" s="2" t="s">
        <v>48</v>
      </c>
      <c r="L806" s="2" t="s">
        <v>49</v>
      </c>
      <c r="M806" s="2" t="s">
        <v>47</v>
      </c>
      <c r="N806" s="3">
        <v>1600</v>
      </c>
      <c r="O806" s="3">
        <v>1600</v>
      </c>
      <c r="P806" s="3">
        <v>1600</v>
      </c>
      <c r="Q806" s="3">
        <v>1600</v>
      </c>
      <c r="R806" s="3">
        <v>319</v>
      </c>
      <c r="S806" s="3">
        <v>319</v>
      </c>
      <c r="T806" s="3">
        <v>319</v>
      </c>
      <c r="U806" s="3">
        <v>319</v>
      </c>
      <c r="V806" s="3"/>
    </row>
    <row r="807" spans="2:22" hidden="1" x14ac:dyDescent="0.25">
      <c r="B807" s="4" t="s">
        <v>268</v>
      </c>
      <c r="C807" s="4" t="s">
        <v>269</v>
      </c>
      <c r="D807" s="4" t="s">
        <v>270</v>
      </c>
      <c r="E807" s="4" t="s">
        <v>27</v>
      </c>
      <c r="F807" s="4" t="s">
        <v>271</v>
      </c>
      <c r="G807" s="4" t="s">
        <v>27</v>
      </c>
      <c r="H807" s="4">
        <v>70039</v>
      </c>
      <c r="I807" s="4">
        <v>2119</v>
      </c>
      <c r="J807" s="4" t="s">
        <v>28</v>
      </c>
      <c r="K807" s="4" t="s">
        <v>268</v>
      </c>
      <c r="L807" s="4" t="s">
        <v>29</v>
      </c>
      <c r="M807" s="4"/>
      <c r="N807" s="5">
        <v>2400</v>
      </c>
      <c r="O807" s="5">
        <v>2400</v>
      </c>
      <c r="P807" s="5">
        <v>2400</v>
      </c>
      <c r="Q807" s="5">
        <v>2400</v>
      </c>
      <c r="R807" s="5">
        <v>478</v>
      </c>
      <c r="S807" s="5">
        <v>478</v>
      </c>
      <c r="T807" s="5">
        <v>478</v>
      </c>
      <c r="U807" s="5">
        <v>478</v>
      </c>
      <c r="V807" s="5"/>
    </row>
    <row r="808" spans="2:22" ht="20" hidden="1" x14ac:dyDescent="0.25">
      <c r="B808" s="2" t="s">
        <v>268</v>
      </c>
      <c r="C808" s="2" t="s">
        <v>269</v>
      </c>
      <c r="D808" s="2" t="s">
        <v>270</v>
      </c>
      <c r="E808" s="2" t="s">
        <v>27</v>
      </c>
      <c r="F808" s="2" t="s">
        <v>271</v>
      </c>
      <c r="G808" s="2" t="s">
        <v>27</v>
      </c>
      <c r="H808" s="2">
        <v>70039</v>
      </c>
      <c r="I808" s="2">
        <v>2119</v>
      </c>
      <c r="J808" s="2" t="s">
        <v>28</v>
      </c>
      <c r="K808" s="2" t="s">
        <v>272</v>
      </c>
      <c r="L808" s="2" t="s">
        <v>39</v>
      </c>
      <c r="M808" s="2" t="s">
        <v>271</v>
      </c>
      <c r="N808" s="3">
        <v>2400</v>
      </c>
      <c r="O808" s="3">
        <v>2400</v>
      </c>
      <c r="P808" s="3">
        <v>2400</v>
      </c>
      <c r="Q808" s="3">
        <v>2400</v>
      </c>
      <c r="R808" s="3">
        <v>478</v>
      </c>
      <c r="S808" s="3">
        <v>478</v>
      </c>
      <c r="T808" s="3">
        <v>478</v>
      </c>
      <c r="U808" s="3">
        <v>478</v>
      </c>
      <c r="V808" s="3"/>
    </row>
    <row r="809" spans="2:22" ht="30" hidden="1" x14ac:dyDescent="0.25">
      <c r="B809" s="2" t="s">
        <v>268</v>
      </c>
      <c r="C809" s="2" t="s">
        <v>269</v>
      </c>
      <c r="D809" s="2" t="s">
        <v>270</v>
      </c>
      <c r="E809" s="2" t="s">
        <v>27</v>
      </c>
      <c r="F809" s="2" t="s">
        <v>271</v>
      </c>
      <c r="G809" s="2" t="s">
        <v>27</v>
      </c>
      <c r="H809" s="2">
        <v>70039</v>
      </c>
      <c r="I809" s="2">
        <v>2119</v>
      </c>
      <c r="J809" s="2" t="s">
        <v>28</v>
      </c>
      <c r="K809" s="2" t="s">
        <v>273</v>
      </c>
      <c r="L809" s="2" t="s">
        <v>36</v>
      </c>
      <c r="M809" s="2" t="s">
        <v>271</v>
      </c>
      <c r="N809" s="3">
        <v>2400</v>
      </c>
      <c r="O809" s="3">
        <v>2400</v>
      </c>
      <c r="P809" s="3">
        <v>2400</v>
      </c>
      <c r="Q809" s="3">
        <v>2400</v>
      </c>
      <c r="R809" s="3">
        <v>478</v>
      </c>
      <c r="S809" s="3">
        <v>478</v>
      </c>
      <c r="T809" s="3">
        <v>478</v>
      </c>
      <c r="U809" s="3">
        <v>478</v>
      </c>
      <c r="V809" s="3"/>
    </row>
    <row r="810" spans="2:22" ht="20" hidden="1" x14ac:dyDescent="0.25">
      <c r="B810" s="2" t="s">
        <v>268</v>
      </c>
      <c r="C810" s="2" t="s">
        <v>269</v>
      </c>
      <c r="D810" s="2" t="s">
        <v>270</v>
      </c>
      <c r="E810" s="2" t="s">
        <v>27</v>
      </c>
      <c r="F810" s="2" t="s">
        <v>271</v>
      </c>
      <c r="G810" s="2" t="s">
        <v>27</v>
      </c>
      <c r="H810" s="2">
        <v>70039</v>
      </c>
      <c r="I810" s="2">
        <v>2119</v>
      </c>
      <c r="J810" s="2" t="s">
        <v>28</v>
      </c>
      <c r="K810" s="2" t="s">
        <v>274</v>
      </c>
      <c r="L810" s="2" t="s">
        <v>39</v>
      </c>
      <c r="M810" s="2" t="s">
        <v>271</v>
      </c>
      <c r="N810" s="3">
        <v>2400</v>
      </c>
      <c r="O810" s="3">
        <v>2400</v>
      </c>
      <c r="P810" s="3">
        <v>2400</v>
      </c>
      <c r="Q810" s="3">
        <v>2400</v>
      </c>
      <c r="R810" s="3">
        <v>478</v>
      </c>
      <c r="S810" s="3">
        <v>478</v>
      </c>
      <c r="T810" s="3">
        <v>478</v>
      </c>
      <c r="U810" s="3">
        <v>478</v>
      </c>
      <c r="V810" s="3"/>
    </row>
    <row r="811" spans="2:22" ht="21" hidden="1" x14ac:dyDescent="0.25">
      <c r="B811" s="4" t="s">
        <v>284</v>
      </c>
      <c r="C811" s="4" t="s">
        <v>269</v>
      </c>
      <c r="D811" s="4" t="s">
        <v>271</v>
      </c>
      <c r="E811" s="4" t="s">
        <v>27</v>
      </c>
      <c r="F811" s="4" t="s">
        <v>285</v>
      </c>
      <c r="G811" s="4" t="s">
        <v>27</v>
      </c>
      <c r="H811" s="4">
        <v>2119</v>
      </c>
      <c r="I811" s="4">
        <v>2112</v>
      </c>
      <c r="J811" s="4" t="s">
        <v>28</v>
      </c>
      <c r="K811" s="4" t="s">
        <v>284</v>
      </c>
      <c r="L811" s="4" t="s">
        <v>29</v>
      </c>
      <c r="M811" s="4"/>
      <c r="N811" s="5">
        <v>2393</v>
      </c>
      <c r="O811" s="5">
        <v>2632</v>
      </c>
      <c r="P811" s="5">
        <v>2742</v>
      </c>
      <c r="Q811" s="5">
        <v>2997</v>
      </c>
      <c r="R811" s="5">
        <v>477</v>
      </c>
      <c r="S811" s="5">
        <v>524</v>
      </c>
      <c r="T811" s="5">
        <v>546</v>
      </c>
      <c r="U811" s="5">
        <v>597</v>
      </c>
      <c r="V811" s="5"/>
    </row>
    <row r="812" spans="2:22" ht="20" hidden="1" x14ac:dyDescent="0.25">
      <c r="B812" s="2" t="s">
        <v>284</v>
      </c>
      <c r="C812" s="2" t="s">
        <v>269</v>
      </c>
      <c r="D812" s="2" t="s">
        <v>271</v>
      </c>
      <c r="E812" s="2" t="s">
        <v>27</v>
      </c>
      <c r="F812" s="2" t="s">
        <v>285</v>
      </c>
      <c r="G812" s="2" t="s">
        <v>27</v>
      </c>
      <c r="H812" s="2">
        <v>2119</v>
      </c>
      <c r="I812" s="2">
        <v>2112</v>
      </c>
      <c r="J812" s="2" t="s">
        <v>28</v>
      </c>
      <c r="K812" s="2" t="s">
        <v>284</v>
      </c>
      <c r="L812" s="2" t="s">
        <v>30</v>
      </c>
      <c r="M812" s="2" t="s">
        <v>269</v>
      </c>
      <c r="N812" s="3">
        <v>2393</v>
      </c>
      <c r="O812" s="3">
        <v>2632</v>
      </c>
      <c r="P812" s="3">
        <v>2742</v>
      </c>
      <c r="Q812" s="3">
        <v>2997</v>
      </c>
      <c r="R812" s="3">
        <v>477</v>
      </c>
      <c r="S812" s="3">
        <v>524</v>
      </c>
      <c r="T812" s="3">
        <v>546</v>
      </c>
      <c r="U812" s="3">
        <v>597</v>
      </c>
      <c r="V812" s="3"/>
    </row>
    <row r="813" spans="2:22" ht="31.5" hidden="1" x14ac:dyDescent="0.25">
      <c r="B813" s="4" t="s">
        <v>538</v>
      </c>
      <c r="C813" s="4" t="s">
        <v>269</v>
      </c>
      <c r="D813" s="4" t="s">
        <v>285</v>
      </c>
      <c r="E813" s="4" t="s">
        <v>27</v>
      </c>
      <c r="F813" s="4" t="s">
        <v>294</v>
      </c>
      <c r="G813" s="4" t="s">
        <v>27</v>
      </c>
      <c r="H813" s="4">
        <v>2112</v>
      </c>
      <c r="I813" s="4">
        <v>70108</v>
      </c>
      <c r="J813" s="4" t="s">
        <v>28</v>
      </c>
      <c r="K813" s="4" t="s">
        <v>538</v>
      </c>
      <c r="L813" s="4" t="s">
        <v>29</v>
      </c>
      <c r="M813" s="4"/>
      <c r="N813" s="5">
        <v>2373</v>
      </c>
      <c r="O813" s="5">
        <v>2400</v>
      </c>
      <c r="P813" s="5">
        <v>2400</v>
      </c>
      <c r="Q813" s="5">
        <v>2400</v>
      </c>
      <c r="R813" s="5">
        <v>473</v>
      </c>
      <c r="S813" s="5">
        <v>478</v>
      </c>
      <c r="T813" s="5">
        <v>478</v>
      </c>
      <c r="U813" s="5">
        <v>478</v>
      </c>
      <c r="V813" s="5"/>
    </row>
    <row r="814" spans="2:22" ht="30" hidden="1" x14ac:dyDescent="0.25">
      <c r="B814" s="2" t="s">
        <v>538</v>
      </c>
      <c r="C814" s="2" t="s">
        <v>269</v>
      </c>
      <c r="D814" s="2" t="s">
        <v>285</v>
      </c>
      <c r="E814" s="2" t="s">
        <v>27</v>
      </c>
      <c r="F814" s="2" t="s">
        <v>294</v>
      </c>
      <c r="G814" s="2" t="s">
        <v>27</v>
      </c>
      <c r="H814" s="2">
        <v>2112</v>
      </c>
      <c r="I814" s="2">
        <v>70108</v>
      </c>
      <c r="J814" s="2" t="s">
        <v>28</v>
      </c>
      <c r="K814" s="2" t="s">
        <v>249</v>
      </c>
      <c r="L814" s="2" t="s">
        <v>31</v>
      </c>
      <c r="M814" s="2" t="s">
        <v>515</v>
      </c>
      <c r="N814" s="3">
        <v>2373</v>
      </c>
      <c r="O814" s="2">
        <v>2610</v>
      </c>
      <c r="P814" s="2">
        <v>2703</v>
      </c>
      <c r="Q814" s="2">
        <v>2973</v>
      </c>
      <c r="R814" s="3">
        <v>473</v>
      </c>
      <c r="S814" s="2">
        <v>520</v>
      </c>
      <c r="T814" s="2">
        <v>538</v>
      </c>
      <c r="U814" s="2">
        <v>592</v>
      </c>
      <c r="V814" s="2"/>
    </row>
    <row r="815" spans="2:22" ht="30" hidden="1" x14ac:dyDescent="0.25">
      <c r="B815" s="2" t="s">
        <v>538</v>
      </c>
      <c r="C815" s="2" t="s">
        <v>269</v>
      </c>
      <c r="D815" s="2" t="s">
        <v>285</v>
      </c>
      <c r="E815" s="2" t="s">
        <v>27</v>
      </c>
      <c r="F815" s="2" t="s">
        <v>294</v>
      </c>
      <c r="G815" s="2" t="s">
        <v>27</v>
      </c>
      <c r="H815" s="2">
        <v>2112</v>
      </c>
      <c r="I815" s="2">
        <v>70108</v>
      </c>
      <c r="J815" s="2" t="s">
        <v>28</v>
      </c>
      <c r="K815" s="2" t="s">
        <v>539</v>
      </c>
      <c r="L815" s="2" t="s">
        <v>39</v>
      </c>
      <c r="M815" s="2" t="s">
        <v>515</v>
      </c>
      <c r="N815" s="2">
        <v>2400</v>
      </c>
      <c r="O815" s="3">
        <v>2400</v>
      </c>
      <c r="P815" s="3">
        <v>2400</v>
      </c>
      <c r="Q815" s="3">
        <v>2400</v>
      </c>
      <c r="R815" s="2">
        <v>478</v>
      </c>
      <c r="S815" s="3">
        <v>478</v>
      </c>
      <c r="T815" s="3">
        <v>478</v>
      </c>
      <c r="U815" s="3">
        <v>478</v>
      </c>
      <c r="V815" s="3"/>
    </row>
    <row r="816" spans="2:22" ht="30" hidden="1" x14ac:dyDescent="0.25">
      <c r="B816" s="2" t="s">
        <v>538</v>
      </c>
      <c r="C816" s="2" t="s">
        <v>269</v>
      </c>
      <c r="D816" s="2" t="s">
        <v>285</v>
      </c>
      <c r="E816" s="2" t="s">
        <v>27</v>
      </c>
      <c r="F816" s="2" t="s">
        <v>294</v>
      </c>
      <c r="G816" s="2" t="s">
        <v>27</v>
      </c>
      <c r="H816" s="2">
        <v>2112</v>
      </c>
      <c r="I816" s="2">
        <v>70108</v>
      </c>
      <c r="J816" s="2" t="s">
        <v>28</v>
      </c>
      <c r="K816" s="2" t="s">
        <v>272</v>
      </c>
      <c r="L816" s="2" t="s">
        <v>39</v>
      </c>
      <c r="M816" s="2" t="s">
        <v>515</v>
      </c>
      <c r="N816" s="2">
        <v>2400</v>
      </c>
      <c r="O816" s="3">
        <v>2400</v>
      </c>
      <c r="P816" s="3">
        <v>2400</v>
      </c>
      <c r="Q816" s="3">
        <v>2400</v>
      </c>
      <c r="R816" s="2">
        <v>478</v>
      </c>
      <c r="S816" s="3">
        <v>478</v>
      </c>
      <c r="T816" s="3">
        <v>478</v>
      </c>
      <c r="U816" s="3">
        <v>478</v>
      </c>
      <c r="V816" s="3"/>
    </row>
    <row r="817" spans="2:22" ht="30" hidden="1" x14ac:dyDescent="0.25">
      <c r="B817" s="2" t="s">
        <v>538</v>
      </c>
      <c r="C817" s="2" t="s">
        <v>269</v>
      </c>
      <c r="D817" s="2" t="s">
        <v>285</v>
      </c>
      <c r="E817" s="2" t="s">
        <v>27</v>
      </c>
      <c r="F817" s="2" t="s">
        <v>294</v>
      </c>
      <c r="G817" s="2" t="s">
        <v>27</v>
      </c>
      <c r="H817" s="2">
        <v>2112</v>
      </c>
      <c r="I817" s="2">
        <v>70108</v>
      </c>
      <c r="J817" s="2" t="s">
        <v>28</v>
      </c>
      <c r="K817" s="2" t="s">
        <v>540</v>
      </c>
      <c r="L817" s="2" t="s">
        <v>39</v>
      </c>
      <c r="M817" s="2" t="s">
        <v>515</v>
      </c>
      <c r="N817" s="2">
        <v>2400</v>
      </c>
      <c r="O817" s="3">
        <v>2400</v>
      </c>
      <c r="P817" s="3">
        <v>2400</v>
      </c>
      <c r="Q817" s="3">
        <v>2400</v>
      </c>
      <c r="R817" s="2">
        <v>478</v>
      </c>
      <c r="S817" s="3">
        <v>478</v>
      </c>
      <c r="T817" s="3">
        <v>478</v>
      </c>
      <c r="U817" s="3">
        <v>478</v>
      </c>
      <c r="V817" s="3"/>
    </row>
    <row r="818" spans="2:22" ht="30" hidden="1" x14ac:dyDescent="0.25">
      <c r="B818" s="2" t="s">
        <v>538</v>
      </c>
      <c r="C818" s="2" t="s">
        <v>269</v>
      </c>
      <c r="D818" s="2" t="s">
        <v>285</v>
      </c>
      <c r="E818" s="2" t="s">
        <v>27</v>
      </c>
      <c r="F818" s="2" t="s">
        <v>294</v>
      </c>
      <c r="G818" s="2" t="s">
        <v>27</v>
      </c>
      <c r="H818" s="2">
        <v>2112</v>
      </c>
      <c r="I818" s="2">
        <v>70108</v>
      </c>
      <c r="J818" s="2" t="s">
        <v>28</v>
      </c>
      <c r="K818" s="2" t="s">
        <v>541</v>
      </c>
      <c r="L818" s="2" t="s">
        <v>39</v>
      </c>
      <c r="M818" s="2" t="s">
        <v>515</v>
      </c>
      <c r="N818" s="2">
        <v>2400</v>
      </c>
      <c r="O818" s="3">
        <v>2400</v>
      </c>
      <c r="P818" s="3">
        <v>2400</v>
      </c>
      <c r="Q818" s="3">
        <v>2400</v>
      </c>
      <c r="R818" s="2">
        <v>478</v>
      </c>
      <c r="S818" s="3">
        <v>478</v>
      </c>
      <c r="T818" s="3">
        <v>478</v>
      </c>
      <c r="U818" s="3">
        <v>478</v>
      </c>
      <c r="V818" s="3"/>
    </row>
    <row r="819" spans="2:22" ht="30" hidden="1" x14ac:dyDescent="0.25">
      <c r="B819" s="2" t="s">
        <v>538</v>
      </c>
      <c r="C819" s="2" t="s">
        <v>269</v>
      </c>
      <c r="D819" s="2" t="s">
        <v>285</v>
      </c>
      <c r="E819" s="2" t="s">
        <v>27</v>
      </c>
      <c r="F819" s="2" t="s">
        <v>294</v>
      </c>
      <c r="G819" s="2" t="s">
        <v>27</v>
      </c>
      <c r="H819" s="2">
        <v>2112</v>
      </c>
      <c r="I819" s="2">
        <v>70108</v>
      </c>
      <c r="J819" s="2" t="s">
        <v>28</v>
      </c>
      <c r="K819" s="2" t="s">
        <v>542</v>
      </c>
      <c r="L819" s="2" t="s">
        <v>39</v>
      </c>
      <c r="M819" s="2" t="s">
        <v>515</v>
      </c>
      <c r="N819" s="2">
        <v>2400</v>
      </c>
      <c r="O819" s="3">
        <v>2400</v>
      </c>
      <c r="P819" s="3">
        <v>2400</v>
      </c>
      <c r="Q819" s="3">
        <v>2400</v>
      </c>
      <c r="R819" s="2">
        <v>478</v>
      </c>
      <c r="S819" s="3">
        <v>478</v>
      </c>
      <c r="T819" s="3">
        <v>478</v>
      </c>
      <c r="U819" s="3">
        <v>478</v>
      </c>
      <c r="V819" s="3"/>
    </row>
    <row r="820" spans="2:22" ht="30" hidden="1" x14ac:dyDescent="0.25">
      <c r="B820" s="2" t="s">
        <v>538</v>
      </c>
      <c r="C820" s="2" t="s">
        <v>269</v>
      </c>
      <c r="D820" s="2" t="s">
        <v>285</v>
      </c>
      <c r="E820" s="2" t="s">
        <v>27</v>
      </c>
      <c r="F820" s="2" t="s">
        <v>294</v>
      </c>
      <c r="G820" s="2" t="s">
        <v>27</v>
      </c>
      <c r="H820" s="2">
        <v>2112</v>
      </c>
      <c r="I820" s="2">
        <v>70108</v>
      </c>
      <c r="J820" s="2" t="s">
        <v>28</v>
      </c>
      <c r="K820" s="2" t="s">
        <v>543</v>
      </c>
      <c r="L820" s="2" t="s">
        <v>39</v>
      </c>
      <c r="M820" s="2" t="s">
        <v>515</v>
      </c>
      <c r="N820" s="2">
        <v>2400</v>
      </c>
      <c r="O820" s="3">
        <v>2400</v>
      </c>
      <c r="P820" s="3">
        <v>2400</v>
      </c>
      <c r="Q820" s="3">
        <v>2400</v>
      </c>
      <c r="R820" s="2">
        <v>478</v>
      </c>
      <c r="S820" s="3">
        <v>478</v>
      </c>
      <c r="T820" s="3">
        <v>478</v>
      </c>
      <c r="U820" s="3">
        <v>478</v>
      </c>
      <c r="V820" s="3"/>
    </row>
    <row r="821" spans="2:22" ht="30" hidden="1" x14ac:dyDescent="0.25">
      <c r="B821" s="2" t="s">
        <v>538</v>
      </c>
      <c r="C821" s="2" t="s">
        <v>269</v>
      </c>
      <c r="D821" s="2" t="s">
        <v>285</v>
      </c>
      <c r="E821" s="2" t="s">
        <v>27</v>
      </c>
      <c r="F821" s="2" t="s">
        <v>294</v>
      </c>
      <c r="G821" s="2" t="s">
        <v>27</v>
      </c>
      <c r="H821" s="2">
        <v>2112</v>
      </c>
      <c r="I821" s="2">
        <v>70108</v>
      </c>
      <c r="J821" s="2" t="s">
        <v>28</v>
      </c>
      <c r="K821" s="2" t="s">
        <v>544</v>
      </c>
      <c r="L821" s="2" t="s">
        <v>39</v>
      </c>
      <c r="M821" s="2" t="s">
        <v>515</v>
      </c>
      <c r="N821" s="2">
        <v>2400</v>
      </c>
      <c r="O821" s="3">
        <v>2400</v>
      </c>
      <c r="P821" s="3">
        <v>2400</v>
      </c>
      <c r="Q821" s="3">
        <v>2400</v>
      </c>
      <c r="R821" s="2">
        <v>478</v>
      </c>
      <c r="S821" s="3">
        <v>478</v>
      </c>
      <c r="T821" s="3">
        <v>478</v>
      </c>
      <c r="U821" s="3">
        <v>478</v>
      </c>
      <c r="V821" s="3"/>
    </row>
    <row r="822" spans="2:22" ht="30" hidden="1" x14ac:dyDescent="0.25">
      <c r="B822" s="2" t="s">
        <v>538</v>
      </c>
      <c r="C822" s="2" t="s">
        <v>269</v>
      </c>
      <c r="D822" s="2" t="s">
        <v>285</v>
      </c>
      <c r="E822" s="2" t="s">
        <v>27</v>
      </c>
      <c r="F822" s="2" t="s">
        <v>294</v>
      </c>
      <c r="G822" s="2" t="s">
        <v>27</v>
      </c>
      <c r="H822" s="2">
        <v>2112</v>
      </c>
      <c r="I822" s="2">
        <v>70108</v>
      </c>
      <c r="J822" s="2" t="s">
        <v>28</v>
      </c>
      <c r="K822" s="2" t="s">
        <v>274</v>
      </c>
      <c r="L822" s="2" t="s">
        <v>39</v>
      </c>
      <c r="M822" s="2" t="s">
        <v>515</v>
      </c>
      <c r="N822" s="2">
        <v>2400</v>
      </c>
      <c r="O822" s="3">
        <v>2400</v>
      </c>
      <c r="P822" s="3">
        <v>2400</v>
      </c>
      <c r="Q822" s="3">
        <v>2400</v>
      </c>
      <c r="R822" s="2">
        <v>478</v>
      </c>
      <c r="S822" s="3">
        <v>478</v>
      </c>
      <c r="T822" s="3">
        <v>478</v>
      </c>
      <c r="U822" s="3">
        <v>478</v>
      </c>
      <c r="V822" s="3"/>
    </row>
    <row r="823" spans="2:22" ht="21" hidden="1" x14ac:dyDescent="0.25">
      <c r="B823" s="4" t="s">
        <v>1219</v>
      </c>
      <c r="C823" s="4" t="s">
        <v>1220</v>
      </c>
      <c r="D823" s="4" t="s">
        <v>1221</v>
      </c>
      <c r="E823" s="4" t="s">
        <v>27</v>
      </c>
      <c r="F823" s="4" t="s">
        <v>298</v>
      </c>
      <c r="G823" s="4" t="s">
        <v>27</v>
      </c>
      <c r="H823" s="4">
        <v>70374</v>
      </c>
      <c r="I823" s="4">
        <v>70937</v>
      </c>
      <c r="J823" s="4" t="s">
        <v>28</v>
      </c>
      <c r="K823" s="4" t="s">
        <v>1219</v>
      </c>
      <c r="L823" s="4" t="s">
        <v>29</v>
      </c>
      <c r="M823" s="4"/>
      <c r="N823" s="5">
        <v>300</v>
      </c>
      <c r="O823" s="5">
        <v>300</v>
      </c>
      <c r="P823" s="5">
        <v>300</v>
      </c>
      <c r="Q823" s="5">
        <v>300</v>
      </c>
      <c r="R823" s="5">
        <v>60</v>
      </c>
      <c r="S823" s="5">
        <v>60</v>
      </c>
      <c r="T823" s="5">
        <v>60</v>
      </c>
      <c r="U823" s="5">
        <v>60</v>
      </c>
      <c r="V823" s="5"/>
    </row>
    <row r="824" spans="2:22" ht="20" hidden="1" x14ac:dyDescent="0.25">
      <c r="B824" s="2" t="s">
        <v>1219</v>
      </c>
      <c r="C824" s="2" t="s">
        <v>1220</v>
      </c>
      <c r="D824" s="2" t="s">
        <v>1221</v>
      </c>
      <c r="E824" s="2" t="s">
        <v>27</v>
      </c>
      <c r="F824" s="2" t="s">
        <v>298</v>
      </c>
      <c r="G824" s="2" t="s">
        <v>27</v>
      </c>
      <c r="H824" s="2">
        <v>70374</v>
      </c>
      <c r="I824" s="2">
        <v>70937</v>
      </c>
      <c r="J824" s="2" t="s">
        <v>28</v>
      </c>
      <c r="K824" s="2" t="s">
        <v>1222</v>
      </c>
      <c r="L824" s="2" t="s">
        <v>39</v>
      </c>
      <c r="M824" s="2" t="s">
        <v>1223</v>
      </c>
      <c r="N824" s="3">
        <v>300</v>
      </c>
      <c r="O824" s="3">
        <v>300</v>
      </c>
      <c r="P824" s="3">
        <v>300</v>
      </c>
      <c r="Q824" s="3">
        <v>300</v>
      </c>
      <c r="R824" s="3">
        <v>60</v>
      </c>
      <c r="S824" s="3">
        <v>60</v>
      </c>
      <c r="T824" s="3">
        <v>60</v>
      </c>
      <c r="U824" s="3">
        <v>60</v>
      </c>
      <c r="V824" s="3"/>
    </row>
    <row r="825" spans="2:22" ht="21" hidden="1" x14ac:dyDescent="0.25">
      <c r="B825" s="4" t="s">
        <v>302</v>
      </c>
      <c r="C825" s="4" t="s">
        <v>303</v>
      </c>
      <c r="D825" s="4" t="s">
        <v>304</v>
      </c>
      <c r="E825" s="4" t="s">
        <v>27</v>
      </c>
      <c r="F825" s="4" t="s">
        <v>305</v>
      </c>
      <c r="G825" s="4" t="s">
        <v>27</v>
      </c>
      <c r="H825" s="4">
        <v>70045</v>
      </c>
      <c r="I825" s="4">
        <v>70208</v>
      </c>
      <c r="J825" s="4" t="s">
        <v>28</v>
      </c>
      <c r="K825" s="4" t="s">
        <v>302</v>
      </c>
      <c r="L825" s="4" t="s">
        <v>29</v>
      </c>
      <c r="M825" s="4"/>
      <c r="N825" s="5">
        <v>970</v>
      </c>
      <c r="O825" s="5">
        <v>1067</v>
      </c>
      <c r="P825" s="5">
        <v>1055</v>
      </c>
      <c r="Q825" s="5">
        <v>1161</v>
      </c>
      <c r="R825" s="5">
        <v>193</v>
      </c>
      <c r="S825" s="5">
        <v>213</v>
      </c>
      <c r="T825" s="5">
        <v>210</v>
      </c>
      <c r="U825" s="5">
        <v>231</v>
      </c>
      <c r="V825" s="5"/>
    </row>
    <row r="826" spans="2:22" ht="20" hidden="1" x14ac:dyDescent="0.25">
      <c r="B826" s="2" t="s">
        <v>302</v>
      </c>
      <c r="C826" s="2" t="s">
        <v>303</v>
      </c>
      <c r="D826" s="2" t="s">
        <v>304</v>
      </c>
      <c r="E826" s="2" t="s">
        <v>27</v>
      </c>
      <c r="F826" s="2" t="s">
        <v>305</v>
      </c>
      <c r="G826" s="2" t="s">
        <v>27</v>
      </c>
      <c r="H826" s="2">
        <v>70045</v>
      </c>
      <c r="I826" s="2">
        <v>70208</v>
      </c>
      <c r="J826" s="2" t="s">
        <v>28</v>
      </c>
      <c r="K826" s="2" t="s">
        <v>302</v>
      </c>
      <c r="L826" s="2" t="s">
        <v>30</v>
      </c>
      <c r="M826" s="2" t="s">
        <v>303</v>
      </c>
      <c r="N826" s="3">
        <v>970</v>
      </c>
      <c r="O826" s="3">
        <v>1067</v>
      </c>
      <c r="P826" s="3">
        <v>1055</v>
      </c>
      <c r="Q826" s="3">
        <v>1161</v>
      </c>
      <c r="R826" s="3">
        <v>193</v>
      </c>
      <c r="S826" s="3">
        <v>213</v>
      </c>
      <c r="T826" s="3">
        <v>210</v>
      </c>
      <c r="U826" s="3">
        <v>231</v>
      </c>
      <c r="V826" s="3"/>
    </row>
    <row r="827" spans="2:22" ht="21" hidden="1" x14ac:dyDescent="0.25">
      <c r="B827" s="4" t="s">
        <v>374</v>
      </c>
      <c r="C827" s="4" t="s">
        <v>375</v>
      </c>
      <c r="D827" s="4" t="s">
        <v>369</v>
      </c>
      <c r="E827" s="4" t="s">
        <v>27</v>
      </c>
      <c r="F827" s="4" t="s">
        <v>376</v>
      </c>
      <c r="G827" s="4" t="s">
        <v>27</v>
      </c>
      <c r="H827" s="4">
        <v>70065</v>
      </c>
      <c r="I827" s="4">
        <v>70382</v>
      </c>
      <c r="J827" s="4" t="s">
        <v>28</v>
      </c>
      <c r="K827" s="4" t="s">
        <v>374</v>
      </c>
      <c r="L827" s="4" t="s">
        <v>29</v>
      </c>
      <c r="M827" s="4"/>
      <c r="N827" s="5">
        <v>797</v>
      </c>
      <c r="O827" s="5">
        <v>877</v>
      </c>
      <c r="P827" s="5">
        <v>900</v>
      </c>
      <c r="Q827" s="5">
        <v>900</v>
      </c>
      <c r="R827" s="5">
        <v>159</v>
      </c>
      <c r="S827" s="5">
        <v>175</v>
      </c>
      <c r="T827" s="5">
        <v>179</v>
      </c>
      <c r="U827" s="5">
        <v>179</v>
      </c>
      <c r="V827" s="5"/>
    </row>
    <row r="828" spans="2:22" ht="20" hidden="1" x14ac:dyDescent="0.25">
      <c r="B828" s="2" t="s">
        <v>374</v>
      </c>
      <c r="C828" s="2" t="s">
        <v>375</v>
      </c>
      <c r="D828" s="2" t="s">
        <v>369</v>
      </c>
      <c r="E828" s="2" t="s">
        <v>27</v>
      </c>
      <c r="F828" s="2" t="s">
        <v>376</v>
      </c>
      <c r="G828" s="2" t="s">
        <v>27</v>
      </c>
      <c r="H828" s="2">
        <v>70065</v>
      </c>
      <c r="I828" s="2">
        <v>70382</v>
      </c>
      <c r="J828" s="2" t="s">
        <v>28</v>
      </c>
      <c r="K828" s="2" t="s">
        <v>374</v>
      </c>
      <c r="L828" s="2" t="s">
        <v>30</v>
      </c>
      <c r="M828" s="2" t="s">
        <v>375</v>
      </c>
      <c r="N828" s="3">
        <v>797</v>
      </c>
      <c r="O828" s="3">
        <v>877</v>
      </c>
      <c r="P828" s="2">
        <v>907</v>
      </c>
      <c r="Q828" s="2">
        <v>998</v>
      </c>
      <c r="R828" s="3">
        <v>159</v>
      </c>
      <c r="S828" s="3">
        <v>175</v>
      </c>
      <c r="T828" s="2">
        <v>181</v>
      </c>
      <c r="U828" s="2">
        <v>199</v>
      </c>
      <c r="V828" s="2"/>
    </row>
    <row r="829" spans="2:22" ht="30" hidden="1" x14ac:dyDescent="0.25">
      <c r="B829" s="2" t="s">
        <v>374</v>
      </c>
      <c r="C829" s="2" t="s">
        <v>375</v>
      </c>
      <c r="D829" s="2" t="s">
        <v>369</v>
      </c>
      <c r="E829" s="2" t="s">
        <v>27</v>
      </c>
      <c r="F829" s="2" t="s">
        <v>376</v>
      </c>
      <c r="G829" s="2" t="s">
        <v>27</v>
      </c>
      <c r="H829" s="2">
        <v>70065</v>
      </c>
      <c r="I829" s="2">
        <v>70382</v>
      </c>
      <c r="J829" s="2" t="s">
        <v>28</v>
      </c>
      <c r="K829" s="2" t="s">
        <v>377</v>
      </c>
      <c r="L829" s="2" t="s">
        <v>36</v>
      </c>
      <c r="M829" s="2" t="s">
        <v>378</v>
      </c>
      <c r="N829" s="2">
        <v>900</v>
      </c>
      <c r="O829" s="2">
        <v>900</v>
      </c>
      <c r="P829" s="3">
        <v>900</v>
      </c>
      <c r="Q829" s="3">
        <v>900</v>
      </c>
      <c r="R829" s="2">
        <v>179</v>
      </c>
      <c r="S829" s="2">
        <v>179</v>
      </c>
      <c r="T829" s="3">
        <v>179</v>
      </c>
      <c r="U829" s="3">
        <v>179</v>
      </c>
      <c r="V829" s="3"/>
    </row>
    <row r="830" spans="2:22" ht="21" hidden="1" x14ac:dyDescent="0.25">
      <c r="B830" s="4" t="s">
        <v>976</v>
      </c>
      <c r="C830" s="4" t="s">
        <v>977</v>
      </c>
      <c r="D830" s="4" t="s">
        <v>978</v>
      </c>
      <c r="E830" s="4" t="s">
        <v>27</v>
      </c>
      <c r="F830" s="4" t="s">
        <v>822</v>
      </c>
      <c r="G830" s="4" t="s">
        <v>40</v>
      </c>
      <c r="H830" s="4">
        <v>70244</v>
      </c>
      <c r="I830" s="4">
        <v>70604</v>
      </c>
      <c r="J830" s="4" t="s">
        <v>42</v>
      </c>
      <c r="K830" s="4" t="s">
        <v>976</v>
      </c>
      <c r="L830" s="4" t="s">
        <v>29</v>
      </c>
      <c r="M830" s="4"/>
      <c r="N830" s="5">
        <v>553</v>
      </c>
      <c r="O830" s="5">
        <v>608</v>
      </c>
      <c r="P830" s="5">
        <v>628</v>
      </c>
      <c r="Q830" s="5">
        <v>691</v>
      </c>
      <c r="R830" s="5">
        <v>110</v>
      </c>
      <c r="S830" s="5">
        <v>121</v>
      </c>
      <c r="T830" s="5">
        <v>125</v>
      </c>
      <c r="U830" s="5">
        <v>138</v>
      </c>
      <c r="V830" s="5"/>
    </row>
    <row r="831" spans="2:22" ht="20" hidden="1" x14ac:dyDescent="0.25">
      <c r="B831" s="2" t="s">
        <v>976</v>
      </c>
      <c r="C831" s="2" t="s">
        <v>977</v>
      </c>
      <c r="D831" s="2" t="s">
        <v>978</v>
      </c>
      <c r="E831" s="2" t="s">
        <v>27</v>
      </c>
      <c r="F831" s="2" t="s">
        <v>822</v>
      </c>
      <c r="G831" s="2" t="s">
        <v>40</v>
      </c>
      <c r="H831" s="2">
        <v>70244</v>
      </c>
      <c r="I831" s="2">
        <v>70604</v>
      </c>
      <c r="J831" s="2" t="s">
        <v>42</v>
      </c>
      <c r="K831" s="2" t="s">
        <v>979</v>
      </c>
      <c r="L831" s="2" t="s">
        <v>31</v>
      </c>
      <c r="M831" s="2" t="s">
        <v>980</v>
      </c>
      <c r="N831" s="3">
        <v>553</v>
      </c>
      <c r="O831" s="3">
        <v>608</v>
      </c>
      <c r="P831" s="3">
        <v>628</v>
      </c>
      <c r="Q831" s="3">
        <v>691</v>
      </c>
      <c r="R831" s="3">
        <v>110</v>
      </c>
      <c r="S831" s="3">
        <v>121</v>
      </c>
      <c r="T831" s="3">
        <v>125</v>
      </c>
      <c r="U831" s="3">
        <v>138</v>
      </c>
      <c r="V831" s="3"/>
    </row>
    <row r="832" spans="2:22" ht="31.5" hidden="1" x14ac:dyDescent="0.25">
      <c r="B832" s="4" t="s">
        <v>981</v>
      </c>
      <c r="C832" s="4" t="s">
        <v>977</v>
      </c>
      <c r="D832" s="4" t="s">
        <v>978</v>
      </c>
      <c r="E832" s="4" t="s">
        <v>27</v>
      </c>
      <c r="F832" s="4" t="s">
        <v>381</v>
      </c>
      <c r="G832" s="4" t="s">
        <v>27</v>
      </c>
      <c r="H832" s="4">
        <v>70244</v>
      </c>
      <c r="I832" s="4">
        <v>70444</v>
      </c>
      <c r="J832" s="4" t="s">
        <v>28</v>
      </c>
      <c r="K832" s="4" t="s">
        <v>981</v>
      </c>
      <c r="L832" s="4" t="s">
        <v>29</v>
      </c>
      <c r="M832" s="4"/>
      <c r="N832" s="5">
        <v>800</v>
      </c>
      <c r="O832" s="5">
        <v>880</v>
      </c>
      <c r="P832" s="5">
        <v>910</v>
      </c>
      <c r="Q832" s="5">
        <v>1001</v>
      </c>
      <c r="R832" s="5">
        <v>159</v>
      </c>
      <c r="S832" s="5">
        <v>175</v>
      </c>
      <c r="T832" s="5">
        <v>181</v>
      </c>
      <c r="U832" s="5">
        <v>199</v>
      </c>
      <c r="V832" s="5"/>
    </row>
    <row r="833" spans="2:22" ht="30" hidden="1" x14ac:dyDescent="0.25">
      <c r="B833" s="2" t="s">
        <v>981</v>
      </c>
      <c r="C833" s="2" t="s">
        <v>977</v>
      </c>
      <c r="D833" s="2" t="s">
        <v>978</v>
      </c>
      <c r="E833" s="2" t="s">
        <v>27</v>
      </c>
      <c r="F833" s="2" t="s">
        <v>381</v>
      </c>
      <c r="G833" s="2" t="s">
        <v>27</v>
      </c>
      <c r="H833" s="2">
        <v>70244</v>
      </c>
      <c r="I833" s="2">
        <v>70444</v>
      </c>
      <c r="J833" s="2" t="s">
        <v>28</v>
      </c>
      <c r="K833" s="2" t="s">
        <v>32</v>
      </c>
      <c r="L833" s="2" t="s">
        <v>31</v>
      </c>
      <c r="M833" s="2" t="s">
        <v>382</v>
      </c>
      <c r="N833" s="3">
        <v>800</v>
      </c>
      <c r="O833" s="3">
        <v>880</v>
      </c>
      <c r="P833" s="3">
        <v>910</v>
      </c>
      <c r="Q833" s="3">
        <v>1001</v>
      </c>
      <c r="R833" s="3">
        <v>159</v>
      </c>
      <c r="S833" s="3">
        <v>175</v>
      </c>
      <c r="T833" s="3">
        <v>181</v>
      </c>
      <c r="U833" s="3">
        <v>199</v>
      </c>
      <c r="V833" s="3"/>
    </row>
    <row r="834" spans="2:22" ht="30" hidden="1" x14ac:dyDescent="0.25">
      <c r="B834" s="2" t="s">
        <v>981</v>
      </c>
      <c r="C834" s="2" t="s">
        <v>977</v>
      </c>
      <c r="D834" s="2" t="s">
        <v>978</v>
      </c>
      <c r="E834" s="2" t="s">
        <v>27</v>
      </c>
      <c r="F834" s="2" t="s">
        <v>381</v>
      </c>
      <c r="G834" s="2" t="s">
        <v>27</v>
      </c>
      <c r="H834" s="2">
        <v>70244</v>
      </c>
      <c r="I834" s="2">
        <v>70444</v>
      </c>
      <c r="J834" s="2" t="s">
        <v>28</v>
      </c>
      <c r="K834" s="2" t="s">
        <v>981</v>
      </c>
      <c r="L834" s="2" t="s">
        <v>30</v>
      </c>
      <c r="M834" s="2" t="s">
        <v>977</v>
      </c>
      <c r="N834" s="3">
        <v>800</v>
      </c>
      <c r="O834" s="3">
        <v>880</v>
      </c>
      <c r="P834" s="3">
        <v>910</v>
      </c>
      <c r="Q834" s="3">
        <v>1001</v>
      </c>
      <c r="R834" s="3">
        <v>159</v>
      </c>
      <c r="S834" s="3">
        <v>175</v>
      </c>
      <c r="T834" s="3">
        <v>181</v>
      </c>
      <c r="U834" s="3">
        <v>199</v>
      </c>
      <c r="V834" s="3"/>
    </row>
    <row r="835" spans="2:22" ht="21" hidden="1" x14ac:dyDescent="0.25">
      <c r="B835" s="4" t="s">
        <v>227</v>
      </c>
      <c r="C835" s="4" t="s">
        <v>228</v>
      </c>
      <c r="D835" s="4" t="s">
        <v>229</v>
      </c>
      <c r="E835" s="4" t="s">
        <v>27</v>
      </c>
      <c r="F835" s="4" t="s">
        <v>230</v>
      </c>
      <c r="G835" s="4" t="s">
        <v>27</v>
      </c>
      <c r="H835" s="4">
        <v>2160</v>
      </c>
      <c r="I835" s="4">
        <v>70198</v>
      </c>
      <c r="J835" s="4" t="s">
        <v>28</v>
      </c>
      <c r="K835" s="4" t="s">
        <v>227</v>
      </c>
      <c r="L835" s="4" t="s">
        <v>29</v>
      </c>
      <c r="M835" s="4"/>
      <c r="N835" s="5">
        <v>724</v>
      </c>
      <c r="O835" s="5">
        <v>724</v>
      </c>
      <c r="P835" s="5">
        <v>848</v>
      </c>
      <c r="Q835" s="5">
        <v>848</v>
      </c>
      <c r="R835" s="5">
        <v>144</v>
      </c>
      <c r="S835" s="5">
        <v>144</v>
      </c>
      <c r="T835" s="5">
        <v>169</v>
      </c>
      <c r="U835" s="5">
        <v>169</v>
      </c>
      <c r="V835" s="5"/>
    </row>
    <row r="836" spans="2:22" ht="20" hidden="1" x14ac:dyDescent="0.25">
      <c r="B836" s="2" t="s">
        <v>227</v>
      </c>
      <c r="C836" s="2" t="s">
        <v>228</v>
      </c>
      <c r="D836" s="2" t="s">
        <v>229</v>
      </c>
      <c r="E836" s="2" t="s">
        <v>27</v>
      </c>
      <c r="F836" s="2" t="s">
        <v>230</v>
      </c>
      <c r="G836" s="2" t="s">
        <v>27</v>
      </c>
      <c r="H836" s="2">
        <v>2160</v>
      </c>
      <c r="I836" s="2">
        <v>70198</v>
      </c>
      <c r="J836" s="2" t="s">
        <v>28</v>
      </c>
      <c r="K836" s="2" t="s">
        <v>227</v>
      </c>
      <c r="L836" s="2" t="s">
        <v>30</v>
      </c>
      <c r="M836" s="2" t="s">
        <v>228</v>
      </c>
      <c r="N836" s="3">
        <v>724</v>
      </c>
      <c r="O836" s="3">
        <v>724</v>
      </c>
      <c r="P836" s="3">
        <v>848</v>
      </c>
      <c r="Q836" s="3">
        <v>848</v>
      </c>
      <c r="R836" s="3">
        <v>144</v>
      </c>
      <c r="S836" s="3">
        <v>144</v>
      </c>
      <c r="T836" s="3">
        <v>169</v>
      </c>
      <c r="U836" s="3">
        <v>169</v>
      </c>
      <c r="V836" s="3"/>
    </row>
    <row r="837" spans="2:22" ht="21" hidden="1" x14ac:dyDescent="0.25">
      <c r="B837" s="4" t="s">
        <v>231</v>
      </c>
      <c r="C837" s="4" t="s">
        <v>228</v>
      </c>
      <c r="D837" s="4" t="s">
        <v>229</v>
      </c>
      <c r="E837" s="4" t="s">
        <v>27</v>
      </c>
      <c r="F837" s="4" t="s">
        <v>232</v>
      </c>
      <c r="G837" s="4" t="s">
        <v>27</v>
      </c>
      <c r="H837" s="4">
        <v>2160</v>
      </c>
      <c r="I837" s="4">
        <v>70450</v>
      </c>
      <c r="J837" s="4" t="s">
        <v>28</v>
      </c>
      <c r="K837" s="4" t="s">
        <v>231</v>
      </c>
      <c r="L837" s="4" t="s">
        <v>29</v>
      </c>
      <c r="M837" s="4"/>
      <c r="N837" s="5">
        <v>803</v>
      </c>
      <c r="O837" s="5">
        <v>883</v>
      </c>
      <c r="P837" s="5">
        <v>912</v>
      </c>
      <c r="Q837" s="5">
        <v>1004</v>
      </c>
      <c r="R837" s="5">
        <v>160</v>
      </c>
      <c r="S837" s="5">
        <v>176</v>
      </c>
      <c r="T837" s="5">
        <v>182</v>
      </c>
      <c r="U837" s="5">
        <v>200</v>
      </c>
      <c r="V837" s="5"/>
    </row>
    <row r="838" spans="2:22" ht="20" hidden="1" x14ac:dyDescent="0.25">
      <c r="B838" s="2" t="s">
        <v>231</v>
      </c>
      <c r="C838" s="2" t="s">
        <v>228</v>
      </c>
      <c r="D838" s="2" t="s">
        <v>229</v>
      </c>
      <c r="E838" s="2" t="s">
        <v>27</v>
      </c>
      <c r="F838" s="2" t="s">
        <v>232</v>
      </c>
      <c r="G838" s="2" t="s">
        <v>27</v>
      </c>
      <c r="H838" s="2">
        <v>2160</v>
      </c>
      <c r="I838" s="2">
        <v>70450</v>
      </c>
      <c r="J838" s="2" t="s">
        <v>28</v>
      </c>
      <c r="K838" s="2" t="s">
        <v>231</v>
      </c>
      <c r="L838" s="2" t="s">
        <v>30</v>
      </c>
      <c r="M838" s="2" t="s">
        <v>228</v>
      </c>
      <c r="N838" s="3">
        <v>803</v>
      </c>
      <c r="O838" s="3">
        <v>883</v>
      </c>
      <c r="P838" s="3">
        <v>912</v>
      </c>
      <c r="Q838" s="3">
        <v>1004</v>
      </c>
      <c r="R838" s="3">
        <v>160</v>
      </c>
      <c r="S838" s="3">
        <v>176</v>
      </c>
      <c r="T838" s="3">
        <v>182</v>
      </c>
      <c r="U838" s="3">
        <v>200</v>
      </c>
      <c r="V838" s="3"/>
    </row>
    <row r="839" spans="2:22" ht="21" hidden="1" x14ac:dyDescent="0.25">
      <c r="B839" s="4" t="s">
        <v>797</v>
      </c>
      <c r="C839" s="4" t="s">
        <v>228</v>
      </c>
      <c r="D839" s="4" t="s">
        <v>767</v>
      </c>
      <c r="E839" s="4" t="s">
        <v>27</v>
      </c>
      <c r="F839" s="4" t="s">
        <v>232</v>
      </c>
      <c r="G839" s="4" t="s">
        <v>27</v>
      </c>
      <c r="H839" s="4">
        <v>70191</v>
      </c>
      <c r="I839" s="4">
        <v>70450</v>
      </c>
      <c r="J839" s="4" t="s">
        <v>28</v>
      </c>
      <c r="K839" s="4" t="s">
        <v>797</v>
      </c>
      <c r="L839" s="4" t="s">
        <v>29</v>
      </c>
      <c r="M839" s="4"/>
      <c r="N839" s="5">
        <v>800</v>
      </c>
      <c r="O839" s="5">
        <v>800</v>
      </c>
      <c r="P839" s="5">
        <v>800</v>
      </c>
      <c r="Q839" s="5">
        <v>800</v>
      </c>
      <c r="R839" s="5">
        <v>159</v>
      </c>
      <c r="S839" s="5">
        <v>159</v>
      </c>
      <c r="T839" s="5">
        <v>159</v>
      </c>
      <c r="U839" s="5">
        <v>159</v>
      </c>
      <c r="V839" s="5"/>
    </row>
    <row r="840" spans="2:22" ht="20" hidden="1" x14ac:dyDescent="0.25">
      <c r="B840" s="2" t="s">
        <v>797</v>
      </c>
      <c r="C840" s="2" t="s">
        <v>228</v>
      </c>
      <c r="D840" s="2" t="s">
        <v>767</v>
      </c>
      <c r="E840" s="2" t="s">
        <v>27</v>
      </c>
      <c r="F840" s="2" t="s">
        <v>232</v>
      </c>
      <c r="G840" s="2" t="s">
        <v>27</v>
      </c>
      <c r="H840" s="2">
        <v>70191</v>
      </c>
      <c r="I840" s="2">
        <v>70450</v>
      </c>
      <c r="J840" s="2" t="s">
        <v>28</v>
      </c>
      <c r="K840" s="2" t="s">
        <v>798</v>
      </c>
      <c r="L840" s="2" t="s">
        <v>39</v>
      </c>
      <c r="M840" s="2" t="s">
        <v>771</v>
      </c>
      <c r="N840" s="3">
        <v>800</v>
      </c>
      <c r="O840" s="3">
        <v>800</v>
      </c>
      <c r="P840" s="3">
        <v>800</v>
      </c>
      <c r="Q840" s="3">
        <v>800</v>
      </c>
      <c r="R840" s="3">
        <v>159</v>
      </c>
      <c r="S840" s="3">
        <v>159</v>
      </c>
      <c r="T840" s="3">
        <v>159</v>
      </c>
      <c r="U840" s="3">
        <v>159</v>
      </c>
      <c r="V840" s="3"/>
    </row>
    <row r="841" spans="2:22" ht="20" hidden="1" x14ac:dyDescent="0.25">
      <c r="B841" s="2" t="s">
        <v>797</v>
      </c>
      <c r="C841" s="2" t="s">
        <v>228</v>
      </c>
      <c r="D841" s="2" t="s">
        <v>767</v>
      </c>
      <c r="E841" s="2" t="s">
        <v>27</v>
      </c>
      <c r="F841" s="2" t="s">
        <v>232</v>
      </c>
      <c r="G841" s="2" t="s">
        <v>27</v>
      </c>
      <c r="H841" s="2">
        <v>70191</v>
      </c>
      <c r="I841" s="2">
        <v>70450</v>
      </c>
      <c r="J841" s="2" t="s">
        <v>28</v>
      </c>
      <c r="K841" s="2" t="s">
        <v>799</v>
      </c>
      <c r="L841" s="2" t="s">
        <v>39</v>
      </c>
      <c r="M841" s="2" t="s">
        <v>771</v>
      </c>
      <c r="N841" s="3">
        <v>800</v>
      </c>
      <c r="O841" s="3">
        <v>800</v>
      </c>
      <c r="P841" s="3">
        <v>800</v>
      </c>
      <c r="Q841" s="3">
        <v>800</v>
      </c>
      <c r="R841" s="3">
        <v>159</v>
      </c>
      <c r="S841" s="3">
        <v>159</v>
      </c>
      <c r="T841" s="3">
        <v>159</v>
      </c>
      <c r="U841" s="3">
        <v>159</v>
      </c>
      <c r="V841" s="3"/>
    </row>
    <row r="842" spans="2:22" ht="20" hidden="1" x14ac:dyDescent="0.25">
      <c r="B842" s="2" t="s">
        <v>797</v>
      </c>
      <c r="C842" s="2" t="s">
        <v>228</v>
      </c>
      <c r="D842" s="2" t="s">
        <v>767</v>
      </c>
      <c r="E842" s="2" t="s">
        <v>27</v>
      </c>
      <c r="F842" s="2" t="s">
        <v>232</v>
      </c>
      <c r="G842" s="2" t="s">
        <v>27</v>
      </c>
      <c r="H842" s="2">
        <v>70191</v>
      </c>
      <c r="I842" s="2">
        <v>70450</v>
      </c>
      <c r="J842" s="2" t="s">
        <v>28</v>
      </c>
      <c r="K842" s="2" t="s">
        <v>800</v>
      </c>
      <c r="L842" s="2" t="s">
        <v>39</v>
      </c>
      <c r="M842" s="2" t="s">
        <v>771</v>
      </c>
      <c r="N842" s="3">
        <v>800</v>
      </c>
      <c r="O842" s="3">
        <v>800</v>
      </c>
      <c r="P842" s="3">
        <v>800</v>
      </c>
      <c r="Q842" s="3">
        <v>800</v>
      </c>
      <c r="R842" s="3">
        <v>159</v>
      </c>
      <c r="S842" s="3">
        <v>159</v>
      </c>
      <c r="T842" s="3">
        <v>159</v>
      </c>
      <c r="U842" s="3">
        <v>159</v>
      </c>
      <c r="V842" s="3"/>
    </row>
    <row r="843" spans="2:22" ht="21" hidden="1" x14ac:dyDescent="0.25">
      <c r="B843" s="4" t="s">
        <v>836</v>
      </c>
      <c r="C843" s="4" t="s">
        <v>228</v>
      </c>
      <c r="D843" s="4" t="s">
        <v>230</v>
      </c>
      <c r="E843" s="4" t="s">
        <v>27</v>
      </c>
      <c r="F843" s="4" t="s">
        <v>837</v>
      </c>
      <c r="G843" s="4" t="s">
        <v>27</v>
      </c>
      <c r="H843" s="4">
        <v>70198</v>
      </c>
      <c r="I843" s="4">
        <v>70202</v>
      </c>
      <c r="J843" s="4" t="s">
        <v>28</v>
      </c>
      <c r="K843" s="4" t="s">
        <v>836</v>
      </c>
      <c r="L843" s="4" t="s">
        <v>29</v>
      </c>
      <c r="M843" s="4"/>
      <c r="N843" s="5">
        <v>804</v>
      </c>
      <c r="O843" s="5">
        <v>884</v>
      </c>
      <c r="P843" s="5">
        <v>913</v>
      </c>
      <c r="Q843" s="5">
        <v>1005</v>
      </c>
      <c r="R843" s="5">
        <v>160</v>
      </c>
      <c r="S843" s="5">
        <v>176</v>
      </c>
      <c r="T843" s="5">
        <v>182</v>
      </c>
      <c r="U843" s="5">
        <v>200</v>
      </c>
      <c r="V843" s="5"/>
    </row>
    <row r="844" spans="2:22" ht="20" hidden="1" x14ac:dyDescent="0.25">
      <c r="B844" s="2" t="s">
        <v>836</v>
      </c>
      <c r="C844" s="2" t="s">
        <v>228</v>
      </c>
      <c r="D844" s="2" t="s">
        <v>230</v>
      </c>
      <c r="E844" s="2" t="s">
        <v>27</v>
      </c>
      <c r="F844" s="2" t="s">
        <v>837</v>
      </c>
      <c r="G844" s="2" t="s">
        <v>27</v>
      </c>
      <c r="H844" s="2">
        <v>70198</v>
      </c>
      <c r="I844" s="2">
        <v>70202</v>
      </c>
      <c r="J844" s="2" t="s">
        <v>28</v>
      </c>
      <c r="K844" s="2" t="s">
        <v>836</v>
      </c>
      <c r="L844" s="2" t="s">
        <v>30</v>
      </c>
      <c r="M844" s="2" t="s">
        <v>228</v>
      </c>
      <c r="N844" s="3">
        <v>804</v>
      </c>
      <c r="O844" s="3">
        <v>884</v>
      </c>
      <c r="P844" s="3">
        <v>913</v>
      </c>
      <c r="Q844" s="3">
        <v>1005</v>
      </c>
      <c r="R844" s="3">
        <v>160</v>
      </c>
      <c r="S844" s="3">
        <v>176</v>
      </c>
      <c r="T844" s="3">
        <v>182</v>
      </c>
      <c r="U844" s="3">
        <v>200</v>
      </c>
      <c r="V844" s="3"/>
    </row>
    <row r="845" spans="2:22" ht="21" hidden="1" x14ac:dyDescent="0.25">
      <c r="B845" s="4" t="s">
        <v>145</v>
      </c>
      <c r="C845" s="4" t="s">
        <v>146</v>
      </c>
      <c r="D845" s="4" t="s">
        <v>767</v>
      </c>
      <c r="E845" s="4" t="s">
        <v>27</v>
      </c>
      <c r="F845" s="4" t="s">
        <v>788</v>
      </c>
      <c r="G845" s="4" t="s">
        <v>27</v>
      </c>
      <c r="H845" s="4">
        <v>70191</v>
      </c>
      <c r="I845" s="4">
        <v>70307</v>
      </c>
      <c r="J845" s="4" t="s">
        <v>28</v>
      </c>
      <c r="K845" s="4" t="s">
        <v>145</v>
      </c>
      <c r="L845" s="4" t="s">
        <v>29</v>
      </c>
      <c r="M845" s="4"/>
      <c r="N845" s="5">
        <v>1072</v>
      </c>
      <c r="O845" s="5">
        <v>1179</v>
      </c>
      <c r="P845" s="5">
        <v>1200</v>
      </c>
      <c r="Q845" s="5">
        <v>1200</v>
      </c>
      <c r="R845" s="5">
        <v>213</v>
      </c>
      <c r="S845" s="5">
        <v>235</v>
      </c>
      <c r="T845" s="5">
        <v>239</v>
      </c>
      <c r="U845" s="5">
        <v>239</v>
      </c>
      <c r="V845" s="5"/>
    </row>
    <row r="846" spans="2:22" ht="20" hidden="1" x14ac:dyDescent="0.25">
      <c r="B846" s="2" t="s">
        <v>145</v>
      </c>
      <c r="C846" s="2" t="s">
        <v>146</v>
      </c>
      <c r="D846" s="2" t="s">
        <v>767</v>
      </c>
      <c r="E846" s="2" t="s">
        <v>27</v>
      </c>
      <c r="F846" s="2" t="s">
        <v>788</v>
      </c>
      <c r="G846" s="2" t="s">
        <v>27</v>
      </c>
      <c r="H846" s="2">
        <v>70191</v>
      </c>
      <c r="I846" s="2">
        <v>70307</v>
      </c>
      <c r="J846" s="2" t="s">
        <v>28</v>
      </c>
      <c r="K846" s="2" t="s">
        <v>789</v>
      </c>
      <c r="L846" s="2" t="s">
        <v>31</v>
      </c>
      <c r="M846" s="2" t="s">
        <v>790</v>
      </c>
      <c r="N846" s="3">
        <v>1072</v>
      </c>
      <c r="O846" s="3">
        <v>1179</v>
      </c>
      <c r="P846" s="2">
        <v>1219</v>
      </c>
      <c r="Q846" s="2">
        <v>1341</v>
      </c>
      <c r="R846" s="3">
        <v>213</v>
      </c>
      <c r="S846" s="3">
        <v>235</v>
      </c>
      <c r="T846" s="2">
        <v>243</v>
      </c>
      <c r="U846" s="2">
        <v>267</v>
      </c>
      <c r="V846" s="2"/>
    </row>
    <row r="847" spans="2:22" ht="20" hidden="1" x14ac:dyDescent="0.25">
      <c r="B847" s="2" t="s">
        <v>145</v>
      </c>
      <c r="C847" s="2" t="s">
        <v>146</v>
      </c>
      <c r="D847" s="2" t="s">
        <v>767</v>
      </c>
      <c r="E847" s="2" t="s">
        <v>27</v>
      </c>
      <c r="F847" s="2" t="s">
        <v>788</v>
      </c>
      <c r="G847" s="2" t="s">
        <v>27</v>
      </c>
      <c r="H847" s="2">
        <v>70191</v>
      </c>
      <c r="I847" s="2">
        <v>70307</v>
      </c>
      <c r="J847" s="2" t="s">
        <v>28</v>
      </c>
      <c r="K847" s="2" t="s">
        <v>791</v>
      </c>
      <c r="L847" s="2" t="s">
        <v>39</v>
      </c>
      <c r="M847" s="2" t="s">
        <v>771</v>
      </c>
      <c r="N847" s="2">
        <v>1200</v>
      </c>
      <c r="O847" s="2">
        <v>1200</v>
      </c>
      <c r="P847" s="3">
        <v>1200</v>
      </c>
      <c r="Q847" s="3">
        <v>1200</v>
      </c>
      <c r="R847" s="2">
        <v>239</v>
      </c>
      <c r="S847" s="2">
        <v>239</v>
      </c>
      <c r="T847" s="3">
        <v>239</v>
      </c>
      <c r="U847" s="3">
        <v>239</v>
      </c>
      <c r="V847" s="3"/>
    </row>
    <row r="848" spans="2:22" ht="20" hidden="1" x14ac:dyDescent="0.25">
      <c r="B848" s="2" t="s">
        <v>145</v>
      </c>
      <c r="C848" s="2" t="s">
        <v>146</v>
      </c>
      <c r="D848" s="2" t="s">
        <v>767</v>
      </c>
      <c r="E848" s="2" t="s">
        <v>27</v>
      </c>
      <c r="F848" s="2" t="s">
        <v>788</v>
      </c>
      <c r="G848" s="2" t="s">
        <v>27</v>
      </c>
      <c r="H848" s="2">
        <v>70191</v>
      </c>
      <c r="I848" s="2">
        <v>70307</v>
      </c>
      <c r="J848" s="2" t="s">
        <v>28</v>
      </c>
      <c r="K848" s="2" t="s">
        <v>792</v>
      </c>
      <c r="L848" s="2" t="s">
        <v>39</v>
      </c>
      <c r="M848" s="2" t="s">
        <v>771</v>
      </c>
      <c r="N848" s="2">
        <v>1200</v>
      </c>
      <c r="O848" s="2">
        <v>1200</v>
      </c>
      <c r="P848" s="3">
        <v>1200</v>
      </c>
      <c r="Q848" s="3">
        <v>1200</v>
      </c>
      <c r="R848" s="2">
        <v>239</v>
      </c>
      <c r="S848" s="2">
        <v>239</v>
      </c>
      <c r="T848" s="3">
        <v>239</v>
      </c>
      <c r="U848" s="3">
        <v>239</v>
      </c>
      <c r="V848" s="3"/>
    </row>
    <row r="849" spans="2:22" ht="20" hidden="1" x14ac:dyDescent="0.25">
      <c r="B849" s="2" t="s">
        <v>145</v>
      </c>
      <c r="C849" s="2" t="s">
        <v>146</v>
      </c>
      <c r="D849" s="2" t="s">
        <v>767</v>
      </c>
      <c r="E849" s="2" t="s">
        <v>27</v>
      </c>
      <c r="F849" s="2" t="s">
        <v>788</v>
      </c>
      <c r="G849" s="2" t="s">
        <v>27</v>
      </c>
      <c r="H849" s="2">
        <v>70191</v>
      </c>
      <c r="I849" s="2">
        <v>70307</v>
      </c>
      <c r="J849" s="2" t="s">
        <v>28</v>
      </c>
      <c r="K849" s="2" t="s">
        <v>793</v>
      </c>
      <c r="L849" s="2" t="s">
        <v>39</v>
      </c>
      <c r="M849" s="2" t="s">
        <v>771</v>
      </c>
      <c r="N849" s="2">
        <v>1200</v>
      </c>
      <c r="O849" s="2">
        <v>1200</v>
      </c>
      <c r="P849" s="3">
        <v>1200</v>
      </c>
      <c r="Q849" s="3">
        <v>1200</v>
      </c>
      <c r="R849" s="2">
        <v>239</v>
      </c>
      <c r="S849" s="2">
        <v>239</v>
      </c>
      <c r="T849" s="3">
        <v>239</v>
      </c>
      <c r="U849" s="3">
        <v>239</v>
      </c>
      <c r="V849" s="3"/>
    </row>
    <row r="850" spans="2:22" ht="20" hidden="1" x14ac:dyDescent="0.25">
      <c r="B850" s="2" t="s">
        <v>145</v>
      </c>
      <c r="C850" s="2" t="s">
        <v>146</v>
      </c>
      <c r="D850" s="2" t="s">
        <v>767</v>
      </c>
      <c r="E850" s="2" t="s">
        <v>27</v>
      </c>
      <c r="F850" s="2" t="s">
        <v>788</v>
      </c>
      <c r="G850" s="2" t="s">
        <v>27</v>
      </c>
      <c r="H850" s="2">
        <v>70191</v>
      </c>
      <c r="I850" s="2">
        <v>70307</v>
      </c>
      <c r="J850" s="2" t="s">
        <v>28</v>
      </c>
      <c r="K850" s="2" t="s">
        <v>794</v>
      </c>
      <c r="L850" s="2" t="s">
        <v>39</v>
      </c>
      <c r="M850" s="2" t="s">
        <v>771</v>
      </c>
      <c r="N850" s="2">
        <v>1200</v>
      </c>
      <c r="O850" s="2">
        <v>1200</v>
      </c>
      <c r="P850" s="3">
        <v>1200</v>
      </c>
      <c r="Q850" s="3">
        <v>1200</v>
      </c>
      <c r="R850" s="2">
        <v>239</v>
      </c>
      <c r="S850" s="2">
        <v>239</v>
      </c>
      <c r="T850" s="3">
        <v>239</v>
      </c>
      <c r="U850" s="3">
        <v>239</v>
      </c>
      <c r="V850" s="3"/>
    </row>
    <row r="851" spans="2:22" ht="21" hidden="1" x14ac:dyDescent="0.25">
      <c r="B851" s="4" t="s">
        <v>801</v>
      </c>
      <c r="C851" s="4" t="s">
        <v>146</v>
      </c>
      <c r="D851" s="4" t="s">
        <v>802</v>
      </c>
      <c r="E851" s="4" t="s">
        <v>27</v>
      </c>
      <c r="F851" s="4" t="s">
        <v>788</v>
      </c>
      <c r="G851" s="4" t="s">
        <v>27</v>
      </c>
      <c r="H851" s="4">
        <v>72122</v>
      </c>
      <c r="I851" s="4">
        <v>70307</v>
      </c>
      <c r="J851" s="4" t="s">
        <v>28</v>
      </c>
      <c r="K851" s="4" t="s">
        <v>801</v>
      </c>
      <c r="L851" s="4" t="s">
        <v>29</v>
      </c>
      <c r="M851" s="4"/>
      <c r="N851" s="5">
        <v>800</v>
      </c>
      <c r="O851" s="5">
        <v>880</v>
      </c>
      <c r="P851" s="5">
        <v>910</v>
      </c>
      <c r="Q851" s="5">
        <v>1001</v>
      </c>
      <c r="R851" s="5">
        <v>159</v>
      </c>
      <c r="S851" s="5">
        <v>175</v>
      </c>
      <c r="T851" s="5">
        <v>181</v>
      </c>
      <c r="U851" s="5">
        <v>199</v>
      </c>
      <c r="V851" s="5"/>
    </row>
    <row r="852" spans="2:22" ht="20" hidden="1" x14ac:dyDescent="0.25">
      <c r="B852" s="2" t="s">
        <v>801</v>
      </c>
      <c r="C852" s="2" t="s">
        <v>146</v>
      </c>
      <c r="D852" s="2" t="s">
        <v>802</v>
      </c>
      <c r="E852" s="2" t="s">
        <v>27</v>
      </c>
      <c r="F852" s="2" t="s">
        <v>788</v>
      </c>
      <c r="G852" s="2" t="s">
        <v>27</v>
      </c>
      <c r="H852" s="2">
        <v>72122</v>
      </c>
      <c r="I852" s="2">
        <v>70307</v>
      </c>
      <c r="J852" s="2" t="s">
        <v>28</v>
      </c>
      <c r="K852" s="2" t="s">
        <v>801</v>
      </c>
      <c r="L852" s="2" t="s">
        <v>30</v>
      </c>
      <c r="M852" s="2" t="s">
        <v>146</v>
      </c>
      <c r="N852" s="3">
        <v>800</v>
      </c>
      <c r="O852" s="3">
        <v>880</v>
      </c>
      <c r="P852" s="3">
        <v>910</v>
      </c>
      <c r="Q852" s="3">
        <v>1001</v>
      </c>
      <c r="R852" s="3">
        <v>159</v>
      </c>
      <c r="S852" s="3">
        <v>175</v>
      </c>
      <c r="T852" s="3">
        <v>181</v>
      </c>
      <c r="U852" s="3">
        <v>199</v>
      </c>
      <c r="V852" s="3"/>
    </row>
    <row r="853" spans="2:22" ht="21" hidden="1" x14ac:dyDescent="0.25">
      <c r="B853" s="4" t="s">
        <v>803</v>
      </c>
      <c r="C853" s="4" t="s">
        <v>146</v>
      </c>
      <c r="D853" s="4" t="s">
        <v>802</v>
      </c>
      <c r="E853" s="4" t="s">
        <v>27</v>
      </c>
      <c r="F853" s="4" t="s">
        <v>537</v>
      </c>
      <c r="G853" s="4" t="s">
        <v>27</v>
      </c>
      <c r="H853" s="4">
        <v>72122</v>
      </c>
      <c r="I853" s="4">
        <v>70099</v>
      </c>
      <c r="J853" s="4" t="s">
        <v>28</v>
      </c>
      <c r="K853" s="4" t="s">
        <v>803</v>
      </c>
      <c r="L853" s="4" t="s">
        <v>29</v>
      </c>
      <c r="M853" s="4"/>
      <c r="N853" s="5">
        <v>800</v>
      </c>
      <c r="O853" s="5">
        <v>880</v>
      </c>
      <c r="P853" s="5">
        <v>909</v>
      </c>
      <c r="Q853" s="5">
        <v>1000</v>
      </c>
      <c r="R853" s="5">
        <v>159</v>
      </c>
      <c r="S853" s="5">
        <v>175</v>
      </c>
      <c r="T853" s="5">
        <v>181</v>
      </c>
      <c r="U853" s="5">
        <v>199</v>
      </c>
      <c r="V853" s="5"/>
    </row>
    <row r="854" spans="2:22" ht="20" hidden="1" x14ac:dyDescent="0.25">
      <c r="B854" s="2" t="s">
        <v>803</v>
      </c>
      <c r="C854" s="2" t="s">
        <v>146</v>
      </c>
      <c r="D854" s="2" t="s">
        <v>802</v>
      </c>
      <c r="E854" s="2" t="s">
        <v>27</v>
      </c>
      <c r="F854" s="2" t="s">
        <v>537</v>
      </c>
      <c r="G854" s="2" t="s">
        <v>27</v>
      </c>
      <c r="H854" s="2">
        <v>72122</v>
      </c>
      <c r="I854" s="2">
        <v>70099</v>
      </c>
      <c r="J854" s="2" t="s">
        <v>28</v>
      </c>
      <c r="K854" s="2" t="s">
        <v>803</v>
      </c>
      <c r="L854" s="2" t="s">
        <v>30</v>
      </c>
      <c r="M854" s="2" t="s">
        <v>146</v>
      </c>
      <c r="N854" s="3">
        <v>800</v>
      </c>
      <c r="O854" s="3">
        <v>880</v>
      </c>
      <c r="P854" s="3">
        <v>909</v>
      </c>
      <c r="Q854" s="3">
        <v>1000</v>
      </c>
      <c r="R854" s="3">
        <v>159</v>
      </c>
      <c r="S854" s="3">
        <v>175</v>
      </c>
      <c r="T854" s="3">
        <v>181</v>
      </c>
      <c r="U854" s="3">
        <v>199</v>
      </c>
      <c r="V854" s="3"/>
    </row>
    <row r="855" spans="2:22" ht="31.5" hidden="1" x14ac:dyDescent="0.25">
      <c r="B855" s="4" t="s">
        <v>1086</v>
      </c>
      <c r="C855" s="4" t="s">
        <v>1087</v>
      </c>
      <c r="D855" s="4" t="s">
        <v>1088</v>
      </c>
      <c r="E855" s="4" t="s">
        <v>27</v>
      </c>
      <c r="F855" s="4" t="s">
        <v>294</v>
      </c>
      <c r="G855" s="4" t="s">
        <v>27</v>
      </c>
      <c r="H855" s="4">
        <v>70298</v>
      </c>
      <c r="I855" s="4">
        <v>70108</v>
      </c>
      <c r="J855" s="4" t="s">
        <v>28</v>
      </c>
      <c r="K855" s="4" t="s">
        <v>1086</v>
      </c>
      <c r="L855" s="4" t="s">
        <v>29</v>
      </c>
      <c r="M855" s="4"/>
      <c r="N855" s="5">
        <v>1001</v>
      </c>
      <c r="O855" s="5">
        <v>1101</v>
      </c>
      <c r="P855" s="5">
        <v>1139</v>
      </c>
      <c r="Q855" s="5">
        <v>1200</v>
      </c>
      <c r="R855" s="5">
        <v>199</v>
      </c>
      <c r="S855" s="5">
        <v>219</v>
      </c>
      <c r="T855" s="5">
        <v>227</v>
      </c>
      <c r="U855" s="5">
        <v>239</v>
      </c>
      <c r="V855" s="5"/>
    </row>
    <row r="856" spans="2:22" ht="30" hidden="1" x14ac:dyDescent="0.25">
      <c r="B856" s="2" t="s">
        <v>1086</v>
      </c>
      <c r="C856" s="2" t="s">
        <v>1087</v>
      </c>
      <c r="D856" s="2" t="s">
        <v>1088</v>
      </c>
      <c r="E856" s="2" t="s">
        <v>27</v>
      </c>
      <c r="F856" s="2" t="s">
        <v>294</v>
      </c>
      <c r="G856" s="2" t="s">
        <v>27</v>
      </c>
      <c r="H856" s="2">
        <v>70298</v>
      </c>
      <c r="I856" s="2">
        <v>70108</v>
      </c>
      <c r="J856" s="2" t="s">
        <v>28</v>
      </c>
      <c r="K856" s="2" t="s">
        <v>1086</v>
      </c>
      <c r="L856" s="2" t="s">
        <v>30</v>
      </c>
      <c r="M856" s="2" t="s">
        <v>1087</v>
      </c>
      <c r="N856" s="3">
        <v>1001</v>
      </c>
      <c r="O856" s="3">
        <v>1101</v>
      </c>
      <c r="P856" s="3">
        <v>1139</v>
      </c>
      <c r="Q856" s="2">
        <v>1253</v>
      </c>
      <c r="R856" s="3">
        <v>199</v>
      </c>
      <c r="S856" s="3">
        <v>219</v>
      </c>
      <c r="T856" s="3">
        <v>227</v>
      </c>
      <c r="U856" s="2">
        <v>250</v>
      </c>
      <c r="V856" s="2"/>
    </row>
    <row r="857" spans="2:22" ht="30" hidden="1" x14ac:dyDescent="0.25">
      <c r="B857" s="2" t="s">
        <v>1086</v>
      </c>
      <c r="C857" s="2" t="s">
        <v>1087</v>
      </c>
      <c r="D857" s="2" t="s">
        <v>1088</v>
      </c>
      <c r="E857" s="2" t="s">
        <v>27</v>
      </c>
      <c r="F857" s="2" t="s">
        <v>294</v>
      </c>
      <c r="G857" s="2" t="s">
        <v>27</v>
      </c>
      <c r="H857" s="2">
        <v>70298</v>
      </c>
      <c r="I857" s="2">
        <v>70108</v>
      </c>
      <c r="J857" s="2" t="s">
        <v>28</v>
      </c>
      <c r="K857" s="2" t="s">
        <v>1089</v>
      </c>
      <c r="L857" s="2" t="s">
        <v>31</v>
      </c>
      <c r="M857" s="2" t="s">
        <v>1090</v>
      </c>
      <c r="N857" s="3">
        <v>1001</v>
      </c>
      <c r="O857" s="3">
        <v>1101</v>
      </c>
      <c r="P857" s="3">
        <v>1139</v>
      </c>
      <c r="Q857" s="2">
        <v>1253</v>
      </c>
      <c r="R857" s="3">
        <v>199</v>
      </c>
      <c r="S857" s="3">
        <v>219</v>
      </c>
      <c r="T857" s="3">
        <v>227</v>
      </c>
      <c r="U857" s="2">
        <v>249</v>
      </c>
      <c r="V857" s="2"/>
    </row>
    <row r="858" spans="2:22" ht="30" hidden="1" x14ac:dyDescent="0.25">
      <c r="B858" s="2" t="s">
        <v>1086</v>
      </c>
      <c r="C858" s="2" t="s">
        <v>1087</v>
      </c>
      <c r="D858" s="2" t="s">
        <v>1088</v>
      </c>
      <c r="E858" s="2" t="s">
        <v>27</v>
      </c>
      <c r="F858" s="2" t="s">
        <v>294</v>
      </c>
      <c r="G858" s="2" t="s">
        <v>27</v>
      </c>
      <c r="H858" s="2">
        <v>70298</v>
      </c>
      <c r="I858" s="2">
        <v>70108</v>
      </c>
      <c r="J858" s="2" t="s">
        <v>28</v>
      </c>
      <c r="K858" s="2" t="s">
        <v>1091</v>
      </c>
      <c r="L858" s="2" t="s">
        <v>36</v>
      </c>
      <c r="M858" s="2" t="s">
        <v>515</v>
      </c>
      <c r="N858" s="2">
        <v>1200</v>
      </c>
      <c r="O858" s="2">
        <v>1200</v>
      </c>
      <c r="P858" s="2">
        <v>1200</v>
      </c>
      <c r="Q858" s="3">
        <v>1200</v>
      </c>
      <c r="R858" s="2">
        <v>239</v>
      </c>
      <c r="S858" s="2">
        <v>239</v>
      </c>
      <c r="T858" s="2">
        <v>239</v>
      </c>
      <c r="U858" s="3">
        <v>239</v>
      </c>
      <c r="V858" s="3"/>
    </row>
    <row r="859" spans="2:22" ht="30" hidden="1" x14ac:dyDescent="0.25">
      <c r="B859" s="2" t="s">
        <v>1086</v>
      </c>
      <c r="C859" s="2" t="s">
        <v>1087</v>
      </c>
      <c r="D859" s="2" t="s">
        <v>1088</v>
      </c>
      <c r="E859" s="2" t="s">
        <v>27</v>
      </c>
      <c r="F859" s="2" t="s">
        <v>294</v>
      </c>
      <c r="G859" s="2" t="s">
        <v>27</v>
      </c>
      <c r="H859" s="2">
        <v>70298</v>
      </c>
      <c r="I859" s="2">
        <v>70108</v>
      </c>
      <c r="J859" s="2" t="s">
        <v>28</v>
      </c>
      <c r="K859" s="2" t="s">
        <v>1092</v>
      </c>
      <c r="L859" s="2" t="s">
        <v>36</v>
      </c>
      <c r="M859" s="2" t="s">
        <v>515</v>
      </c>
      <c r="N859" s="2">
        <v>1200</v>
      </c>
      <c r="O859" s="2">
        <v>1200</v>
      </c>
      <c r="P859" s="2">
        <v>1200</v>
      </c>
      <c r="Q859" s="3">
        <v>1200</v>
      </c>
      <c r="R859" s="2">
        <v>239</v>
      </c>
      <c r="S859" s="2">
        <v>239</v>
      </c>
      <c r="T859" s="2">
        <v>239</v>
      </c>
      <c r="U859" s="3">
        <v>239</v>
      </c>
      <c r="V859" s="3"/>
    </row>
    <row r="860" spans="2:22" ht="31.5" hidden="1" x14ac:dyDescent="0.25">
      <c r="B860" s="4" t="s">
        <v>449</v>
      </c>
      <c r="C860" s="4" t="s">
        <v>450</v>
      </c>
      <c r="D860" s="4" t="s">
        <v>451</v>
      </c>
      <c r="E860" s="4" t="s">
        <v>27</v>
      </c>
      <c r="F860" s="4" t="s">
        <v>294</v>
      </c>
      <c r="G860" s="4" t="s">
        <v>27</v>
      </c>
      <c r="H860" s="4">
        <v>70073</v>
      </c>
      <c r="I860" s="4">
        <v>70108</v>
      </c>
      <c r="J860" s="4" t="s">
        <v>28</v>
      </c>
      <c r="K860" s="4" t="s">
        <v>449</v>
      </c>
      <c r="L860" s="4" t="s">
        <v>29</v>
      </c>
      <c r="M860" s="4"/>
      <c r="N860" s="5">
        <v>688</v>
      </c>
      <c r="O860" s="5">
        <v>757</v>
      </c>
      <c r="P860" s="5">
        <v>688</v>
      </c>
      <c r="Q860" s="5">
        <v>757</v>
      </c>
      <c r="R860" s="5">
        <v>137</v>
      </c>
      <c r="S860" s="5">
        <v>151</v>
      </c>
      <c r="T860" s="5">
        <v>137</v>
      </c>
      <c r="U860" s="5">
        <v>151</v>
      </c>
      <c r="V860" s="5"/>
    </row>
    <row r="861" spans="2:22" ht="30" hidden="1" x14ac:dyDescent="0.25">
      <c r="B861" s="2" t="s">
        <v>449</v>
      </c>
      <c r="C861" s="2" t="s">
        <v>450</v>
      </c>
      <c r="D861" s="2" t="s">
        <v>451</v>
      </c>
      <c r="E861" s="2" t="s">
        <v>27</v>
      </c>
      <c r="F861" s="2" t="s">
        <v>294</v>
      </c>
      <c r="G861" s="2" t="s">
        <v>27</v>
      </c>
      <c r="H861" s="2">
        <v>70073</v>
      </c>
      <c r="I861" s="2">
        <v>70108</v>
      </c>
      <c r="J861" s="2" t="s">
        <v>28</v>
      </c>
      <c r="K861" s="2" t="s">
        <v>449</v>
      </c>
      <c r="L861" s="2" t="s">
        <v>30</v>
      </c>
      <c r="M861" s="2" t="s">
        <v>450</v>
      </c>
      <c r="N861" s="3">
        <v>688</v>
      </c>
      <c r="O861" s="3">
        <v>757</v>
      </c>
      <c r="P861" s="3">
        <v>688</v>
      </c>
      <c r="Q861" s="3">
        <v>757</v>
      </c>
      <c r="R861" s="3">
        <v>137</v>
      </c>
      <c r="S861" s="3">
        <v>151</v>
      </c>
      <c r="T861" s="3">
        <v>137</v>
      </c>
      <c r="U861" s="3">
        <v>151</v>
      </c>
      <c r="V861" s="3"/>
    </row>
    <row r="862" spans="2:22" ht="21" hidden="1" x14ac:dyDescent="0.25">
      <c r="B862" s="4" t="s">
        <v>452</v>
      </c>
      <c r="C862" s="4" t="s">
        <v>450</v>
      </c>
      <c r="D862" s="4" t="s">
        <v>451</v>
      </c>
      <c r="E862" s="4" t="s">
        <v>27</v>
      </c>
      <c r="F862" s="4" t="s">
        <v>453</v>
      </c>
      <c r="G862" s="4" t="s">
        <v>27</v>
      </c>
      <c r="H862" s="4">
        <v>70073</v>
      </c>
      <c r="I862" s="4">
        <v>70215</v>
      </c>
      <c r="J862" s="4" t="s">
        <v>28</v>
      </c>
      <c r="K862" s="4" t="s">
        <v>452</v>
      </c>
      <c r="L862" s="4" t="s">
        <v>29</v>
      </c>
      <c r="M862" s="4"/>
      <c r="N862" s="5">
        <v>728</v>
      </c>
      <c r="O862" s="5">
        <v>801</v>
      </c>
      <c r="P862" s="5">
        <v>728</v>
      </c>
      <c r="Q862" s="5">
        <v>801</v>
      </c>
      <c r="R862" s="5">
        <v>145</v>
      </c>
      <c r="S862" s="5">
        <v>160</v>
      </c>
      <c r="T862" s="5">
        <v>145</v>
      </c>
      <c r="U862" s="5">
        <v>160</v>
      </c>
      <c r="V862" s="5"/>
    </row>
    <row r="863" spans="2:22" ht="20" hidden="1" x14ac:dyDescent="0.25">
      <c r="B863" s="2" t="s">
        <v>452</v>
      </c>
      <c r="C863" s="2" t="s">
        <v>450</v>
      </c>
      <c r="D863" s="2" t="s">
        <v>451</v>
      </c>
      <c r="E863" s="2" t="s">
        <v>27</v>
      </c>
      <c r="F863" s="2" t="s">
        <v>453</v>
      </c>
      <c r="G863" s="2" t="s">
        <v>27</v>
      </c>
      <c r="H863" s="2">
        <v>70073</v>
      </c>
      <c r="I863" s="2">
        <v>70215</v>
      </c>
      <c r="J863" s="2" t="s">
        <v>28</v>
      </c>
      <c r="K863" s="2" t="s">
        <v>452</v>
      </c>
      <c r="L863" s="2" t="s">
        <v>30</v>
      </c>
      <c r="M863" s="2" t="s">
        <v>450</v>
      </c>
      <c r="N863" s="3">
        <v>728</v>
      </c>
      <c r="O863" s="3">
        <v>801</v>
      </c>
      <c r="P863" s="3">
        <v>728</v>
      </c>
      <c r="Q863" s="3">
        <v>801</v>
      </c>
      <c r="R863" s="3">
        <v>145</v>
      </c>
      <c r="S863" s="3">
        <v>160</v>
      </c>
      <c r="T863" s="3">
        <v>145</v>
      </c>
      <c r="U863" s="3">
        <v>160</v>
      </c>
      <c r="V863" s="3"/>
    </row>
    <row r="864" spans="2:22" ht="21" hidden="1" x14ac:dyDescent="0.25">
      <c r="B864" s="4" t="s">
        <v>286</v>
      </c>
      <c r="C864" s="4" t="s">
        <v>287</v>
      </c>
      <c r="D864" s="4" t="s">
        <v>288</v>
      </c>
      <c r="E864" s="4" t="s">
        <v>27</v>
      </c>
      <c r="F864" s="4" t="s">
        <v>289</v>
      </c>
      <c r="G864" s="4" t="s">
        <v>27</v>
      </c>
      <c r="H864" s="4">
        <v>70040</v>
      </c>
      <c r="I864" s="4">
        <v>70217</v>
      </c>
      <c r="J864" s="4" t="s">
        <v>28</v>
      </c>
      <c r="K864" s="4" t="s">
        <v>286</v>
      </c>
      <c r="L864" s="4" t="s">
        <v>29</v>
      </c>
      <c r="M864" s="4"/>
      <c r="N864" s="5">
        <v>799</v>
      </c>
      <c r="O864" s="5">
        <v>879</v>
      </c>
      <c r="P864" s="5">
        <v>909</v>
      </c>
      <c r="Q864" s="5">
        <v>999</v>
      </c>
      <c r="R864" s="5">
        <v>159</v>
      </c>
      <c r="S864" s="5">
        <v>175</v>
      </c>
      <c r="T864" s="5">
        <v>181</v>
      </c>
      <c r="U864" s="5">
        <v>199</v>
      </c>
      <c r="V864" s="5"/>
    </row>
    <row r="865" spans="2:22" ht="20" hidden="1" x14ac:dyDescent="0.25">
      <c r="B865" s="2" t="s">
        <v>286</v>
      </c>
      <c r="C865" s="2" t="s">
        <v>287</v>
      </c>
      <c r="D865" s="2" t="s">
        <v>288</v>
      </c>
      <c r="E865" s="2" t="s">
        <v>27</v>
      </c>
      <c r="F865" s="2" t="s">
        <v>289</v>
      </c>
      <c r="G865" s="2" t="s">
        <v>27</v>
      </c>
      <c r="H865" s="2">
        <v>70040</v>
      </c>
      <c r="I865" s="2">
        <v>70217</v>
      </c>
      <c r="J865" s="2" t="s">
        <v>28</v>
      </c>
      <c r="K865" s="2" t="s">
        <v>32</v>
      </c>
      <c r="L865" s="2" t="s">
        <v>31</v>
      </c>
      <c r="M865" s="2" t="s">
        <v>290</v>
      </c>
      <c r="N865" s="3">
        <v>799</v>
      </c>
      <c r="O865" s="3">
        <v>879</v>
      </c>
      <c r="P865" s="3">
        <v>909</v>
      </c>
      <c r="Q865" s="3">
        <v>999</v>
      </c>
      <c r="R865" s="3">
        <v>159</v>
      </c>
      <c r="S865" s="3">
        <v>175</v>
      </c>
      <c r="T865" s="3">
        <v>181</v>
      </c>
      <c r="U865" s="3">
        <v>199</v>
      </c>
      <c r="V865" s="3"/>
    </row>
    <row r="866" spans="2:22" ht="31.5" hidden="1" x14ac:dyDescent="0.25">
      <c r="B866" s="4" t="s">
        <v>502</v>
      </c>
      <c r="C866" s="4" t="s">
        <v>287</v>
      </c>
      <c r="D866" s="4" t="s">
        <v>294</v>
      </c>
      <c r="E866" s="4" t="s">
        <v>27</v>
      </c>
      <c r="F866" s="4" t="s">
        <v>503</v>
      </c>
      <c r="G866" s="4" t="s">
        <v>27</v>
      </c>
      <c r="H866" s="4">
        <v>70110</v>
      </c>
      <c r="I866" s="4">
        <v>70153</v>
      </c>
      <c r="J866" s="4" t="s">
        <v>28</v>
      </c>
      <c r="K866" s="4" t="s">
        <v>502</v>
      </c>
      <c r="L866" s="4" t="s">
        <v>29</v>
      </c>
      <c r="M866" s="4"/>
      <c r="N866" s="5">
        <v>800</v>
      </c>
      <c r="O866" s="5">
        <v>880</v>
      </c>
      <c r="P866" s="5">
        <v>910</v>
      </c>
      <c r="Q866" s="5">
        <v>1001</v>
      </c>
      <c r="R866" s="5">
        <v>159</v>
      </c>
      <c r="S866" s="5">
        <v>175</v>
      </c>
      <c r="T866" s="5">
        <v>181</v>
      </c>
      <c r="U866" s="5">
        <v>199</v>
      </c>
      <c r="V866" s="5"/>
    </row>
    <row r="867" spans="2:22" ht="30" hidden="1" x14ac:dyDescent="0.25">
      <c r="B867" s="2" t="s">
        <v>502</v>
      </c>
      <c r="C867" s="2" t="s">
        <v>287</v>
      </c>
      <c r="D867" s="2" t="s">
        <v>294</v>
      </c>
      <c r="E867" s="2" t="s">
        <v>27</v>
      </c>
      <c r="F867" s="2" t="s">
        <v>503</v>
      </c>
      <c r="G867" s="2" t="s">
        <v>27</v>
      </c>
      <c r="H867" s="2">
        <v>70110</v>
      </c>
      <c r="I867" s="2">
        <v>70153</v>
      </c>
      <c r="J867" s="2" t="s">
        <v>28</v>
      </c>
      <c r="K867" s="2" t="s">
        <v>502</v>
      </c>
      <c r="L867" s="2" t="s">
        <v>30</v>
      </c>
      <c r="M867" s="2" t="s">
        <v>287</v>
      </c>
      <c r="N867" s="3">
        <v>800</v>
      </c>
      <c r="O867" s="3">
        <v>880</v>
      </c>
      <c r="P867" s="3">
        <v>910</v>
      </c>
      <c r="Q867" s="3">
        <v>1001</v>
      </c>
      <c r="R867" s="3">
        <v>159</v>
      </c>
      <c r="S867" s="3">
        <v>175</v>
      </c>
      <c r="T867" s="3">
        <v>181</v>
      </c>
      <c r="U867" s="3">
        <v>199</v>
      </c>
      <c r="V867" s="3"/>
    </row>
    <row r="868" spans="2:22" hidden="1" x14ac:dyDescent="0.25">
      <c r="B868" s="4" t="s">
        <v>667</v>
      </c>
      <c r="C868" s="4" t="s">
        <v>287</v>
      </c>
      <c r="D868" s="4" t="s">
        <v>503</v>
      </c>
      <c r="E868" s="4" t="s">
        <v>27</v>
      </c>
      <c r="F868" s="4" t="s">
        <v>288</v>
      </c>
      <c r="G868" s="4" t="s">
        <v>27</v>
      </c>
      <c r="H868" s="4">
        <v>70153</v>
      </c>
      <c r="I868" s="4">
        <v>70040</v>
      </c>
      <c r="J868" s="4" t="s">
        <v>28</v>
      </c>
      <c r="K868" s="4" t="s">
        <v>667</v>
      </c>
      <c r="L868" s="4" t="s">
        <v>29</v>
      </c>
      <c r="M868" s="4"/>
      <c r="N868" s="5">
        <v>799</v>
      </c>
      <c r="O868" s="5">
        <v>879</v>
      </c>
      <c r="P868" s="5">
        <v>909</v>
      </c>
      <c r="Q868" s="5">
        <v>999</v>
      </c>
      <c r="R868" s="5">
        <v>159</v>
      </c>
      <c r="S868" s="5">
        <v>175</v>
      </c>
      <c r="T868" s="5">
        <v>181</v>
      </c>
      <c r="U868" s="5">
        <v>199</v>
      </c>
      <c r="V868" s="5"/>
    </row>
    <row r="869" spans="2:22" ht="20" hidden="1" x14ac:dyDescent="0.25">
      <c r="B869" s="2" t="s">
        <v>667</v>
      </c>
      <c r="C869" s="2" t="s">
        <v>287</v>
      </c>
      <c r="D869" s="2" t="s">
        <v>503</v>
      </c>
      <c r="E869" s="2" t="s">
        <v>27</v>
      </c>
      <c r="F869" s="2" t="s">
        <v>288</v>
      </c>
      <c r="G869" s="2" t="s">
        <v>27</v>
      </c>
      <c r="H869" s="2">
        <v>70153</v>
      </c>
      <c r="I869" s="2">
        <v>70040</v>
      </c>
      <c r="J869" s="2" t="s">
        <v>28</v>
      </c>
      <c r="K869" s="2" t="s">
        <v>32</v>
      </c>
      <c r="L869" s="2" t="s">
        <v>31</v>
      </c>
      <c r="M869" s="2" t="s">
        <v>290</v>
      </c>
      <c r="N869" s="3">
        <v>799</v>
      </c>
      <c r="O869" s="3">
        <v>879</v>
      </c>
      <c r="P869" s="3">
        <v>909</v>
      </c>
      <c r="Q869" s="3">
        <v>999</v>
      </c>
      <c r="R869" s="3">
        <v>159</v>
      </c>
      <c r="S869" s="3">
        <v>175</v>
      </c>
      <c r="T869" s="3">
        <v>181</v>
      </c>
      <c r="U869" s="3">
        <v>199</v>
      </c>
      <c r="V869" s="3"/>
    </row>
    <row r="870" spans="2:22" hidden="1" x14ac:dyDescent="0.25">
      <c r="B870" s="4" t="s">
        <v>668</v>
      </c>
      <c r="C870" s="4" t="s">
        <v>287</v>
      </c>
      <c r="D870" s="4" t="s">
        <v>503</v>
      </c>
      <c r="E870" s="4" t="s">
        <v>27</v>
      </c>
      <c r="F870" s="4" t="s">
        <v>498</v>
      </c>
      <c r="G870" s="4" t="s">
        <v>27</v>
      </c>
      <c r="H870" s="4">
        <v>70153</v>
      </c>
      <c r="I870" s="4">
        <v>70154</v>
      </c>
      <c r="J870" s="4" t="s">
        <v>28</v>
      </c>
      <c r="K870" s="4" t="s">
        <v>668</v>
      </c>
      <c r="L870" s="4" t="s">
        <v>29</v>
      </c>
      <c r="M870" s="4"/>
      <c r="N870" s="5">
        <v>600</v>
      </c>
      <c r="O870" s="5">
        <v>730</v>
      </c>
      <c r="P870" s="5">
        <v>743</v>
      </c>
      <c r="Q870" s="5">
        <v>829</v>
      </c>
      <c r="R870" s="5">
        <v>120</v>
      </c>
      <c r="S870" s="5">
        <v>145</v>
      </c>
      <c r="T870" s="5">
        <v>148</v>
      </c>
      <c r="U870" s="5">
        <v>165</v>
      </c>
      <c r="V870" s="5"/>
    </row>
    <row r="871" spans="2:22" hidden="1" x14ac:dyDescent="0.25">
      <c r="B871" s="2" t="s">
        <v>668</v>
      </c>
      <c r="C871" s="2" t="s">
        <v>287</v>
      </c>
      <c r="D871" s="2" t="s">
        <v>503</v>
      </c>
      <c r="E871" s="2" t="s">
        <v>27</v>
      </c>
      <c r="F871" s="2" t="s">
        <v>498</v>
      </c>
      <c r="G871" s="2" t="s">
        <v>27</v>
      </c>
      <c r="H871" s="2">
        <v>70153</v>
      </c>
      <c r="I871" s="2">
        <v>70154</v>
      </c>
      <c r="J871" s="2" t="s">
        <v>28</v>
      </c>
      <c r="K871" s="2" t="s">
        <v>669</v>
      </c>
      <c r="L871" s="2" t="s">
        <v>34</v>
      </c>
      <c r="M871" s="2" t="s">
        <v>500</v>
      </c>
      <c r="N871" s="3">
        <v>600</v>
      </c>
      <c r="O871" s="2">
        <v>775</v>
      </c>
      <c r="P871" s="3">
        <v>743</v>
      </c>
      <c r="Q871" s="2">
        <v>890</v>
      </c>
      <c r="R871" s="3">
        <v>120</v>
      </c>
      <c r="S871" s="2">
        <v>154</v>
      </c>
      <c r="T871" s="3">
        <v>148</v>
      </c>
      <c r="U871" s="2">
        <v>177</v>
      </c>
      <c r="V871" s="2"/>
    </row>
    <row r="872" spans="2:22" ht="20" hidden="1" x14ac:dyDescent="0.25">
      <c r="B872" s="2" t="s">
        <v>668</v>
      </c>
      <c r="C872" s="2" t="s">
        <v>287</v>
      </c>
      <c r="D872" s="2" t="s">
        <v>503</v>
      </c>
      <c r="E872" s="2" t="s">
        <v>27</v>
      </c>
      <c r="F872" s="2" t="s">
        <v>498</v>
      </c>
      <c r="G872" s="2" t="s">
        <v>27</v>
      </c>
      <c r="H872" s="2">
        <v>70153</v>
      </c>
      <c r="I872" s="2">
        <v>70154</v>
      </c>
      <c r="J872" s="2" t="s">
        <v>28</v>
      </c>
      <c r="K872" s="2" t="s">
        <v>501</v>
      </c>
      <c r="L872" s="2" t="s">
        <v>31</v>
      </c>
      <c r="M872" s="2" t="s">
        <v>500</v>
      </c>
      <c r="N872" s="2">
        <v>630</v>
      </c>
      <c r="O872" s="3">
        <v>730</v>
      </c>
      <c r="P872" s="2">
        <v>747</v>
      </c>
      <c r="Q872" s="3">
        <v>829</v>
      </c>
      <c r="R872" s="2">
        <v>126</v>
      </c>
      <c r="S872" s="3">
        <v>145</v>
      </c>
      <c r="T872" s="2">
        <v>149</v>
      </c>
      <c r="U872" s="3">
        <v>165</v>
      </c>
      <c r="V872" s="3"/>
    </row>
    <row r="873" spans="2:22" ht="21" hidden="1" x14ac:dyDescent="0.25">
      <c r="B873" s="4" t="s">
        <v>926</v>
      </c>
      <c r="C873" s="4" t="s">
        <v>287</v>
      </c>
      <c r="D873" s="4" t="s">
        <v>289</v>
      </c>
      <c r="E873" s="4" t="s">
        <v>27</v>
      </c>
      <c r="F873" s="4" t="s">
        <v>723</v>
      </c>
      <c r="G873" s="4" t="s">
        <v>27</v>
      </c>
      <c r="H873" s="4">
        <v>70217</v>
      </c>
      <c r="I873" s="4">
        <v>70538</v>
      </c>
      <c r="J873" s="4" t="s">
        <v>28</v>
      </c>
      <c r="K873" s="4" t="s">
        <v>926</v>
      </c>
      <c r="L873" s="4" t="s">
        <v>29</v>
      </c>
      <c r="M873" s="4"/>
      <c r="N873" s="5">
        <v>800</v>
      </c>
      <c r="O873" s="5">
        <v>880</v>
      </c>
      <c r="P873" s="5">
        <v>910</v>
      </c>
      <c r="Q873" s="5">
        <v>1001</v>
      </c>
      <c r="R873" s="5">
        <v>159</v>
      </c>
      <c r="S873" s="5">
        <v>175</v>
      </c>
      <c r="T873" s="5">
        <v>181</v>
      </c>
      <c r="U873" s="5">
        <v>199</v>
      </c>
      <c r="V873" s="5"/>
    </row>
    <row r="874" spans="2:22" ht="20" hidden="1" x14ac:dyDescent="0.25">
      <c r="B874" s="2" t="s">
        <v>926</v>
      </c>
      <c r="C874" s="2" t="s">
        <v>287</v>
      </c>
      <c r="D874" s="2" t="s">
        <v>289</v>
      </c>
      <c r="E874" s="2" t="s">
        <v>27</v>
      </c>
      <c r="F874" s="2" t="s">
        <v>723</v>
      </c>
      <c r="G874" s="2" t="s">
        <v>27</v>
      </c>
      <c r="H874" s="2">
        <v>70217</v>
      </c>
      <c r="I874" s="2">
        <v>70538</v>
      </c>
      <c r="J874" s="2" t="s">
        <v>28</v>
      </c>
      <c r="K874" s="2" t="s">
        <v>926</v>
      </c>
      <c r="L874" s="2" t="s">
        <v>30</v>
      </c>
      <c r="M874" s="2" t="s">
        <v>287</v>
      </c>
      <c r="N874" s="3">
        <v>800</v>
      </c>
      <c r="O874" s="3">
        <v>880</v>
      </c>
      <c r="P874" s="3">
        <v>910</v>
      </c>
      <c r="Q874" s="3">
        <v>1001</v>
      </c>
      <c r="R874" s="3">
        <v>159</v>
      </c>
      <c r="S874" s="3">
        <v>175</v>
      </c>
      <c r="T874" s="3">
        <v>181</v>
      </c>
      <c r="U874" s="3">
        <v>199</v>
      </c>
      <c r="V874" s="3"/>
    </row>
    <row r="875" spans="2:22" ht="31.5" hidden="1" x14ac:dyDescent="0.25">
      <c r="B875" s="4" t="s">
        <v>496</v>
      </c>
      <c r="C875" s="4" t="s">
        <v>497</v>
      </c>
      <c r="D875" s="4" t="s">
        <v>294</v>
      </c>
      <c r="E875" s="4" t="s">
        <v>27</v>
      </c>
      <c r="F875" s="4" t="s">
        <v>498</v>
      </c>
      <c r="G875" s="4" t="s">
        <v>27</v>
      </c>
      <c r="H875" s="4">
        <v>70110</v>
      </c>
      <c r="I875" s="4">
        <v>70154</v>
      </c>
      <c r="J875" s="4" t="s">
        <v>28</v>
      </c>
      <c r="K875" s="4" t="s">
        <v>496</v>
      </c>
      <c r="L875" s="4" t="s">
        <v>29</v>
      </c>
      <c r="M875" s="4"/>
      <c r="N875" s="5">
        <v>600</v>
      </c>
      <c r="O875" s="5">
        <v>730</v>
      </c>
      <c r="P875" s="5">
        <v>743</v>
      </c>
      <c r="Q875" s="5">
        <v>829</v>
      </c>
      <c r="R875" s="5">
        <v>120</v>
      </c>
      <c r="S875" s="5">
        <v>145</v>
      </c>
      <c r="T875" s="5">
        <v>148</v>
      </c>
      <c r="U875" s="5">
        <v>165</v>
      </c>
      <c r="V875" s="5"/>
    </row>
    <row r="876" spans="2:22" ht="30" hidden="1" x14ac:dyDescent="0.25">
      <c r="B876" s="2" t="s">
        <v>496</v>
      </c>
      <c r="C876" s="2" t="s">
        <v>497</v>
      </c>
      <c r="D876" s="2" t="s">
        <v>294</v>
      </c>
      <c r="E876" s="2" t="s">
        <v>27</v>
      </c>
      <c r="F876" s="2" t="s">
        <v>498</v>
      </c>
      <c r="G876" s="2" t="s">
        <v>27</v>
      </c>
      <c r="H876" s="2">
        <v>70110</v>
      </c>
      <c r="I876" s="2">
        <v>70154</v>
      </c>
      <c r="J876" s="2" t="s">
        <v>28</v>
      </c>
      <c r="K876" s="2" t="s">
        <v>499</v>
      </c>
      <c r="L876" s="2" t="s">
        <v>34</v>
      </c>
      <c r="M876" s="2" t="s">
        <v>500</v>
      </c>
      <c r="N876" s="3">
        <v>600</v>
      </c>
      <c r="O876" s="2">
        <v>775</v>
      </c>
      <c r="P876" s="3">
        <v>743</v>
      </c>
      <c r="Q876" s="2">
        <v>890</v>
      </c>
      <c r="R876" s="3">
        <v>120</v>
      </c>
      <c r="S876" s="2">
        <v>154</v>
      </c>
      <c r="T876" s="3">
        <v>148</v>
      </c>
      <c r="U876" s="2">
        <v>177</v>
      </c>
      <c r="V876" s="2"/>
    </row>
    <row r="877" spans="2:22" ht="30" hidden="1" x14ac:dyDescent="0.25">
      <c r="B877" s="2" t="s">
        <v>496</v>
      </c>
      <c r="C877" s="2" t="s">
        <v>497</v>
      </c>
      <c r="D877" s="2" t="s">
        <v>294</v>
      </c>
      <c r="E877" s="2" t="s">
        <v>27</v>
      </c>
      <c r="F877" s="2" t="s">
        <v>498</v>
      </c>
      <c r="G877" s="2" t="s">
        <v>27</v>
      </c>
      <c r="H877" s="2">
        <v>70110</v>
      </c>
      <c r="I877" s="2">
        <v>70154</v>
      </c>
      <c r="J877" s="2" t="s">
        <v>28</v>
      </c>
      <c r="K877" s="2" t="s">
        <v>501</v>
      </c>
      <c r="L877" s="2" t="s">
        <v>31</v>
      </c>
      <c r="M877" s="2" t="s">
        <v>500</v>
      </c>
      <c r="N877" s="2">
        <v>630</v>
      </c>
      <c r="O877" s="3">
        <v>730</v>
      </c>
      <c r="P877" s="2">
        <v>747</v>
      </c>
      <c r="Q877" s="3">
        <v>829</v>
      </c>
      <c r="R877" s="2">
        <v>126</v>
      </c>
      <c r="S877" s="3">
        <v>145</v>
      </c>
      <c r="T877" s="2">
        <v>149</v>
      </c>
      <c r="U877" s="3">
        <v>165</v>
      </c>
      <c r="V877" s="3"/>
    </row>
    <row r="878" spans="2:22" ht="21" hidden="1" x14ac:dyDescent="0.25">
      <c r="B878" s="4" t="s">
        <v>663</v>
      </c>
      <c r="C878" s="4" t="s">
        <v>497</v>
      </c>
      <c r="D878" s="4" t="s">
        <v>498</v>
      </c>
      <c r="E878" s="4" t="s">
        <v>27</v>
      </c>
      <c r="F878" s="4" t="s">
        <v>289</v>
      </c>
      <c r="G878" s="4" t="s">
        <v>27</v>
      </c>
      <c r="H878" s="4">
        <v>70154</v>
      </c>
      <c r="I878" s="4">
        <v>70216</v>
      </c>
      <c r="J878" s="4" t="s">
        <v>28</v>
      </c>
      <c r="K878" s="4" t="s">
        <v>663</v>
      </c>
      <c r="L878" s="4" t="s">
        <v>29</v>
      </c>
      <c r="M878" s="4"/>
      <c r="N878" s="5">
        <v>600</v>
      </c>
      <c r="O878" s="5">
        <v>662</v>
      </c>
      <c r="P878" s="5">
        <v>743</v>
      </c>
      <c r="Q878" s="5">
        <v>827</v>
      </c>
      <c r="R878" s="5">
        <v>120</v>
      </c>
      <c r="S878" s="5">
        <v>132</v>
      </c>
      <c r="T878" s="5">
        <v>148</v>
      </c>
      <c r="U878" s="5">
        <v>165</v>
      </c>
      <c r="V878" s="5"/>
    </row>
    <row r="879" spans="2:22" ht="20" hidden="1" x14ac:dyDescent="0.25">
      <c r="B879" s="2" t="s">
        <v>663</v>
      </c>
      <c r="C879" s="2" t="s">
        <v>497</v>
      </c>
      <c r="D879" s="2" t="s">
        <v>498</v>
      </c>
      <c r="E879" s="2" t="s">
        <v>27</v>
      </c>
      <c r="F879" s="2" t="s">
        <v>289</v>
      </c>
      <c r="G879" s="2" t="s">
        <v>27</v>
      </c>
      <c r="H879" s="2">
        <v>70154</v>
      </c>
      <c r="I879" s="2">
        <v>70216</v>
      </c>
      <c r="J879" s="2" t="s">
        <v>28</v>
      </c>
      <c r="K879" s="2" t="s">
        <v>664</v>
      </c>
      <c r="L879" s="2" t="s">
        <v>34</v>
      </c>
      <c r="M879" s="2" t="s">
        <v>665</v>
      </c>
      <c r="N879" s="3">
        <v>600</v>
      </c>
      <c r="O879" s="2">
        <v>775</v>
      </c>
      <c r="P879" s="3">
        <v>743</v>
      </c>
      <c r="Q879" s="2">
        <v>890</v>
      </c>
      <c r="R879" s="3">
        <v>120</v>
      </c>
      <c r="S879" s="2">
        <v>154</v>
      </c>
      <c r="T879" s="3">
        <v>148</v>
      </c>
      <c r="U879" s="2">
        <v>177</v>
      </c>
      <c r="V879" s="2"/>
    </row>
    <row r="880" spans="2:22" ht="20" hidden="1" x14ac:dyDescent="0.25">
      <c r="B880" s="2" t="s">
        <v>663</v>
      </c>
      <c r="C880" s="2" t="s">
        <v>497</v>
      </c>
      <c r="D880" s="2" t="s">
        <v>498</v>
      </c>
      <c r="E880" s="2" t="s">
        <v>27</v>
      </c>
      <c r="F880" s="2" t="s">
        <v>289</v>
      </c>
      <c r="G880" s="2" t="s">
        <v>27</v>
      </c>
      <c r="H880" s="2">
        <v>70154</v>
      </c>
      <c r="I880" s="2">
        <v>70216</v>
      </c>
      <c r="J880" s="2" t="s">
        <v>28</v>
      </c>
      <c r="K880" s="2" t="s">
        <v>666</v>
      </c>
      <c r="L880" s="2" t="s">
        <v>34</v>
      </c>
      <c r="M880" s="2" t="s">
        <v>500</v>
      </c>
      <c r="N880" s="3">
        <v>600</v>
      </c>
      <c r="O880" s="2">
        <v>775</v>
      </c>
      <c r="P880" s="3">
        <v>743</v>
      </c>
      <c r="Q880" s="2">
        <v>890</v>
      </c>
      <c r="R880" s="3">
        <v>120</v>
      </c>
      <c r="S880" s="2">
        <v>154</v>
      </c>
      <c r="T880" s="3">
        <v>148</v>
      </c>
      <c r="U880" s="2">
        <v>177</v>
      </c>
      <c r="V880" s="2"/>
    </row>
    <row r="881" spans="2:22" ht="20" hidden="1" x14ac:dyDescent="0.25">
      <c r="B881" s="2" t="s">
        <v>663</v>
      </c>
      <c r="C881" s="2" t="s">
        <v>497</v>
      </c>
      <c r="D881" s="2" t="s">
        <v>498</v>
      </c>
      <c r="E881" s="2" t="s">
        <v>27</v>
      </c>
      <c r="F881" s="2" t="s">
        <v>289</v>
      </c>
      <c r="G881" s="2" t="s">
        <v>27</v>
      </c>
      <c r="H881" s="2">
        <v>70154</v>
      </c>
      <c r="I881" s="2">
        <v>70216</v>
      </c>
      <c r="J881" s="2" t="s">
        <v>28</v>
      </c>
      <c r="K881" s="2" t="s">
        <v>663</v>
      </c>
      <c r="L881" s="2" t="s">
        <v>30</v>
      </c>
      <c r="M881" s="2" t="s">
        <v>497</v>
      </c>
      <c r="N881" s="2">
        <v>602</v>
      </c>
      <c r="O881" s="3">
        <v>662</v>
      </c>
      <c r="P881" s="2">
        <v>752</v>
      </c>
      <c r="Q881" s="3">
        <v>827</v>
      </c>
      <c r="R881" s="2">
        <v>120</v>
      </c>
      <c r="S881" s="3">
        <v>132</v>
      </c>
      <c r="T881" s="2">
        <v>150</v>
      </c>
      <c r="U881" s="3">
        <v>165</v>
      </c>
      <c r="V881" s="3"/>
    </row>
    <row r="882" spans="2:22" ht="21" hidden="1" x14ac:dyDescent="0.25">
      <c r="B882" s="4" t="s">
        <v>924</v>
      </c>
      <c r="C882" s="4" t="s">
        <v>497</v>
      </c>
      <c r="D882" s="4" t="s">
        <v>289</v>
      </c>
      <c r="E882" s="4" t="s">
        <v>27</v>
      </c>
      <c r="F882" s="4" t="s">
        <v>723</v>
      </c>
      <c r="G882" s="4" t="s">
        <v>27</v>
      </c>
      <c r="H882" s="4">
        <v>70216</v>
      </c>
      <c r="I882" s="4">
        <v>70538</v>
      </c>
      <c r="J882" s="4" t="s">
        <v>28</v>
      </c>
      <c r="K882" s="4" t="s">
        <v>924</v>
      </c>
      <c r="L882" s="4" t="s">
        <v>29</v>
      </c>
      <c r="M882" s="4"/>
      <c r="N882" s="5">
        <v>600</v>
      </c>
      <c r="O882" s="5">
        <v>775</v>
      </c>
      <c r="P882" s="5">
        <v>743</v>
      </c>
      <c r="Q882" s="5">
        <v>890</v>
      </c>
      <c r="R882" s="5">
        <v>120</v>
      </c>
      <c r="S882" s="5">
        <v>154</v>
      </c>
      <c r="T882" s="5">
        <v>148</v>
      </c>
      <c r="U882" s="5">
        <v>177</v>
      </c>
      <c r="V882" s="5"/>
    </row>
    <row r="883" spans="2:22" ht="20" hidden="1" x14ac:dyDescent="0.25">
      <c r="B883" s="2" t="s">
        <v>924</v>
      </c>
      <c r="C883" s="2" t="s">
        <v>497</v>
      </c>
      <c r="D883" s="2" t="s">
        <v>289</v>
      </c>
      <c r="E883" s="2" t="s">
        <v>27</v>
      </c>
      <c r="F883" s="2" t="s">
        <v>723</v>
      </c>
      <c r="G883" s="2" t="s">
        <v>27</v>
      </c>
      <c r="H883" s="2">
        <v>70216</v>
      </c>
      <c r="I883" s="2">
        <v>70538</v>
      </c>
      <c r="J883" s="2" t="s">
        <v>28</v>
      </c>
      <c r="K883" s="2" t="s">
        <v>925</v>
      </c>
      <c r="L883" s="2" t="s">
        <v>34</v>
      </c>
      <c r="M883" s="2" t="s">
        <v>665</v>
      </c>
      <c r="N883" s="3">
        <v>600</v>
      </c>
      <c r="O883" s="3">
        <v>775</v>
      </c>
      <c r="P883" s="3">
        <v>743</v>
      </c>
      <c r="Q883" s="3">
        <v>890</v>
      </c>
      <c r="R883" s="3">
        <v>120</v>
      </c>
      <c r="S883" s="3">
        <v>154</v>
      </c>
      <c r="T883" s="3">
        <v>148</v>
      </c>
      <c r="U883" s="3">
        <v>177</v>
      </c>
      <c r="V883" s="3"/>
    </row>
    <row r="884" spans="2:22" ht="31.5" hidden="1" x14ac:dyDescent="0.25">
      <c r="B884" s="4" t="s">
        <v>522</v>
      </c>
      <c r="C884" s="4" t="s">
        <v>523</v>
      </c>
      <c r="D884" s="4" t="s">
        <v>294</v>
      </c>
      <c r="E884" s="4" t="s">
        <v>27</v>
      </c>
      <c r="F884" s="4" t="s">
        <v>524</v>
      </c>
      <c r="G884" s="4" t="s">
        <v>27</v>
      </c>
      <c r="H884" s="4">
        <v>70108</v>
      </c>
      <c r="I884" s="4">
        <v>70276</v>
      </c>
      <c r="J884" s="4" t="s">
        <v>28</v>
      </c>
      <c r="K884" s="4" t="s">
        <v>522</v>
      </c>
      <c r="L884" s="4" t="s">
        <v>29</v>
      </c>
      <c r="M884" s="4"/>
      <c r="N884" s="5">
        <v>800</v>
      </c>
      <c r="O884" s="5">
        <v>880</v>
      </c>
      <c r="P884" s="5">
        <v>909</v>
      </c>
      <c r="Q884" s="5">
        <v>1000</v>
      </c>
      <c r="R884" s="5">
        <v>159</v>
      </c>
      <c r="S884" s="5">
        <v>175</v>
      </c>
      <c r="T884" s="5">
        <v>181</v>
      </c>
      <c r="U884" s="5">
        <v>199</v>
      </c>
      <c r="V884" s="5"/>
    </row>
    <row r="885" spans="2:22" ht="30" hidden="1" x14ac:dyDescent="0.25">
      <c r="B885" s="2" t="s">
        <v>522</v>
      </c>
      <c r="C885" s="2" t="s">
        <v>523</v>
      </c>
      <c r="D885" s="2" t="s">
        <v>294</v>
      </c>
      <c r="E885" s="2" t="s">
        <v>27</v>
      </c>
      <c r="F885" s="2" t="s">
        <v>524</v>
      </c>
      <c r="G885" s="2" t="s">
        <v>27</v>
      </c>
      <c r="H885" s="2">
        <v>70108</v>
      </c>
      <c r="I885" s="2">
        <v>70276</v>
      </c>
      <c r="J885" s="2" t="s">
        <v>28</v>
      </c>
      <c r="K885" s="2" t="s">
        <v>32</v>
      </c>
      <c r="L885" s="2" t="s">
        <v>31</v>
      </c>
      <c r="M885" s="2" t="s">
        <v>515</v>
      </c>
      <c r="N885" s="3">
        <v>800</v>
      </c>
      <c r="O885" s="3">
        <v>880</v>
      </c>
      <c r="P885" s="3">
        <v>909</v>
      </c>
      <c r="Q885" s="3">
        <v>1000</v>
      </c>
      <c r="R885" s="3">
        <v>159</v>
      </c>
      <c r="S885" s="3">
        <v>175</v>
      </c>
      <c r="T885" s="3">
        <v>181</v>
      </c>
      <c r="U885" s="3">
        <v>199</v>
      </c>
      <c r="V885" s="3"/>
    </row>
    <row r="886" spans="2:22" ht="30" hidden="1" x14ac:dyDescent="0.25">
      <c r="B886" s="2" t="s">
        <v>522</v>
      </c>
      <c r="C886" s="2" t="s">
        <v>523</v>
      </c>
      <c r="D886" s="2" t="s">
        <v>294</v>
      </c>
      <c r="E886" s="2" t="s">
        <v>27</v>
      </c>
      <c r="F886" s="2" t="s">
        <v>524</v>
      </c>
      <c r="G886" s="2" t="s">
        <v>27</v>
      </c>
      <c r="H886" s="2">
        <v>70108</v>
      </c>
      <c r="I886" s="2">
        <v>70276</v>
      </c>
      <c r="J886" s="2" t="s">
        <v>28</v>
      </c>
      <c r="K886" s="2" t="s">
        <v>522</v>
      </c>
      <c r="L886" s="2" t="s">
        <v>30</v>
      </c>
      <c r="M886" s="2" t="s">
        <v>523</v>
      </c>
      <c r="N886" s="3">
        <v>800</v>
      </c>
      <c r="O886" s="3">
        <v>880</v>
      </c>
      <c r="P886" s="2">
        <v>910</v>
      </c>
      <c r="Q886" s="2">
        <v>1001</v>
      </c>
      <c r="R886" s="3">
        <v>159</v>
      </c>
      <c r="S886" s="3">
        <v>175</v>
      </c>
      <c r="T886" s="2">
        <v>181</v>
      </c>
      <c r="U886" s="2">
        <v>199</v>
      </c>
      <c r="V886" s="2"/>
    </row>
    <row r="887" spans="2:22" ht="21" hidden="1" x14ac:dyDescent="0.25">
      <c r="B887" s="4" t="s">
        <v>1047</v>
      </c>
      <c r="C887" s="4" t="s">
        <v>523</v>
      </c>
      <c r="D887" s="4" t="s">
        <v>524</v>
      </c>
      <c r="E887" s="4" t="s">
        <v>27</v>
      </c>
      <c r="F887" s="4" t="s">
        <v>601</v>
      </c>
      <c r="G887" s="4" t="s">
        <v>27</v>
      </c>
      <c r="H887" s="4">
        <v>70277</v>
      </c>
      <c r="I887" s="4">
        <v>70377</v>
      </c>
      <c r="J887" s="4" t="s">
        <v>28</v>
      </c>
      <c r="K887" s="4" t="s">
        <v>1047</v>
      </c>
      <c r="L887" s="4" t="s">
        <v>29</v>
      </c>
      <c r="M887" s="4"/>
      <c r="N887" s="5">
        <v>799</v>
      </c>
      <c r="O887" s="5">
        <v>879</v>
      </c>
      <c r="P887" s="5">
        <v>909</v>
      </c>
      <c r="Q887" s="5">
        <v>999</v>
      </c>
      <c r="R887" s="5">
        <v>159</v>
      </c>
      <c r="S887" s="5">
        <v>175</v>
      </c>
      <c r="T887" s="5">
        <v>181</v>
      </c>
      <c r="U887" s="5">
        <v>199</v>
      </c>
      <c r="V887" s="5"/>
    </row>
    <row r="888" spans="2:22" ht="20" hidden="1" x14ac:dyDescent="0.25">
      <c r="B888" s="2" t="s">
        <v>1047</v>
      </c>
      <c r="C888" s="2" t="s">
        <v>523</v>
      </c>
      <c r="D888" s="2" t="s">
        <v>524</v>
      </c>
      <c r="E888" s="2" t="s">
        <v>27</v>
      </c>
      <c r="F888" s="2" t="s">
        <v>601</v>
      </c>
      <c r="G888" s="2" t="s">
        <v>27</v>
      </c>
      <c r="H888" s="2">
        <v>70277</v>
      </c>
      <c r="I888" s="2">
        <v>70377</v>
      </c>
      <c r="J888" s="2" t="s">
        <v>28</v>
      </c>
      <c r="K888" s="2" t="s">
        <v>1047</v>
      </c>
      <c r="L888" s="2" t="s">
        <v>30</v>
      </c>
      <c r="M888" s="2" t="s">
        <v>523</v>
      </c>
      <c r="N888" s="3">
        <v>799</v>
      </c>
      <c r="O888" s="3">
        <v>879</v>
      </c>
      <c r="P888" s="3">
        <v>909</v>
      </c>
      <c r="Q888" s="3">
        <v>999</v>
      </c>
      <c r="R888" s="3">
        <v>159</v>
      </c>
      <c r="S888" s="3">
        <v>175</v>
      </c>
      <c r="T888" s="3">
        <v>181</v>
      </c>
      <c r="U888" s="3">
        <v>199</v>
      </c>
      <c r="V888" s="3"/>
    </row>
    <row r="889" spans="2:22" ht="21" hidden="1" x14ac:dyDescent="0.25">
      <c r="B889" s="4" t="s">
        <v>458</v>
      </c>
      <c r="C889" s="4" t="s">
        <v>459</v>
      </c>
      <c r="D889" s="4" t="s">
        <v>460</v>
      </c>
      <c r="E889" s="4" t="s">
        <v>27</v>
      </c>
      <c r="F889" s="4" t="s">
        <v>461</v>
      </c>
      <c r="G889" s="4" t="s">
        <v>27</v>
      </c>
      <c r="H889" s="4">
        <v>70087</v>
      </c>
      <c r="I889" s="4">
        <v>2050</v>
      </c>
      <c r="J889" s="4" t="s">
        <v>28</v>
      </c>
      <c r="K889" s="4" t="s">
        <v>458</v>
      </c>
      <c r="L889" s="4" t="s">
        <v>29</v>
      </c>
      <c r="M889" s="4"/>
      <c r="N889" s="5">
        <v>914</v>
      </c>
      <c r="O889" s="5">
        <v>1005</v>
      </c>
      <c r="P889" s="5">
        <v>914</v>
      </c>
      <c r="Q889" s="5">
        <v>1005</v>
      </c>
      <c r="R889" s="5">
        <v>182</v>
      </c>
      <c r="S889" s="5">
        <v>200</v>
      </c>
      <c r="T889" s="5">
        <v>182</v>
      </c>
      <c r="U889" s="5">
        <v>200</v>
      </c>
      <c r="V889" s="5"/>
    </row>
    <row r="890" spans="2:22" ht="20" hidden="1" x14ac:dyDescent="0.25">
      <c r="B890" s="2" t="s">
        <v>458</v>
      </c>
      <c r="C890" s="2" t="s">
        <v>459</v>
      </c>
      <c r="D890" s="2" t="s">
        <v>460</v>
      </c>
      <c r="E890" s="2" t="s">
        <v>27</v>
      </c>
      <c r="F890" s="2" t="s">
        <v>461</v>
      </c>
      <c r="G890" s="2" t="s">
        <v>27</v>
      </c>
      <c r="H890" s="2">
        <v>70087</v>
      </c>
      <c r="I890" s="2">
        <v>2050</v>
      </c>
      <c r="J890" s="2" t="s">
        <v>28</v>
      </c>
      <c r="K890" s="2" t="s">
        <v>458</v>
      </c>
      <c r="L890" s="2" t="s">
        <v>30</v>
      </c>
      <c r="M890" s="2" t="s">
        <v>459</v>
      </c>
      <c r="N890" s="3">
        <v>914</v>
      </c>
      <c r="O890" s="3">
        <v>1005</v>
      </c>
      <c r="P890" s="3">
        <v>914</v>
      </c>
      <c r="Q890" s="3">
        <v>1005</v>
      </c>
      <c r="R890" s="3">
        <v>182</v>
      </c>
      <c r="S890" s="3">
        <v>200</v>
      </c>
      <c r="T890" s="3">
        <v>182</v>
      </c>
      <c r="U890" s="3">
        <v>200</v>
      </c>
      <c r="V890" s="3"/>
    </row>
    <row r="891" spans="2:22" ht="31.5" hidden="1" x14ac:dyDescent="0.25">
      <c r="B891" s="4" t="s">
        <v>525</v>
      </c>
      <c r="C891" s="4" t="s">
        <v>459</v>
      </c>
      <c r="D891" s="4" t="s">
        <v>294</v>
      </c>
      <c r="E891" s="4" t="s">
        <v>27</v>
      </c>
      <c r="F891" s="4" t="s">
        <v>524</v>
      </c>
      <c r="G891" s="4" t="s">
        <v>27</v>
      </c>
      <c r="H891" s="4">
        <v>70108</v>
      </c>
      <c r="I891" s="4">
        <v>70277</v>
      </c>
      <c r="J891" s="4" t="s">
        <v>28</v>
      </c>
      <c r="K891" s="4" t="s">
        <v>525</v>
      </c>
      <c r="L891" s="4" t="s">
        <v>29</v>
      </c>
      <c r="M891" s="4"/>
      <c r="N891" s="5">
        <v>1200</v>
      </c>
      <c r="O891" s="5">
        <v>1327</v>
      </c>
      <c r="P891" s="5">
        <v>1375</v>
      </c>
      <c r="Q891" s="5">
        <v>1400</v>
      </c>
      <c r="R891" s="5">
        <v>239</v>
      </c>
      <c r="S891" s="5">
        <v>264</v>
      </c>
      <c r="T891" s="5">
        <v>274</v>
      </c>
      <c r="U891" s="5">
        <v>279</v>
      </c>
      <c r="V891" s="5"/>
    </row>
    <row r="892" spans="2:22" ht="30" hidden="1" x14ac:dyDescent="0.25">
      <c r="B892" s="2" t="s">
        <v>525</v>
      </c>
      <c r="C892" s="2" t="s">
        <v>459</v>
      </c>
      <c r="D892" s="2" t="s">
        <v>294</v>
      </c>
      <c r="E892" s="2" t="s">
        <v>27</v>
      </c>
      <c r="F892" s="2" t="s">
        <v>524</v>
      </c>
      <c r="G892" s="2" t="s">
        <v>27</v>
      </c>
      <c r="H892" s="2">
        <v>70108</v>
      </c>
      <c r="I892" s="2">
        <v>70277</v>
      </c>
      <c r="J892" s="2" t="s">
        <v>28</v>
      </c>
      <c r="K892" s="2" t="s">
        <v>526</v>
      </c>
      <c r="L892" s="2" t="s">
        <v>34</v>
      </c>
      <c r="M892" s="2" t="s">
        <v>527</v>
      </c>
      <c r="N892" s="3">
        <v>1200</v>
      </c>
      <c r="O892" s="2">
        <v>1549</v>
      </c>
      <c r="P892" s="2">
        <v>1486</v>
      </c>
      <c r="Q892" s="2">
        <v>1780</v>
      </c>
      <c r="R892" s="3">
        <v>239</v>
      </c>
      <c r="S892" s="2">
        <v>309</v>
      </c>
      <c r="T892" s="2">
        <v>296</v>
      </c>
      <c r="U892" s="2">
        <v>355</v>
      </c>
      <c r="V892" s="2"/>
    </row>
    <row r="893" spans="2:22" ht="30" hidden="1" x14ac:dyDescent="0.25">
      <c r="B893" s="2" t="s">
        <v>525</v>
      </c>
      <c r="C893" s="2" t="s">
        <v>459</v>
      </c>
      <c r="D893" s="2" t="s">
        <v>294</v>
      </c>
      <c r="E893" s="2" t="s">
        <v>27</v>
      </c>
      <c r="F893" s="2" t="s">
        <v>524</v>
      </c>
      <c r="G893" s="2" t="s">
        <v>27</v>
      </c>
      <c r="H893" s="2">
        <v>70108</v>
      </c>
      <c r="I893" s="2">
        <v>70277</v>
      </c>
      <c r="J893" s="2" t="s">
        <v>28</v>
      </c>
      <c r="K893" s="2" t="s">
        <v>525</v>
      </c>
      <c r="L893" s="2" t="s">
        <v>30</v>
      </c>
      <c r="M893" s="2" t="s">
        <v>459</v>
      </c>
      <c r="N893" s="2">
        <v>1206</v>
      </c>
      <c r="O893" s="3">
        <v>1327</v>
      </c>
      <c r="P893" s="3">
        <v>1375</v>
      </c>
      <c r="Q893" s="2">
        <v>1513</v>
      </c>
      <c r="R893" s="2">
        <v>240</v>
      </c>
      <c r="S893" s="3">
        <v>264</v>
      </c>
      <c r="T893" s="3">
        <v>274</v>
      </c>
      <c r="U893" s="2">
        <v>301</v>
      </c>
      <c r="V893" s="2"/>
    </row>
    <row r="894" spans="2:22" ht="30" hidden="1" x14ac:dyDescent="0.25">
      <c r="B894" s="2" t="s">
        <v>525</v>
      </c>
      <c r="C894" s="2" t="s">
        <v>459</v>
      </c>
      <c r="D894" s="2" t="s">
        <v>294</v>
      </c>
      <c r="E894" s="2" t="s">
        <v>27</v>
      </c>
      <c r="F894" s="2" t="s">
        <v>524</v>
      </c>
      <c r="G894" s="2" t="s">
        <v>27</v>
      </c>
      <c r="H894" s="2">
        <v>70108</v>
      </c>
      <c r="I894" s="2">
        <v>70277</v>
      </c>
      <c r="J894" s="2" t="s">
        <v>28</v>
      </c>
      <c r="K894" s="2" t="s">
        <v>528</v>
      </c>
      <c r="L894" s="2" t="s">
        <v>36</v>
      </c>
      <c r="M894" s="2" t="s">
        <v>515</v>
      </c>
      <c r="N894" s="2">
        <v>1400</v>
      </c>
      <c r="O894" s="2">
        <v>1400</v>
      </c>
      <c r="P894" s="2">
        <v>1400</v>
      </c>
      <c r="Q894" s="3">
        <v>1400</v>
      </c>
      <c r="R894" s="2">
        <v>279</v>
      </c>
      <c r="S894" s="2">
        <v>279</v>
      </c>
      <c r="T894" s="2">
        <v>279</v>
      </c>
      <c r="U894" s="3">
        <v>279</v>
      </c>
      <c r="V894" s="3"/>
    </row>
    <row r="895" spans="2:22" ht="21" hidden="1" x14ac:dyDescent="0.25">
      <c r="B895" s="4" t="s">
        <v>1046</v>
      </c>
      <c r="C895" s="4" t="s">
        <v>459</v>
      </c>
      <c r="D895" s="4" t="s">
        <v>524</v>
      </c>
      <c r="E895" s="4" t="s">
        <v>27</v>
      </c>
      <c r="F895" s="4" t="s">
        <v>461</v>
      </c>
      <c r="G895" s="4" t="s">
        <v>27</v>
      </c>
      <c r="H895" s="4">
        <v>70276</v>
      </c>
      <c r="I895" s="4">
        <v>2050</v>
      </c>
      <c r="J895" s="4" t="s">
        <v>28</v>
      </c>
      <c r="K895" s="4" t="s">
        <v>1046</v>
      </c>
      <c r="L895" s="4" t="s">
        <v>29</v>
      </c>
      <c r="M895" s="4"/>
      <c r="N895" s="5">
        <v>914</v>
      </c>
      <c r="O895" s="5">
        <v>1005</v>
      </c>
      <c r="P895" s="5">
        <v>914</v>
      </c>
      <c r="Q895" s="5">
        <v>1005</v>
      </c>
      <c r="R895" s="5">
        <v>182</v>
      </c>
      <c r="S895" s="5">
        <v>200</v>
      </c>
      <c r="T895" s="5">
        <v>182</v>
      </c>
      <c r="U895" s="5">
        <v>200</v>
      </c>
      <c r="V895" s="5"/>
    </row>
    <row r="896" spans="2:22" ht="20" hidden="1" x14ac:dyDescent="0.25">
      <c r="B896" s="2" t="s">
        <v>1046</v>
      </c>
      <c r="C896" s="2" t="s">
        <v>459</v>
      </c>
      <c r="D896" s="2" t="s">
        <v>524</v>
      </c>
      <c r="E896" s="2" t="s">
        <v>27</v>
      </c>
      <c r="F896" s="2" t="s">
        <v>461</v>
      </c>
      <c r="G896" s="2" t="s">
        <v>27</v>
      </c>
      <c r="H896" s="2">
        <v>70276</v>
      </c>
      <c r="I896" s="2">
        <v>2050</v>
      </c>
      <c r="J896" s="2" t="s">
        <v>28</v>
      </c>
      <c r="K896" s="2" t="s">
        <v>1046</v>
      </c>
      <c r="L896" s="2" t="s">
        <v>30</v>
      </c>
      <c r="M896" s="2" t="s">
        <v>459</v>
      </c>
      <c r="N896" s="3">
        <v>914</v>
      </c>
      <c r="O896" s="3">
        <v>1005</v>
      </c>
      <c r="P896" s="3">
        <v>914</v>
      </c>
      <c r="Q896" s="3">
        <v>1005</v>
      </c>
      <c r="R896" s="3">
        <v>182</v>
      </c>
      <c r="S896" s="3">
        <v>200</v>
      </c>
      <c r="T896" s="3">
        <v>182</v>
      </c>
      <c r="U896" s="3">
        <v>200</v>
      </c>
      <c r="V896" s="3"/>
    </row>
    <row r="897" spans="2:22" ht="31.5" hidden="1" x14ac:dyDescent="0.25">
      <c r="B897" s="4" t="s">
        <v>535</v>
      </c>
      <c r="C897" s="4" t="s">
        <v>536</v>
      </c>
      <c r="D897" s="4" t="s">
        <v>294</v>
      </c>
      <c r="E897" s="4" t="s">
        <v>27</v>
      </c>
      <c r="F897" s="4" t="s">
        <v>537</v>
      </c>
      <c r="G897" s="4" t="s">
        <v>27</v>
      </c>
      <c r="H897" s="4">
        <v>70110</v>
      </c>
      <c r="I897" s="4">
        <v>70099</v>
      </c>
      <c r="J897" s="4" t="s">
        <v>28</v>
      </c>
      <c r="K897" s="4" t="s">
        <v>535</v>
      </c>
      <c r="L897" s="4" t="s">
        <v>29</v>
      </c>
      <c r="M897" s="4"/>
      <c r="N897" s="5">
        <v>800</v>
      </c>
      <c r="O897" s="5">
        <v>880</v>
      </c>
      <c r="P897" s="5">
        <v>909</v>
      </c>
      <c r="Q897" s="5">
        <v>1000</v>
      </c>
      <c r="R897" s="5">
        <v>159</v>
      </c>
      <c r="S897" s="5">
        <v>175</v>
      </c>
      <c r="T897" s="5">
        <v>181</v>
      </c>
      <c r="U897" s="5">
        <v>199</v>
      </c>
      <c r="V897" s="5"/>
    </row>
    <row r="898" spans="2:22" ht="30" hidden="1" x14ac:dyDescent="0.25">
      <c r="B898" s="2" t="s">
        <v>535</v>
      </c>
      <c r="C898" s="2" t="s">
        <v>536</v>
      </c>
      <c r="D898" s="2" t="s">
        <v>294</v>
      </c>
      <c r="E898" s="2" t="s">
        <v>27</v>
      </c>
      <c r="F898" s="2" t="s">
        <v>537</v>
      </c>
      <c r="G898" s="2" t="s">
        <v>27</v>
      </c>
      <c r="H898" s="2">
        <v>70110</v>
      </c>
      <c r="I898" s="2">
        <v>70099</v>
      </c>
      <c r="J898" s="2" t="s">
        <v>28</v>
      </c>
      <c r="K898" s="2" t="s">
        <v>32</v>
      </c>
      <c r="L898" s="2" t="s">
        <v>31</v>
      </c>
      <c r="M898" s="2" t="s">
        <v>515</v>
      </c>
      <c r="N898" s="3">
        <v>800</v>
      </c>
      <c r="O898" s="3">
        <v>880</v>
      </c>
      <c r="P898" s="3">
        <v>909</v>
      </c>
      <c r="Q898" s="3">
        <v>1000</v>
      </c>
      <c r="R898" s="3">
        <v>159</v>
      </c>
      <c r="S898" s="3">
        <v>175</v>
      </c>
      <c r="T898" s="3">
        <v>181</v>
      </c>
      <c r="U898" s="3">
        <v>199</v>
      </c>
      <c r="V898" s="3"/>
    </row>
    <row r="899" spans="2:22" ht="30" hidden="1" x14ac:dyDescent="0.25">
      <c r="B899" s="2" t="s">
        <v>535</v>
      </c>
      <c r="C899" s="2" t="s">
        <v>536</v>
      </c>
      <c r="D899" s="2" t="s">
        <v>294</v>
      </c>
      <c r="E899" s="2" t="s">
        <v>27</v>
      </c>
      <c r="F899" s="2" t="s">
        <v>537</v>
      </c>
      <c r="G899" s="2" t="s">
        <v>27</v>
      </c>
      <c r="H899" s="2">
        <v>70110</v>
      </c>
      <c r="I899" s="2">
        <v>70099</v>
      </c>
      <c r="J899" s="2" t="s">
        <v>28</v>
      </c>
      <c r="K899" s="2" t="s">
        <v>535</v>
      </c>
      <c r="L899" s="2" t="s">
        <v>30</v>
      </c>
      <c r="M899" s="2" t="s">
        <v>536</v>
      </c>
      <c r="N899" s="3">
        <v>800</v>
      </c>
      <c r="O899" s="3">
        <v>880</v>
      </c>
      <c r="P899" s="2">
        <v>910</v>
      </c>
      <c r="Q899" s="2">
        <v>1001</v>
      </c>
      <c r="R899" s="3">
        <v>159</v>
      </c>
      <c r="S899" s="3">
        <v>175</v>
      </c>
      <c r="T899" s="2">
        <v>181</v>
      </c>
      <c r="U899" s="2">
        <v>199</v>
      </c>
      <c r="V899" s="2"/>
    </row>
    <row r="900" spans="2:22" ht="31.5" hidden="1" x14ac:dyDescent="0.25">
      <c r="B900" s="4" t="s">
        <v>492</v>
      </c>
      <c r="C900" s="4" t="s">
        <v>493</v>
      </c>
      <c r="D900" s="4" t="s">
        <v>294</v>
      </c>
      <c r="E900" s="4" t="s">
        <v>27</v>
      </c>
      <c r="F900" s="4" t="s">
        <v>494</v>
      </c>
      <c r="G900" s="4" t="s">
        <v>27</v>
      </c>
      <c r="H900" s="4">
        <v>70110</v>
      </c>
      <c r="I900" s="4">
        <v>70126</v>
      </c>
      <c r="J900" s="4" t="s">
        <v>28</v>
      </c>
      <c r="K900" s="4" t="s">
        <v>492</v>
      </c>
      <c r="L900" s="4" t="s">
        <v>29</v>
      </c>
      <c r="M900" s="4"/>
      <c r="N900" s="5">
        <v>918</v>
      </c>
      <c r="O900" s="5">
        <v>1069</v>
      </c>
      <c r="P900" s="5">
        <v>1093</v>
      </c>
      <c r="Q900" s="5">
        <v>1154</v>
      </c>
      <c r="R900" s="5">
        <v>183</v>
      </c>
      <c r="S900" s="5">
        <v>213</v>
      </c>
      <c r="T900" s="5">
        <v>218</v>
      </c>
      <c r="U900" s="5">
        <v>230</v>
      </c>
      <c r="V900" s="5"/>
    </row>
    <row r="901" spans="2:22" ht="30" hidden="1" x14ac:dyDescent="0.25">
      <c r="B901" s="2" t="s">
        <v>492</v>
      </c>
      <c r="C901" s="2" t="s">
        <v>493</v>
      </c>
      <c r="D901" s="2" t="s">
        <v>294</v>
      </c>
      <c r="E901" s="2" t="s">
        <v>27</v>
      </c>
      <c r="F901" s="2" t="s">
        <v>494</v>
      </c>
      <c r="G901" s="2" t="s">
        <v>27</v>
      </c>
      <c r="H901" s="2">
        <v>70110</v>
      </c>
      <c r="I901" s="2">
        <v>70126</v>
      </c>
      <c r="J901" s="2" t="s">
        <v>28</v>
      </c>
      <c r="K901" s="2" t="s">
        <v>239</v>
      </c>
      <c r="L901" s="2" t="s">
        <v>31</v>
      </c>
      <c r="M901" s="2" t="s">
        <v>495</v>
      </c>
      <c r="N901" s="3">
        <v>918</v>
      </c>
      <c r="O901" s="3">
        <v>1069</v>
      </c>
      <c r="P901" s="3">
        <v>1093</v>
      </c>
      <c r="Q901" s="2">
        <v>1216</v>
      </c>
      <c r="R901" s="3">
        <v>183</v>
      </c>
      <c r="S901" s="3">
        <v>213</v>
      </c>
      <c r="T901" s="3">
        <v>218</v>
      </c>
      <c r="U901" s="2">
        <v>242</v>
      </c>
      <c r="V901" s="2"/>
    </row>
    <row r="902" spans="2:22" ht="30" hidden="1" x14ac:dyDescent="0.25">
      <c r="B902" s="2" t="s">
        <v>492</v>
      </c>
      <c r="C902" s="2" t="s">
        <v>493</v>
      </c>
      <c r="D902" s="2" t="s">
        <v>294</v>
      </c>
      <c r="E902" s="2" t="s">
        <v>27</v>
      </c>
      <c r="F902" s="2" t="s">
        <v>494</v>
      </c>
      <c r="G902" s="2" t="s">
        <v>27</v>
      </c>
      <c r="H902" s="2">
        <v>70110</v>
      </c>
      <c r="I902" s="2">
        <v>70126</v>
      </c>
      <c r="J902" s="2" t="s">
        <v>28</v>
      </c>
      <c r="K902" s="2" t="s">
        <v>492</v>
      </c>
      <c r="L902" s="2" t="s">
        <v>30</v>
      </c>
      <c r="M902" s="2" t="s">
        <v>493</v>
      </c>
      <c r="N902" s="2">
        <v>1081</v>
      </c>
      <c r="O902" s="2">
        <v>1081</v>
      </c>
      <c r="P902" s="2">
        <v>1154</v>
      </c>
      <c r="Q902" s="3">
        <v>1154</v>
      </c>
      <c r="R902" s="2">
        <v>215</v>
      </c>
      <c r="S902" s="2">
        <v>215</v>
      </c>
      <c r="T902" s="2">
        <v>230</v>
      </c>
      <c r="U902" s="3">
        <v>230</v>
      </c>
      <c r="V902" s="3"/>
    </row>
    <row r="903" spans="2:22" ht="21" hidden="1" x14ac:dyDescent="0.25">
      <c r="B903" s="4" t="s">
        <v>600</v>
      </c>
      <c r="C903" s="4" t="s">
        <v>493</v>
      </c>
      <c r="D903" s="4" t="s">
        <v>494</v>
      </c>
      <c r="E903" s="4" t="s">
        <v>27</v>
      </c>
      <c r="F903" s="4" t="s">
        <v>601</v>
      </c>
      <c r="G903" s="4" t="s">
        <v>27</v>
      </c>
      <c r="H903" s="4">
        <v>70126</v>
      </c>
      <c r="I903" s="4">
        <v>70377</v>
      </c>
      <c r="J903" s="4" t="s">
        <v>28</v>
      </c>
      <c r="K903" s="4" t="s">
        <v>600</v>
      </c>
      <c r="L903" s="4" t="s">
        <v>29</v>
      </c>
      <c r="M903" s="4"/>
      <c r="N903" s="5">
        <v>799</v>
      </c>
      <c r="O903" s="5">
        <v>879</v>
      </c>
      <c r="P903" s="5">
        <v>909</v>
      </c>
      <c r="Q903" s="5">
        <v>999</v>
      </c>
      <c r="R903" s="5">
        <v>159</v>
      </c>
      <c r="S903" s="5">
        <v>175</v>
      </c>
      <c r="T903" s="5">
        <v>181</v>
      </c>
      <c r="U903" s="5">
        <v>199</v>
      </c>
      <c r="V903" s="5"/>
    </row>
    <row r="904" spans="2:22" ht="20" hidden="1" x14ac:dyDescent="0.25">
      <c r="B904" s="2" t="s">
        <v>600</v>
      </c>
      <c r="C904" s="2" t="s">
        <v>493</v>
      </c>
      <c r="D904" s="2" t="s">
        <v>494</v>
      </c>
      <c r="E904" s="2" t="s">
        <v>27</v>
      </c>
      <c r="F904" s="2" t="s">
        <v>601</v>
      </c>
      <c r="G904" s="2" t="s">
        <v>27</v>
      </c>
      <c r="H904" s="2">
        <v>70126</v>
      </c>
      <c r="I904" s="2">
        <v>70377</v>
      </c>
      <c r="J904" s="2" t="s">
        <v>28</v>
      </c>
      <c r="K904" s="2" t="s">
        <v>600</v>
      </c>
      <c r="L904" s="2" t="s">
        <v>30</v>
      </c>
      <c r="M904" s="2" t="s">
        <v>493</v>
      </c>
      <c r="N904" s="3">
        <v>799</v>
      </c>
      <c r="O904" s="3">
        <v>879</v>
      </c>
      <c r="P904" s="3">
        <v>909</v>
      </c>
      <c r="Q904" s="3">
        <v>999</v>
      </c>
      <c r="R904" s="3">
        <v>159</v>
      </c>
      <c r="S904" s="3">
        <v>175</v>
      </c>
      <c r="T904" s="3">
        <v>181</v>
      </c>
      <c r="U904" s="3">
        <v>199</v>
      </c>
      <c r="V904" s="3"/>
    </row>
    <row r="905" spans="2:22" ht="21" hidden="1" x14ac:dyDescent="0.25">
      <c r="B905" s="4" t="s">
        <v>367</v>
      </c>
      <c r="C905" s="4" t="s">
        <v>368</v>
      </c>
      <c r="D905" s="4" t="s">
        <v>369</v>
      </c>
      <c r="E905" s="4" t="s">
        <v>27</v>
      </c>
      <c r="F905" s="4" t="s">
        <v>370</v>
      </c>
      <c r="G905" s="4" t="s">
        <v>27</v>
      </c>
      <c r="H905" s="4">
        <v>70065</v>
      </c>
      <c r="I905" s="4">
        <v>70174</v>
      </c>
      <c r="J905" s="4" t="s">
        <v>28</v>
      </c>
      <c r="K905" s="4" t="s">
        <v>367</v>
      </c>
      <c r="L905" s="4" t="s">
        <v>29</v>
      </c>
      <c r="M905" s="4"/>
      <c r="N905" s="5">
        <v>797</v>
      </c>
      <c r="O905" s="5">
        <v>876</v>
      </c>
      <c r="P905" s="5">
        <v>906</v>
      </c>
      <c r="Q905" s="5">
        <v>997</v>
      </c>
      <c r="R905" s="5">
        <v>159</v>
      </c>
      <c r="S905" s="5">
        <v>174</v>
      </c>
      <c r="T905" s="5">
        <v>180</v>
      </c>
      <c r="U905" s="5">
        <v>199</v>
      </c>
      <c r="V905" s="5"/>
    </row>
    <row r="906" spans="2:22" ht="20" hidden="1" x14ac:dyDescent="0.25">
      <c r="B906" s="2" t="s">
        <v>367</v>
      </c>
      <c r="C906" s="2" t="s">
        <v>368</v>
      </c>
      <c r="D906" s="2" t="s">
        <v>369</v>
      </c>
      <c r="E906" s="2" t="s">
        <v>27</v>
      </c>
      <c r="F906" s="2" t="s">
        <v>370</v>
      </c>
      <c r="G906" s="2" t="s">
        <v>27</v>
      </c>
      <c r="H906" s="2">
        <v>70065</v>
      </c>
      <c r="I906" s="2">
        <v>70174</v>
      </c>
      <c r="J906" s="2" t="s">
        <v>28</v>
      </c>
      <c r="K906" s="2" t="s">
        <v>367</v>
      </c>
      <c r="L906" s="2" t="s">
        <v>30</v>
      </c>
      <c r="M906" s="2" t="s">
        <v>368</v>
      </c>
      <c r="N906" s="3">
        <v>797</v>
      </c>
      <c r="O906" s="3">
        <v>876</v>
      </c>
      <c r="P906" s="3">
        <v>906</v>
      </c>
      <c r="Q906" s="3">
        <v>997</v>
      </c>
      <c r="R906" s="3">
        <v>159</v>
      </c>
      <c r="S906" s="3">
        <v>174</v>
      </c>
      <c r="T906" s="3">
        <v>180</v>
      </c>
      <c r="U906" s="3">
        <v>199</v>
      </c>
      <c r="V906" s="3"/>
    </row>
    <row r="907" spans="2:22" ht="31.5" hidden="1" x14ac:dyDescent="0.25">
      <c r="B907" s="4" t="s">
        <v>504</v>
      </c>
      <c r="C907" s="4" t="s">
        <v>368</v>
      </c>
      <c r="D907" s="4" t="s">
        <v>294</v>
      </c>
      <c r="E907" s="4" t="s">
        <v>27</v>
      </c>
      <c r="F907" s="4" t="s">
        <v>370</v>
      </c>
      <c r="G907" s="4" t="s">
        <v>27</v>
      </c>
      <c r="H907" s="4">
        <v>70108</v>
      </c>
      <c r="I907" s="4">
        <v>70174</v>
      </c>
      <c r="J907" s="4" t="s">
        <v>28</v>
      </c>
      <c r="K907" s="4" t="s">
        <v>504</v>
      </c>
      <c r="L907" s="4" t="s">
        <v>29</v>
      </c>
      <c r="M907" s="4"/>
      <c r="N907" s="5">
        <v>1030</v>
      </c>
      <c r="O907" s="5">
        <v>1133</v>
      </c>
      <c r="P907" s="5">
        <v>1107</v>
      </c>
      <c r="Q907" s="5">
        <v>1217</v>
      </c>
      <c r="R907" s="5">
        <v>205</v>
      </c>
      <c r="S907" s="5">
        <v>226</v>
      </c>
      <c r="T907" s="5">
        <v>220</v>
      </c>
      <c r="U907" s="5">
        <v>242</v>
      </c>
      <c r="V907" s="5"/>
    </row>
    <row r="908" spans="2:22" ht="30" hidden="1" x14ac:dyDescent="0.25">
      <c r="B908" s="2" t="s">
        <v>504</v>
      </c>
      <c r="C908" s="2" t="s">
        <v>368</v>
      </c>
      <c r="D908" s="2" t="s">
        <v>294</v>
      </c>
      <c r="E908" s="2" t="s">
        <v>27</v>
      </c>
      <c r="F908" s="2" t="s">
        <v>370</v>
      </c>
      <c r="G908" s="2" t="s">
        <v>27</v>
      </c>
      <c r="H908" s="2">
        <v>70108</v>
      </c>
      <c r="I908" s="2">
        <v>70174</v>
      </c>
      <c r="J908" s="2" t="s">
        <v>28</v>
      </c>
      <c r="K908" s="2" t="s">
        <v>504</v>
      </c>
      <c r="L908" s="2" t="s">
        <v>30</v>
      </c>
      <c r="M908" s="2" t="s">
        <v>368</v>
      </c>
      <c r="N908" s="3">
        <v>1030</v>
      </c>
      <c r="O908" s="3">
        <v>1133</v>
      </c>
      <c r="P908" s="3">
        <v>1107</v>
      </c>
      <c r="Q908" s="3">
        <v>1217</v>
      </c>
      <c r="R908" s="3">
        <v>205</v>
      </c>
      <c r="S908" s="3">
        <v>226</v>
      </c>
      <c r="T908" s="3">
        <v>220</v>
      </c>
      <c r="U908" s="3">
        <v>242</v>
      </c>
      <c r="V908" s="3"/>
    </row>
    <row r="909" spans="2:22" ht="31.5" hidden="1" x14ac:dyDescent="0.25">
      <c r="B909" s="4" t="s">
        <v>744</v>
      </c>
      <c r="C909" s="4" t="s">
        <v>52</v>
      </c>
      <c r="D909" s="4" t="s">
        <v>741</v>
      </c>
      <c r="E909" s="4" t="s">
        <v>27</v>
      </c>
      <c r="F909" s="4" t="s">
        <v>745</v>
      </c>
      <c r="G909" s="4" t="s">
        <v>27</v>
      </c>
      <c r="H909" s="4">
        <v>70164</v>
      </c>
      <c r="I909" s="4">
        <v>2106</v>
      </c>
      <c r="J909" s="4" t="s">
        <v>28</v>
      </c>
      <c r="K909" s="4" t="s">
        <v>744</v>
      </c>
      <c r="L909" s="4" t="s">
        <v>29</v>
      </c>
      <c r="M909" s="4"/>
      <c r="N909" s="5">
        <v>794</v>
      </c>
      <c r="O909" s="5">
        <v>874</v>
      </c>
      <c r="P909" s="5">
        <v>900</v>
      </c>
      <c r="Q909" s="5">
        <v>990</v>
      </c>
      <c r="R909" s="5">
        <v>158</v>
      </c>
      <c r="S909" s="5">
        <v>174</v>
      </c>
      <c r="T909" s="5">
        <v>179</v>
      </c>
      <c r="U909" s="5">
        <v>197</v>
      </c>
      <c r="V909" s="5"/>
    </row>
    <row r="910" spans="2:22" ht="20" hidden="1" x14ac:dyDescent="0.25">
      <c r="B910" s="2" t="s">
        <v>744</v>
      </c>
      <c r="C910" s="2" t="s">
        <v>52</v>
      </c>
      <c r="D910" s="2" t="s">
        <v>741</v>
      </c>
      <c r="E910" s="2" t="s">
        <v>27</v>
      </c>
      <c r="F910" s="2" t="s">
        <v>745</v>
      </c>
      <c r="G910" s="2" t="s">
        <v>27</v>
      </c>
      <c r="H910" s="2">
        <v>70164</v>
      </c>
      <c r="I910" s="2">
        <v>2106</v>
      </c>
      <c r="J910" s="2" t="s">
        <v>28</v>
      </c>
      <c r="K910" s="2" t="s">
        <v>744</v>
      </c>
      <c r="L910" s="2" t="s">
        <v>30</v>
      </c>
      <c r="M910" s="2" t="s">
        <v>52</v>
      </c>
      <c r="N910" s="3">
        <v>794</v>
      </c>
      <c r="O910" s="3">
        <v>874</v>
      </c>
      <c r="P910" s="3">
        <v>900</v>
      </c>
      <c r="Q910" s="3">
        <v>990</v>
      </c>
      <c r="R910" s="3">
        <v>158</v>
      </c>
      <c r="S910" s="3">
        <v>174</v>
      </c>
      <c r="T910" s="3">
        <v>179</v>
      </c>
      <c r="U910" s="3">
        <v>197</v>
      </c>
      <c r="V910" s="3"/>
    </row>
    <row r="911" spans="2:22" ht="21" hidden="1" x14ac:dyDescent="0.25">
      <c r="B911" s="4" t="s">
        <v>1036</v>
      </c>
      <c r="C911" s="4" t="s">
        <v>52</v>
      </c>
      <c r="D911" s="4" t="s">
        <v>60</v>
      </c>
      <c r="E911" s="4" t="s">
        <v>27</v>
      </c>
      <c r="F911" s="4" t="s">
        <v>745</v>
      </c>
      <c r="G911" s="4" t="s">
        <v>27</v>
      </c>
      <c r="H911" s="4">
        <v>70262</v>
      </c>
      <c r="I911" s="4">
        <v>2106</v>
      </c>
      <c r="J911" s="4" t="s">
        <v>28</v>
      </c>
      <c r="K911" s="4" t="s">
        <v>1036</v>
      </c>
      <c r="L911" s="4" t="s">
        <v>29</v>
      </c>
      <c r="M911" s="4"/>
      <c r="N911" s="5">
        <v>793</v>
      </c>
      <c r="O911" s="5">
        <v>873</v>
      </c>
      <c r="P911" s="5">
        <v>900</v>
      </c>
      <c r="Q911" s="5">
        <v>990</v>
      </c>
      <c r="R911" s="5">
        <v>158</v>
      </c>
      <c r="S911" s="5">
        <v>174</v>
      </c>
      <c r="T911" s="5">
        <v>179</v>
      </c>
      <c r="U911" s="5">
        <v>197</v>
      </c>
      <c r="V911" s="5"/>
    </row>
    <row r="912" spans="2:22" ht="20" hidden="1" x14ac:dyDescent="0.25">
      <c r="B912" s="2" t="s">
        <v>1036</v>
      </c>
      <c r="C912" s="2" t="s">
        <v>52</v>
      </c>
      <c r="D912" s="2" t="s">
        <v>60</v>
      </c>
      <c r="E912" s="2" t="s">
        <v>27</v>
      </c>
      <c r="F912" s="2" t="s">
        <v>745</v>
      </c>
      <c r="G912" s="2" t="s">
        <v>27</v>
      </c>
      <c r="H912" s="2">
        <v>70262</v>
      </c>
      <c r="I912" s="2">
        <v>2106</v>
      </c>
      <c r="J912" s="2" t="s">
        <v>28</v>
      </c>
      <c r="K912" s="2" t="s">
        <v>1036</v>
      </c>
      <c r="L912" s="2" t="s">
        <v>30</v>
      </c>
      <c r="M912" s="2" t="s">
        <v>52</v>
      </c>
      <c r="N912" s="3">
        <v>793</v>
      </c>
      <c r="O912" s="3">
        <v>873</v>
      </c>
      <c r="P912" s="3">
        <v>900</v>
      </c>
      <c r="Q912" s="3">
        <v>990</v>
      </c>
      <c r="R912" s="3">
        <v>158</v>
      </c>
      <c r="S912" s="3">
        <v>174</v>
      </c>
      <c r="T912" s="3">
        <v>179</v>
      </c>
      <c r="U912" s="3">
        <v>197</v>
      </c>
      <c r="V912" s="3"/>
    </row>
    <row r="913" spans="2:22" hidden="1" x14ac:dyDescent="0.25">
      <c r="B913" s="4" t="s">
        <v>1037</v>
      </c>
      <c r="C913" s="4" t="s">
        <v>52</v>
      </c>
      <c r="D913" s="4" t="s">
        <v>60</v>
      </c>
      <c r="E913" s="4" t="s">
        <v>27</v>
      </c>
      <c r="F913" s="4" t="s">
        <v>983</v>
      </c>
      <c r="G913" s="4" t="s">
        <v>27</v>
      </c>
      <c r="H913" s="4">
        <v>70262</v>
      </c>
      <c r="I913" s="4">
        <v>70354</v>
      </c>
      <c r="J913" s="4" t="s">
        <v>28</v>
      </c>
      <c r="K913" s="4" t="s">
        <v>1037</v>
      </c>
      <c r="L913" s="4" t="s">
        <v>29</v>
      </c>
      <c r="M913" s="4"/>
      <c r="N913" s="5">
        <v>1270</v>
      </c>
      <c r="O913" s="5">
        <v>1397</v>
      </c>
      <c r="P913" s="5">
        <v>1447</v>
      </c>
      <c r="Q913" s="5">
        <v>1592</v>
      </c>
      <c r="R913" s="5">
        <v>253</v>
      </c>
      <c r="S913" s="5">
        <v>278</v>
      </c>
      <c r="T913" s="5">
        <v>288</v>
      </c>
      <c r="U913" s="5">
        <v>317</v>
      </c>
      <c r="V913" s="5"/>
    </row>
    <row r="914" spans="2:22" hidden="1" x14ac:dyDescent="0.25">
      <c r="B914" s="2" t="s">
        <v>1037</v>
      </c>
      <c r="C914" s="2" t="s">
        <v>52</v>
      </c>
      <c r="D914" s="2" t="s">
        <v>60</v>
      </c>
      <c r="E914" s="2" t="s">
        <v>27</v>
      </c>
      <c r="F914" s="2" t="s">
        <v>983</v>
      </c>
      <c r="G914" s="2" t="s">
        <v>27</v>
      </c>
      <c r="H914" s="2">
        <v>70262</v>
      </c>
      <c r="I914" s="2">
        <v>70354</v>
      </c>
      <c r="J914" s="2" t="s">
        <v>28</v>
      </c>
      <c r="K914" s="2" t="s">
        <v>1037</v>
      </c>
      <c r="L914" s="2" t="s">
        <v>30</v>
      </c>
      <c r="M914" s="2" t="s">
        <v>52</v>
      </c>
      <c r="N914" s="3">
        <v>1270</v>
      </c>
      <c r="O914" s="3">
        <v>1397</v>
      </c>
      <c r="P914" s="3">
        <v>1447</v>
      </c>
      <c r="Q914" s="3">
        <v>1592</v>
      </c>
      <c r="R914" s="3">
        <v>253</v>
      </c>
      <c r="S914" s="3">
        <v>278</v>
      </c>
      <c r="T914" s="3">
        <v>288</v>
      </c>
      <c r="U914" s="3">
        <v>317</v>
      </c>
      <c r="V914" s="3"/>
    </row>
    <row r="915" spans="2:22" ht="21" x14ac:dyDescent="0.25">
      <c r="B915" s="4" t="s">
        <v>69</v>
      </c>
      <c r="C915" s="4" t="s">
        <v>52</v>
      </c>
      <c r="D915" s="4" t="s">
        <v>60</v>
      </c>
      <c r="E915" s="4" t="s">
        <v>27</v>
      </c>
      <c r="F915" s="4" t="s">
        <v>80</v>
      </c>
      <c r="G915" s="4" t="s">
        <v>27</v>
      </c>
      <c r="H915" s="4">
        <v>70262</v>
      </c>
      <c r="I915" s="4">
        <v>70340</v>
      </c>
      <c r="J915" s="4" t="s">
        <v>28</v>
      </c>
      <c r="K915" s="4" t="s">
        <v>69</v>
      </c>
      <c r="L915" s="4" t="s">
        <v>29</v>
      </c>
      <c r="M915" s="4"/>
      <c r="N915" s="5">
        <v>480</v>
      </c>
      <c r="O915" s="5">
        <v>528</v>
      </c>
      <c r="P915" s="5">
        <v>551</v>
      </c>
      <c r="Q915" s="5">
        <v>606</v>
      </c>
      <c r="R915" s="5">
        <v>96</v>
      </c>
      <c r="S915" s="5">
        <v>105</v>
      </c>
      <c r="T915" s="5">
        <v>110</v>
      </c>
      <c r="U915" s="5">
        <v>121</v>
      </c>
      <c r="V915" s="5"/>
    </row>
    <row r="916" spans="2:22" ht="20" hidden="1" x14ac:dyDescent="0.25">
      <c r="B916" s="2" t="s">
        <v>69</v>
      </c>
      <c r="C916" s="2" t="s">
        <v>52</v>
      </c>
      <c r="D916" s="2" t="s">
        <v>60</v>
      </c>
      <c r="E916" s="2" t="s">
        <v>27</v>
      </c>
      <c r="F916" s="2" t="s">
        <v>80</v>
      </c>
      <c r="G916" s="2" t="s">
        <v>27</v>
      </c>
      <c r="H916" s="2">
        <v>70262</v>
      </c>
      <c r="I916" s="2">
        <v>70340</v>
      </c>
      <c r="J916" s="2" t="s">
        <v>28</v>
      </c>
      <c r="K916" s="2" t="s">
        <v>69</v>
      </c>
      <c r="L916" s="2" t="s">
        <v>30</v>
      </c>
      <c r="M916" s="2" t="s">
        <v>52</v>
      </c>
      <c r="N916" s="3">
        <v>480</v>
      </c>
      <c r="O916" s="3">
        <v>528</v>
      </c>
      <c r="P916" s="3">
        <v>551</v>
      </c>
      <c r="Q916" s="3">
        <v>606</v>
      </c>
      <c r="R916" s="3">
        <v>96</v>
      </c>
      <c r="S916" s="3">
        <v>105</v>
      </c>
      <c r="T916" s="3">
        <v>110</v>
      </c>
      <c r="U916" s="3">
        <v>121</v>
      </c>
      <c r="V916" s="5"/>
    </row>
    <row r="917" spans="2:22" ht="21" hidden="1" x14ac:dyDescent="0.25">
      <c r="B917" s="4" t="s">
        <v>467</v>
      </c>
      <c r="C917" s="4" t="s">
        <v>468</v>
      </c>
      <c r="D917" s="4" t="s">
        <v>469</v>
      </c>
      <c r="E917" s="4" t="s">
        <v>27</v>
      </c>
      <c r="F917" s="4" t="s">
        <v>470</v>
      </c>
      <c r="G917" s="4" t="s">
        <v>27</v>
      </c>
      <c r="H917" s="4">
        <v>70091</v>
      </c>
      <c r="I917" s="4">
        <v>2105</v>
      </c>
      <c r="J917" s="4" t="s">
        <v>28</v>
      </c>
      <c r="K917" s="4" t="s">
        <v>467</v>
      </c>
      <c r="L917" s="4" t="s">
        <v>29</v>
      </c>
      <c r="M917" s="4"/>
      <c r="N917" s="5">
        <v>648</v>
      </c>
      <c r="O917" s="5">
        <v>713</v>
      </c>
      <c r="P917" s="5">
        <v>718</v>
      </c>
      <c r="Q917" s="5">
        <v>789</v>
      </c>
      <c r="R917" s="5">
        <v>129</v>
      </c>
      <c r="S917" s="5">
        <v>142</v>
      </c>
      <c r="T917" s="5">
        <v>143</v>
      </c>
      <c r="U917" s="5">
        <v>157</v>
      </c>
      <c r="V917" s="5"/>
    </row>
    <row r="918" spans="2:22" ht="20" hidden="1" x14ac:dyDescent="0.25">
      <c r="B918" s="2" t="s">
        <v>467</v>
      </c>
      <c r="C918" s="2" t="s">
        <v>468</v>
      </c>
      <c r="D918" s="2" t="s">
        <v>469</v>
      </c>
      <c r="E918" s="2" t="s">
        <v>27</v>
      </c>
      <c r="F918" s="2" t="s">
        <v>470</v>
      </c>
      <c r="G918" s="2" t="s">
        <v>27</v>
      </c>
      <c r="H918" s="2">
        <v>70091</v>
      </c>
      <c r="I918" s="2">
        <v>2105</v>
      </c>
      <c r="J918" s="2" t="s">
        <v>28</v>
      </c>
      <c r="K918" s="2" t="s">
        <v>467</v>
      </c>
      <c r="L918" s="2" t="s">
        <v>30</v>
      </c>
      <c r="M918" s="2" t="s">
        <v>468</v>
      </c>
      <c r="N918" s="3">
        <v>648</v>
      </c>
      <c r="O918" s="3">
        <v>713</v>
      </c>
      <c r="P918" s="3">
        <v>718</v>
      </c>
      <c r="Q918" s="3">
        <v>789</v>
      </c>
      <c r="R918" s="3">
        <v>129</v>
      </c>
      <c r="S918" s="3">
        <v>142</v>
      </c>
      <c r="T918" s="3">
        <v>143</v>
      </c>
      <c r="U918" s="3">
        <v>157</v>
      </c>
      <c r="V918" s="3"/>
    </row>
    <row r="919" spans="2:22" ht="21" hidden="1" x14ac:dyDescent="0.25">
      <c r="B919" s="4" t="s">
        <v>474</v>
      </c>
      <c r="C919" s="4" t="s">
        <v>468</v>
      </c>
      <c r="D919" s="4" t="s">
        <v>469</v>
      </c>
      <c r="E919" s="4" t="s">
        <v>27</v>
      </c>
      <c r="F919" s="4" t="s">
        <v>475</v>
      </c>
      <c r="G919" s="4" t="s">
        <v>27</v>
      </c>
      <c r="H919" s="4">
        <v>70091</v>
      </c>
      <c r="I919" s="4">
        <v>70308</v>
      </c>
      <c r="J919" s="4" t="s">
        <v>28</v>
      </c>
      <c r="K919" s="4" t="s">
        <v>474</v>
      </c>
      <c r="L919" s="4" t="s">
        <v>29</v>
      </c>
      <c r="M919" s="4"/>
      <c r="N919" s="5">
        <v>641</v>
      </c>
      <c r="O919" s="5">
        <v>705</v>
      </c>
      <c r="P919" s="5">
        <v>729</v>
      </c>
      <c r="Q919" s="5">
        <v>802</v>
      </c>
      <c r="R919" s="5">
        <v>128</v>
      </c>
      <c r="S919" s="5">
        <v>140</v>
      </c>
      <c r="T919" s="5">
        <v>145</v>
      </c>
      <c r="U919" s="5">
        <v>160</v>
      </c>
      <c r="V919" s="5"/>
    </row>
    <row r="920" spans="2:22" ht="20" hidden="1" x14ac:dyDescent="0.25">
      <c r="B920" s="2" t="s">
        <v>474</v>
      </c>
      <c r="C920" s="2" t="s">
        <v>468</v>
      </c>
      <c r="D920" s="2" t="s">
        <v>469</v>
      </c>
      <c r="E920" s="2" t="s">
        <v>27</v>
      </c>
      <c r="F920" s="2" t="s">
        <v>475</v>
      </c>
      <c r="G920" s="2" t="s">
        <v>27</v>
      </c>
      <c r="H920" s="2">
        <v>70091</v>
      </c>
      <c r="I920" s="2">
        <v>70308</v>
      </c>
      <c r="J920" s="2" t="s">
        <v>28</v>
      </c>
      <c r="K920" s="2" t="s">
        <v>474</v>
      </c>
      <c r="L920" s="2" t="s">
        <v>30</v>
      </c>
      <c r="M920" s="2" t="s">
        <v>468</v>
      </c>
      <c r="N920" s="3">
        <v>641</v>
      </c>
      <c r="O920" s="3">
        <v>705</v>
      </c>
      <c r="P920" s="3">
        <v>729</v>
      </c>
      <c r="Q920" s="3">
        <v>802</v>
      </c>
      <c r="R920" s="3">
        <v>128</v>
      </c>
      <c r="S920" s="3">
        <v>140</v>
      </c>
      <c r="T920" s="3">
        <v>145</v>
      </c>
      <c r="U920" s="3">
        <v>160</v>
      </c>
      <c r="V920" s="3"/>
    </row>
    <row r="921" spans="2:22" ht="21" hidden="1" x14ac:dyDescent="0.25">
      <c r="B921" s="4" t="s">
        <v>1104</v>
      </c>
      <c r="C921" s="4" t="s">
        <v>1105</v>
      </c>
      <c r="D921" s="4" t="s">
        <v>475</v>
      </c>
      <c r="E921" s="4" t="s">
        <v>27</v>
      </c>
      <c r="F921" s="4" t="s">
        <v>1106</v>
      </c>
      <c r="G921" s="4" t="s">
        <v>40</v>
      </c>
      <c r="H921" s="4">
        <v>70308</v>
      </c>
      <c r="I921" s="4">
        <v>73414</v>
      </c>
      <c r="J921" s="4" t="s">
        <v>42</v>
      </c>
      <c r="K921" s="4" t="s">
        <v>1104</v>
      </c>
      <c r="L921" s="4" t="s">
        <v>29</v>
      </c>
      <c r="M921" s="4"/>
      <c r="N921" s="5">
        <v>541</v>
      </c>
      <c r="O921" s="5">
        <v>541</v>
      </c>
      <c r="P921" s="5">
        <v>541</v>
      </c>
      <c r="Q921" s="5">
        <v>541</v>
      </c>
      <c r="R921" s="5">
        <v>108</v>
      </c>
      <c r="S921" s="5">
        <v>108</v>
      </c>
      <c r="T921" s="5">
        <v>108</v>
      </c>
      <c r="U921" s="5">
        <v>108</v>
      </c>
      <c r="V921" s="5"/>
    </row>
    <row r="922" spans="2:22" ht="20" hidden="1" x14ac:dyDescent="0.25">
      <c r="B922" s="2" t="s">
        <v>1104</v>
      </c>
      <c r="C922" s="2" t="s">
        <v>1105</v>
      </c>
      <c r="D922" s="2" t="s">
        <v>475</v>
      </c>
      <c r="E922" s="2" t="s">
        <v>27</v>
      </c>
      <c r="F922" s="2" t="s">
        <v>1106</v>
      </c>
      <c r="G922" s="2" t="s">
        <v>40</v>
      </c>
      <c r="H922" s="2">
        <v>70308</v>
      </c>
      <c r="I922" s="2">
        <v>73414</v>
      </c>
      <c r="J922" s="2" t="s">
        <v>42</v>
      </c>
      <c r="K922" s="2" t="s">
        <v>213</v>
      </c>
      <c r="L922" s="2" t="s">
        <v>213</v>
      </c>
      <c r="M922" s="2" t="s">
        <v>1107</v>
      </c>
      <c r="N922" s="3">
        <v>541</v>
      </c>
      <c r="O922" s="3">
        <v>541</v>
      </c>
      <c r="P922" s="3">
        <v>541</v>
      </c>
      <c r="Q922" s="3">
        <v>541</v>
      </c>
      <c r="R922" s="3">
        <v>108</v>
      </c>
      <c r="S922" s="3">
        <v>108</v>
      </c>
      <c r="T922" s="3">
        <v>108</v>
      </c>
      <c r="U922" s="3">
        <v>108</v>
      </c>
      <c r="V922" s="3"/>
    </row>
    <row r="923" spans="2:22" ht="21" hidden="1" x14ac:dyDescent="0.25">
      <c r="B923" s="4" t="s">
        <v>471</v>
      </c>
      <c r="C923" s="4" t="s">
        <v>472</v>
      </c>
      <c r="D923" s="4" t="s">
        <v>469</v>
      </c>
      <c r="E923" s="4" t="s">
        <v>27</v>
      </c>
      <c r="F923" s="4" t="s">
        <v>473</v>
      </c>
      <c r="G923" s="4" t="s">
        <v>27</v>
      </c>
      <c r="H923" s="4">
        <v>70091</v>
      </c>
      <c r="I923" s="4">
        <v>2131</v>
      </c>
      <c r="J923" s="4" t="s">
        <v>28</v>
      </c>
      <c r="K923" s="4" t="s">
        <v>471</v>
      </c>
      <c r="L923" s="4" t="s">
        <v>29</v>
      </c>
      <c r="M923" s="4"/>
      <c r="N923" s="5">
        <v>800</v>
      </c>
      <c r="O923" s="5">
        <v>880</v>
      </c>
      <c r="P923" s="5">
        <v>910</v>
      </c>
      <c r="Q923" s="5">
        <v>1001</v>
      </c>
      <c r="R923" s="5">
        <v>159</v>
      </c>
      <c r="S923" s="5">
        <v>175</v>
      </c>
      <c r="T923" s="5">
        <v>181</v>
      </c>
      <c r="U923" s="5">
        <v>199</v>
      </c>
      <c r="V923" s="5"/>
    </row>
    <row r="924" spans="2:22" ht="20" hidden="1" x14ac:dyDescent="0.25">
      <c r="B924" s="2" t="s">
        <v>471</v>
      </c>
      <c r="C924" s="2" t="s">
        <v>472</v>
      </c>
      <c r="D924" s="2" t="s">
        <v>469</v>
      </c>
      <c r="E924" s="2" t="s">
        <v>27</v>
      </c>
      <c r="F924" s="2" t="s">
        <v>473</v>
      </c>
      <c r="G924" s="2" t="s">
        <v>27</v>
      </c>
      <c r="H924" s="2">
        <v>70091</v>
      </c>
      <c r="I924" s="2">
        <v>2131</v>
      </c>
      <c r="J924" s="2" t="s">
        <v>28</v>
      </c>
      <c r="K924" s="2" t="s">
        <v>471</v>
      </c>
      <c r="L924" s="2" t="s">
        <v>30</v>
      </c>
      <c r="M924" s="2" t="s">
        <v>472</v>
      </c>
      <c r="N924" s="3">
        <v>800</v>
      </c>
      <c r="O924" s="3">
        <v>880</v>
      </c>
      <c r="P924" s="3">
        <v>910</v>
      </c>
      <c r="Q924" s="3">
        <v>1001</v>
      </c>
      <c r="R924" s="3">
        <v>159</v>
      </c>
      <c r="S924" s="3">
        <v>175</v>
      </c>
      <c r="T924" s="3">
        <v>181</v>
      </c>
      <c r="U924" s="3">
        <v>199</v>
      </c>
      <c r="V924" s="3"/>
    </row>
    <row r="925" spans="2:22" ht="21" hidden="1" x14ac:dyDescent="0.25">
      <c r="B925" s="4" t="s">
        <v>476</v>
      </c>
      <c r="C925" s="4" t="s">
        <v>472</v>
      </c>
      <c r="D925" s="4" t="s">
        <v>473</v>
      </c>
      <c r="E925" s="4" t="s">
        <v>27</v>
      </c>
      <c r="F925" s="4" t="s">
        <v>470</v>
      </c>
      <c r="G925" s="4" t="s">
        <v>27</v>
      </c>
      <c r="H925" s="4">
        <v>2131</v>
      </c>
      <c r="I925" s="4">
        <v>2132</v>
      </c>
      <c r="J925" s="4" t="s">
        <v>28</v>
      </c>
      <c r="K925" s="4" t="s">
        <v>476</v>
      </c>
      <c r="L925" s="4" t="s">
        <v>29</v>
      </c>
      <c r="M925" s="4"/>
      <c r="N925" s="5">
        <v>800</v>
      </c>
      <c r="O925" s="5">
        <v>880</v>
      </c>
      <c r="P925" s="5">
        <v>900</v>
      </c>
      <c r="Q925" s="5">
        <v>900</v>
      </c>
      <c r="R925" s="5">
        <v>159</v>
      </c>
      <c r="S925" s="5">
        <v>175</v>
      </c>
      <c r="T925" s="5">
        <v>179</v>
      </c>
      <c r="U925" s="5">
        <v>179</v>
      </c>
      <c r="V925" s="5"/>
    </row>
    <row r="926" spans="2:22" ht="20" hidden="1" x14ac:dyDescent="0.25">
      <c r="B926" s="2" t="s">
        <v>476</v>
      </c>
      <c r="C926" s="2" t="s">
        <v>472</v>
      </c>
      <c r="D926" s="2" t="s">
        <v>473</v>
      </c>
      <c r="E926" s="2" t="s">
        <v>27</v>
      </c>
      <c r="F926" s="2" t="s">
        <v>470</v>
      </c>
      <c r="G926" s="2" t="s">
        <v>27</v>
      </c>
      <c r="H926" s="2">
        <v>2131</v>
      </c>
      <c r="I926" s="2">
        <v>2132</v>
      </c>
      <c r="J926" s="2" t="s">
        <v>28</v>
      </c>
      <c r="K926" s="2" t="s">
        <v>476</v>
      </c>
      <c r="L926" s="2" t="s">
        <v>30</v>
      </c>
      <c r="M926" s="2" t="s">
        <v>472</v>
      </c>
      <c r="N926" s="3">
        <v>800</v>
      </c>
      <c r="O926" s="3">
        <v>880</v>
      </c>
      <c r="P926" s="2">
        <v>910</v>
      </c>
      <c r="Q926" s="2">
        <v>1001</v>
      </c>
      <c r="R926" s="3">
        <v>159</v>
      </c>
      <c r="S926" s="3">
        <v>175</v>
      </c>
      <c r="T926" s="2">
        <v>181</v>
      </c>
      <c r="U926" s="2">
        <v>199</v>
      </c>
      <c r="V926" s="2"/>
    </row>
    <row r="927" spans="2:22" ht="30" hidden="1" x14ac:dyDescent="0.25">
      <c r="B927" s="2" t="s">
        <v>476</v>
      </c>
      <c r="C927" s="2" t="s">
        <v>472</v>
      </c>
      <c r="D927" s="2" t="s">
        <v>473</v>
      </c>
      <c r="E927" s="2" t="s">
        <v>27</v>
      </c>
      <c r="F927" s="2" t="s">
        <v>470</v>
      </c>
      <c r="G927" s="2" t="s">
        <v>27</v>
      </c>
      <c r="H927" s="2">
        <v>2131</v>
      </c>
      <c r="I927" s="2">
        <v>2132</v>
      </c>
      <c r="J927" s="2" t="s">
        <v>28</v>
      </c>
      <c r="K927" s="2" t="s">
        <v>477</v>
      </c>
      <c r="L927" s="2" t="s">
        <v>36</v>
      </c>
      <c r="M927" s="2" t="s">
        <v>478</v>
      </c>
      <c r="N927" s="2">
        <v>900</v>
      </c>
      <c r="O927" s="2">
        <v>900</v>
      </c>
      <c r="P927" s="3">
        <v>900</v>
      </c>
      <c r="Q927" s="3">
        <v>900</v>
      </c>
      <c r="R927" s="2">
        <v>179</v>
      </c>
      <c r="S927" s="2">
        <v>179</v>
      </c>
      <c r="T927" s="3">
        <v>179</v>
      </c>
      <c r="U927" s="3">
        <v>179</v>
      </c>
      <c r="V927" s="3"/>
    </row>
    <row r="928" spans="2:22" hidden="1" x14ac:dyDescent="0.25">
      <c r="B928" s="4" t="s">
        <v>479</v>
      </c>
      <c r="C928" s="4" t="s">
        <v>472</v>
      </c>
      <c r="D928" s="4" t="s">
        <v>473</v>
      </c>
      <c r="E928" s="4" t="s">
        <v>27</v>
      </c>
      <c r="F928" s="4" t="s">
        <v>480</v>
      </c>
      <c r="G928" s="4" t="s">
        <v>27</v>
      </c>
      <c r="H928" s="4">
        <v>2131</v>
      </c>
      <c r="I928" s="4">
        <v>70117</v>
      </c>
      <c r="J928" s="4" t="s">
        <v>28</v>
      </c>
      <c r="K928" s="4" t="s">
        <v>479</v>
      </c>
      <c r="L928" s="4" t="s">
        <v>29</v>
      </c>
      <c r="M928" s="4"/>
      <c r="N928" s="5">
        <v>800</v>
      </c>
      <c r="O928" s="5">
        <v>880</v>
      </c>
      <c r="P928" s="5">
        <v>910</v>
      </c>
      <c r="Q928" s="5">
        <v>1001</v>
      </c>
      <c r="R928" s="5">
        <v>159</v>
      </c>
      <c r="S928" s="5">
        <v>175</v>
      </c>
      <c r="T928" s="5">
        <v>181</v>
      </c>
      <c r="U928" s="5">
        <v>199</v>
      </c>
      <c r="V928" s="5"/>
    </row>
    <row r="929" spans="2:22" hidden="1" x14ac:dyDescent="0.25">
      <c r="B929" s="2" t="s">
        <v>479</v>
      </c>
      <c r="C929" s="2" t="s">
        <v>472</v>
      </c>
      <c r="D929" s="2" t="s">
        <v>473</v>
      </c>
      <c r="E929" s="2" t="s">
        <v>27</v>
      </c>
      <c r="F929" s="2" t="s">
        <v>480</v>
      </c>
      <c r="G929" s="2" t="s">
        <v>27</v>
      </c>
      <c r="H929" s="2">
        <v>2131</v>
      </c>
      <c r="I929" s="2">
        <v>70117</v>
      </c>
      <c r="J929" s="2" t="s">
        <v>28</v>
      </c>
      <c r="K929" s="2" t="s">
        <v>479</v>
      </c>
      <c r="L929" s="2" t="s">
        <v>30</v>
      </c>
      <c r="M929" s="2" t="s">
        <v>472</v>
      </c>
      <c r="N929" s="3">
        <v>800</v>
      </c>
      <c r="O929" s="3">
        <v>880</v>
      </c>
      <c r="P929" s="3">
        <v>910</v>
      </c>
      <c r="Q929" s="3">
        <v>1001</v>
      </c>
      <c r="R929" s="3">
        <v>159</v>
      </c>
      <c r="S929" s="3">
        <v>175</v>
      </c>
      <c r="T929" s="3">
        <v>181</v>
      </c>
      <c r="U929" s="3">
        <v>199</v>
      </c>
      <c r="V929" s="3"/>
    </row>
    <row r="930" spans="2:22" ht="21" hidden="1" x14ac:dyDescent="0.25">
      <c r="B930" s="4" t="s">
        <v>610</v>
      </c>
      <c r="C930" s="4" t="s">
        <v>611</v>
      </c>
      <c r="D930" s="4" t="s">
        <v>480</v>
      </c>
      <c r="E930" s="4" t="s">
        <v>27</v>
      </c>
      <c r="F930" s="4" t="s">
        <v>612</v>
      </c>
      <c r="G930" s="4" t="s">
        <v>27</v>
      </c>
      <c r="H930" s="4">
        <v>70117</v>
      </c>
      <c r="I930" s="4">
        <v>70115</v>
      </c>
      <c r="J930" s="4" t="s">
        <v>28</v>
      </c>
      <c r="K930" s="4" t="s">
        <v>610</v>
      </c>
      <c r="L930" s="4" t="s">
        <v>29</v>
      </c>
      <c r="M930" s="4"/>
      <c r="N930" s="5">
        <v>800</v>
      </c>
      <c r="O930" s="5">
        <v>880</v>
      </c>
      <c r="P930" s="5">
        <v>910</v>
      </c>
      <c r="Q930" s="5">
        <v>1001</v>
      </c>
      <c r="R930" s="5">
        <v>159</v>
      </c>
      <c r="S930" s="5">
        <v>175</v>
      </c>
      <c r="T930" s="5">
        <v>181</v>
      </c>
      <c r="U930" s="5">
        <v>199</v>
      </c>
      <c r="V930" s="5"/>
    </row>
    <row r="931" spans="2:22" ht="20" hidden="1" x14ac:dyDescent="0.25">
      <c r="B931" s="2" t="s">
        <v>610</v>
      </c>
      <c r="C931" s="2" t="s">
        <v>611</v>
      </c>
      <c r="D931" s="2" t="s">
        <v>480</v>
      </c>
      <c r="E931" s="2" t="s">
        <v>27</v>
      </c>
      <c r="F931" s="2" t="s">
        <v>612</v>
      </c>
      <c r="G931" s="2" t="s">
        <v>27</v>
      </c>
      <c r="H931" s="2">
        <v>70117</v>
      </c>
      <c r="I931" s="2">
        <v>70115</v>
      </c>
      <c r="J931" s="2" t="s">
        <v>28</v>
      </c>
      <c r="K931" s="2" t="s">
        <v>610</v>
      </c>
      <c r="L931" s="2" t="s">
        <v>30</v>
      </c>
      <c r="M931" s="2" t="s">
        <v>611</v>
      </c>
      <c r="N931" s="3">
        <v>800</v>
      </c>
      <c r="O931" s="3">
        <v>880</v>
      </c>
      <c r="P931" s="3">
        <v>910</v>
      </c>
      <c r="Q931" s="3">
        <v>1001</v>
      </c>
      <c r="R931" s="3">
        <v>159</v>
      </c>
      <c r="S931" s="3">
        <v>175</v>
      </c>
      <c r="T931" s="3">
        <v>181</v>
      </c>
      <c r="U931" s="3">
        <v>199</v>
      </c>
      <c r="V931" s="3"/>
    </row>
    <row r="932" spans="2:22" ht="21" hidden="1" x14ac:dyDescent="0.25">
      <c r="B932" s="4" t="s">
        <v>432</v>
      </c>
      <c r="C932" s="4" t="s">
        <v>433</v>
      </c>
      <c r="D932" s="4" t="s">
        <v>431</v>
      </c>
      <c r="E932" s="4" t="s">
        <v>27</v>
      </c>
      <c r="F932" s="4" t="s">
        <v>434</v>
      </c>
      <c r="G932" s="4" t="s">
        <v>27</v>
      </c>
      <c r="H932" s="4">
        <v>70071</v>
      </c>
      <c r="I932" s="4">
        <v>70197</v>
      </c>
      <c r="J932" s="4" t="s">
        <v>28</v>
      </c>
      <c r="K932" s="4" t="s">
        <v>432</v>
      </c>
      <c r="L932" s="4" t="s">
        <v>29</v>
      </c>
      <c r="M932" s="4"/>
      <c r="N932" s="5">
        <v>600</v>
      </c>
      <c r="O932" s="5">
        <v>600</v>
      </c>
      <c r="P932" s="5">
        <v>600</v>
      </c>
      <c r="Q932" s="5">
        <v>600</v>
      </c>
      <c r="R932" s="5">
        <v>120</v>
      </c>
      <c r="S932" s="5">
        <v>120</v>
      </c>
      <c r="T932" s="5">
        <v>120</v>
      </c>
      <c r="U932" s="5">
        <v>120</v>
      </c>
      <c r="V932" s="5"/>
    </row>
    <row r="933" spans="2:22" ht="30" hidden="1" x14ac:dyDescent="0.25">
      <c r="B933" s="2" t="s">
        <v>432</v>
      </c>
      <c r="C933" s="2" t="s">
        <v>433</v>
      </c>
      <c r="D933" s="2" t="s">
        <v>431</v>
      </c>
      <c r="E933" s="2" t="s">
        <v>27</v>
      </c>
      <c r="F933" s="2" t="s">
        <v>434</v>
      </c>
      <c r="G933" s="2" t="s">
        <v>27</v>
      </c>
      <c r="H933" s="2">
        <v>70071</v>
      </c>
      <c r="I933" s="2">
        <v>70197</v>
      </c>
      <c r="J933" s="2" t="s">
        <v>28</v>
      </c>
      <c r="K933" s="2" t="s">
        <v>435</v>
      </c>
      <c r="L933" s="2" t="s">
        <v>36</v>
      </c>
      <c r="M933" s="2" t="s">
        <v>436</v>
      </c>
      <c r="N933" s="3">
        <v>600</v>
      </c>
      <c r="O933" s="3">
        <v>600</v>
      </c>
      <c r="P933" s="3">
        <v>600</v>
      </c>
      <c r="Q933" s="3">
        <v>600</v>
      </c>
      <c r="R933" s="3">
        <v>120</v>
      </c>
      <c r="S933" s="3">
        <v>120</v>
      </c>
      <c r="T933" s="3">
        <v>120</v>
      </c>
      <c r="U933" s="3">
        <v>120</v>
      </c>
      <c r="V933" s="3"/>
    </row>
    <row r="934" spans="2:22" ht="20" hidden="1" x14ac:dyDescent="0.25">
      <c r="B934" s="2" t="s">
        <v>432</v>
      </c>
      <c r="C934" s="2" t="s">
        <v>433</v>
      </c>
      <c r="D934" s="2" t="s">
        <v>431</v>
      </c>
      <c r="E934" s="2" t="s">
        <v>27</v>
      </c>
      <c r="F934" s="2" t="s">
        <v>434</v>
      </c>
      <c r="G934" s="2" t="s">
        <v>27</v>
      </c>
      <c r="H934" s="2">
        <v>70071</v>
      </c>
      <c r="I934" s="2">
        <v>70197</v>
      </c>
      <c r="J934" s="2" t="s">
        <v>28</v>
      </c>
      <c r="K934" s="2"/>
      <c r="L934" s="2" t="s">
        <v>301</v>
      </c>
      <c r="M934" s="2" t="s">
        <v>436</v>
      </c>
      <c r="N934" s="3">
        <v>600</v>
      </c>
      <c r="O934" s="3">
        <v>600</v>
      </c>
      <c r="P934" s="2">
        <v>624</v>
      </c>
      <c r="Q934" s="2">
        <v>624</v>
      </c>
      <c r="R934" s="3">
        <v>120</v>
      </c>
      <c r="S934" s="3">
        <v>120</v>
      </c>
      <c r="T934" s="2">
        <v>124</v>
      </c>
      <c r="U934" s="2">
        <v>124</v>
      </c>
      <c r="V934" s="2"/>
    </row>
    <row r="935" spans="2:22" ht="20" hidden="1" x14ac:dyDescent="0.25">
      <c r="B935" s="2" t="s">
        <v>432</v>
      </c>
      <c r="C935" s="2" t="s">
        <v>433</v>
      </c>
      <c r="D935" s="2" t="s">
        <v>431</v>
      </c>
      <c r="E935" s="2" t="s">
        <v>27</v>
      </c>
      <c r="F935" s="2" t="s">
        <v>434</v>
      </c>
      <c r="G935" s="2" t="s">
        <v>27</v>
      </c>
      <c r="H935" s="2">
        <v>70071</v>
      </c>
      <c r="I935" s="2">
        <v>70197</v>
      </c>
      <c r="J935" s="2" t="s">
        <v>28</v>
      </c>
      <c r="K935" s="2" t="s">
        <v>437</v>
      </c>
      <c r="L935" s="2" t="s">
        <v>34</v>
      </c>
      <c r="M935" s="2" t="s">
        <v>438</v>
      </c>
      <c r="N935" s="3">
        <v>600</v>
      </c>
      <c r="O935" s="2">
        <v>775</v>
      </c>
      <c r="P935" s="2">
        <v>743</v>
      </c>
      <c r="Q935" s="2">
        <v>890</v>
      </c>
      <c r="R935" s="3">
        <v>120</v>
      </c>
      <c r="S935" s="2">
        <v>154</v>
      </c>
      <c r="T935" s="2">
        <v>148</v>
      </c>
      <c r="U935" s="2">
        <v>177</v>
      </c>
      <c r="V935" s="2"/>
    </row>
    <row r="936" spans="2:22" ht="21" hidden="1" x14ac:dyDescent="0.25">
      <c r="B936" s="4" t="s">
        <v>831</v>
      </c>
      <c r="C936" s="4" t="s">
        <v>433</v>
      </c>
      <c r="D936" s="4" t="s">
        <v>434</v>
      </c>
      <c r="E936" s="4" t="s">
        <v>27</v>
      </c>
      <c r="F936" s="4" t="s">
        <v>832</v>
      </c>
      <c r="G936" s="4" t="s">
        <v>27</v>
      </c>
      <c r="H936" s="4">
        <v>70197</v>
      </c>
      <c r="I936" s="4">
        <v>70218</v>
      </c>
      <c r="J936" s="4" t="s">
        <v>28</v>
      </c>
      <c r="K936" s="4" t="s">
        <v>831</v>
      </c>
      <c r="L936" s="4" t="s">
        <v>29</v>
      </c>
      <c r="M936" s="4"/>
      <c r="N936" s="5">
        <v>600</v>
      </c>
      <c r="O936" s="5">
        <v>600</v>
      </c>
      <c r="P936" s="5">
        <v>600</v>
      </c>
      <c r="Q936" s="5">
        <v>600</v>
      </c>
      <c r="R936" s="5">
        <v>120</v>
      </c>
      <c r="S936" s="5">
        <v>120</v>
      </c>
      <c r="T936" s="5">
        <v>120</v>
      </c>
      <c r="U936" s="5">
        <v>120</v>
      </c>
      <c r="V936" s="5"/>
    </row>
    <row r="937" spans="2:22" ht="30" hidden="1" x14ac:dyDescent="0.25">
      <c r="B937" s="2" t="s">
        <v>831</v>
      </c>
      <c r="C937" s="2" t="s">
        <v>433</v>
      </c>
      <c r="D937" s="2" t="s">
        <v>434</v>
      </c>
      <c r="E937" s="2" t="s">
        <v>27</v>
      </c>
      <c r="F937" s="2" t="s">
        <v>832</v>
      </c>
      <c r="G937" s="2" t="s">
        <v>27</v>
      </c>
      <c r="H937" s="2">
        <v>70197</v>
      </c>
      <c r="I937" s="2">
        <v>70218</v>
      </c>
      <c r="J937" s="2" t="s">
        <v>28</v>
      </c>
      <c r="K937" s="2" t="s">
        <v>435</v>
      </c>
      <c r="L937" s="2" t="s">
        <v>36</v>
      </c>
      <c r="M937" s="2" t="s">
        <v>833</v>
      </c>
      <c r="N937" s="3">
        <v>600</v>
      </c>
      <c r="O937" s="3">
        <v>600</v>
      </c>
      <c r="P937" s="3">
        <v>600</v>
      </c>
      <c r="Q937" s="3">
        <v>600</v>
      </c>
      <c r="R937" s="3">
        <v>120</v>
      </c>
      <c r="S937" s="3">
        <v>120</v>
      </c>
      <c r="T937" s="3">
        <v>120</v>
      </c>
      <c r="U937" s="3">
        <v>120</v>
      </c>
      <c r="V937" s="3"/>
    </row>
    <row r="938" spans="2:22" ht="30" hidden="1" x14ac:dyDescent="0.25">
      <c r="B938" s="2" t="s">
        <v>831</v>
      </c>
      <c r="C938" s="2" t="s">
        <v>433</v>
      </c>
      <c r="D938" s="2" t="s">
        <v>434</v>
      </c>
      <c r="E938" s="2" t="s">
        <v>27</v>
      </c>
      <c r="F938" s="2" t="s">
        <v>832</v>
      </c>
      <c r="G938" s="2" t="s">
        <v>27</v>
      </c>
      <c r="H938" s="2">
        <v>70197</v>
      </c>
      <c r="I938" s="2">
        <v>70218</v>
      </c>
      <c r="J938" s="2" t="s">
        <v>28</v>
      </c>
      <c r="K938" s="2" t="s">
        <v>834</v>
      </c>
      <c r="L938" s="2" t="s">
        <v>36</v>
      </c>
      <c r="M938" s="2" t="s">
        <v>833</v>
      </c>
      <c r="N938" s="3">
        <v>600</v>
      </c>
      <c r="O938" s="3">
        <v>600</v>
      </c>
      <c r="P938" s="3">
        <v>600</v>
      </c>
      <c r="Q938" s="3">
        <v>600</v>
      </c>
      <c r="R938" s="3">
        <v>120</v>
      </c>
      <c r="S938" s="3">
        <v>120</v>
      </c>
      <c r="T938" s="3">
        <v>120</v>
      </c>
      <c r="U938" s="3">
        <v>120</v>
      </c>
      <c r="V938" s="3"/>
    </row>
    <row r="939" spans="2:22" ht="30" hidden="1" x14ac:dyDescent="0.25">
      <c r="B939" s="2" t="s">
        <v>831</v>
      </c>
      <c r="C939" s="2" t="s">
        <v>433</v>
      </c>
      <c r="D939" s="2" t="s">
        <v>434</v>
      </c>
      <c r="E939" s="2" t="s">
        <v>27</v>
      </c>
      <c r="F939" s="2" t="s">
        <v>832</v>
      </c>
      <c r="G939" s="2" t="s">
        <v>27</v>
      </c>
      <c r="H939" s="2">
        <v>70197</v>
      </c>
      <c r="I939" s="2">
        <v>70218</v>
      </c>
      <c r="J939" s="2" t="s">
        <v>28</v>
      </c>
      <c r="K939" s="2" t="s">
        <v>835</v>
      </c>
      <c r="L939" s="2" t="s">
        <v>36</v>
      </c>
      <c r="M939" s="2" t="s">
        <v>833</v>
      </c>
      <c r="N939" s="3">
        <v>600</v>
      </c>
      <c r="O939" s="3">
        <v>600</v>
      </c>
      <c r="P939" s="3">
        <v>600</v>
      </c>
      <c r="Q939" s="3">
        <v>600</v>
      </c>
      <c r="R939" s="3">
        <v>120</v>
      </c>
      <c r="S939" s="3">
        <v>120</v>
      </c>
      <c r="T939" s="3">
        <v>120</v>
      </c>
      <c r="U939" s="3">
        <v>120</v>
      </c>
      <c r="V939" s="3"/>
    </row>
    <row r="940" spans="2:22" ht="21" hidden="1" x14ac:dyDescent="0.25">
      <c r="B940" s="4" t="s">
        <v>620</v>
      </c>
      <c r="C940" s="4" t="s">
        <v>621</v>
      </c>
      <c r="D940" s="4" t="s">
        <v>616</v>
      </c>
      <c r="E940" s="4" t="s">
        <v>27</v>
      </c>
      <c r="F940" s="4" t="s">
        <v>612</v>
      </c>
      <c r="G940" s="4" t="s">
        <v>27</v>
      </c>
      <c r="H940" s="4">
        <v>70138</v>
      </c>
      <c r="I940" s="4">
        <v>70115</v>
      </c>
      <c r="J940" s="4" t="s">
        <v>28</v>
      </c>
      <c r="K940" s="4" t="s">
        <v>620</v>
      </c>
      <c r="L940" s="4" t="s">
        <v>29</v>
      </c>
      <c r="M940" s="4"/>
      <c r="N940" s="5">
        <v>661</v>
      </c>
      <c r="O940" s="5">
        <v>661</v>
      </c>
      <c r="P940" s="5">
        <v>787</v>
      </c>
      <c r="Q940" s="5">
        <v>787</v>
      </c>
      <c r="R940" s="5">
        <v>132</v>
      </c>
      <c r="S940" s="5">
        <v>132</v>
      </c>
      <c r="T940" s="5">
        <v>157</v>
      </c>
      <c r="U940" s="5">
        <v>157</v>
      </c>
      <c r="V940" s="5"/>
    </row>
    <row r="941" spans="2:22" ht="20" hidden="1" x14ac:dyDescent="0.25">
      <c r="B941" s="2" t="s">
        <v>620</v>
      </c>
      <c r="C941" s="2" t="s">
        <v>621</v>
      </c>
      <c r="D941" s="2" t="s">
        <v>616</v>
      </c>
      <c r="E941" s="2" t="s">
        <v>27</v>
      </c>
      <c r="F941" s="2" t="s">
        <v>612</v>
      </c>
      <c r="G941" s="2" t="s">
        <v>27</v>
      </c>
      <c r="H941" s="2">
        <v>70138</v>
      </c>
      <c r="I941" s="2">
        <v>70115</v>
      </c>
      <c r="J941" s="2" t="s">
        <v>28</v>
      </c>
      <c r="K941" s="2" t="s">
        <v>620</v>
      </c>
      <c r="L941" s="2" t="s">
        <v>30</v>
      </c>
      <c r="M941" s="2" t="s">
        <v>621</v>
      </c>
      <c r="N941" s="3">
        <v>661</v>
      </c>
      <c r="O941" s="3">
        <v>661</v>
      </c>
      <c r="P941" s="3">
        <v>787</v>
      </c>
      <c r="Q941" s="3">
        <v>787</v>
      </c>
      <c r="R941" s="3">
        <v>132</v>
      </c>
      <c r="S941" s="3">
        <v>132</v>
      </c>
      <c r="T941" s="3">
        <v>157</v>
      </c>
      <c r="U941" s="3">
        <v>157</v>
      </c>
      <c r="V941" s="3"/>
    </row>
    <row r="942" spans="2:22" ht="31.5" hidden="1" x14ac:dyDescent="0.25">
      <c r="B942" s="4" t="s">
        <v>746</v>
      </c>
      <c r="C942" s="4" t="s">
        <v>747</v>
      </c>
      <c r="D942" s="4" t="s">
        <v>741</v>
      </c>
      <c r="E942" s="4" t="s">
        <v>27</v>
      </c>
      <c r="F942" s="4" t="s">
        <v>748</v>
      </c>
      <c r="G942" s="4" t="s">
        <v>27</v>
      </c>
      <c r="H942" s="4">
        <v>70164</v>
      </c>
      <c r="I942" s="4">
        <v>70346</v>
      </c>
      <c r="J942" s="4" t="s">
        <v>28</v>
      </c>
      <c r="K942" s="4" t="s">
        <v>746</v>
      </c>
      <c r="L942" s="4" t="s">
        <v>29</v>
      </c>
      <c r="M942" s="4"/>
      <c r="N942" s="5">
        <v>644</v>
      </c>
      <c r="O942" s="5">
        <v>708</v>
      </c>
      <c r="P942" s="5">
        <v>732</v>
      </c>
      <c r="Q942" s="5">
        <v>805</v>
      </c>
      <c r="R942" s="5">
        <v>128</v>
      </c>
      <c r="S942" s="5">
        <v>141</v>
      </c>
      <c r="T942" s="5">
        <v>146</v>
      </c>
      <c r="U942" s="5">
        <v>160</v>
      </c>
      <c r="V942" s="5"/>
    </row>
    <row r="943" spans="2:22" ht="20" hidden="1" x14ac:dyDescent="0.25">
      <c r="B943" s="2" t="s">
        <v>746</v>
      </c>
      <c r="C943" s="2" t="s">
        <v>747</v>
      </c>
      <c r="D943" s="2" t="s">
        <v>741</v>
      </c>
      <c r="E943" s="2" t="s">
        <v>27</v>
      </c>
      <c r="F943" s="2" t="s">
        <v>748</v>
      </c>
      <c r="G943" s="2" t="s">
        <v>27</v>
      </c>
      <c r="H943" s="2">
        <v>70164</v>
      </c>
      <c r="I943" s="2">
        <v>70346</v>
      </c>
      <c r="J943" s="2" t="s">
        <v>28</v>
      </c>
      <c r="K943" s="2" t="s">
        <v>746</v>
      </c>
      <c r="L943" s="2" t="s">
        <v>30</v>
      </c>
      <c r="M943" s="2" t="s">
        <v>747</v>
      </c>
      <c r="N943" s="3">
        <v>644</v>
      </c>
      <c r="O943" s="3">
        <v>708</v>
      </c>
      <c r="P943" s="3">
        <v>732</v>
      </c>
      <c r="Q943" s="3">
        <v>805</v>
      </c>
      <c r="R943" s="3">
        <v>128</v>
      </c>
      <c r="S943" s="3">
        <v>141</v>
      </c>
      <c r="T943" s="3">
        <v>146</v>
      </c>
      <c r="U943" s="3">
        <v>160</v>
      </c>
      <c r="V943" s="3"/>
    </row>
    <row r="944" spans="2:22" ht="21" hidden="1" x14ac:dyDescent="0.25">
      <c r="B944" s="4" t="s">
        <v>1174</v>
      </c>
      <c r="C944" s="4" t="s">
        <v>747</v>
      </c>
      <c r="D944" s="4" t="s">
        <v>748</v>
      </c>
      <c r="E944" s="4" t="s">
        <v>27</v>
      </c>
      <c r="F944" s="4" t="s">
        <v>983</v>
      </c>
      <c r="G944" s="4" t="s">
        <v>27</v>
      </c>
      <c r="H944" s="4">
        <v>70346</v>
      </c>
      <c r="I944" s="4">
        <v>70354</v>
      </c>
      <c r="J944" s="4" t="s">
        <v>28</v>
      </c>
      <c r="K944" s="4" t="s">
        <v>1174</v>
      </c>
      <c r="L944" s="4" t="s">
        <v>29</v>
      </c>
      <c r="M944" s="4"/>
      <c r="N944" s="5">
        <v>600</v>
      </c>
      <c r="O944" s="5">
        <v>600</v>
      </c>
      <c r="P944" s="5">
        <v>600</v>
      </c>
      <c r="Q944" s="5">
        <v>600</v>
      </c>
      <c r="R944" s="5">
        <v>120</v>
      </c>
      <c r="S944" s="5">
        <v>120</v>
      </c>
      <c r="T944" s="5">
        <v>120</v>
      </c>
      <c r="U944" s="5">
        <v>120</v>
      </c>
      <c r="V944" s="5"/>
    </row>
    <row r="945" spans="2:22" ht="30" hidden="1" x14ac:dyDescent="0.25">
      <c r="B945" s="2" t="s">
        <v>1174</v>
      </c>
      <c r="C945" s="2" t="s">
        <v>747</v>
      </c>
      <c r="D945" s="2" t="s">
        <v>748</v>
      </c>
      <c r="E945" s="2" t="s">
        <v>27</v>
      </c>
      <c r="F945" s="2" t="s">
        <v>983</v>
      </c>
      <c r="G945" s="2" t="s">
        <v>27</v>
      </c>
      <c r="H945" s="2">
        <v>70346</v>
      </c>
      <c r="I945" s="2">
        <v>70354</v>
      </c>
      <c r="J945" s="2" t="s">
        <v>28</v>
      </c>
      <c r="K945" s="2" t="s">
        <v>1175</v>
      </c>
      <c r="L945" s="2" t="s">
        <v>36</v>
      </c>
      <c r="M945" s="2" t="s">
        <v>984</v>
      </c>
      <c r="N945" s="3">
        <v>600</v>
      </c>
      <c r="O945" s="3">
        <v>600</v>
      </c>
      <c r="P945" s="3">
        <v>600</v>
      </c>
      <c r="Q945" s="3">
        <v>600</v>
      </c>
      <c r="R945" s="3">
        <v>120</v>
      </c>
      <c r="S945" s="3">
        <v>120</v>
      </c>
      <c r="T945" s="3">
        <v>120</v>
      </c>
      <c r="U945" s="3">
        <v>120</v>
      </c>
      <c r="V945" s="3"/>
    </row>
    <row r="946" spans="2:22" ht="21" x14ac:dyDescent="0.25">
      <c r="B946" s="4" t="s">
        <v>91</v>
      </c>
      <c r="C946" s="4" t="s">
        <v>92</v>
      </c>
      <c r="D946" s="4" t="s">
        <v>58</v>
      </c>
      <c r="E946" s="4" t="s">
        <v>27</v>
      </c>
      <c r="F946" s="4" t="s">
        <v>93</v>
      </c>
      <c r="G946" s="4" t="s">
        <v>27</v>
      </c>
      <c r="H946" s="4">
        <v>70231</v>
      </c>
      <c r="I946" s="4">
        <v>70387</v>
      </c>
      <c r="J946" s="4" t="s">
        <v>28</v>
      </c>
      <c r="K946" s="4" t="s">
        <v>91</v>
      </c>
      <c r="L946" s="4" t="s">
        <v>29</v>
      </c>
      <c r="M946" s="4"/>
      <c r="N946" s="5">
        <v>200</v>
      </c>
      <c r="O946" s="5">
        <v>200</v>
      </c>
      <c r="P946" s="5">
        <v>200</v>
      </c>
      <c r="Q946" s="5">
        <v>200</v>
      </c>
      <c r="R946" s="5">
        <v>40</v>
      </c>
      <c r="S946" s="5">
        <v>40</v>
      </c>
      <c r="T946" s="5">
        <v>40</v>
      </c>
      <c r="U946" s="5">
        <v>40</v>
      </c>
      <c r="V946" s="5"/>
    </row>
    <row r="947" spans="2:22" ht="20" hidden="1" x14ac:dyDescent="0.25">
      <c r="B947" s="2" t="s">
        <v>91</v>
      </c>
      <c r="C947" s="2" t="s">
        <v>92</v>
      </c>
      <c r="D947" s="2" t="s">
        <v>58</v>
      </c>
      <c r="E947" s="2" t="s">
        <v>27</v>
      </c>
      <c r="F947" s="2" t="s">
        <v>93</v>
      </c>
      <c r="G947" s="2" t="s">
        <v>27</v>
      </c>
      <c r="H947" s="2">
        <v>70231</v>
      </c>
      <c r="I947" s="2">
        <v>70387</v>
      </c>
      <c r="J947" s="2" t="s">
        <v>28</v>
      </c>
      <c r="K947" s="2" t="s">
        <v>94</v>
      </c>
      <c r="L947" s="2" t="s">
        <v>39</v>
      </c>
      <c r="M947" s="2" t="s">
        <v>95</v>
      </c>
      <c r="N947" s="3">
        <v>200</v>
      </c>
      <c r="O947" s="3">
        <v>200</v>
      </c>
      <c r="P947" s="3">
        <v>200</v>
      </c>
      <c r="Q947" s="3">
        <v>200</v>
      </c>
      <c r="R947" s="3">
        <v>40</v>
      </c>
      <c r="S947" s="3">
        <v>40</v>
      </c>
      <c r="T947" s="3">
        <v>40</v>
      </c>
      <c r="U947" s="3">
        <v>40</v>
      </c>
      <c r="V947" s="3"/>
    </row>
    <row r="948" spans="2:22" ht="21" x14ac:dyDescent="0.25">
      <c r="B948" s="4" t="s">
        <v>70</v>
      </c>
      <c r="C948" s="4" t="s">
        <v>83</v>
      </c>
      <c r="D948" s="4" t="s">
        <v>84</v>
      </c>
      <c r="E948" s="4" t="s">
        <v>27</v>
      </c>
      <c r="F948" s="4" t="s">
        <v>58</v>
      </c>
      <c r="G948" s="4" t="s">
        <v>27</v>
      </c>
      <c r="H948" s="4">
        <v>70089</v>
      </c>
      <c r="I948" s="4">
        <v>70231</v>
      </c>
      <c r="J948" s="4" t="s">
        <v>28</v>
      </c>
      <c r="K948" s="4" t="s">
        <v>70</v>
      </c>
      <c r="L948" s="4" t="s">
        <v>29</v>
      </c>
      <c r="M948" s="4"/>
      <c r="N948" s="5">
        <v>200</v>
      </c>
      <c r="O948" s="5">
        <v>200</v>
      </c>
      <c r="P948" s="5">
        <v>200</v>
      </c>
      <c r="Q948" s="5">
        <v>200</v>
      </c>
      <c r="R948" s="5">
        <v>40</v>
      </c>
      <c r="S948" s="5">
        <v>40</v>
      </c>
      <c r="T948" s="5">
        <v>40</v>
      </c>
      <c r="U948" s="5">
        <v>40</v>
      </c>
      <c r="V948" s="5"/>
    </row>
    <row r="949" spans="2:22" ht="20" hidden="1" x14ac:dyDescent="0.25">
      <c r="B949" s="2" t="s">
        <v>70</v>
      </c>
      <c r="C949" s="2" t="s">
        <v>83</v>
      </c>
      <c r="D949" s="2" t="s">
        <v>84</v>
      </c>
      <c r="E949" s="2" t="s">
        <v>27</v>
      </c>
      <c r="F949" s="2" t="s">
        <v>58</v>
      </c>
      <c r="G949" s="2" t="s">
        <v>27</v>
      </c>
      <c r="H949" s="2">
        <v>70089</v>
      </c>
      <c r="I949" s="2">
        <v>70231</v>
      </c>
      <c r="J949" s="2" t="s">
        <v>28</v>
      </c>
      <c r="K949" s="2" t="s">
        <v>85</v>
      </c>
      <c r="L949" s="2" t="s">
        <v>39</v>
      </c>
      <c r="M949" s="2" t="s">
        <v>86</v>
      </c>
      <c r="N949" s="3">
        <v>200</v>
      </c>
      <c r="O949" s="3">
        <v>200</v>
      </c>
      <c r="P949" s="3">
        <v>200</v>
      </c>
      <c r="Q949" s="3">
        <v>200</v>
      </c>
      <c r="R949" s="3">
        <v>40</v>
      </c>
      <c r="S949" s="3">
        <v>40</v>
      </c>
      <c r="T949" s="3">
        <v>40</v>
      </c>
      <c r="U949" s="3">
        <v>40</v>
      </c>
      <c r="V949" s="5"/>
    </row>
    <row r="950" spans="2:22" ht="21" hidden="1" x14ac:dyDescent="0.25">
      <c r="B950" s="4" t="s">
        <v>946</v>
      </c>
      <c r="C950" s="4" t="s">
        <v>56</v>
      </c>
      <c r="D950" s="4" t="s">
        <v>57</v>
      </c>
      <c r="E950" s="4" t="s">
        <v>27</v>
      </c>
      <c r="F950" s="4" t="s">
        <v>445</v>
      </c>
      <c r="G950" s="4" t="s">
        <v>27</v>
      </c>
      <c r="H950" s="4">
        <v>70224</v>
      </c>
      <c r="I950" s="4">
        <v>70265</v>
      </c>
      <c r="J950" s="4" t="s">
        <v>28</v>
      </c>
      <c r="K950" s="4" t="s">
        <v>946</v>
      </c>
      <c r="L950" s="4" t="s">
        <v>29</v>
      </c>
      <c r="M950" s="4"/>
      <c r="N950" s="5">
        <v>1000</v>
      </c>
      <c r="O950" s="5">
        <v>1000</v>
      </c>
      <c r="P950" s="5">
        <v>1000</v>
      </c>
      <c r="Q950" s="5">
        <v>1000</v>
      </c>
      <c r="R950" s="5">
        <v>199</v>
      </c>
      <c r="S950" s="5">
        <v>199</v>
      </c>
      <c r="T950" s="5">
        <v>199</v>
      </c>
      <c r="U950" s="5">
        <v>199</v>
      </c>
      <c r="V950" s="5"/>
    </row>
    <row r="951" spans="2:22" ht="20" hidden="1" x14ac:dyDescent="0.25">
      <c r="B951" s="2" t="s">
        <v>946</v>
      </c>
      <c r="C951" s="2" t="s">
        <v>56</v>
      </c>
      <c r="D951" s="2" t="s">
        <v>57</v>
      </c>
      <c r="E951" s="2" t="s">
        <v>27</v>
      </c>
      <c r="F951" s="2" t="s">
        <v>445</v>
      </c>
      <c r="G951" s="2" t="s">
        <v>27</v>
      </c>
      <c r="H951" s="2">
        <v>70224</v>
      </c>
      <c r="I951" s="2">
        <v>70265</v>
      </c>
      <c r="J951" s="2" t="s">
        <v>28</v>
      </c>
      <c r="K951" s="2" t="s">
        <v>947</v>
      </c>
      <c r="L951" s="2" t="s">
        <v>39</v>
      </c>
      <c r="M951" s="2" t="s">
        <v>447</v>
      </c>
      <c r="N951" s="3">
        <v>1000</v>
      </c>
      <c r="O951" s="3">
        <v>1000</v>
      </c>
      <c r="P951" s="3">
        <v>1000</v>
      </c>
      <c r="Q951" s="3">
        <v>1000</v>
      </c>
      <c r="R951" s="3">
        <v>199</v>
      </c>
      <c r="S951" s="3">
        <v>199</v>
      </c>
      <c r="T951" s="3">
        <v>199</v>
      </c>
      <c r="U951" s="3">
        <v>199</v>
      </c>
      <c r="V951" s="3"/>
    </row>
    <row r="952" spans="2:22" ht="20" hidden="1" x14ac:dyDescent="0.25">
      <c r="B952" s="2" t="s">
        <v>946</v>
      </c>
      <c r="C952" s="2" t="s">
        <v>56</v>
      </c>
      <c r="D952" s="2" t="s">
        <v>57</v>
      </c>
      <c r="E952" s="2" t="s">
        <v>27</v>
      </c>
      <c r="F952" s="2" t="s">
        <v>445</v>
      </c>
      <c r="G952" s="2" t="s">
        <v>27</v>
      </c>
      <c r="H952" s="2">
        <v>70224</v>
      </c>
      <c r="I952" s="2">
        <v>70265</v>
      </c>
      <c r="J952" s="2" t="s">
        <v>28</v>
      </c>
      <c r="K952" s="2" t="s">
        <v>948</v>
      </c>
      <c r="L952" s="2" t="s">
        <v>39</v>
      </c>
      <c r="M952" s="2" t="s">
        <v>447</v>
      </c>
      <c r="N952" s="3">
        <v>1000</v>
      </c>
      <c r="O952" s="3">
        <v>1000</v>
      </c>
      <c r="P952" s="3">
        <v>1000</v>
      </c>
      <c r="Q952" s="3">
        <v>1000</v>
      </c>
      <c r="R952" s="3">
        <v>199</v>
      </c>
      <c r="S952" s="3">
        <v>199</v>
      </c>
      <c r="T952" s="3">
        <v>199</v>
      </c>
      <c r="U952" s="3">
        <v>199</v>
      </c>
      <c r="V952" s="3"/>
    </row>
    <row r="953" spans="2:22" ht="20" hidden="1" x14ac:dyDescent="0.25">
      <c r="B953" s="2" t="s">
        <v>946</v>
      </c>
      <c r="C953" s="2" t="s">
        <v>56</v>
      </c>
      <c r="D953" s="2" t="s">
        <v>57</v>
      </c>
      <c r="E953" s="2" t="s">
        <v>27</v>
      </c>
      <c r="F953" s="2" t="s">
        <v>445</v>
      </c>
      <c r="G953" s="2" t="s">
        <v>27</v>
      </c>
      <c r="H953" s="2">
        <v>70224</v>
      </c>
      <c r="I953" s="2">
        <v>70265</v>
      </c>
      <c r="J953" s="2" t="s">
        <v>28</v>
      </c>
      <c r="K953" s="2" t="s">
        <v>949</v>
      </c>
      <c r="L953" s="2" t="s">
        <v>39</v>
      </c>
      <c r="M953" s="2" t="s">
        <v>447</v>
      </c>
      <c r="N953" s="3">
        <v>1000</v>
      </c>
      <c r="O953" s="3">
        <v>1000</v>
      </c>
      <c r="P953" s="3">
        <v>1000</v>
      </c>
      <c r="Q953" s="3">
        <v>1000</v>
      </c>
      <c r="R953" s="3">
        <v>199</v>
      </c>
      <c r="S953" s="3">
        <v>199</v>
      </c>
      <c r="T953" s="3">
        <v>199</v>
      </c>
      <c r="U953" s="3">
        <v>199</v>
      </c>
      <c r="V953" s="3"/>
    </row>
    <row r="954" spans="2:22" ht="30" hidden="1" x14ac:dyDescent="0.25">
      <c r="B954" s="2" t="s">
        <v>946</v>
      </c>
      <c r="C954" s="2" t="s">
        <v>56</v>
      </c>
      <c r="D954" s="2" t="s">
        <v>57</v>
      </c>
      <c r="E954" s="2" t="s">
        <v>27</v>
      </c>
      <c r="F954" s="2" t="s">
        <v>445</v>
      </c>
      <c r="G954" s="2" t="s">
        <v>27</v>
      </c>
      <c r="H954" s="2">
        <v>70224</v>
      </c>
      <c r="I954" s="2">
        <v>70265</v>
      </c>
      <c r="J954" s="2" t="s">
        <v>28</v>
      </c>
      <c r="K954" s="2" t="s">
        <v>950</v>
      </c>
      <c r="L954" s="2" t="s">
        <v>36</v>
      </c>
      <c r="M954" s="2" t="s">
        <v>447</v>
      </c>
      <c r="N954" s="3">
        <v>1000</v>
      </c>
      <c r="O954" s="3">
        <v>1000</v>
      </c>
      <c r="P954" s="3">
        <v>1000</v>
      </c>
      <c r="Q954" s="3">
        <v>1000</v>
      </c>
      <c r="R954" s="3">
        <v>199</v>
      </c>
      <c r="S954" s="3">
        <v>199</v>
      </c>
      <c r="T954" s="3">
        <v>199</v>
      </c>
      <c r="U954" s="3">
        <v>199</v>
      </c>
      <c r="V954" s="3"/>
    </row>
    <row r="955" spans="2:22" ht="21" hidden="1" x14ac:dyDescent="0.25">
      <c r="B955" s="4" t="s">
        <v>951</v>
      </c>
      <c r="C955" s="4" t="s">
        <v>56</v>
      </c>
      <c r="D955" s="4" t="s">
        <v>57</v>
      </c>
      <c r="E955" s="4" t="s">
        <v>27</v>
      </c>
      <c r="F955" s="4" t="s">
        <v>238</v>
      </c>
      <c r="G955" s="4" t="s">
        <v>27</v>
      </c>
      <c r="H955" s="4">
        <v>70224</v>
      </c>
      <c r="I955" s="4">
        <v>70400</v>
      </c>
      <c r="J955" s="4" t="s">
        <v>28</v>
      </c>
      <c r="K955" s="4" t="s">
        <v>951</v>
      </c>
      <c r="L955" s="4" t="s">
        <v>29</v>
      </c>
      <c r="M955" s="4"/>
      <c r="N955" s="5">
        <v>795</v>
      </c>
      <c r="O955" s="5">
        <v>800</v>
      </c>
      <c r="P955" s="5">
        <v>800</v>
      </c>
      <c r="Q955" s="5">
        <v>800</v>
      </c>
      <c r="R955" s="5">
        <v>158</v>
      </c>
      <c r="S955" s="5">
        <v>159</v>
      </c>
      <c r="T955" s="5">
        <v>159</v>
      </c>
      <c r="U955" s="5">
        <v>159</v>
      </c>
      <c r="V955" s="5"/>
    </row>
    <row r="956" spans="2:22" ht="20" hidden="1" x14ac:dyDescent="0.25">
      <c r="B956" s="2" t="s">
        <v>951</v>
      </c>
      <c r="C956" s="2" t="s">
        <v>56</v>
      </c>
      <c r="D956" s="2" t="s">
        <v>57</v>
      </c>
      <c r="E956" s="2" t="s">
        <v>27</v>
      </c>
      <c r="F956" s="2" t="s">
        <v>238</v>
      </c>
      <c r="G956" s="2" t="s">
        <v>27</v>
      </c>
      <c r="H956" s="2">
        <v>70224</v>
      </c>
      <c r="I956" s="2">
        <v>70400</v>
      </c>
      <c r="J956" s="2" t="s">
        <v>28</v>
      </c>
      <c r="K956" s="2" t="s">
        <v>32</v>
      </c>
      <c r="L956" s="2" t="s">
        <v>31</v>
      </c>
      <c r="M956" s="2" t="s">
        <v>241</v>
      </c>
      <c r="N956" s="3">
        <v>795</v>
      </c>
      <c r="O956" s="2">
        <v>874</v>
      </c>
      <c r="P956" s="2">
        <v>904</v>
      </c>
      <c r="Q956" s="2">
        <v>994</v>
      </c>
      <c r="R956" s="3">
        <v>158</v>
      </c>
      <c r="S956" s="2">
        <v>174</v>
      </c>
      <c r="T956" s="2">
        <v>180</v>
      </c>
      <c r="U956" s="2">
        <v>198</v>
      </c>
      <c r="V956" s="2"/>
    </row>
    <row r="957" spans="2:22" ht="20" hidden="1" x14ac:dyDescent="0.25">
      <c r="B957" s="2" t="s">
        <v>951</v>
      </c>
      <c r="C957" s="2" t="s">
        <v>56</v>
      </c>
      <c r="D957" s="2" t="s">
        <v>57</v>
      </c>
      <c r="E957" s="2" t="s">
        <v>27</v>
      </c>
      <c r="F957" s="2" t="s">
        <v>238</v>
      </c>
      <c r="G957" s="2" t="s">
        <v>27</v>
      </c>
      <c r="H957" s="2">
        <v>70224</v>
      </c>
      <c r="I957" s="2">
        <v>70400</v>
      </c>
      <c r="J957" s="2" t="s">
        <v>28</v>
      </c>
      <c r="K957" s="2" t="s">
        <v>952</v>
      </c>
      <c r="L957" s="2" t="s">
        <v>39</v>
      </c>
      <c r="M957" s="2" t="s">
        <v>241</v>
      </c>
      <c r="N957" s="2">
        <v>800</v>
      </c>
      <c r="O957" s="3">
        <v>800</v>
      </c>
      <c r="P957" s="3">
        <v>800</v>
      </c>
      <c r="Q957" s="3">
        <v>800</v>
      </c>
      <c r="R957" s="2">
        <v>159</v>
      </c>
      <c r="S957" s="3">
        <v>159</v>
      </c>
      <c r="T957" s="3">
        <v>159</v>
      </c>
      <c r="U957" s="3">
        <v>159</v>
      </c>
      <c r="V957" s="3"/>
    </row>
    <row r="958" spans="2:22" ht="21" x14ac:dyDescent="0.25">
      <c r="B958" s="4" t="s">
        <v>71</v>
      </c>
      <c r="C958" s="4" t="s">
        <v>56</v>
      </c>
      <c r="D958" s="4" t="s">
        <v>81</v>
      </c>
      <c r="E958" s="4" t="s">
        <v>27</v>
      </c>
      <c r="F958" s="4" t="s">
        <v>57</v>
      </c>
      <c r="G958" s="4" t="s">
        <v>27</v>
      </c>
      <c r="H958" s="4">
        <v>70050</v>
      </c>
      <c r="I958" s="4">
        <v>70224</v>
      </c>
      <c r="J958" s="4" t="s">
        <v>28</v>
      </c>
      <c r="K958" s="4" t="s">
        <v>71</v>
      </c>
      <c r="L958" s="4" t="s">
        <v>29</v>
      </c>
      <c r="M958" s="4"/>
      <c r="N958" s="5">
        <v>668</v>
      </c>
      <c r="O958" s="5">
        <v>778</v>
      </c>
      <c r="P958" s="5">
        <v>797</v>
      </c>
      <c r="Q958" s="5">
        <v>886</v>
      </c>
      <c r="R958" s="5">
        <v>133</v>
      </c>
      <c r="S958" s="5">
        <v>155</v>
      </c>
      <c r="T958" s="5">
        <v>159</v>
      </c>
      <c r="U958" s="5">
        <v>176</v>
      </c>
      <c r="V958" s="5"/>
    </row>
    <row r="959" spans="2:22" ht="20" hidden="1" x14ac:dyDescent="0.25">
      <c r="B959" s="2" t="s">
        <v>71</v>
      </c>
      <c r="C959" s="2" t="s">
        <v>56</v>
      </c>
      <c r="D959" s="2" t="s">
        <v>81</v>
      </c>
      <c r="E959" s="2" t="s">
        <v>27</v>
      </c>
      <c r="F959" s="2" t="s">
        <v>57</v>
      </c>
      <c r="G959" s="2" t="s">
        <v>27</v>
      </c>
      <c r="H959" s="2">
        <v>70050</v>
      </c>
      <c r="I959" s="2">
        <v>70224</v>
      </c>
      <c r="J959" s="2" t="s">
        <v>28</v>
      </c>
      <c r="K959" s="2" t="s">
        <v>32</v>
      </c>
      <c r="L959" s="2" t="s">
        <v>31</v>
      </c>
      <c r="M959" s="2" t="s">
        <v>82</v>
      </c>
      <c r="N959" s="3">
        <v>668</v>
      </c>
      <c r="O959" s="3">
        <v>778</v>
      </c>
      <c r="P959" s="3">
        <v>797</v>
      </c>
      <c r="Q959" s="3">
        <v>886</v>
      </c>
      <c r="R959" s="3">
        <v>133</v>
      </c>
      <c r="S959" s="3">
        <v>155</v>
      </c>
      <c r="T959" s="3">
        <v>159</v>
      </c>
      <c r="U959" s="3">
        <v>176</v>
      </c>
      <c r="V959" s="35"/>
    </row>
    <row r="960" spans="2:22" ht="21" hidden="1" x14ac:dyDescent="0.25">
      <c r="B960" s="4" t="s">
        <v>1148</v>
      </c>
      <c r="C960" s="4" t="s">
        <v>1149</v>
      </c>
      <c r="D960" s="4" t="s">
        <v>226</v>
      </c>
      <c r="E960" s="4" t="s">
        <v>27</v>
      </c>
      <c r="F960" s="4" t="s">
        <v>1150</v>
      </c>
      <c r="G960" s="4" t="s">
        <v>27</v>
      </c>
      <c r="H960" s="4">
        <v>70327</v>
      </c>
      <c r="I960" s="4">
        <v>70379</v>
      </c>
      <c r="J960" s="4" t="s">
        <v>28</v>
      </c>
      <c r="K960" s="4" t="s">
        <v>1148</v>
      </c>
      <c r="L960" s="4" t="s">
        <v>29</v>
      </c>
      <c r="M960" s="4"/>
      <c r="N960" s="5">
        <v>492</v>
      </c>
      <c r="O960" s="5">
        <v>570</v>
      </c>
      <c r="P960" s="5">
        <v>584</v>
      </c>
      <c r="Q960" s="5">
        <v>600</v>
      </c>
      <c r="R960" s="5">
        <v>98</v>
      </c>
      <c r="S960" s="5">
        <v>114</v>
      </c>
      <c r="T960" s="5">
        <v>116</v>
      </c>
      <c r="U960" s="5">
        <v>120</v>
      </c>
      <c r="V960" s="5"/>
    </row>
    <row r="961" spans="2:22" ht="20" hidden="1" x14ac:dyDescent="0.25">
      <c r="B961" s="2" t="s">
        <v>1148</v>
      </c>
      <c r="C961" s="2" t="s">
        <v>1149</v>
      </c>
      <c r="D961" s="2" t="s">
        <v>226</v>
      </c>
      <c r="E961" s="2" t="s">
        <v>27</v>
      </c>
      <c r="F961" s="2" t="s">
        <v>1150</v>
      </c>
      <c r="G961" s="2" t="s">
        <v>27</v>
      </c>
      <c r="H961" s="2">
        <v>70327</v>
      </c>
      <c r="I961" s="2">
        <v>70379</v>
      </c>
      <c r="J961" s="2" t="s">
        <v>28</v>
      </c>
      <c r="K961" s="2" t="s">
        <v>856</v>
      </c>
      <c r="L961" s="2" t="s">
        <v>31</v>
      </c>
      <c r="M961" s="2" t="s">
        <v>1151</v>
      </c>
      <c r="N961" s="3">
        <v>492</v>
      </c>
      <c r="O961" s="3">
        <v>570</v>
      </c>
      <c r="P961" s="3">
        <v>584</v>
      </c>
      <c r="Q961" s="2">
        <v>647</v>
      </c>
      <c r="R961" s="3">
        <v>98</v>
      </c>
      <c r="S961" s="3">
        <v>114</v>
      </c>
      <c r="T961" s="3">
        <v>116</v>
      </c>
      <c r="U961" s="2">
        <v>129</v>
      </c>
      <c r="V961" s="2"/>
    </row>
    <row r="962" spans="2:22" ht="20" hidden="1" x14ac:dyDescent="0.25">
      <c r="B962" s="2" t="s">
        <v>1148</v>
      </c>
      <c r="C962" s="2" t="s">
        <v>1149</v>
      </c>
      <c r="D962" s="2" t="s">
        <v>226</v>
      </c>
      <c r="E962" s="2" t="s">
        <v>27</v>
      </c>
      <c r="F962" s="2" t="s">
        <v>1150</v>
      </c>
      <c r="G962" s="2" t="s">
        <v>27</v>
      </c>
      <c r="H962" s="2">
        <v>70327</v>
      </c>
      <c r="I962" s="2">
        <v>70379</v>
      </c>
      <c r="J962" s="2" t="s">
        <v>28</v>
      </c>
      <c r="K962" s="2" t="s">
        <v>1152</v>
      </c>
      <c r="L962" s="2" t="s">
        <v>39</v>
      </c>
      <c r="M962" s="2" t="s">
        <v>1151</v>
      </c>
      <c r="N962" s="2">
        <v>600</v>
      </c>
      <c r="O962" s="2">
        <v>600</v>
      </c>
      <c r="P962" s="2">
        <v>600</v>
      </c>
      <c r="Q962" s="3">
        <v>600</v>
      </c>
      <c r="R962" s="2">
        <v>120</v>
      </c>
      <c r="S962" s="2">
        <v>120</v>
      </c>
      <c r="T962" s="2">
        <v>120</v>
      </c>
      <c r="U962" s="3">
        <v>120</v>
      </c>
      <c r="V962" s="3"/>
    </row>
    <row r="963" spans="2:22" ht="30" hidden="1" x14ac:dyDescent="0.25">
      <c r="B963" s="2" t="s">
        <v>1148</v>
      </c>
      <c r="C963" s="2" t="s">
        <v>1149</v>
      </c>
      <c r="D963" s="2" t="s">
        <v>226</v>
      </c>
      <c r="E963" s="2" t="s">
        <v>27</v>
      </c>
      <c r="F963" s="2" t="s">
        <v>1150</v>
      </c>
      <c r="G963" s="2" t="s">
        <v>27</v>
      </c>
      <c r="H963" s="2">
        <v>70327</v>
      </c>
      <c r="I963" s="2">
        <v>70379</v>
      </c>
      <c r="J963" s="2" t="s">
        <v>28</v>
      </c>
      <c r="K963" s="2" t="s">
        <v>1153</v>
      </c>
      <c r="L963" s="2" t="s">
        <v>36</v>
      </c>
      <c r="M963" s="2" t="s">
        <v>1151</v>
      </c>
      <c r="N963" s="2">
        <v>600</v>
      </c>
      <c r="O963" s="2">
        <v>600</v>
      </c>
      <c r="P963" s="2">
        <v>600</v>
      </c>
      <c r="Q963" s="3">
        <v>600</v>
      </c>
      <c r="R963" s="2">
        <v>120</v>
      </c>
      <c r="S963" s="2">
        <v>120</v>
      </c>
      <c r="T963" s="2">
        <v>120</v>
      </c>
      <c r="U963" s="3">
        <v>120</v>
      </c>
      <c r="V963" s="3"/>
    </row>
    <row r="964" spans="2:22" ht="30" hidden="1" x14ac:dyDescent="0.25">
      <c r="B964" s="2" t="s">
        <v>1148</v>
      </c>
      <c r="C964" s="2" t="s">
        <v>1149</v>
      </c>
      <c r="D964" s="2" t="s">
        <v>226</v>
      </c>
      <c r="E964" s="2" t="s">
        <v>27</v>
      </c>
      <c r="F964" s="2" t="s">
        <v>1150</v>
      </c>
      <c r="G964" s="2" t="s">
        <v>27</v>
      </c>
      <c r="H964" s="2">
        <v>70327</v>
      </c>
      <c r="I964" s="2">
        <v>70379</v>
      </c>
      <c r="J964" s="2" t="s">
        <v>28</v>
      </c>
      <c r="K964" s="2" t="s">
        <v>1154</v>
      </c>
      <c r="L964" s="2" t="s">
        <v>36</v>
      </c>
      <c r="M964" s="2" t="s">
        <v>1151</v>
      </c>
      <c r="N964" s="2">
        <v>600</v>
      </c>
      <c r="O964" s="2">
        <v>600</v>
      </c>
      <c r="P964" s="2">
        <v>600</v>
      </c>
      <c r="Q964" s="3">
        <v>600</v>
      </c>
      <c r="R964" s="2">
        <v>120</v>
      </c>
      <c r="S964" s="2">
        <v>120</v>
      </c>
      <c r="T964" s="2">
        <v>120</v>
      </c>
      <c r="U964" s="3">
        <v>120</v>
      </c>
      <c r="V964" s="3"/>
    </row>
    <row r="965" spans="2:22" ht="20" hidden="1" x14ac:dyDescent="0.25">
      <c r="B965" s="2" t="s">
        <v>1148</v>
      </c>
      <c r="C965" s="2" t="s">
        <v>1149</v>
      </c>
      <c r="D965" s="2" t="s">
        <v>226</v>
      </c>
      <c r="E965" s="2" t="s">
        <v>27</v>
      </c>
      <c r="F965" s="2" t="s">
        <v>1150</v>
      </c>
      <c r="G965" s="2" t="s">
        <v>27</v>
      </c>
      <c r="H965" s="2">
        <v>70327</v>
      </c>
      <c r="I965" s="2">
        <v>70379</v>
      </c>
      <c r="J965" s="2" t="s">
        <v>28</v>
      </c>
      <c r="K965" s="2" t="s">
        <v>1155</v>
      </c>
      <c r="L965" s="2" t="s">
        <v>39</v>
      </c>
      <c r="M965" s="2" t="s">
        <v>1151</v>
      </c>
      <c r="N965" s="2">
        <v>600</v>
      </c>
      <c r="O965" s="2">
        <v>600</v>
      </c>
      <c r="P965" s="2">
        <v>600</v>
      </c>
      <c r="Q965" s="3">
        <v>600</v>
      </c>
      <c r="R965" s="2">
        <v>120</v>
      </c>
      <c r="S965" s="2">
        <v>120</v>
      </c>
      <c r="T965" s="2">
        <v>120</v>
      </c>
      <c r="U965" s="3">
        <v>120</v>
      </c>
      <c r="V965" s="3"/>
    </row>
    <row r="966" spans="2:22" ht="30" hidden="1" x14ac:dyDescent="0.25">
      <c r="B966" s="2" t="s">
        <v>1148</v>
      </c>
      <c r="C966" s="2" t="s">
        <v>1149</v>
      </c>
      <c r="D966" s="2" t="s">
        <v>226</v>
      </c>
      <c r="E966" s="2" t="s">
        <v>27</v>
      </c>
      <c r="F966" s="2" t="s">
        <v>1150</v>
      </c>
      <c r="G966" s="2" t="s">
        <v>27</v>
      </c>
      <c r="H966" s="2">
        <v>70327</v>
      </c>
      <c r="I966" s="2">
        <v>70379</v>
      </c>
      <c r="J966" s="2" t="s">
        <v>28</v>
      </c>
      <c r="K966" s="2" t="s">
        <v>1156</v>
      </c>
      <c r="L966" s="2" t="s">
        <v>36</v>
      </c>
      <c r="M966" s="2" t="s">
        <v>1151</v>
      </c>
      <c r="N966" s="2">
        <v>600</v>
      </c>
      <c r="O966" s="2">
        <v>600</v>
      </c>
      <c r="P966" s="2">
        <v>600</v>
      </c>
      <c r="Q966" s="3">
        <v>600</v>
      </c>
      <c r="R966" s="2">
        <v>120</v>
      </c>
      <c r="S966" s="2">
        <v>120</v>
      </c>
      <c r="T966" s="2">
        <v>120</v>
      </c>
      <c r="U966" s="3">
        <v>120</v>
      </c>
      <c r="V966" s="3"/>
    </row>
    <row r="967" spans="2:22" ht="20" hidden="1" x14ac:dyDescent="0.25">
      <c r="B967" s="2" t="s">
        <v>1148</v>
      </c>
      <c r="C967" s="2" t="s">
        <v>1149</v>
      </c>
      <c r="D967" s="2" t="s">
        <v>226</v>
      </c>
      <c r="E967" s="2" t="s">
        <v>27</v>
      </c>
      <c r="F967" s="2" t="s">
        <v>1150</v>
      </c>
      <c r="G967" s="2" t="s">
        <v>27</v>
      </c>
      <c r="H967" s="2">
        <v>70327</v>
      </c>
      <c r="I967" s="2">
        <v>70379</v>
      </c>
      <c r="J967" s="2" t="s">
        <v>28</v>
      </c>
      <c r="K967" s="2" t="s">
        <v>1157</v>
      </c>
      <c r="L967" s="2" t="s">
        <v>39</v>
      </c>
      <c r="M967" s="2" t="s">
        <v>1151</v>
      </c>
      <c r="N967" s="2">
        <v>600</v>
      </c>
      <c r="O967" s="2">
        <v>600</v>
      </c>
      <c r="P967" s="2">
        <v>600</v>
      </c>
      <c r="Q967" s="3">
        <v>600</v>
      </c>
      <c r="R967" s="2">
        <v>120</v>
      </c>
      <c r="S967" s="2">
        <v>120</v>
      </c>
      <c r="T967" s="2">
        <v>120</v>
      </c>
      <c r="U967" s="3">
        <v>120</v>
      </c>
      <c r="V967" s="3"/>
    </row>
    <row r="968" spans="2:22" ht="21" hidden="1" x14ac:dyDescent="0.25">
      <c r="B968" s="4" t="s">
        <v>1224</v>
      </c>
      <c r="C968" s="4" t="s">
        <v>1149</v>
      </c>
      <c r="D968" s="4" t="s">
        <v>1221</v>
      </c>
      <c r="E968" s="4" t="s">
        <v>27</v>
      </c>
      <c r="F968" s="4" t="s">
        <v>1150</v>
      </c>
      <c r="G968" s="4" t="s">
        <v>27</v>
      </c>
      <c r="H968" s="4">
        <v>70374</v>
      </c>
      <c r="I968" s="4">
        <v>70379</v>
      </c>
      <c r="J968" s="4" t="s">
        <v>28</v>
      </c>
      <c r="K968" s="4" t="s">
        <v>1224</v>
      </c>
      <c r="L968" s="4" t="s">
        <v>29</v>
      </c>
      <c r="M968" s="4"/>
      <c r="N968" s="5">
        <v>500</v>
      </c>
      <c r="O968" s="5">
        <v>500</v>
      </c>
      <c r="P968" s="5">
        <v>500</v>
      </c>
      <c r="Q968" s="5">
        <v>500</v>
      </c>
      <c r="R968" s="5">
        <v>100</v>
      </c>
      <c r="S968" s="5">
        <v>100</v>
      </c>
      <c r="T968" s="5">
        <v>100</v>
      </c>
      <c r="U968" s="5">
        <v>100</v>
      </c>
      <c r="V968" s="5"/>
    </row>
    <row r="969" spans="2:22" ht="20" hidden="1" x14ac:dyDescent="0.25">
      <c r="B969" s="2" t="s">
        <v>1224</v>
      </c>
      <c r="C969" s="2" t="s">
        <v>1149</v>
      </c>
      <c r="D969" s="2" t="s">
        <v>1221</v>
      </c>
      <c r="E969" s="2" t="s">
        <v>27</v>
      </c>
      <c r="F969" s="2" t="s">
        <v>1150</v>
      </c>
      <c r="G969" s="2" t="s">
        <v>27</v>
      </c>
      <c r="H969" s="2">
        <v>70374</v>
      </c>
      <c r="I969" s="2">
        <v>70379</v>
      </c>
      <c r="J969" s="2" t="s">
        <v>28</v>
      </c>
      <c r="K969" s="2" t="s">
        <v>1152</v>
      </c>
      <c r="L969" s="2" t="s">
        <v>39</v>
      </c>
      <c r="M969" s="2" t="s">
        <v>1223</v>
      </c>
      <c r="N969" s="3">
        <v>500</v>
      </c>
      <c r="O969" s="3">
        <v>500</v>
      </c>
      <c r="P969" s="3">
        <v>500</v>
      </c>
      <c r="Q969" s="3">
        <v>500</v>
      </c>
      <c r="R969" s="3">
        <v>100</v>
      </c>
      <c r="S969" s="3">
        <v>100</v>
      </c>
      <c r="T969" s="3">
        <v>100</v>
      </c>
      <c r="U969" s="3">
        <v>100</v>
      </c>
      <c r="V969" s="3"/>
    </row>
    <row r="970" spans="2:22" ht="20" hidden="1" x14ac:dyDescent="0.25">
      <c r="B970" s="2" t="s">
        <v>1224</v>
      </c>
      <c r="C970" s="2" t="s">
        <v>1149</v>
      </c>
      <c r="D970" s="2" t="s">
        <v>1221</v>
      </c>
      <c r="E970" s="2" t="s">
        <v>27</v>
      </c>
      <c r="F970" s="2" t="s">
        <v>1150</v>
      </c>
      <c r="G970" s="2" t="s">
        <v>27</v>
      </c>
      <c r="H970" s="2">
        <v>70374</v>
      </c>
      <c r="I970" s="2">
        <v>70379</v>
      </c>
      <c r="J970" s="2" t="s">
        <v>28</v>
      </c>
      <c r="K970" s="2" t="s">
        <v>1225</v>
      </c>
      <c r="L970" s="2" t="s">
        <v>39</v>
      </c>
      <c r="M970" s="2" t="s">
        <v>1223</v>
      </c>
      <c r="N970" s="3">
        <v>500</v>
      </c>
      <c r="O970" s="3">
        <v>500</v>
      </c>
      <c r="P970" s="3">
        <v>500</v>
      </c>
      <c r="Q970" s="3">
        <v>500</v>
      </c>
      <c r="R970" s="3">
        <v>100</v>
      </c>
      <c r="S970" s="3">
        <v>100</v>
      </c>
      <c r="T970" s="3">
        <v>100</v>
      </c>
      <c r="U970" s="3">
        <v>100</v>
      </c>
      <c r="V970" s="3"/>
    </row>
    <row r="971" spans="2:22" ht="21" hidden="1" x14ac:dyDescent="0.25">
      <c r="B971" s="4" t="s">
        <v>1158</v>
      </c>
      <c r="C971" s="4" t="s">
        <v>1159</v>
      </c>
      <c r="D971" s="4" t="s">
        <v>226</v>
      </c>
      <c r="E971" s="4" t="s">
        <v>27</v>
      </c>
      <c r="F971" s="4" t="s">
        <v>1160</v>
      </c>
      <c r="G971" s="4" t="s">
        <v>27</v>
      </c>
      <c r="H971" s="4">
        <v>70327</v>
      </c>
      <c r="I971" s="4">
        <v>70394</v>
      </c>
      <c r="J971" s="4" t="s">
        <v>28</v>
      </c>
      <c r="K971" s="4" t="s">
        <v>1158</v>
      </c>
      <c r="L971" s="4" t="s">
        <v>29</v>
      </c>
      <c r="M971" s="4"/>
      <c r="N971" s="5">
        <v>300</v>
      </c>
      <c r="O971" s="5">
        <v>300</v>
      </c>
      <c r="P971" s="5">
        <v>300</v>
      </c>
      <c r="Q971" s="5">
        <v>300</v>
      </c>
      <c r="R971" s="5">
        <v>60</v>
      </c>
      <c r="S971" s="5">
        <v>60</v>
      </c>
      <c r="T971" s="5">
        <v>60</v>
      </c>
      <c r="U971" s="5">
        <v>60</v>
      </c>
      <c r="V971" s="5"/>
    </row>
    <row r="972" spans="2:22" ht="20" hidden="1" x14ac:dyDescent="0.25">
      <c r="B972" s="2" t="s">
        <v>1158</v>
      </c>
      <c r="C972" s="2" t="s">
        <v>1159</v>
      </c>
      <c r="D972" s="2" t="s">
        <v>226</v>
      </c>
      <c r="E972" s="2" t="s">
        <v>27</v>
      </c>
      <c r="F972" s="2" t="s">
        <v>1160</v>
      </c>
      <c r="G972" s="2" t="s">
        <v>27</v>
      </c>
      <c r="H972" s="2">
        <v>70327</v>
      </c>
      <c r="I972" s="2">
        <v>70394</v>
      </c>
      <c r="J972" s="2" t="s">
        <v>28</v>
      </c>
      <c r="K972" s="2" t="s">
        <v>1161</v>
      </c>
      <c r="L972" s="2" t="s">
        <v>39</v>
      </c>
      <c r="M972" s="2" t="s">
        <v>1151</v>
      </c>
      <c r="N972" s="3">
        <v>300</v>
      </c>
      <c r="O972" s="3">
        <v>300</v>
      </c>
      <c r="P972" s="3">
        <v>300</v>
      </c>
      <c r="Q972" s="3">
        <v>300</v>
      </c>
      <c r="R972" s="3">
        <v>60</v>
      </c>
      <c r="S972" s="3">
        <v>60</v>
      </c>
      <c r="T972" s="3">
        <v>60</v>
      </c>
      <c r="U972" s="3">
        <v>60</v>
      </c>
      <c r="V972" s="3"/>
    </row>
    <row r="973" spans="2:22" ht="20" hidden="1" x14ac:dyDescent="0.25">
      <c r="B973" s="2" t="s">
        <v>1158</v>
      </c>
      <c r="C973" s="2" t="s">
        <v>1159</v>
      </c>
      <c r="D973" s="2" t="s">
        <v>226</v>
      </c>
      <c r="E973" s="2" t="s">
        <v>27</v>
      </c>
      <c r="F973" s="2" t="s">
        <v>1160</v>
      </c>
      <c r="G973" s="2" t="s">
        <v>27</v>
      </c>
      <c r="H973" s="2">
        <v>70327</v>
      </c>
      <c r="I973" s="2">
        <v>70394</v>
      </c>
      <c r="J973" s="2" t="s">
        <v>28</v>
      </c>
      <c r="K973" s="2" t="s">
        <v>1162</v>
      </c>
      <c r="L973" s="2" t="s">
        <v>39</v>
      </c>
      <c r="M973" s="2" t="s">
        <v>1151</v>
      </c>
      <c r="N973" s="3">
        <v>300</v>
      </c>
      <c r="O973" s="3">
        <v>300</v>
      </c>
      <c r="P973" s="3">
        <v>300</v>
      </c>
      <c r="Q973" s="3">
        <v>300</v>
      </c>
      <c r="R973" s="3">
        <v>60</v>
      </c>
      <c r="S973" s="3">
        <v>60</v>
      </c>
      <c r="T973" s="3">
        <v>60</v>
      </c>
      <c r="U973" s="3">
        <v>60</v>
      </c>
      <c r="V973" s="3"/>
    </row>
    <row r="974" spans="2:22" ht="30" hidden="1" x14ac:dyDescent="0.25">
      <c r="B974" s="2" t="s">
        <v>1158</v>
      </c>
      <c r="C974" s="2" t="s">
        <v>1159</v>
      </c>
      <c r="D974" s="2" t="s">
        <v>226</v>
      </c>
      <c r="E974" s="2" t="s">
        <v>27</v>
      </c>
      <c r="F974" s="2" t="s">
        <v>1160</v>
      </c>
      <c r="G974" s="2" t="s">
        <v>27</v>
      </c>
      <c r="H974" s="2">
        <v>70327</v>
      </c>
      <c r="I974" s="2">
        <v>70394</v>
      </c>
      <c r="J974" s="2" t="s">
        <v>28</v>
      </c>
      <c r="K974" s="2" t="s">
        <v>1163</v>
      </c>
      <c r="L974" s="2" t="s">
        <v>36</v>
      </c>
      <c r="M974" s="2" t="s">
        <v>1151</v>
      </c>
      <c r="N974" s="3">
        <v>300</v>
      </c>
      <c r="O974" s="3">
        <v>300</v>
      </c>
      <c r="P974" s="3">
        <v>300</v>
      </c>
      <c r="Q974" s="3">
        <v>300</v>
      </c>
      <c r="R974" s="3">
        <v>60</v>
      </c>
      <c r="S974" s="3">
        <v>60</v>
      </c>
      <c r="T974" s="3">
        <v>60</v>
      </c>
      <c r="U974" s="3">
        <v>60</v>
      </c>
      <c r="V974" s="3"/>
    </row>
    <row r="975" spans="2:22" ht="21" hidden="1" x14ac:dyDescent="0.25">
      <c r="B975" s="4" t="s">
        <v>733</v>
      </c>
      <c r="C975" s="4" t="s">
        <v>734</v>
      </c>
      <c r="D975" s="4" t="s">
        <v>722</v>
      </c>
      <c r="E975" s="4" t="s">
        <v>27</v>
      </c>
      <c r="F975" s="4" t="s">
        <v>422</v>
      </c>
      <c r="G975" s="4" t="s">
        <v>27</v>
      </c>
      <c r="H975" s="4">
        <v>70162</v>
      </c>
      <c r="I975" s="4">
        <v>70395</v>
      </c>
      <c r="J975" s="4" t="s">
        <v>28</v>
      </c>
      <c r="K975" s="4" t="s">
        <v>733</v>
      </c>
      <c r="L975" s="4" t="s">
        <v>29</v>
      </c>
      <c r="M975" s="4"/>
      <c r="N975" s="5">
        <v>600</v>
      </c>
      <c r="O975" s="5">
        <v>728</v>
      </c>
      <c r="P975" s="5">
        <v>743</v>
      </c>
      <c r="Q975" s="5">
        <v>827</v>
      </c>
      <c r="R975" s="5">
        <v>120</v>
      </c>
      <c r="S975" s="5">
        <v>145</v>
      </c>
      <c r="T975" s="5">
        <v>148</v>
      </c>
      <c r="U975" s="5">
        <v>165</v>
      </c>
      <c r="V975" s="5"/>
    </row>
    <row r="976" spans="2:22" ht="20" hidden="1" x14ac:dyDescent="0.25">
      <c r="B976" s="2" t="s">
        <v>733</v>
      </c>
      <c r="C976" s="2" t="s">
        <v>734</v>
      </c>
      <c r="D976" s="2" t="s">
        <v>722</v>
      </c>
      <c r="E976" s="2" t="s">
        <v>27</v>
      </c>
      <c r="F976" s="2" t="s">
        <v>422</v>
      </c>
      <c r="G976" s="2" t="s">
        <v>27</v>
      </c>
      <c r="H976" s="2">
        <v>70162</v>
      </c>
      <c r="I976" s="2">
        <v>70395</v>
      </c>
      <c r="J976" s="2" t="s">
        <v>28</v>
      </c>
      <c r="K976" s="2" t="s">
        <v>735</v>
      </c>
      <c r="L976" s="2" t="s">
        <v>34</v>
      </c>
      <c r="M976" s="2" t="s">
        <v>728</v>
      </c>
      <c r="N976" s="3">
        <v>600</v>
      </c>
      <c r="O976" s="2">
        <v>775</v>
      </c>
      <c r="P976" s="3">
        <v>743</v>
      </c>
      <c r="Q976" s="2">
        <v>890</v>
      </c>
      <c r="R976" s="3">
        <v>120</v>
      </c>
      <c r="S976" s="2">
        <v>154</v>
      </c>
      <c r="T976" s="3">
        <v>148</v>
      </c>
      <c r="U976" s="2">
        <v>177</v>
      </c>
      <c r="V976" s="2"/>
    </row>
    <row r="977" spans="2:22" ht="20" hidden="1" x14ac:dyDescent="0.25">
      <c r="B977" s="2" t="s">
        <v>733</v>
      </c>
      <c r="C977" s="2" t="s">
        <v>734</v>
      </c>
      <c r="D977" s="2" t="s">
        <v>722</v>
      </c>
      <c r="E977" s="2" t="s">
        <v>27</v>
      </c>
      <c r="F977" s="2" t="s">
        <v>422</v>
      </c>
      <c r="G977" s="2" t="s">
        <v>27</v>
      </c>
      <c r="H977" s="2">
        <v>70162</v>
      </c>
      <c r="I977" s="2">
        <v>70395</v>
      </c>
      <c r="J977" s="2" t="s">
        <v>28</v>
      </c>
      <c r="K977" s="2" t="s">
        <v>736</v>
      </c>
      <c r="L977" s="2" t="s">
        <v>34</v>
      </c>
      <c r="M977" s="2" t="s">
        <v>728</v>
      </c>
      <c r="N977" s="3">
        <v>600</v>
      </c>
      <c r="O977" s="2">
        <v>775</v>
      </c>
      <c r="P977" s="3">
        <v>743</v>
      </c>
      <c r="Q977" s="2">
        <v>890</v>
      </c>
      <c r="R977" s="3">
        <v>120</v>
      </c>
      <c r="S977" s="2">
        <v>154</v>
      </c>
      <c r="T977" s="3">
        <v>148</v>
      </c>
      <c r="U977" s="2">
        <v>177</v>
      </c>
      <c r="V977" s="2"/>
    </row>
    <row r="978" spans="2:22" ht="20" hidden="1" x14ac:dyDescent="0.25">
      <c r="B978" s="2" t="s">
        <v>733</v>
      </c>
      <c r="C978" s="2" t="s">
        <v>734</v>
      </c>
      <c r="D978" s="2" t="s">
        <v>722</v>
      </c>
      <c r="E978" s="2" t="s">
        <v>27</v>
      </c>
      <c r="F978" s="2" t="s">
        <v>422</v>
      </c>
      <c r="G978" s="2" t="s">
        <v>27</v>
      </c>
      <c r="H978" s="2">
        <v>70162</v>
      </c>
      <c r="I978" s="2">
        <v>70395</v>
      </c>
      <c r="J978" s="2" t="s">
        <v>28</v>
      </c>
      <c r="K978" s="2" t="s">
        <v>501</v>
      </c>
      <c r="L978" s="2" t="s">
        <v>31</v>
      </c>
      <c r="M978" s="2" t="s">
        <v>728</v>
      </c>
      <c r="N978" s="2">
        <v>629</v>
      </c>
      <c r="O978" s="3">
        <v>728</v>
      </c>
      <c r="P978" s="2">
        <v>745</v>
      </c>
      <c r="Q978" s="3">
        <v>827</v>
      </c>
      <c r="R978" s="2">
        <v>125</v>
      </c>
      <c r="S978" s="3">
        <v>145</v>
      </c>
      <c r="T978" s="2">
        <v>148</v>
      </c>
      <c r="U978" s="3">
        <v>165</v>
      </c>
      <c r="V978" s="3"/>
    </row>
    <row r="979" spans="2:22" ht="21" hidden="1" x14ac:dyDescent="0.25">
      <c r="B979" s="4" t="s">
        <v>921</v>
      </c>
      <c r="C979" s="4" t="s">
        <v>922</v>
      </c>
      <c r="D979" s="4" t="s">
        <v>453</v>
      </c>
      <c r="E979" s="4" t="s">
        <v>27</v>
      </c>
      <c r="F979" s="4" t="s">
        <v>923</v>
      </c>
      <c r="G979" s="4" t="s">
        <v>27</v>
      </c>
      <c r="H979" s="4">
        <v>70215</v>
      </c>
      <c r="I979" s="4">
        <v>70282</v>
      </c>
      <c r="J979" s="4" t="s">
        <v>28</v>
      </c>
      <c r="K979" s="4" t="s">
        <v>921</v>
      </c>
      <c r="L979" s="4" t="s">
        <v>29</v>
      </c>
      <c r="M979" s="4"/>
      <c r="N979" s="5">
        <v>708</v>
      </c>
      <c r="O979" s="5">
        <v>779</v>
      </c>
      <c r="P979" s="5">
        <v>708</v>
      </c>
      <c r="Q979" s="5">
        <v>779</v>
      </c>
      <c r="R979" s="5">
        <v>141</v>
      </c>
      <c r="S979" s="5">
        <v>155</v>
      </c>
      <c r="T979" s="5">
        <v>141</v>
      </c>
      <c r="U979" s="5">
        <v>155</v>
      </c>
      <c r="V979" s="5"/>
    </row>
    <row r="980" spans="2:22" ht="20" hidden="1" x14ac:dyDescent="0.25">
      <c r="B980" s="2" t="s">
        <v>921</v>
      </c>
      <c r="C980" s="2" t="s">
        <v>922</v>
      </c>
      <c r="D980" s="2" t="s">
        <v>453</v>
      </c>
      <c r="E980" s="2" t="s">
        <v>27</v>
      </c>
      <c r="F980" s="2" t="s">
        <v>923</v>
      </c>
      <c r="G980" s="2" t="s">
        <v>27</v>
      </c>
      <c r="H980" s="2">
        <v>70215</v>
      </c>
      <c r="I980" s="2">
        <v>70282</v>
      </c>
      <c r="J980" s="2" t="s">
        <v>28</v>
      </c>
      <c r="K980" s="2" t="s">
        <v>921</v>
      </c>
      <c r="L980" s="2" t="s">
        <v>30</v>
      </c>
      <c r="M980" s="2" t="s">
        <v>922</v>
      </c>
      <c r="N980" s="3">
        <v>708</v>
      </c>
      <c r="O980" s="3">
        <v>779</v>
      </c>
      <c r="P980" s="3">
        <v>708</v>
      </c>
      <c r="Q980" s="3">
        <v>779</v>
      </c>
      <c r="R980" s="3">
        <v>141</v>
      </c>
      <c r="S980" s="3">
        <v>155</v>
      </c>
      <c r="T980" s="3">
        <v>141</v>
      </c>
      <c r="U980" s="3">
        <v>155</v>
      </c>
      <c r="V980" s="3"/>
    </row>
    <row r="981" spans="2:22" ht="21" hidden="1" x14ac:dyDescent="0.25">
      <c r="B981" s="4" t="s">
        <v>464</v>
      </c>
      <c r="C981" s="4" t="s">
        <v>465</v>
      </c>
      <c r="D981" s="4" t="s">
        <v>460</v>
      </c>
      <c r="E981" s="4" t="s">
        <v>27</v>
      </c>
      <c r="F981" s="4" t="s">
        <v>453</v>
      </c>
      <c r="G981" s="4" t="s">
        <v>27</v>
      </c>
      <c r="H981" s="4">
        <v>70087</v>
      </c>
      <c r="I981" s="4">
        <v>70215</v>
      </c>
      <c r="J981" s="4" t="s">
        <v>28</v>
      </c>
      <c r="K981" s="4" t="s">
        <v>464</v>
      </c>
      <c r="L981" s="4" t="s">
        <v>29</v>
      </c>
      <c r="M981" s="4"/>
      <c r="N981" s="5">
        <v>1022</v>
      </c>
      <c r="O981" s="5">
        <v>1213</v>
      </c>
      <c r="P981" s="5">
        <v>1233</v>
      </c>
      <c r="Q981" s="5">
        <v>1386</v>
      </c>
      <c r="R981" s="5">
        <v>204</v>
      </c>
      <c r="S981" s="5">
        <v>242</v>
      </c>
      <c r="T981" s="5">
        <v>246</v>
      </c>
      <c r="U981" s="5">
        <v>276</v>
      </c>
      <c r="V981" s="5"/>
    </row>
    <row r="982" spans="2:22" ht="20" hidden="1" x14ac:dyDescent="0.25">
      <c r="B982" s="2" t="s">
        <v>464</v>
      </c>
      <c r="C982" s="2" t="s">
        <v>465</v>
      </c>
      <c r="D982" s="2" t="s">
        <v>460</v>
      </c>
      <c r="E982" s="2" t="s">
        <v>27</v>
      </c>
      <c r="F982" s="2" t="s">
        <v>453</v>
      </c>
      <c r="G982" s="2" t="s">
        <v>27</v>
      </c>
      <c r="H982" s="2">
        <v>70087</v>
      </c>
      <c r="I982" s="2">
        <v>70215</v>
      </c>
      <c r="J982" s="2" t="s">
        <v>28</v>
      </c>
      <c r="K982" s="2" t="s">
        <v>388</v>
      </c>
      <c r="L982" s="2" t="s">
        <v>31</v>
      </c>
      <c r="M982" s="2" t="s">
        <v>466</v>
      </c>
      <c r="N982" s="3">
        <v>1022</v>
      </c>
      <c r="O982" s="3">
        <v>1213</v>
      </c>
      <c r="P982" s="3">
        <v>1233</v>
      </c>
      <c r="Q982" s="2">
        <v>1388</v>
      </c>
      <c r="R982" s="3">
        <v>204</v>
      </c>
      <c r="S982" s="3">
        <v>242</v>
      </c>
      <c r="T982" s="3">
        <v>246</v>
      </c>
      <c r="U982" s="2">
        <v>276</v>
      </c>
      <c r="V982" s="2"/>
    </row>
    <row r="983" spans="2:22" ht="20" hidden="1" x14ac:dyDescent="0.25">
      <c r="B983" s="2" t="s">
        <v>464</v>
      </c>
      <c r="C983" s="2" t="s">
        <v>465</v>
      </c>
      <c r="D983" s="2" t="s">
        <v>460</v>
      </c>
      <c r="E983" s="2" t="s">
        <v>27</v>
      </c>
      <c r="F983" s="2" t="s">
        <v>453</v>
      </c>
      <c r="G983" s="2" t="s">
        <v>27</v>
      </c>
      <c r="H983" s="2">
        <v>70087</v>
      </c>
      <c r="I983" s="2">
        <v>70215</v>
      </c>
      <c r="J983" s="2" t="s">
        <v>28</v>
      </c>
      <c r="K983" s="2" t="s">
        <v>464</v>
      </c>
      <c r="L983" s="2" t="s">
        <v>30</v>
      </c>
      <c r="M983" s="2" t="s">
        <v>465</v>
      </c>
      <c r="N983" s="2">
        <v>1260</v>
      </c>
      <c r="O983" s="2">
        <v>1386</v>
      </c>
      <c r="P983" s="2">
        <v>1260</v>
      </c>
      <c r="Q983" s="3">
        <v>1386</v>
      </c>
      <c r="R983" s="2">
        <v>251</v>
      </c>
      <c r="S983" s="2">
        <v>276</v>
      </c>
      <c r="T983" s="2">
        <v>251</v>
      </c>
      <c r="U983" s="3">
        <v>276</v>
      </c>
      <c r="V983" s="3"/>
    </row>
    <row r="984" spans="2:22" ht="21" hidden="1" x14ac:dyDescent="0.25">
      <c r="B984" s="4" t="s">
        <v>598</v>
      </c>
      <c r="C984" s="4" t="s">
        <v>599</v>
      </c>
      <c r="D984" s="4" t="s">
        <v>350</v>
      </c>
      <c r="E984" s="4" t="s">
        <v>27</v>
      </c>
      <c r="F984" s="4" t="s">
        <v>596</v>
      </c>
      <c r="G984" s="4" t="s">
        <v>40</v>
      </c>
      <c r="H984" s="4">
        <v>70121</v>
      </c>
      <c r="I984" s="4">
        <v>70352</v>
      </c>
      <c r="J984" s="4" t="s">
        <v>42</v>
      </c>
      <c r="K984" s="4" t="s">
        <v>598</v>
      </c>
      <c r="L984" s="4" t="s">
        <v>29</v>
      </c>
      <c r="M984" s="4"/>
      <c r="N984" s="5">
        <v>1600</v>
      </c>
      <c r="O984" s="5">
        <v>1600</v>
      </c>
      <c r="P984" s="5">
        <v>1600</v>
      </c>
      <c r="Q984" s="5">
        <v>1600</v>
      </c>
      <c r="R984" s="5">
        <v>319</v>
      </c>
      <c r="S984" s="5">
        <v>319</v>
      </c>
      <c r="T984" s="5">
        <v>319</v>
      </c>
      <c r="U984" s="5">
        <v>319</v>
      </c>
      <c r="V984" s="5"/>
    </row>
    <row r="985" spans="2:22" ht="20" hidden="1" x14ac:dyDescent="0.25">
      <c r="B985" s="2" t="s">
        <v>598</v>
      </c>
      <c r="C985" s="2" t="s">
        <v>599</v>
      </c>
      <c r="D985" s="2" t="s">
        <v>350</v>
      </c>
      <c r="E985" s="2" t="s">
        <v>27</v>
      </c>
      <c r="F985" s="2" t="s">
        <v>596</v>
      </c>
      <c r="G985" s="2" t="s">
        <v>40</v>
      </c>
      <c r="H985" s="2">
        <v>70121</v>
      </c>
      <c r="I985" s="2">
        <v>70352</v>
      </c>
      <c r="J985" s="2" t="s">
        <v>42</v>
      </c>
      <c r="K985" s="2" t="s">
        <v>599</v>
      </c>
      <c r="L985" s="2" t="s">
        <v>49</v>
      </c>
      <c r="M985" s="2" t="s">
        <v>588</v>
      </c>
      <c r="N985" s="3">
        <v>1600</v>
      </c>
      <c r="O985" s="3">
        <v>1600</v>
      </c>
      <c r="P985" s="3">
        <v>1600</v>
      </c>
      <c r="Q985" s="3">
        <v>1600</v>
      </c>
      <c r="R985" s="3">
        <v>319</v>
      </c>
      <c r="S985" s="3">
        <v>319</v>
      </c>
      <c r="T985" s="3">
        <v>319</v>
      </c>
      <c r="U985" s="3">
        <v>319</v>
      </c>
      <c r="V985" s="3"/>
    </row>
    <row r="986" spans="2:22" ht="21" hidden="1" x14ac:dyDescent="0.25">
      <c r="B986" s="4" t="s">
        <v>481</v>
      </c>
      <c r="C986" s="4" t="s">
        <v>482</v>
      </c>
      <c r="D986" s="4" t="s">
        <v>483</v>
      </c>
      <c r="E986" s="4" t="s">
        <v>27</v>
      </c>
      <c r="F986" s="4" t="s">
        <v>350</v>
      </c>
      <c r="G986" s="4" t="s">
        <v>27</v>
      </c>
      <c r="H986" s="4">
        <v>70098</v>
      </c>
      <c r="I986" s="4">
        <v>70121</v>
      </c>
      <c r="J986" s="4" t="s">
        <v>28</v>
      </c>
      <c r="K986" s="4" t="s">
        <v>481</v>
      </c>
      <c r="L986" s="4" t="s">
        <v>29</v>
      </c>
      <c r="M986" s="4"/>
      <c r="N986" s="5">
        <v>641</v>
      </c>
      <c r="O986" s="5">
        <v>705</v>
      </c>
      <c r="P986" s="5">
        <v>729</v>
      </c>
      <c r="Q986" s="5">
        <v>802</v>
      </c>
      <c r="R986" s="5">
        <v>128</v>
      </c>
      <c r="S986" s="5">
        <v>140</v>
      </c>
      <c r="T986" s="5">
        <v>145</v>
      </c>
      <c r="U986" s="5">
        <v>160</v>
      </c>
      <c r="V986" s="5"/>
    </row>
    <row r="987" spans="2:22" ht="20" hidden="1" x14ac:dyDescent="0.25">
      <c r="B987" s="2" t="s">
        <v>481</v>
      </c>
      <c r="C987" s="2" t="s">
        <v>482</v>
      </c>
      <c r="D987" s="2" t="s">
        <v>483</v>
      </c>
      <c r="E987" s="2" t="s">
        <v>27</v>
      </c>
      <c r="F987" s="2" t="s">
        <v>350</v>
      </c>
      <c r="G987" s="2" t="s">
        <v>27</v>
      </c>
      <c r="H987" s="2">
        <v>70098</v>
      </c>
      <c r="I987" s="2">
        <v>70121</v>
      </c>
      <c r="J987" s="2" t="s">
        <v>28</v>
      </c>
      <c r="K987" s="2" t="s">
        <v>481</v>
      </c>
      <c r="L987" s="2" t="s">
        <v>30</v>
      </c>
      <c r="M987" s="2" t="s">
        <v>482</v>
      </c>
      <c r="N987" s="3">
        <v>641</v>
      </c>
      <c r="O987" s="3">
        <v>705</v>
      </c>
      <c r="P987" s="3">
        <v>729</v>
      </c>
      <c r="Q987" s="3">
        <v>802</v>
      </c>
      <c r="R987" s="3">
        <v>128</v>
      </c>
      <c r="S987" s="3">
        <v>140</v>
      </c>
      <c r="T987" s="3">
        <v>145</v>
      </c>
      <c r="U987" s="3">
        <v>160</v>
      </c>
      <c r="V987" s="3"/>
    </row>
    <row r="988" spans="2:22" ht="21" hidden="1" x14ac:dyDescent="0.25">
      <c r="B988" s="4" t="s">
        <v>594</v>
      </c>
      <c r="C988" s="4" t="s">
        <v>595</v>
      </c>
      <c r="D988" s="4" t="s">
        <v>350</v>
      </c>
      <c r="E988" s="4" t="s">
        <v>27</v>
      </c>
      <c r="F988" s="4" t="s">
        <v>596</v>
      </c>
      <c r="G988" s="4" t="s">
        <v>40</v>
      </c>
      <c r="H988" s="4">
        <v>70121</v>
      </c>
      <c r="I988" s="4">
        <v>70352</v>
      </c>
      <c r="J988" s="4" t="s">
        <v>42</v>
      </c>
      <c r="K988" s="4" t="s">
        <v>594</v>
      </c>
      <c r="L988" s="4" t="s">
        <v>29</v>
      </c>
      <c r="M988" s="4"/>
      <c r="N988" s="5">
        <v>1900</v>
      </c>
      <c r="O988" s="5">
        <v>2000</v>
      </c>
      <c r="P988" s="5">
        <v>1900</v>
      </c>
      <c r="Q988" s="5">
        <v>2000</v>
      </c>
      <c r="R988" s="5">
        <v>378</v>
      </c>
      <c r="S988" s="5">
        <v>398</v>
      </c>
      <c r="T988" s="5">
        <v>378</v>
      </c>
      <c r="U988" s="5">
        <v>398</v>
      </c>
      <c r="V988" s="5"/>
    </row>
    <row r="989" spans="2:22" ht="20" hidden="1" x14ac:dyDescent="0.25">
      <c r="B989" s="2" t="s">
        <v>594</v>
      </c>
      <c r="C989" s="2" t="s">
        <v>595</v>
      </c>
      <c r="D989" s="2" t="s">
        <v>350</v>
      </c>
      <c r="E989" s="2" t="s">
        <v>27</v>
      </c>
      <c r="F989" s="2" t="s">
        <v>596</v>
      </c>
      <c r="G989" s="2" t="s">
        <v>40</v>
      </c>
      <c r="H989" s="2">
        <v>70121</v>
      </c>
      <c r="I989" s="2">
        <v>70352</v>
      </c>
      <c r="J989" s="2" t="s">
        <v>42</v>
      </c>
      <c r="K989" s="2" t="s">
        <v>594</v>
      </c>
      <c r="L989" s="2" t="s">
        <v>30</v>
      </c>
      <c r="M989" s="2" t="s">
        <v>595</v>
      </c>
      <c r="N989" s="3">
        <v>1900</v>
      </c>
      <c r="O989" s="33">
        <v>2090</v>
      </c>
      <c r="P989" s="3">
        <v>1900</v>
      </c>
      <c r="Q989" s="33">
        <v>2090</v>
      </c>
      <c r="R989" s="3">
        <v>378</v>
      </c>
      <c r="S989" s="33">
        <v>416</v>
      </c>
      <c r="T989" s="3">
        <v>378</v>
      </c>
      <c r="U989" s="33">
        <v>416</v>
      </c>
      <c r="V989" s="3"/>
    </row>
    <row r="990" spans="2:22" ht="20" hidden="1" x14ac:dyDescent="0.25">
      <c r="B990" s="2" t="s">
        <v>594</v>
      </c>
      <c r="C990" s="2" t="s">
        <v>595</v>
      </c>
      <c r="D990" s="2" t="s">
        <v>350</v>
      </c>
      <c r="E990" s="2" t="s">
        <v>27</v>
      </c>
      <c r="F990" s="2" t="s">
        <v>596</v>
      </c>
      <c r="G990" s="2" t="s">
        <v>40</v>
      </c>
      <c r="H990" s="2">
        <v>70121</v>
      </c>
      <c r="I990" s="2">
        <v>70352</v>
      </c>
      <c r="J990" s="2" t="s">
        <v>42</v>
      </c>
      <c r="K990" s="2" t="s">
        <v>213</v>
      </c>
      <c r="L990" s="2" t="s">
        <v>213</v>
      </c>
      <c r="M990" s="2" t="s">
        <v>597</v>
      </c>
      <c r="N990" s="2">
        <v>2000</v>
      </c>
      <c r="O990" s="3">
        <v>2000</v>
      </c>
      <c r="P990" s="2">
        <v>2000</v>
      </c>
      <c r="Q990" s="3">
        <v>2000</v>
      </c>
      <c r="R990" s="2">
        <v>398</v>
      </c>
      <c r="S990" s="3">
        <v>398</v>
      </c>
      <c r="T990" s="2">
        <v>398</v>
      </c>
      <c r="U990" s="3">
        <v>398</v>
      </c>
      <c r="V990" s="3"/>
    </row>
    <row r="991" spans="2:22" ht="21" hidden="1" x14ac:dyDescent="0.25">
      <c r="B991" s="4" t="s">
        <v>484</v>
      </c>
      <c r="C991" s="4" t="s">
        <v>485</v>
      </c>
      <c r="D991" s="4" t="s">
        <v>486</v>
      </c>
      <c r="E991" s="4" t="s">
        <v>27</v>
      </c>
      <c r="F991" s="4" t="s">
        <v>483</v>
      </c>
      <c r="G991" s="4" t="s">
        <v>27</v>
      </c>
      <c r="H991" s="4">
        <v>2002</v>
      </c>
      <c r="I991" s="4">
        <v>70098</v>
      </c>
      <c r="J991" s="4" t="s">
        <v>28</v>
      </c>
      <c r="K991" s="4" t="s">
        <v>484</v>
      </c>
      <c r="L991" s="4" t="s">
        <v>29</v>
      </c>
      <c r="M991" s="4"/>
      <c r="N991" s="5">
        <v>641</v>
      </c>
      <c r="O991" s="5">
        <v>705</v>
      </c>
      <c r="P991" s="5">
        <v>729</v>
      </c>
      <c r="Q991" s="5">
        <v>802</v>
      </c>
      <c r="R991" s="5">
        <v>128</v>
      </c>
      <c r="S991" s="5">
        <v>140</v>
      </c>
      <c r="T991" s="5">
        <v>145</v>
      </c>
      <c r="U991" s="5">
        <v>160</v>
      </c>
      <c r="V991" s="5"/>
    </row>
    <row r="992" spans="2:22" ht="20" hidden="1" x14ac:dyDescent="0.25">
      <c r="B992" s="2" t="s">
        <v>484</v>
      </c>
      <c r="C992" s="2" t="s">
        <v>485</v>
      </c>
      <c r="D992" s="2" t="s">
        <v>486</v>
      </c>
      <c r="E992" s="2" t="s">
        <v>27</v>
      </c>
      <c r="F992" s="2" t="s">
        <v>483</v>
      </c>
      <c r="G992" s="2" t="s">
        <v>27</v>
      </c>
      <c r="H992" s="2">
        <v>2002</v>
      </c>
      <c r="I992" s="2">
        <v>70098</v>
      </c>
      <c r="J992" s="2" t="s">
        <v>28</v>
      </c>
      <c r="K992" s="2" t="s">
        <v>484</v>
      </c>
      <c r="L992" s="2" t="s">
        <v>30</v>
      </c>
      <c r="M992" s="2" t="s">
        <v>485</v>
      </c>
      <c r="N992" s="3">
        <v>641</v>
      </c>
      <c r="O992" s="3">
        <v>705</v>
      </c>
      <c r="P992" s="3">
        <v>729</v>
      </c>
      <c r="Q992" s="3">
        <v>802</v>
      </c>
      <c r="R992" s="3">
        <v>128</v>
      </c>
      <c r="S992" s="3">
        <v>140</v>
      </c>
      <c r="T992" s="3">
        <v>145</v>
      </c>
      <c r="U992" s="3">
        <v>160</v>
      </c>
      <c r="V992" s="3"/>
    </row>
    <row r="993" spans="2:22" ht="21" hidden="1" x14ac:dyDescent="0.25">
      <c r="B993" s="4" t="s">
        <v>589</v>
      </c>
      <c r="C993" s="4" t="s">
        <v>485</v>
      </c>
      <c r="D993" s="4" t="s">
        <v>350</v>
      </c>
      <c r="E993" s="4" t="s">
        <v>27</v>
      </c>
      <c r="F993" s="4" t="s">
        <v>486</v>
      </c>
      <c r="G993" s="4" t="s">
        <v>27</v>
      </c>
      <c r="H993" s="4">
        <v>70121</v>
      </c>
      <c r="I993" s="4">
        <v>2002</v>
      </c>
      <c r="J993" s="4" t="s">
        <v>28</v>
      </c>
      <c r="K993" s="4" t="s">
        <v>589</v>
      </c>
      <c r="L993" s="4" t="s">
        <v>29</v>
      </c>
      <c r="M993" s="4"/>
      <c r="N993" s="5">
        <v>800</v>
      </c>
      <c r="O993" s="5">
        <v>880</v>
      </c>
      <c r="P993" s="5">
        <v>820</v>
      </c>
      <c r="Q993" s="5">
        <v>902</v>
      </c>
      <c r="R993" s="5">
        <v>159</v>
      </c>
      <c r="S993" s="5">
        <v>175</v>
      </c>
      <c r="T993" s="5">
        <v>163</v>
      </c>
      <c r="U993" s="5">
        <v>180</v>
      </c>
      <c r="V993" s="5"/>
    </row>
    <row r="994" spans="2:22" ht="20" hidden="1" x14ac:dyDescent="0.25">
      <c r="B994" s="2" t="s">
        <v>589</v>
      </c>
      <c r="C994" s="2" t="s">
        <v>485</v>
      </c>
      <c r="D994" s="2" t="s">
        <v>350</v>
      </c>
      <c r="E994" s="2" t="s">
        <v>27</v>
      </c>
      <c r="F994" s="2" t="s">
        <v>486</v>
      </c>
      <c r="G994" s="2" t="s">
        <v>27</v>
      </c>
      <c r="H994" s="2">
        <v>70121</v>
      </c>
      <c r="I994" s="2">
        <v>2002</v>
      </c>
      <c r="J994" s="2" t="s">
        <v>28</v>
      </c>
      <c r="K994" s="2" t="s">
        <v>589</v>
      </c>
      <c r="L994" s="2" t="s">
        <v>30</v>
      </c>
      <c r="M994" s="2" t="s">
        <v>485</v>
      </c>
      <c r="N994" s="3">
        <v>800</v>
      </c>
      <c r="O994" s="3">
        <v>880</v>
      </c>
      <c r="P994" s="3">
        <v>820</v>
      </c>
      <c r="Q994" s="3">
        <v>902</v>
      </c>
      <c r="R994" s="3">
        <v>159</v>
      </c>
      <c r="S994" s="3">
        <v>175</v>
      </c>
      <c r="T994" s="3">
        <v>163</v>
      </c>
      <c r="U994" s="3">
        <v>180</v>
      </c>
      <c r="V994" s="3"/>
    </row>
    <row r="995" spans="2:22" ht="21" hidden="1" x14ac:dyDescent="0.25">
      <c r="B995" s="4" t="s">
        <v>879</v>
      </c>
      <c r="C995" s="4" t="s">
        <v>880</v>
      </c>
      <c r="D995" s="4" t="s">
        <v>844</v>
      </c>
      <c r="E995" s="4" t="s">
        <v>27</v>
      </c>
      <c r="F995" s="4" t="s">
        <v>817</v>
      </c>
      <c r="G995" s="4" t="s">
        <v>27</v>
      </c>
      <c r="H995" s="4">
        <v>70209</v>
      </c>
      <c r="I995" s="4">
        <v>70470</v>
      </c>
      <c r="J995" s="4" t="s">
        <v>28</v>
      </c>
      <c r="K995" s="4" t="s">
        <v>879</v>
      </c>
      <c r="L995" s="4" t="s">
        <v>29</v>
      </c>
      <c r="M995" s="4"/>
      <c r="N995" s="5">
        <v>1104</v>
      </c>
      <c r="O995" s="5">
        <v>1200</v>
      </c>
      <c r="P995" s="5">
        <v>1200</v>
      </c>
      <c r="Q995" s="5">
        <v>1200</v>
      </c>
      <c r="R995" s="5">
        <v>220</v>
      </c>
      <c r="S995" s="5">
        <v>239</v>
      </c>
      <c r="T995" s="5">
        <v>239</v>
      </c>
      <c r="U995" s="5">
        <v>239</v>
      </c>
      <c r="V995" s="5"/>
    </row>
    <row r="996" spans="2:22" ht="20" hidden="1" x14ac:dyDescent="0.25">
      <c r="B996" s="2" t="s">
        <v>879</v>
      </c>
      <c r="C996" s="2" t="s">
        <v>880</v>
      </c>
      <c r="D996" s="2" t="s">
        <v>844</v>
      </c>
      <c r="E996" s="2" t="s">
        <v>27</v>
      </c>
      <c r="F996" s="2" t="s">
        <v>817</v>
      </c>
      <c r="G996" s="2" t="s">
        <v>27</v>
      </c>
      <c r="H996" s="2">
        <v>70209</v>
      </c>
      <c r="I996" s="2">
        <v>70470</v>
      </c>
      <c r="J996" s="2" t="s">
        <v>28</v>
      </c>
      <c r="K996" s="2" t="s">
        <v>879</v>
      </c>
      <c r="L996" s="2" t="s">
        <v>30</v>
      </c>
      <c r="M996" s="2" t="s">
        <v>880</v>
      </c>
      <c r="N996" s="3">
        <v>1104</v>
      </c>
      <c r="O996" s="2">
        <v>1214</v>
      </c>
      <c r="P996" s="2">
        <v>1258</v>
      </c>
      <c r="Q996" s="2">
        <v>1384</v>
      </c>
      <c r="R996" s="3">
        <v>220</v>
      </c>
      <c r="S996" s="2">
        <v>242</v>
      </c>
      <c r="T996" s="2">
        <v>251</v>
      </c>
      <c r="U996" s="2">
        <v>276</v>
      </c>
      <c r="V996" s="2"/>
    </row>
    <row r="997" spans="2:22" ht="20" hidden="1" x14ac:dyDescent="0.25">
      <c r="B997" s="2" t="s">
        <v>879</v>
      </c>
      <c r="C997" s="2" t="s">
        <v>880</v>
      </c>
      <c r="D997" s="2" t="s">
        <v>844</v>
      </c>
      <c r="E997" s="2" t="s">
        <v>27</v>
      </c>
      <c r="F997" s="2" t="s">
        <v>817</v>
      </c>
      <c r="G997" s="2" t="s">
        <v>27</v>
      </c>
      <c r="H997" s="2">
        <v>70209</v>
      </c>
      <c r="I997" s="2">
        <v>70470</v>
      </c>
      <c r="J997" s="2" t="s">
        <v>28</v>
      </c>
      <c r="K997" s="2" t="s">
        <v>880</v>
      </c>
      <c r="L997" s="2" t="s">
        <v>49</v>
      </c>
      <c r="M997" s="2" t="s">
        <v>846</v>
      </c>
      <c r="N997" s="2">
        <v>1200</v>
      </c>
      <c r="O997" s="3">
        <v>1200</v>
      </c>
      <c r="P997" s="3">
        <v>1200</v>
      </c>
      <c r="Q997" s="3">
        <v>1200</v>
      </c>
      <c r="R997" s="2">
        <v>239</v>
      </c>
      <c r="S997" s="3">
        <v>239</v>
      </c>
      <c r="T997" s="3">
        <v>239</v>
      </c>
      <c r="U997" s="3">
        <v>239</v>
      </c>
      <c r="V997" s="3"/>
    </row>
    <row r="998" spans="2:22" ht="20" hidden="1" x14ac:dyDescent="0.25">
      <c r="B998" s="2" t="s">
        <v>879</v>
      </c>
      <c r="C998" s="2" t="s">
        <v>880</v>
      </c>
      <c r="D998" s="2" t="s">
        <v>844</v>
      </c>
      <c r="E998" s="2" t="s">
        <v>27</v>
      </c>
      <c r="F998" s="2" t="s">
        <v>817</v>
      </c>
      <c r="G998" s="2" t="s">
        <v>27</v>
      </c>
      <c r="H998" s="2">
        <v>70209</v>
      </c>
      <c r="I998" s="2">
        <v>70470</v>
      </c>
      <c r="J998" s="2" t="s">
        <v>28</v>
      </c>
      <c r="K998" s="2" t="s">
        <v>881</v>
      </c>
      <c r="L998" s="2" t="s">
        <v>39</v>
      </c>
      <c r="M998" s="2" t="s">
        <v>846</v>
      </c>
      <c r="N998" s="2">
        <v>1200</v>
      </c>
      <c r="O998" s="3">
        <v>1200</v>
      </c>
      <c r="P998" s="3">
        <v>1200</v>
      </c>
      <c r="Q998" s="3">
        <v>1200</v>
      </c>
      <c r="R998" s="2">
        <v>239</v>
      </c>
      <c r="S998" s="3">
        <v>239</v>
      </c>
      <c r="T998" s="3">
        <v>239</v>
      </c>
      <c r="U998" s="3">
        <v>239</v>
      </c>
      <c r="V998" s="3"/>
    </row>
    <row r="999" spans="2:22" ht="20" hidden="1" x14ac:dyDescent="0.25">
      <c r="B999" s="2" t="s">
        <v>879</v>
      </c>
      <c r="C999" s="2" t="s">
        <v>880</v>
      </c>
      <c r="D999" s="2" t="s">
        <v>844</v>
      </c>
      <c r="E999" s="2" t="s">
        <v>27</v>
      </c>
      <c r="F999" s="2" t="s">
        <v>817</v>
      </c>
      <c r="G999" s="2" t="s">
        <v>27</v>
      </c>
      <c r="H999" s="2">
        <v>70209</v>
      </c>
      <c r="I999" s="2">
        <v>70470</v>
      </c>
      <c r="J999" s="2" t="s">
        <v>28</v>
      </c>
      <c r="K999" s="2" t="s">
        <v>882</v>
      </c>
      <c r="L999" s="2" t="s">
        <v>39</v>
      </c>
      <c r="M999" s="2" t="s">
        <v>846</v>
      </c>
      <c r="N999" s="2">
        <v>1200</v>
      </c>
      <c r="O999" s="3">
        <v>1200</v>
      </c>
      <c r="P999" s="3">
        <v>1200</v>
      </c>
      <c r="Q999" s="3">
        <v>1200</v>
      </c>
      <c r="R999" s="2">
        <v>239</v>
      </c>
      <c r="S999" s="3">
        <v>239</v>
      </c>
      <c r="T999" s="3">
        <v>239</v>
      </c>
      <c r="U999" s="3">
        <v>239</v>
      </c>
      <c r="V999" s="3"/>
    </row>
    <row r="1000" spans="2:22" ht="20" hidden="1" x14ac:dyDescent="0.25">
      <c r="B1000" s="2" t="s">
        <v>879</v>
      </c>
      <c r="C1000" s="2" t="s">
        <v>880</v>
      </c>
      <c r="D1000" s="2" t="s">
        <v>844</v>
      </c>
      <c r="E1000" s="2" t="s">
        <v>27</v>
      </c>
      <c r="F1000" s="2" t="s">
        <v>817</v>
      </c>
      <c r="G1000" s="2" t="s">
        <v>27</v>
      </c>
      <c r="H1000" s="2">
        <v>70209</v>
      </c>
      <c r="I1000" s="2">
        <v>70470</v>
      </c>
      <c r="J1000" s="2" t="s">
        <v>28</v>
      </c>
      <c r="K1000" s="2" t="s">
        <v>883</v>
      </c>
      <c r="L1000" s="2" t="s">
        <v>39</v>
      </c>
      <c r="M1000" s="2" t="s">
        <v>846</v>
      </c>
      <c r="N1000" s="2">
        <v>1200</v>
      </c>
      <c r="O1000" s="3">
        <v>1200</v>
      </c>
      <c r="P1000" s="3">
        <v>1200</v>
      </c>
      <c r="Q1000" s="3">
        <v>1200</v>
      </c>
      <c r="R1000" s="2">
        <v>239</v>
      </c>
      <c r="S1000" s="3">
        <v>239</v>
      </c>
      <c r="T1000" s="3">
        <v>239</v>
      </c>
      <c r="U1000" s="3">
        <v>239</v>
      </c>
      <c r="V1000" s="3"/>
    </row>
    <row r="1001" spans="2:22" ht="20" hidden="1" x14ac:dyDescent="0.25">
      <c r="B1001" s="2" t="s">
        <v>879</v>
      </c>
      <c r="C1001" s="2" t="s">
        <v>880</v>
      </c>
      <c r="D1001" s="2" t="s">
        <v>844</v>
      </c>
      <c r="E1001" s="2" t="s">
        <v>27</v>
      </c>
      <c r="F1001" s="2" t="s">
        <v>817</v>
      </c>
      <c r="G1001" s="2" t="s">
        <v>27</v>
      </c>
      <c r="H1001" s="2">
        <v>70209</v>
      </c>
      <c r="I1001" s="2">
        <v>70470</v>
      </c>
      <c r="J1001" s="2" t="s">
        <v>28</v>
      </c>
      <c r="K1001" s="2" t="s">
        <v>884</v>
      </c>
      <c r="L1001" s="2" t="s">
        <v>39</v>
      </c>
      <c r="M1001" s="2" t="s">
        <v>846</v>
      </c>
      <c r="N1001" s="2">
        <v>1200</v>
      </c>
      <c r="O1001" s="3">
        <v>1200</v>
      </c>
      <c r="P1001" s="3">
        <v>1200</v>
      </c>
      <c r="Q1001" s="3">
        <v>1200</v>
      </c>
      <c r="R1001" s="2">
        <v>239</v>
      </c>
      <c r="S1001" s="3">
        <v>239</v>
      </c>
      <c r="T1001" s="3">
        <v>239</v>
      </c>
      <c r="U1001" s="3">
        <v>239</v>
      </c>
      <c r="V1001" s="7"/>
    </row>
    <row r="1002" spans="2:22" ht="21" hidden="1" x14ac:dyDescent="0.25">
      <c r="B1002" s="4" t="s">
        <v>1202</v>
      </c>
      <c r="C1002" s="4" t="s">
        <v>1203</v>
      </c>
      <c r="D1002" s="4" t="s">
        <v>1204</v>
      </c>
      <c r="E1002" s="4" t="s">
        <v>27</v>
      </c>
      <c r="F1002" s="4" t="s">
        <v>1205</v>
      </c>
      <c r="G1002" s="4" t="s">
        <v>27</v>
      </c>
      <c r="H1002" s="4">
        <v>70368</v>
      </c>
      <c r="I1002" s="4">
        <v>70475</v>
      </c>
      <c r="J1002" s="4" t="s">
        <v>28</v>
      </c>
      <c r="K1002" s="4" t="s">
        <v>1202</v>
      </c>
      <c r="L1002" s="4" t="s">
        <v>29</v>
      </c>
      <c r="M1002" s="4"/>
      <c r="N1002" s="5">
        <v>800</v>
      </c>
      <c r="O1002" s="5">
        <v>880</v>
      </c>
      <c r="P1002" s="5">
        <v>910</v>
      </c>
      <c r="Q1002" s="5">
        <v>1001</v>
      </c>
      <c r="R1002" s="5">
        <v>159</v>
      </c>
      <c r="S1002" s="5">
        <v>175</v>
      </c>
      <c r="T1002" s="5">
        <v>181</v>
      </c>
      <c r="U1002" s="5">
        <v>199</v>
      </c>
      <c r="V1002" s="5"/>
    </row>
    <row r="1003" spans="2:22" ht="20" hidden="1" x14ac:dyDescent="0.25">
      <c r="B1003" s="2" t="s">
        <v>1202</v>
      </c>
      <c r="C1003" s="2" t="s">
        <v>1203</v>
      </c>
      <c r="D1003" s="2" t="s">
        <v>1204</v>
      </c>
      <c r="E1003" s="2" t="s">
        <v>27</v>
      </c>
      <c r="F1003" s="2" t="s">
        <v>1205</v>
      </c>
      <c r="G1003" s="2" t="s">
        <v>27</v>
      </c>
      <c r="H1003" s="2">
        <v>70368</v>
      </c>
      <c r="I1003" s="2">
        <v>70475</v>
      </c>
      <c r="J1003" s="2" t="s">
        <v>28</v>
      </c>
      <c r="K1003" s="2" t="s">
        <v>1202</v>
      </c>
      <c r="L1003" s="2" t="s">
        <v>30</v>
      </c>
      <c r="M1003" s="2" t="s">
        <v>1203</v>
      </c>
      <c r="N1003" s="3">
        <v>800</v>
      </c>
      <c r="O1003" s="3">
        <v>880</v>
      </c>
      <c r="P1003" s="3">
        <v>910</v>
      </c>
      <c r="Q1003" s="3">
        <v>1001</v>
      </c>
      <c r="R1003" s="3">
        <v>159</v>
      </c>
      <c r="S1003" s="3">
        <v>175</v>
      </c>
      <c r="T1003" s="3">
        <v>181</v>
      </c>
      <c r="U1003" s="3">
        <v>199</v>
      </c>
      <c r="V1003" s="3"/>
    </row>
    <row r="1004" spans="2:22" ht="21" hidden="1" x14ac:dyDescent="0.25">
      <c r="B1004" s="4" t="s">
        <v>1302</v>
      </c>
      <c r="C1004" s="4" t="s">
        <v>1203</v>
      </c>
      <c r="D1004" s="4" t="s">
        <v>817</v>
      </c>
      <c r="E1004" s="4" t="s">
        <v>27</v>
      </c>
      <c r="F1004" s="4" t="s">
        <v>1205</v>
      </c>
      <c r="G1004" s="4" t="s">
        <v>27</v>
      </c>
      <c r="H1004" s="4">
        <v>70470</v>
      </c>
      <c r="I1004" s="4">
        <v>70475</v>
      </c>
      <c r="J1004" s="4" t="s">
        <v>28</v>
      </c>
      <c r="K1004" s="4" t="s">
        <v>1302</v>
      </c>
      <c r="L1004" s="4" t="s">
        <v>29</v>
      </c>
      <c r="M1004" s="4"/>
      <c r="N1004" s="5">
        <v>800</v>
      </c>
      <c r="O1004" s="5">
        <v>880</v>
      </c>
      <c r="P1004" s="5">
        <v>910</v>
      </c>
      <c r="Q1004" s="5">
        <v>1001</v>
      </c>
      <c r="R1004" s="5">
        <v>159</v>
      </c>
      <c r="S1004" s="5">
        <v>175</v>
      </c>
      <c r="T1004" s="5">
        <v>181</v>
      </c>
      <c r="U1004" s="5">
        <v>199</v>
      </c>
      <c r="V1004" s="5"/>
    </row>
    <row r="1005" spans="2:22" ht="20" hidden="1" x14ac:dyDescent="0.25">
      <c r="B1005" s="2" t="s">
        <v>1302</v>
      </c>
      <c r="C1005" s="2" t="s">
        <v>1203</v>
      </c>
      <c r="D1005" s="2" t="s">
        <v>817</v>
      </c>
      <c r="E1005" s="2" t="s">
        <v>27</v>
      </c>
      <c r="F1005" s="2" t="s">
        <v>1205</v>
      </c>
      <c r="G1005" s="2" t="s">
        <v>27</v>
      </c>
      <c r="H1005" s="2">
        <v>70470</v>
      </c>
      <c r="I1005" s="2">
        <v>70475</v>
      </c>
      <c r="J1005" s="2" t="s">
        <v>28</v>
      </c>
      <c r="K1005" s="2" t="s">
        <v>1302</v>
      </c>
      <c r="L1005" s="2" t="s">
        <v>30</v>
      </c>
      <c r="M1005" s="2" t="s">
        <v>1203</v>
      </c>
      <c r="N1005" s="3">
        <v>800</v>
      </c>
      <c r="O1005" s="3">
        <v>880</v>
      </c>
      <c r="P1005" s="3">
        <v>910</v>
      </c>
      <c r="Q1005" s="3">
        <v>1001</v>
      </c>
      <c r="R1005" s="3">
        <v>159</v>
      </c>
      <c r="S1005" s="3">
        <v>175</v>
      </c>
      <c r="T1005" s="3">
        <v>181</v>
      </c>
      <c r="U1005" s="3">
        <v>199</v>
      </c>
      <c r="V1005" s="3"/>
    </row>
    <row r="1006" spans="2:22" ht="21" hidden="1" x14ac:dyDescent="0.25">
      <c r="B1006" s="4" t="s">
        <v>87</v>
      </c>
      <c r="C1006" s="4" t="s">
        <v>88</v>
      </c>
      <c r="D1006" s="4" t="s">
        <v>89</v>
      </c>
      <c r="E1006" s="4" t="s">
        <v>27</v>
      </c>
      <c r="F1006" s="4" t="s">
        <v>44</v>
      </c>
      <c r="G1006" s="4" t="s">
        <v>27</v>
      </c>
      <c r="H1006" s="4">
        <v>523853</v>
      </c>
      <c r="I1006" s="4">
        <v>599950</v>
      </c>
      <c r="J1006" s="4" t="s">
        <v>28</v>
      </c>
      <c r="K1006" s="4" t="s">
        <v>87</v>
      </c>
      <c r="L1006" s="4" t="s">
        <v>29</v>
      </c>
      <c r="M1006" s="4"/>
      <c r="N1006" s="5">
        <v>636</v>
      </c>
      <c r="O1006" s="5">
        <v>636</v>
      </c>
      <c r="P1006" s="5">
        <v>1000</v>
      </c>
      <c r="Q1006" s="5">
        <v>1000</v>
      </c>
      <c r="R1006" s="5">
        <v>380</v>
      </c>
      <c r="S1006" s="5">
        <v>380</v>
      </c>
      <c r="T1006" s="5">
        <v>598</v>
      </c>
      <c r="U1006" s="5">
        <v>598</v>
      </c>
      <c r="V1006" s="5"/>
    </row>
    <row r="1007" spans="2:22" ht="20" hidden="1" x14ac:dyDescent="0.25">
      <c r="B1007" s="2" t="s">
        <v>87</v>
      </c>
      <c r="C1007" s="2" t="s">
        <v>88</v>
      </c>
      <c r="D1007" s="2" t="s">
        <v>89</v>
      </c>
      <c r="E1007" s="2" t="s">
        <v>27</v>
      </c>
      <c r="F1007" s="2" t="s">
        <v>44</v>
      </c>
      <c r="G1007" s="2" t="s">
        <v>27</v>
      </c>
      <c r="H1007" s="2">
        <v>523853</v>
      </c>
      <c r="I1007" s="2">
        <v>599950</v>
      </c>
      <c r="J1007" s="2" t="s">
        <v>28</v>
      </c>
      <c r="K1007" s="2" t="s">
        <v>87</v>
      </c>
      <c r="L1007" s="2" t="s">
        <v>30</v>
      </c>
      <c r="M1007" s="2" t="s">
        <v>88</v>
      </c>
      <c r="N1007" s="3">
        <v>636</v>
      </c>
      <c r="O1007" s="3">
        <v>636</v>
      </c>
      <c r="P1007" s="2">
        <v>1471</v>
      </c>
      <c r="Q1007" s="2">
        <v>1471</v>
      </c>
      <c r="R1007" s="3">
        <v>380</v>
      </c>
      <c r="S1007" s="3">
        <v>380</v>
      </c>
      <c r="T1007" s="2">
        <v>879</v>
      </c>
      <c r="U1007" s="2">
        <v>879</v>
      </c>
      <c r="V1007" s="2"/>
    </row>
    <row r="1008" spans="2:22" ht="20" hidden="1" x14ac:dyDescent="0.25">
      <c r="B1008" s="2" t="s">
        <v>87</v>
      </c>
      <c r="C1008" s="2" t="s">
        <v>88</v>
      </c>
      <c r="D1008" s="2" t="s">
        <v>89</v>
      </c>
      <c r="E1008" s="2" t="s">
        <v>27</v>
      </c>
      <c r="F1008" s="2" t="s">
        <v>44</v>
      </c>
      <c r="G1008" s="2" t="s">
        <v>27</v>
      </c>
      <c r="H1008" s="2">
        <v>523853</v>
      </c>
      <c r="I1008" s="2">
        <v>599950</v>
      </c>
      <c r="J1008" s="2" t="s">
        <v>28</v>
      </c>
      <c r="K1008" s="2" t="s">
        <v>90</v>
      </c>
      <c r="L1008" s="2" t="s">
        <v>39</v>
      </c>
      <c r="M1008" s="2" t="s">
        <v>59</v>
      </c>
      <c r="N1008" s="2">
        <v>1000</v>
      </c>
      <c r="O1008" s="2">
        <v>1000</v>
      </c>
      <c r="P1008" s="3">
        <v>1000</v>
      </c>
      <c r="Q1008" s="3">
        <v>1000</v>
      </c>
      <c r="R1008" s="2">
        <v>598</v>
      </c>
      <c r="S1008" s="2">
        <v>598</v>
      </c>
      <c r="T1008" s="3">
        <v>598</v>
      </c>
      <c r="U1008" s="3">
        <v>598</v>
      </c>
      <c r="V1008" s="7"/>
    </row>
  </sheetData>
  <autoFilter ref="B5:V1008" xr:uid="{6F6BD4FE-E509-4C8E-87F5-FDA4A9CD6414}">
    <filterColumn colId="0">
      <filters>
        <filter val="ARAP-ENGL-115.0-1"/>
        <filter val="ARAP-SHER-115.0-1"/>
        <filter val="BERG-HOGB-115.0-1"/>
        <filter val="CARB-HOPK-115.0-1"/>
        <filter val="CONI_TP1-CONI-115.0-1"/>
        <filter val="CONI_TP2-CONI-115.0-1"/>
        <filter val="CONI_TP2-CONI-115.0-2"/>
        <filter val="GILM-ROBI-115.0-1"/>
        <filter val="HOPK-SHOS-115.0-1"/>
        <filter val="LYDS_TP-QUAK-115.0-1"/>
        <filter val="PAWN-MSST-345.0-1"/>
        <filter val="SOUT_TP-SOUT-115.0-1"/>
        <filter val="UNCS-UNCC-115.0-1"/>
      </filters>
    </filterColumn>
    <filterColumn colId="1">
      <filters>
        <filter val="7091"/>
        <filter val="8026"/>
        <filter val="8271"/>
        <filter val="9257"/>
        <filter val="9333"/>
        <filter val="9334"/>
        <filter val="9335"/>
        <filter val="9584"/>
        <filter val="9714"/>
        <filter val="9715"/>
        <filter val="9794"/>
      </filters>
    </filterColumn>
    <filterColumn colId="10">
      <filters>
        <filter val="FACILITY"/>
      </filters>
    </filterColumn>
  </autoFilter>
  <mergeCells count="7">
    <mergeCell ref="B2:D3"/>
    <mergeCell ref="E2:G3"/>
    <mergeCell ref="I2:K2"/>
    <mergeCell ref="L2:Q2"/>
    <mergeCell ref="R2:V2"/>
    <mergeCell ref="I3:K3"/>
    <mergeCell ref="L3:Q3"/>
  </mergeCells>
  <pageMargins left="0" right="0" top="0" bottom="0.47082992125984258" header="0" footer="0"/>
  <pageSetup paperSize="3" scale="97" fitToHeight="0" orientation="landscape" r:id="rId1"/>
  <headerFooter alignWithMargins="0">
    <oddFooter xml:space="preserve">&amp;C 10/23/2019 7:16:06 AM &amp;RPage &amp;P of &amp;N </oddFooter>
  </headerFooter>
  <rowBreaks count="39" manualBreakCount="39">
    <brk id="30" max="21" man="1"/>
    <brk id="54" max="21" man="1"/>
    <brk id="76" max="21" man="1"/>
    <brk id="97" max="16383" man="1"/>
    <brk id="124" max="16383" man="1"/>
    <brk id="154" max="21" man="1"/>
    <brk id="179" max="16383" man="1"/>
    <brk id="205" max="21" man="1"/>
    <brk id="232" max="21" man="1"/>
    <brk id="257" max="16383" man="1"/>
    <brk id="282" max="16383" man="1"/>
    <brk id="305" max="16383" man="1"/>
    <brk id="331" max="21" man="1"/>
    <brk id="357" max="21" man="1"/>
    <brk id="378" max="21" man="1"/>
    <brk id="405" max="16383" man="1"/>
    <brk id="432" max="16383" man="1"/>
    <brk id="459" max="16383" man="1"/>
    <brk id="486" max="16383" man="1"/>
    <brk id="510" max="16383" man="1"/>
    <brk id="567" max="16383" man="1"/>
    <brk id="594" max="16383" man="1"/>
    <brk id="613" max="16383" man="1"/>
    <brk id="631" max="16383" man="1"/>
    <brk id="655" max="16383" man="1"/>
    <brk id="673" max="16383" man="1"/>
    <brk id="698" max="16383" man="1"/>
    <brk id="725" max="16383" man="1"/>
    <brk id="753" max="16383" man="1"/>
    <brk id="782" max="16383" man="1"/>
    <brk id="810" max="16383" man="1"/>
    <brk id="831" max="16383" man="1"/>
    <brk id="854" max="16383" man="1"/>
    <brk id="877" max="16383" man="1"/>
    <brk id="899" max="16383" man="1"/>
    <brk id="927" max="16383" man="1"/>
    <brk id="949" max="16383" man="1"/>
    <brk id="974" max="16383" man="1"/>
    <brk id="1001" max="2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6:BN288"/>
  <sheetViews>
    <sheetView tabSelected="1" zoomScaleNormal="100" zoomScaleSheetLayoutView="100" workbookViewId="0"/>
  </sheetViews>
  <sheetFormatPr defaultColWidth="9.453125" defaultRowHeight="12.5" x14ac:dyDescent="0.25"/>
  <cols>
    <col min="1" max="7" width="9.453125" style="9" customWidth="1"/>
    <col min="8" max="8" width="9.453125" style="10" customWidth="1"/>
    <col min="9" max="12" width="9.453125" style="9" customWidth="1"/>
    <col min="13" max="13" width="9.453125" style="10" customWidth="1"/>
    <col min="14" max="14" width="9.453125" style="9" customWidth="1"/>
    <col min="15" max="15" width="9.453125" style="10" customWidth="1"/>
    <col min="16" max="24" width="9.453125" style="9" customWidth="1"/>
    <col min="25" max="25" width="9.453125" style="10" customWidth="1"/>
    <col min="26" max="34" width="9.453125" style="9" customWidth="1"/>
    <col min="35" max="35" width="9.453125" style="10" customWidth="1"/>
    <col min="36" max="50" width="9.453125" style="9" customWidth="1"/>
    <col min="51" max="256" width="9.453125" style="8"/>
    <col min="257" max="306" width="9.453125" style="8" customWidth="1"/>
    <col min="307" max="512" width="9.453125" style="8"/>
    <col min="513" max="562" width="9.453125" style="8" customWidth="1"/>
    <col min="563" max="768" width="9.453125" style="8"/>
    <col min="769" max="818" width="9.453125" style="8" customWidth="1"/>
    <col min="819" max="1024" width="9.453125" style="8"/>
    <col min="1025" max="1074" width="9.453125" style="8" customWidth="1"/>
    <col min="1075" max="1280" width="9.453125" style="8"/>
    <col min="1281" max="1330" width="9.453125" style="8" customWidth="1"/>
    <col min="1331" max="1536" width="9.453125" style="8"/>
    <col min="1537" max="1586" width="9.453125" style="8" customWidth="1"/>
    <col min="1587" max="1792" width="9.453125" style="8"/>
    <col min="1793" max="1842" width="9.453125" style="8" customWidth="1"/>
    <col min="1843" max="2048" width="9.453125" style="8"/>
    <col min="2049" max="2098" width="9.453125" style="8" customWidth="1"/>
    <col min="2099" max="2304" width="9.453125" style="8"/>
    <col min="2305" max="2354" width="9.453125" style="8" customWidth="1"/>
    <col min="2355" max="2560" width="9.453125" style="8"/>
    <col min="2561" max="2610" width="9.453125" style="8" customWidth="1"/>
    <col min="2611" max="2816" width="9.453125" style="8"/>
    <col min="2817" max="2866" width="9.453125" style="8" customWidth="1"/>
    <col min="2867" max="3072" width="9.453125" style="8"/>
    <col min="3073" max="3122" width="9.453125" style="8" customWidth="1"/>
    <col min="3123" max="3328" width="9.453125" style="8"/>
    <col min="3329" max="3378" width="9.453125" style="8" customWidth="1"/>
    <col min="3379" max="3584" width="9.453125" style="8"/>
    <col min="3585" max="3634" width="9.453125" style="8" customWidth="1"/>
    <col min="3635" max="3840" width="9.453125" style="8"/>
    <col min="3841" max="3890" width="9.453125" style="8" customWidth="1"/>
    <col min="3891" max="4096" width="9.453125" style="8"/>
    <col min="4097" max="4146" width="9.453125" style="8" customWidth="1"/>
    <col min="4147" max="4352" width="9.453125" style="8"/>
    <col min="4353" max="4402" width="9.453125" style="8" customWidth="1"/>
    <col min="4403" max="4608" width="9.453125" style="8"/>
    <col min="4609" max="4658" width="9.453125" style="8" customWidth="1"/>
    <col min="4659" max="4864" width="9.453125" style="8"/>
    <col min="4865" max="4914" width="9.453125" style="8" customWidth="1"/>
    <col min="4915" max="5120" width="9.453125" style="8"/>
    <col min="5121" max="5170" width="9.453125" style="8" customWidth="1"/>
    <col min="5171" max="5376" width="9.453125" style="8"/>
    <col min="5377" max="5426" width="9.453125" style="8" customWidth="1"/>
    <col min="5427" max="5632" width="9.453125" style="8"/>
    <col min="5633" max="5682" width="9.453125" style="8" customWidth="1"/>
    <col min="5683" max="5888" width="9.453125" style="8"/>
    <col min="5889" max="5938" width="9.453125" style="8" customWidth="1"/>
    <col min="5939" max="6144" width="9.453125" style="8"/>
    <col min="6145" max="6194" width="9.453125" style="8" customWidth="1"/>
    <col min="6195" max="6400" width="9.453125" style="8"/>
    <col min="6401" max="6450" width="9.453125" style="8" customWidth="1"/>
    <col min="6451" max="6656" width="9.453125" style="8"/>
    <col min="6657" max="6706" width="9.453125" style="8" customWidth="1"/>
    <col min="6707" max="6912" width="9.453125" style="8"/>
    <col min="6913" max="6962" width="9.453125" style="8" customWidth="1"/>
    <col min="6963" max="7168" width="9.453125" style="8"/>
    <col min="7169" max="7218" width="9.453125" style="8" customWidth="1"/>
    <col min="7219" max="7424" width="9.453125" style="8"/>
    <col min="7425" max="7474" width="9.453125" style="8" customWidth="1"/>
    <col min="7475" max="7680" width="9.453125" style="8"/>
    <col min="7681" max="7730" width="9.453125" style="8" customWidth="1"/>
    <col min="7731" max="7936" width="9.453125" style="8"/>
    <col min="7937" max="7986" width="9.453125" style="8" customWidth="1"/>
    <col min="7987" max="8192" width="9.453125" style="8"/>
    <col min="8193" max="8242" width="9.453125" style="8" customWidth="1"/>
    <col min="8243" max="8448" width="9.453125" style="8"/>
    <col min="8449" max="8498" width="9.453125" style="8" customWidth="1"/>
    <col min="8499" max="8704" width="9.453125" style="8"/>
    <col min="8705" max="8754" width="9.453125" style="8" customWidth="1"/>
    <col min="8755" max="8960" width="9.453125" style="8"/>
    <col min="8961" max="9010" width="9.453125" style="8" customWidth="1"/>
    <col min="9011" max="9216" width="9.453125" style="8"/>
    <col min="9217" max="9266" width="9.453125" style="8" customWidth="1"/>
    <col min="9267" max="9472" width="9.453125" style="8"/>
    <col min="9473" max="9522" width="9.453125" style="8" customWidth="1"/>
    <col min="9523" max="9728" width="9.453125" style="8"/>
    <col min="9729" max="9778" width="9.453125" style="8" customWidth="1"/>
    <col min="9779" max="9984" width="9.453125" style="8"/>
    <col min="9985" max="10034" width="9.453125" style="8" customWidth="1"/>
    <col min="10035" max="10240" width="9.453125" style="8"/>
    <col min="10241" max="10290" width="9.453125" style="8" customWidth="1"/>
    <col min="10291" max="10496" width="9.453125" style="8"/>
    <col min="10497" max="10546" width="9.453125" style="8" customWidth="1"/>
    <col min="10547" max="10752" width="9.453125" style="8"/>
    <col min="10753" max="10802" width="9.453125" style="8" customWidth="1"/>
    <col min="10803" max="11008" width="9.453125" style="8"/>
    <col min="11009" max="11058" width="9.453125" style="8" customWidth="1"/>
    <col min="11059" max="11264" width="9.453125" style="8"/>
    <col min="11265" max="11314" width="9.453125" style="8" customWidth="1"/>
    <col min="11315" max="11520" width="9.453125" style="8"/>
    <col min="11521" max="11570" width="9.453125" style="8" customWidth="1"/>
    <col min="11571" max="11776" width="9.453125" style="8"/>
    <col min="11777" max="11826" width="9.453125" style="8" customWidth="1"/>
    <col min="11827" max="12032" width="9.453125" style="8"/>
    <col min="12033" max="12082" width="9.453125" style="8" customWidth="1"/>
    <col min="12083" max="12288" width="9.453125" style="8"/>
    <col min="12289" max="12338" width="9.453125" style="8" customWidth="1"/>
    <col min="12339" max="12544" width="9.453125" style="8"/>
    <col min="12545" max="12594" width="9.453125" style="8" customWidth="1"/>
    <col min="12595" max="12800" width="9.453125" style="8"/>
    <col min="12801" max="12850" width="9.453125" style="8" customWidth="1"/>
    <col min="12851" max="13056" width="9.453125" style="8"/>
    <col min="13057" max="13106" width="9.453125" style="8" customWidth="1"/>
    <col min="13107" max="13312" width="9.453125" style="8"/>
    <col min="13313" max="13362" width="9.453125" style="8" customWidth="1"/>
    <col min="13363" max="13568" width="9.453125" style="8"/>
    <col min="13569" max="13618" width="9.453125" style="8" customWidth="1"/>
    <col min="13619" max="13824" width="9.453125" style="8"/>
    <col min="13825" max="13874" width="9.453125" style="8" customWidth="1"/>
    <col min="13875" max="14080" width="9.453125" style="8"/>
    <col min="14081" max="14130" width="9.453125" style="8" customWidth="1"/>
    <col min="14131" max="14336" width="9.453125" style="8"/>
    <col min="14337" max="14386" width="9.453125" style="8" customWidth="1"/>
    <col min="14387" max="14592" width="9.453125" style="8"/>
    <col min="14593" max="14642" width="9.453125" style="8" customWidth="1"/>
    <col min="14643" max="14848" width="9.453125" style="8"/>
    <col min="14849" max="14898" width="9.453125" style="8" customWidth="1"/>
    <col min="14899" max="15104" width="9.453125" style="8"/>
    <col min="15105" max="15154" width="9.453125" style="8" customWidth="1"/>
    <col min="15155" max="15360" width="9.453125" style="8"/>
    <col min="15361" max="15410" width="9.453125" style="8" customWidth="1"/>
    <col min="15411" max="15616" width="9.453125" style="8"/>
    <col min="15617" max="15666" width="9.453125" style="8" customWidth="1"/>
    <col min="15667" max="15872" width="9.453125" style="8"/>
    <col min="15873" max="15922" width="9.453125" style="8" customWidth="1"/>
    <col min="15923" max="16128" width="9.453125" style="8"/>
    <col min="16129" max="16178" width="9.453125" style="8" customWidth="1"/>
    <col min="16179" max="16384" width="9.453125" style="8"/>
  </cols>
  <sheetData>
    <row r="6" spans="1:66" s="14" customFormat="1" ht="12.75" customHeight="1" x14ac:dyDescent="0.25">
      <c r="A6" s="374" t="s">
        <v>2693</v>
      </c>
      <c r="B6" s="375"/>
      <c r="C6" s="375"/>
      <c r="D6" s="375"/>
      <c r="E6" s="375"/>
      <c r="F6" s="375"/>
      <c r="G6" s="375"/>
      <c r="H6" s="375"/>
      <c r="I6" s="8"/>
      <c r="J6" s="8"/>
      <c r="K6" s="9"/>
      <c r="L6" s="9"/>
      <c r="M6" s="10"/>
      <c r="N6" s="9"/>
      <c r="O6" s="10"/>
      <c r="P6" s="11"/>
      <c r="Q6" s="11"/>
      <c r="R6" s="11"/>
      <c r="S6" s="11"/>
      <c r="T6" s="9"/>
      <c r="U6" s="9"/>
      <c r="V6" s="9"/>
      <c r="W6" s="9"/>
      <c r="X6" s="9"/>
      <c r="Y6" s="10"/>
      <c r="Z6" s="11"/>
      <c r="AA6" s="11"/>
      <c r="AB6" s="11"/>
      <c r="AC6" s="11"/>
      <c r="AD6" s="11"/>
      <c r="AE6" s="11"/>
      <c r="AF6" s="11"/>
      <c r="AG6" s="11"/>
      <c r="AH6" s="11"/>
      <c r="AI6" s="12"/>
      <c r="AJ6" s="11"/>
      <c r="AK6" s="11"/>
      <c r="AL6" s="11"/>
      <c r="AM6" s="11"/>
      <c r="AN6" s="9"/>
      <c r="AO6" s="9"/>
      <c r="AP6" s="9"/>
      <c r="AQ6" s="9"/>
      <c r="AR6" s="9"/>
      <c r="AS6" s="9"/>
      <c r="AT6" s="9"/>
      <c r="AU6" s="9"/>
      <c r="AV6" s="9"/>
      <c r="AW6" s="9"/>
      <c r="AX6" s="13"/>
    </row>
    <row r="7" spans="1:66" s="14" customFormat="1" x14ac:dyDescent="0.25">
      <c r="A7" s="375"/>
      <c r="B7" s="375"/>
      <c r="C7" s="375"/>
      <c r="D7" s="375"/>
      <c r="E7" s="375"/>
      <c r="F7" s="375"/>
      <c r="G7" s="375"/>
      <c r="H7" s="375"/>
      <c r="I7" s="8"/>
      <c r="J7" s="8"/>
      <c r="K7" s="11"/>
      <c r="L7" s="11"/>
      <c r="M7" s="10"/>
      <c r="N7" s="9"/>
      <c r="O7" s="10"/>
      <c r="P7" s="11"/>
      <c r="Q7" s="11"/>
      <c r="R7" s="11"/>
      <c r="S7" s="11"/>
      <c r="T7" s="9"/>
      <c r="U7" s="9"/>
      <c r="V7" s="9"/>
      <c r="W7" s="9"/>
      <c r="X7" s="9"/>
      <c r="Y7" s="10"/>
      <c r="Z7" s="11"/>
      <c r="AA7" s="11"/>
      <c r="AB7" s="11"/>
      <c r="AC7" s="11"/>
      <c r="AD7" s="11"/>
      <c r="AE7" s="11"/>
      <c r="AF7" s="11"/>
      <c r="AG7" s="11"/>
      <c r="AH7" s="11"/>
      <c r="AI7" s="12"/>
      <c r="AJ7" s="11"/>
      <c r="AK7" s="11"/>
      <c r="AL7" s="11"/>
      <c r="AM7" s="11"/>
      <c r="AN7" s="9"/>
      <c r="AO7" s="9"/>
      <c r="AP7" s="9"/>
      <c r="AQ7" s="9"/>
      <c r="AR7" s="9"/>
      <c r="AS7" s="9"/>
      <c r="AT7" s="9"/>
      <c r="AU7" s="9"/>
      <c r="AV7" s="9"/>
      <c r="AW7" s="9"/>
      <c r="AX7" s="13"/>
    </row>
    <row r="8" spans="1:66" s="14" customFormat="1" x14ac:dyDescent="0.25">
      <c r="A8" s="375"/>
      <c r="B8" s="375"/>
      <c r="C8" s="375"/>
      <c r="D8" s="375"/>
      <c r="E8" s="375"/>
      <c r="F8" s="375"/>
      <c r="G8" s="375"/>
      <c r="H8" s="375"/>
      <c r="I8" s="8"/>
      <c r="J8" s="8"/>
      <c r="K8" s="11"/>
      <c r="L8" s="11"/>
      <c r="M8" s="10"/>
      <c r="N8" s="9"/>
      <c r="O8" s="10"/>
      <c r="P8" s="11"/>
      <c r="Q8" s="11"/>
      <c r="R8" s="11"/>
      <c r="S8" s="11"/>
      <c r="T8" s="9"/>
      <c r="U8" s="9"/>
      <c r="V8" s="9"/>
      <c r="W8" s="9"/>
      <c r="X8" s="9"/>
      <c r="Y8" s="10"/>
      <c r="Z8" s="11"/>
      <c r="AA8" s="11"/>
      <c r="AB8" s="11"/>
      <c r="AC8" s="11"/>
      <c r="AD8" s="11"/>
      <c r="AE8" s="11"/>
      <c r="AF8" s="11"/>
      <c r="AG8" s="11"/>
      <c r="AH8" s="11"/>
      <c r="AI8" s="12"/>
      <c r="AJ8" s="11"/>
      <c r="AK8" s="11"/>
      <c r="AL8" s="11"/>
      <c r="AM8" s="11"/>
      <c r="AN8" s="9"/>
      <c r="AO8" s="9"/>
      <c r="AP8" s="9"/>
      <c r="AQ8" s="9"/>
      <c r="AR8" s="9"/>
      <c r="AS8" s="9"/>
      <c r="AT8" s="9"/>
      <c r="AU8" s="9"/>
      <c r="AV8" s="9"/>
      <c r="AW8" s="9"/>
      <c r="AX8" s="13"/>
    </row>
    <row r="9" spans="1:66" s="14" customFormat="1" ht="87.5" x14ac:dyDescent="0.25">
      <c r="A9" s="375"/>
      <c r="B9" s="375"/>
      <c r="C9" s="375"/>
      <c r="D9" s="375"/>
      <c r="E9" s="375"/>
      <c r="F9" s="375"/>
      <c r="G9" s="375"/>
      <c r="H9" s="375"/>
      <c r="I9" s="8"/>
      <c r="J9" s="8"/>
      <c r="K9" s="11"/>
      <c r="L9" s="11"/>
      <c r="M9" s="10"/>
      <c r="N9" s="9"/>
      <c r="O9" s="10"/>
      <c r="P9" s="11"/>
      <c r="Q9" s="11"/>
      <c r="R9" s="11"/>
      <c r="S9" s="11"/>
      <c r="T9" s="9"/>
      <c r="U9" s="9"/>
      <c r="V9" s="9"/>
      <c r="W9" s="9"/>
      <c r="X9" s="9"/>
      <c r="Y9" s="10"/>
      <c r="Z9" s="11"/>
      <c r="AA9" s="11"/>
      <c r="AB9" s="11"/>
      <c r="AC9" s="11"/>
      <c r="AD9" s="11"/>
      <c r="AE9" s="11"/>
      <c r="AF9" s="11"/>
      <c r="AG9" s="11"/>
      <c r="AH9" s="11"/>
      <c r="AI9" s="12"/>
      <c r="AJ9" s="11"/>
      <c r="AK9" s="11"/>
      <c r="AL9" s="11"/>
      <c r="AM9" s="11"/>
      <c r="AN9" s="9"/>
      <c r="AO9" s="9"/>
      <c r="AP9" s="9"/>
      <c r="AQ9" s="9"/>
      <c r="AR9" s="9"/>
      <c r="AS9" s="9"/>
      <c r="AT9" s="9"/>
      <c r="AU9" s="9"/>
      <c r="AV9" s="9"/>
      <c r="AW9" s="9"/>
      <c r="AX9" s="13"/>
      <c r="BN9" s="14" t="s">
        <v>1409</v>
      </c>
    </row>
    <row r="10" spans="1:66" s="14" customFormat="1" x14ac:dyDescent="0.25">
      <c r="A10" s="375"/>
      <c r="B10" s="375"/>
      <c r="C10" s="375"/>
      <c r="D10" s="375"/>
      <c r="E10" s="375"/>
      <c r="F10" s="375"/>
      <c r="G10" s="375"/>
      <c r="H10" s="375"/>
      <c r="I10" s="8"/>
      <c r="J10" s="8"/>
      <c r="K10" s="9"/>
      <c r="L10" s="9"/>
      <c r="M10" s="10"/>
      <c r="N10" s="9"/>
      <c r="O10" s="10"/>
      <c r="P10" s="11"/>
      <c r="Q10" s="11"/>
      <c r="R10" s="11"/>
      <c r="S10" s="11"/>
      <c r="T10" s="9"/>
      <c r="U10" s="9"/>
      <c r="V10" s="9"/>
      <c r="W10" s="9"/>
      <c r="X10" s="9"/>
      <c r="Y10" s="10"/>
      <c r="Z10" s="11"/>
      <c r="AA10" s="11"/>
      <c r="AB10" s="11"/>
      <c r="AC10" s="11"/>
      <c r="AD10" s="11"/>
      <c r="AE10" s="11"/>
      <c r="AF10" s="11"/>
      <c r="AG10" s="11"/>
      <c r="AH10" s="11"/>
      <c r="AI10" s="12"/>
      <c r="AJ10" s="11"/>
      <c r="AK10" s="11"/>
      <c r="AL10" s="11"/>
      <c r="AM10" s="11"/>
      <c r="AN10" s="9"/>
      <c r="AO10" s="9"/>
      <c r="AP10" s="9"/>
      <c r="AQ10" s="9"/>
      <c r="AR10" s="9"/>
      <c r="AS10" s="9"/>
      <c r="AT10" s="9"/>
      <c r="AU10" s="9"/>
      <c r="AV10" s="9"/>
      <c r="AW10" s="9"/>
      <c r="AX10" s="13"/>
    </row>
    <row r="11" spans="1:66" s="14" customFormat="1" x14ac:dyDescent="0.25">
      <c r="A11" s="375"/>
      <c r="B11" s="375"/>
      <c r="C11" s="375"/>
      <c r="D11" s="375"/>
      <c r="E11" s="375"/>
      <c r="F11" s="375"/>
      <c r="G11" s="375"/>
      <c r="H11" s="375"/>
      <c r="I11" s="8"/>
      <c r="J11" s="8"/>
      <c r="K11" s="9"/>
      <c r="L11" s="9"/>
      <c r="M11" s="10"/>
      <c r="N11" s="9"/>
      <c r="O11" s="10"/>
      <c r="P11" s="11"/>
      <c r="Q11" s="11"/>
      <c r="R11" s="11"/>
      <c r="S11" s="11"/>
      <c r="T11" s="9"/>
      <c r="U11" s="9"/>
      <c r="V11" s="9"/>
      <c r="W11" s="9"/>
      <c r="X11" s="9"/>
      <c r="Y11" s="10"/>
      <c r="Z11" s="11"/>
      <c r="AA11" s="11"/>
      <c r="AB11" s="11"/>
      <c r="AC11" s="11"/>
      <c r="AD11" s="11"/>
      <c r="AE11" s="11"/>
      <c r="AF11" s="11"/>
      <c r="AG11" s="11"/>
      <c r="AH11" s="11"/>
      <c r="AI11" s="12"/>
      <c r="AJ11" s="11"/>
      <c r="AK11" s="11"/>
      <c r="AL11" s="11"/>
      <c r="AM11" s="11"/>
      <c r="AN11" s="9"/>
      <c r="AO11" s="9"/>
      <c r="AP11" s="9"/>
      <c r="AQ11" s="9"/>
      <c r="AR11" s="9"/>
      <c r="AS11" s="9"/>
      <c r="AT11" s="9"/>
      <c r="AU11" s="9"/>
      <c r="AV11" s="9"/>
      <c r="AW11" s="9"/>
      <c r="AX11" s="13"/>
    </row>
    <row r="12" spans="1:66" s="14" customFormat="1" x14ac:dyDescent="0.25">
      <c r="A12" s="375"/>
      <c r="B12" s="375"/>
      <c r="C12" s="375"/>
      <c r="D12" s="375"/>
      <c r="E12" s="375"/>
      <c r="F12" s="375"/>
      <c r="G12" s="375"/>
      <c r="H12" s="375"/>
      <c r="I12" s="8"/>
      <c r="J12" s="8"/>
      <c r="K12" s="11"/>
      <c r="L12" s="11"/>
      <c r="M12" s="10"/>
      <c r="N12" s="9"/>
      <c r="O12" s="10"/>
      <c r="P12" s="11"/>
      <c r="Q12" s="11"/>
      <c r="R12" s="11"/>
      <c r="S12" s="11"/>
      <c r="T12" s="9"/>
      <c r="U12" s="9"/>
      <c r="V12" s="9"/>
      <c r="W12" s="9"/>
      <c r="X12" s="9"/>
      <c r="Y12" s="10"/>
      <c r="Z12" s="11"/>
      <c r="AA12" s="11"/>
      <c r="AB12" s="11"/>
      <c r="AC12" s="11"/>
      <c r="AD12" s="11"/>
      <c r="AE12" s="11"/>
      <c r="AF12" s="11"/>
      <c r="AG12" s="11"/>
      <c r="AH12" s="11"/>
      <c r="AI12" s="12"/>
      <c r="AJ12" s="11"/>
      <c r="AK12" s="11"/>
      <c r="AL12" s="11"/>
      <c r="AM12" s="11"/>
      <c r="AN12" s="9"/>
      <c r="AO12" s="9"/>
      <c r="AP12" s="9"/>
      <c r="AQ12" s="9"/>
      <c r="AR12" s="9"/>
      <c r="AS12" s="9"/>
      <c r="AT12" s="9"/>
      <c r="AU12" s="9"/>
      <c r="AV12" s="9"/>
      <c r="AW12" s="9"/>
      <c r="AX12" s="13"/>
    </row>
    <row r="13" spans="1:66" s="14" customFormat="1" x14ac:dyDescent="0.25">
      <c r="A13" s="375"/>
      <c r="B13" s="375"/>
      <c r="C13" s="375"/>
      <c r="D13" s="375"/>
      <c r="E13" s="375"/>
      <c r="F13" s="375"/>
      <c r="G13" s="375"/>
      <c r="H13" s="375"/>
      <c r="I13" s="8"/>
      <c r="J13" s="8"/>
      <c r="K13" s="11"/>
      <c r="L13" s="11"/>
      <c r="M13" s="10"/>
      <c r="N13" s="9"/>
      <c r="O13" s="10"/>
      <c r="P13" s="11"/>
      <c r="Q13" s="11"/>
      <c r="R13" s="11"/>
      <c r="S13" s="11"/>
      <c r="T13" s="9"/>
      <c r="U13" s="9"/>
      <c r="V13" s="9"/>
      <c r="W13" s="9"/>
      <c r="X13" s="9"/>
      <c r="Y13" s="10"/>
      <c r="Z13" s="11"/>
      <c r="AA13" s="11"/>
      <c r="AB13" s="11"/>
      <c r="AC13" s="11"/>
      <c r="AD13" s="11"/>
      <c r="AE13" s="11"/>
      <c r="AF13" s="11"/>
      <c r="AG13" s="11"/>
      <c r="AH13" s="11"/>
      <c r="AI13" s="12"/>
      <c r="AJ13" s="11"/>
      <c r="AK13" s="11"/>
      <c r="AL13" s="11"/>
      <c r="AM13" s="11"/>
      <c r="AN13" s="9"/>
      <c r="AO13" s="9"/>
      <c r="AP13" s="9"/>
      <c r="AQ13" s="9"/>
      <c r="AR13" s="9"/>
      <c r="AS13" s="9"/>
      <c r="AT13" s="9"/>
      <c r="AU13" s="9"/>
      <c r="AV13" s="9"/>
      <c r="AW13" s="9"/>
      <c r="AX13" s="13"/>
    </row>
    <row r="14" spans="1:66" s="14" customFormat="1" x14ac:dyDescent="0.25">
      <c r="A14" s="375"/>
      <c r="B14" s="375"/>
      <c r="C14" s="375"/>
      <c r="D14" s="375"/>
      <c r="E14" s="375"/>
      <c r="F14" s="375"/>
      <c r="G14" s="375"/>
      <c r="H14" s="375"/>
      <c r="I14" s="8"/>
      <c r="J14" s="8"/>
      <c r="K14" s="11"/>
      <c r="L14" s="11"/>
      <c r="M14" s="10"/>
      <c r="N14" s="9"/>
      <c r="O14" s="15"/>
      <c r="P14" s="11"/>
      <c r="Q14" s="11"/>
      <c r="R14" s="11"/>
      <c r="S14" s="11"/>
      <c r="T14" s="9"/>
      <c r="U14" s="9"/>
      <c r="V14" s="9"/>
      <c r="W14" s="9"/>
      <c r="X14" s="9"/>
      <c r="Y14" s="10"/>
      <c r="Z14" s="11"/>
      <c r="AA14" s="11"/>
      <c r="AB14" s="11"/>
      <c r="AC14" s="11"/>
      <c r="AD14" s="11"/>
      <c r="AE14" s="11"/>
      <c r="AF14" s="11"/>
      <c r="AG14" s="11"/>
      <c r="AH14" s="11"/>
      <c r="AI14" s="12"/>
      <c r="AJ14" s="11"/>
      <c r="AK14" s="11"/>
      <c r="AL14" s="11"/>
      <c r="AM14" s="11"/>
      <c r="AN14" s="9"/>
      <c r="AO14" s="9"/>
      <c r="AP14" s="9"/>
      <c r="AQ14" s="9"/>
      <c r="AR14" s="9"/>
      <c r="AS14" s="9"/>
      <c r="AT14" s="9"/>
      <c r="AU14" s="9"/>
      <c r="AV14" s="9"/>
      <c r="AW14" s="9"/>
      <c r="AX14" s="13"/>
    </row>
    <row r="15" spans="1:66" s="14" customFormat="1" x14ac:dyDescent="0.25">
      <c r="A15" s="375"/>
      <c r="B15" s="375"/>
      <c r="C15" s="375"/>
      <c r="D15" s="375"/>
      <c r="E15" s="375"/>
      <c r="F15" s="375"/>
      <c r="G15" s="375"/>
      <c r="H15" s="375"/>
      <c r="I15" s="8"/>
      <c r="J15" s="8"/>
      <c r="K15" s="9"/>
      <c r="L15" s="9"/>
      <c r="M15" s="10"/>
      <c r="N15" s="9"/>
      <c r="O15" s="10"/>
      <c r="P15" s="11"/>
      <c r="Q15" s="11"/>
      <c r="R15" s="11"/>
      <c r="S15" s="11"/>
      <c r="T15" s="9"/>
      <c r="U15" s="9"/>
      <c r="V15" s="9"/>
      <c r="W15" s="9"/>
      <c r="X15" s="9"/>
      <c r="Y15" s="10"/>
      <c r="Z15" s="11"/>
      <c r="AA15" s="11"/>
      <c r="AB15" s="11"/>
      <c r="AC15" s="11"/>
      <c r="AD15" s="11"/>
      <c r="AE15" s="11"/>
      <c r="AF15" s="11"/>
      <c r="AG15" s="11"/>
      <c r="AH15" s="11"/>
      <c r="AI15" s="12"/>
      <c r="AJ15" s="11"/>
      <c r="AK15" s="11"/>
      <c r="AL15" s="11"/>
      <c r="AM15" s="11"/>
      <c r="AN15" s="9"/>
      <c r="AO15" s="9"/>
      <c r="AP15" s="9"/>
      <c r="AQ15" s="9"/>
      <c r="AR15" s="9"/>
      <c r="AS15" s="9"/>
      <c r="AT15" s="9"/>
      <c r="AU15" s="9"/>
      <c r="AV15" s="9"/>
      <c r="AW15" s="9"/>
      <c r="AX15" s="13"/>
    </row>
    <row r="16" spans="1:66" s="14" customFormat="1" x14ac:dyDescent="0.25">
      <c r="A16" s="8" t="s">
        <v>1410</v>
      </c>
      <c r="B16" s="8"/>
      <c r="C16" s="8"/>
      <c r="D16" s="8"/>
      <c r="E16" s="8"/>
      <c r="F16" s="8"/>
      <c r="G16" s="8"/>
      <c r="H16" s="8"/>
      <c r="I16" s="8"/>
      <c r="J16" s="8"/>
      <c r="K16" s="11"/>
      <c r="L16" s="11"/>
      <c r="M16" s="10"/>
      <c r="N16" s="9"/>
      <c r="O16" s="10"/>
      <c r="P16" s="11"/>
      <c r="Q16" s="11"/>
      <c r="R16" s="11"/>
      <c r="S16" s="11"/>
      <c r="T16" s="9"/>
      <c r="U16" s="9"/>
      <c r="V16" s="9"/>
      <c r="W16" s="9"/>
      <c r="X16" s="9"/>
      <c r="Y16" s="10"/>
      <c r="Z16" s="11"/>
      <c r="AA16" s="11"/>
      <c r="AB16" s="11"/>
      <c r="AC16" s="11"/>
      <c r="AD16" s="11"/>
      <c r="AE16" s="11"/>
      <c r="AF16" s="11"/>
      <c r="AG16" s="11"/>
      <c r="AH16" s="11"/>
      <c r="AI16" s="12"/>
      <c r="AJ16" s="11"/>
      <c r="AK16" s="11"/>
      <c r="AL16" s="11"/>
      <c r="AM16" s="11"/>
      <c r="AN16" s="9"/>
      <c r="AO16" s="9"/>
      <c r="AP16" s="9"/>
      <c r="AQ16" s="9"/>
      <c r="AR16" s="9"/>
      <c r="AS16" s="9"/>
      <c r="AT16" s="9"/>
      <c r="AU16" s="9"/>
      <c r="AV16" s="9"/>
      <c r="AW16" s="9"/>
      <c r="AX16" s="13"/>
    </row>
    <row r="17" spans="1:50" s="14" customFormat="1" x14ac:dyDescent="0.25">
      <c r="A17" s="8"/>
      <c r="B17" s="8"/>
      <c r="C17" s="8"/>
      <c r="D17" s="8"/>
      <c r="E17" s="8"/>
      <c r="F17" s="8"/>
      <c r="G17" s="8"/>
      <c r="H17" s="8"/>
      <c r="I17" s="8"/>
      <c r="J17" s="8"/>
      <c r="K17" s="11"/>
      <c r="L17" s="11"/>
      <c r="M17" s="10"/>
      <c r="N17" s="9"/>
      <c r="O17" s="10"/>
      <c r="P17" s="11"/>
      <c r="Q17" s="11"/>
      <c r="R17" s="11"/>
      <c r="S17" s="11"/>
      <c r="T17" s="9"/>
      <c r="U17" s="9"/>
      <c r="V17" s="9"/>
      <c r="W17" s="9"/>
      <c r="X17" s="9"/>
      <c r="Y17" s="10"/>
      <c r="Z17" s="11"/>
      <c r="AA17" s="11"/>
      <c r="AB17" s="11"/>
      <c r="AC17" s="11"/>
      <c r="AD17" s="11"/>
      <c r="AE17" s="11"/>
      <c r="AF17" s="11"/>
      <c r="AG17" s="11"/>
      <c r="AH17" s="11"/>
      <c r="AI17" s="12"/>
      <c r="AJ17" s="11"/>
      <c r="AK17" s="11"/>
      <c r="AL17" s="11"/>
      <c r="AM17" s="11"/>
      <c r="AN17" s="9"/>
      <c r="AO17" s="9"/>
      <c r="AP17" s="9"/>
      <c r="AQ17" s="9"/>
      <c r="AR17" s="9"/>
      <c r="AS17" s="9"/>
      <c r="AT17" s="9"/>
      <c r="AU17" s="9"/>
      <c r="AV17" s="9"/>
      <c r="AW17" s="9"/>
      <c r="AX17" s="13"/>
    </row>
    <row r="18" spans="1:50" s="14" customFormat="1" x14ac:dyDescent="0.25">
      <c r="A18" s="11"/>
      <c r="B18" s="11"/>
      <c r="C18" s="11"/>
      <c r="D18" s="11"/>
      <c r="E18" s="11"/>
      <c r="F18" s="11"/>
      <c r="G18" s="11"/>
      <c r="H18" s="10"/>
      <c r="I18" s="11"/>
      <c r="J18" s="11"/>
      <c r="K18" s="11"/>
      <c r="L18" s="11"/>
      <c r="M18" s="10"/>
      <c r="N18" s="9"/>
      <c r="O18" s="10"/>
      <c r="P18" s="11"/>
      <c r="Q18" s="11"/>
      <c r="R18" s="11"/>
      <c r="S18" s="11"/>
      <c r="T18" s="9"/>
      <c r="U18" s="9"/>
      <c r="V18" s="9"/>
      <c r="W18" s="9"/>
      <c r="X18" s="9"/>
      <c r="Y18" s="10"/>
      <c r="Z18" s="11"/>
      <c r="AA18" s="11"/>
      <c r="AB18" s="11"/>
      <c r="AC18" s="11"/>
      <c r="AD18" s="11"/>
      <c r="AE18" s="11"/>
      <c r="AF18" s="11"/>
      <c r="AG18" s="11"/>
      <c r="AH18" s="11"/>
      <c r="AI18" s="12"/>
      <c r="AJ18" s="11"/>
      <c r="AK18" s="11"/>
      <c r="AL18" s="11"/>
      <c r="AM18" s="11"/>
      <c r="AN18" s="9"/>
      <c r="AO18" s="9"/>
      <c r="AP18" s="9"/>
      <c r="AQ18" s="9"/>
      <c r="AR18" s="9"/>
      <c r="AS18" s="9"/>
      <c r="AT18" s="9"/>
      <c r="AU18" s="9"/>
      <c r="AV18" s="9"/>
      <c r="AW18" s="9"/>
      <c r="AX18" s="13"/>
    </row>
    <row r="19" spans="1:50" s="14" customFormat="1" x14ac:dyDescent="0.25">
      <c r="A19" s="11"/>
      <c r="B19" s="11"/>
      <c r="C19" s="11"/>
      <c r="D19" s="11"/>
      <c r="E19" s="9"/>
      <c r="F19" s="9"/>
      <c r="G19" s="9"/>
      <c r="H19" s="10"/>
      <c r="I19" s="11"/>
      <c r="J19" s="9"/>
      <c r="K19" s="9"/>
      <c r="L19" s="9"/>
      <c r="M19" s="10"/>
      <c r="N19" s="9"/>
      <c r="O19" s="10"/>
      <c r="P19" s="11"/>
      <c r="Q19" s="11"/>
      <c r="R19" s="11"/>
      <c r="S19" s="11"/>
      <c r="T19" s="9"/>
      <c r="U19" s="9"/>
      <c r="V19" s="9"/>
      <c r="W19" s="9"/>
      <c r="X19" s="9"/>
      <c r="Y19" s="10"/>
      <c r="Z19" s="11"/>
      <c r="AA19" s="11"/>
      <c r="AB19" s="11"/>
      <c r="AC19" s="11"/>
      <c r="AD19" s="11"/>
      <c r="AE19" s="11"/>
      <c r="AF19" s="11"/>
      <c r="AG19" s="11"/>
      <c r="AH19" s="11"/>
      <c r="AI19" s="12"/>
      <c r="AJ19" s="11"/>
      <c r="AK19" s="11"/>
      <c r="AL19" s="11"/>
      <c r="AM19" s="11"/>
      <c r="AN19" s="9"/>
      <c r="AO19" s="9"/>
      <c r="AP19" s="9"/>
      <c r="AQ19" s="9"/>
      <c r="AR19" s="9"/>
      <c r="AS19" s="9"/>
      <c r="AT19" s="9"/>
      <c r="AU19" s="9"/>
      <c r="AV19" s="9"/>
      <c r="AW19" s="9"/>
      <c r="AX19" s="13"/>
    </row>
    <row r="20" spans="1:50" s="14" customFormat="1" x14ac:dyDescent="0.25">
      <c r="A20" s="11"/>
      <c r="B20" s="11"/>
      <c r="C20" s="11"/>
      <c r="D20" s="9"/>
      <c r="E20" s="9"/>
      <c r="F20" s="9"/>
      <c r="G20" s="9"/>
      <c r="H20" s="10"/>
      <c r="I20" s="9"/>
      <c r="J20" s="9"/>
      <c r="K20" s="9"/>
      <c r="L20" s="9"/>
      <c r="M20" s="10"/>
      <c r="N20" s="9"/>
      <c r="O20" s="10"/>
      <c r="P20" s="11"/>
      <c r="Q20" s="11"/>
      <c r="R20" s="11"/>
      <c r="S20" s="11"/>
      <c r="T20" s="9"/>
      <c r="U20" s="9"/>
      <c r="V20" s="9"/>
      <c r="W20" s="9"/>
      <c r="X20" s="9"/>
      <c r="Y20" s="10"/>
      <c r="Z20" s="11"/>
      <c r="AA20" s="11"/>
      <c r="AB20" s="11"/>
      <c r="AC20" s="11"/>
      <c r="AD20" s="11"/>
      <c r="AE20" s="11"/>
      <c r="AF20" s="11"/>
      <c r="AG20" s="11"/>
      <c r="AH20" s="11"/>
      <c r="AI20" s="12"/>
      <c r="AJ20" s="11"/>
      <c r="AK20" s="11"/>
      <c r="AL20" s="11"/>
      <c r="AM20" s="11"/>
      <c r="AN20" s="9"/>
      <c r="AO20" s="9"/>
      <c r="AP20" s="9"/>
      <c r="AQ20" s="9"/>
      <c r="AR20" s="9"/>
      <c r="AS20" s="9"/>
      <c r="AT20" s="9"/>
      <c r="AU20" s="9"/>
      <c r="AV20" s="9"/>
      <c r="AW20" s="9"/>
      <c r="AX20" s="13"/>
    </row>
    <row r="21" spans="1:50" s="14" customFormat="1" x14ac:dyDescent="0.25">
      <c r="A21" s="11"/>
      <c r="B21" s="11"/>
      <c r="C21" s="11"/>
      <c r="D21" s="11"/>
      <c r="E21" s="11"/>
      <c r="F21" s="11"/>
      <c r="G21" s="11"/>
      <c r="H21" s="10"/>
      <c r="I21" s="11"/>
      <c r="J21" s="11"/>
      <c r="K21" s="11"/>
      <c r="L21" s="11"/>
      <c r="M21" s="10"/>
      <c r="N21" s="9"/>
      <c r="O21" s="10"/>
      <c r="P21" s="11"/>
      <c r="Q21" s="11"/>
      <c r="R21" s="11"/>
      <c r="S21" s="11"/>
      <c r="T21" s="9"/>
      <c r="U21" s="9"/>
      <c r="V21" s="9"/>
      <c r="W21" s="9"/>
      <c r="X21" s="9"/>
      <c r="Y21" s="10"/>
      <c r="Z21" s="11"/>
      <c r="AA21" s="11"/>
      <c r="AB21" s="11"/>
      <c r="AC21" s="11"/>
      <c r="AD21" s="11"/>
      <c r="AE21" s="11"/>
      <c r="AF21" s="11"/>
      <c r="AG21" s="11"/>
      <c r="AH21" s="11"/>
      <c r="AI21" s="12"/>
      <c r="AJ21" s="11"/>
      <c r="AK21" s="11"/>
      <c r="AL21" s="11"/>
      <c r="AM21" s="11"/>
      <c r="AN21" s="9"/>
      <c r="AO21" s="9"/>
      <c r="AP21" s="9"/>
      <c r="AQ21" s="9"/>
      <c r="AR21" s="9"/>
      <c r="AS21" s="9"/>
      <c r="AT21" s="9"/>
      <c r="AU21" s="9"/>
      <c r="AV21" s="9"/>
      <c r="AW21" s="9"/>
      <c r="AX21" s="13"/>
    </row>
    <row r="22" spans="1:50" s="14" customFormat="1" x14ac:dyDescent="0.25">
      <c r="A22" s="11"/>
      <c r="B22" s="11"/>
      <c r="C22" s="11"/>
      <c r="D22" s="11"/>
      <c r="E22" s="11"/>
      <c r="F22" s="11"/>
      <c r="G22" s="11"/>
      <c r="H22" s="10"/>
      <c r="I22" s="11"/>
      <c r="J22" s="11"/>
      <c r="K22" s="11"/>
      <c r="L22" s="11"/>
      <c r="M22" s="10"/>
      <c r="N22" s="9"/>
      <c r="O22" s="10"/>
      <c r="P22" s="11"/>
      <c r="Q22" s="11"/>
      <c r="R22" s="11"/>
      <c r="S22" s="11"/>
      <c r="T22" s="9"/>
      <c r="U22" s="9"/>
      <c r="V22" s="9"/>
      <c r="W22" s="9"/>
      <c r="X22" s="9"/>
      <c r="Y22" s="10"/>
      <c r="Z22" s="11"/>
      <c r="AA22" s="11"/>
      <c r="AB22" s="11"/>
      <c r="AC22" s="11"/>
      <c r="AD22" s="11"/>
      <c r="AE22" s="11"/>
      <c r="AF22" s="11"/>
      <c r="AG22" s="11"/>
      <c r="AH22" s="11"/>
      <c r="AI22" s="12"/>
      <c r="AJ22" s="11"/>
      <c r="AK22" s="11"/>
      <c r="AL22" s="11"/>
      <c r="AM22" s="11"/>
      <c r="AN22" s="9"/>
      <c r="AO22" s="9"/>
      <c r="AP22" s="9"/>
      <c r="AQ22" s="9"/>
      <c r="AR22" s="9"/>
      <c r="AS22" s="9"/>
      <c r="AT22" s="9"/>
      <c r="AU22" s="9"/>
      <c r="AV22" s="9"/>
      <c r="AW22" s="9"/>
      <c r="AX22" s="13"/>
    </row>
    <row r="23" spans="1:50" s="14" customFormat="1" x14ac:dyDescent="0.25">
      <c r="A23" s="11"/>
      <c r="B23" s="11"/>
      <c r="C23" s="11"/>
      <c r="D23" s="11"/>
      <c r="E23" s="9"/>
      <c r="F23" s="9"/>
      <c r="G23" s="9"/>
      <c r="H23" s="10"/>
      <c r="I23" s="11"/>
      <c r="J23" s="9"/>
      <c r="K23" s="9"/>
      <c r="L23" s="9"/>
      <c r="M23" s="10"/>
      <c r="N23" s="9"/>
      <c r="O23" s="10"/>
      <c r="P23" s="11"/>
      <c r="Q23" s="11"/>
      <c r="R23" s="11"/>
      <c r="S23" s="11"/>
      <c r="T23" s="9"/>
      <c r="U23" s="9"/>
      <c r="V23" s="9"/>
      <c r="W23" s="9"/>
      <c r="X23" s="9"/>
      <c r="Y23" s="10"/>
      <c r="Z23" s="11"/>
      <c r="AA23" s="11"/>
      <c r="AB23" s="11"/>
      <c r="AC23" s="11"/>
      <c r="AD23" s="11"/>
      <c r="AE23" s="11"/>
      <c r="AF23" s="11"/>
      <c r="AG23" s="11"/>
      <c r="AH23" s="11"/>
      <c r="AI23" s="12"/>
      <c r="AJ23" s="11"/>
      <c r="AK23" s="11"/>
      <c r="AL23" s="11"/>
      <c r="AM23" s="11"/>
      <c r="AN23" s="9"/>
      <c r="AO23" s="9"/>
      <c r="AP23" s="9"/>
      <c r="AQ23" s="9"/>
      <c r="AR23" s="9"/>
      <c r="AS23" s="9"/>
      <c r="AT23" s="9"/>
      <c r="AU23" s="9"/>
      <c r="AV23" s="9"/>
      <c r="AW23" s="9"/>
      <c r="AX23" s="13"/>
    </row>
    <row r="24" spans="1:50" s="14" customFormat="1" x14ac:dyDescent="0.25">
      <c r="A24" s="11"/>
      <c r="B24" s="11"/>
      <c r="C24" s="11"/>
      <c r="D24" s="11"/>
      <c r="E24" s="11"/>
      <c r="F24" s="11"/>
      <c r="G24" s="11"/>
      <c r="H24" s="10"/>
      <c r="I24" s="11"/>
      <c r="J24" s="11"/>
      <c r="K24" s="11"/>
      <c r="L24" s="11"/>
      <c r="M24" s="10"/>
      <c r="N24" s="9"/>
      <c r="O24" s="10"/>
      <c r="P24" s="11"/>
      <c r="Q24" s="11"/>
      <c r="R24" s="11"/>
      <c r="S24" s="11"/>
      <c r="T24" s="9"/>
      <c r="U24" s="9"/>
      <c r="V24" s="9"/>
      <c r="W24" s="9"/>
      <c r="X24" s="9"/>
      <c r="Y24" s="10"/>
      <c r="Z24" s="11"/>
      <c r="AA24" s="11"/>
      <c r="AB24" s="11"/>
      <c r="AC24" s="11"/>
      <c r="AD24" s="11"/>
      <c r="AE24" s="11"/>
      <c r="AF24" s="11"/>
      <c r="AG24" s="11"/>
      <c r="AH24" s="11"/>
      <c r="AI24" s="12"/>
      <c r="AJ24" s="11"/>
      <c r="AK24" s="11"/>
      <c r="AL24" s="11"/>
      <c r="AM24" s="11"/>
      <c r="AN24" s="9"/>
      <c r="AO24" s="9"/>
      <c r="AP24" s="9"/>
      <c r="AQ24" s="9"/>
      <c r="AR24" s="9"/>
      <c r="AS24" s="9"/>
      <c r="AT24" s="9"/>
      <c r="AU24" s="9"/>
      <c r="AV24" s="9"/>
      <c r="AW24" s="9"/>
      <c r="AX24" s="13"/>
    </row>
    <row r="25" spans="1:50" s="14" customFormat="1" x14ac:dyDescent="0.25">
      <c r="A25" s="11"/>
      <c r="B25" s="11"/>
      <c r="C25" s="11"/>
      <c r="D25" s="9"/>
      <c r="E25" s="9"/>
      <c r="F25" s="9"/>
      <c r="G25" s="9"/>
      <c r="H25" s="10"/>
      <c r="I25" s="9"/>
      <c r="J25" s="9"/>
      <c r="K25" s="9"/>
      <c r="L25" s="9"/>
      <c r="M25" s="10"/>
      <c r="N25" s="9"/>
      <c r="O25" s="10"/>
      <c r="P25" s="11"/>
      <c r="Q25" s="11"/>
      <c r="R25" s="11"/>
      <c r="S25" s="11"/>
      <c r="T25" s="9"/>
      <c r="U25" s="9"/>
      <c r="V25" s="9"/>
      <c r="W25" s="9"/>
      <c r="X25" s="9"/>
      <c r="Y25" s="10"/>
      <c r="Z25" s="11"/>
      <c r="AA25" s="11"/>
      <c r="AB25" s="11"/>
      <c r="AC25" s="11"/>
      <c r="AD25" s="11"/>
      <c r="AE25" s="11"/>
      <c r="AF25" s="11"/>
      <c r="AG25" s="11"/>
      <c r="AH25" s="11"/>
      <c r="AI25" s="12"/>
      <c r="AJ25" s="11"/>
      <c r="AK25" s="11"/>
      <c r="AL25" s="11"/>
      <c r="AM25" s="11"/>
      <c r="AN25" s="9"/>
      <c r="AO25" s="9"/>
      <c r="AP25" s="9"/>
      <c r="AQ25" s="9"/>
      <c r="AR25" s="9"/>
      <c r="AS25" s="9"/>
      <c r="AT25" s="9"/>
      <c r="AU25" s="9"/>
      <c r="AV25" s="9"/>
      <c r="AW25" s="9"/>
      <c r="AX25" s="13"/>
    </row>
    <row r="26" spans="1:50" s="14" customFormat="1" x14ac:dyDescent="0.25">
      <c r="A26" s="11"/>
      <c r="B26" s="11"/>
      <c r="C26" s="11"/>
      <c r="D26" s="11"/>
      <c r="E26" s="9"/>
      <c r="F26" s="9"/>
      <c r="G26" s="9"/>
      <c r="H26" s="10"/>
      <c r="I26" s="11"/>
      <c r="J26" s="9"/>
      <c r="K26" s="9"/>
      <c r="L26" s="9"/>
      <c r="M26" s="10"/>
      <c r="N26" s="9"/>
      <c r="O26" s="10"/>
      <c r="P26" s="11"/>
      <c r="Q26" s="11"/>
      <c r="R26" s="11"/>
      <c r="S26" s="11"/>
      <c r="T26" s="9"/>
      <c r="U26" s="9"/>
      <c r="V26" s="9"/>
      <c r="W26" s="9"/>
      <c r="X26" s="9"/>
      <c r="Y26" s="10"/>
      <c r="Z26" s="11"/>
      <c r="AA26" s="11"/>
      <c r="AB26" s="11"/>
      <c r="AC26" s="11"/>
      <c r="AD26" s="11"/>
      <c r="AE26" s="11"/>
      <c r="AF26" s="11"/>
      <c r="AG26" s="11"/>
      <c r="AH26" s="11"/>
      <c r="AI26" s="12"/>
      <c r="AJ26" s="11"/>
      <c r="AK26" s="11"/>
      <c r="AL26" s="11"/>
      <c r="AM26" s="11"/>
      <c r="AN26" s="9"/>
      <c r="AO26" s="9"/>
      <c r="AP26" s="9"/>
      <c r="AQ26" s="9"/>
      <c r="AR26" s="9"/>
      <c r="AS26" s="9"/>
      <c r="AT26" s="9"/>
      <c r="AU26" s="9"/>
      <c r="AV26" s="9"/>
      <c r="AW26" s="9"/>
      <c r="AX26" s="13"/>
    </row>
    <row r="27" spans="1:50" s="14" customFormat="1" x14ac:dyDescent="0.25">
      <c r="A27" s="11"/>
      <c r="B27" s="11"/>
      <c r="C27" s="11"/>
      <c r="D27" s="11"/>
      <c r="E27" s="9"/>
      <c r="F27" s="9"/>
      <c r="G27" s="9"/>
      <c r="H27" s="10"/>
      <c r="I27" s="11"/>
      <c r="J27" s="9"/>
      <c r="K27" s="9"/>
      <c r="L27" s="9"/>
      <c r="M27" s="10"/>
      <c r="N27" s="9"/>
      <c r="O27" s="10"/>
      <c r="P27" s="11"/>
      <c r="Q27" s="11"/>
      <c r="R27" s="11"/>
      <c r="S27" s="11"/>
      <c r="T27" s="9"/>
      <c r="U27" s="9"/>
      <c r="V27" s="9"/>
      <c r="W27" s="9"/>
      <c r="X27" s="9"/>
      <c r="Y27" s="10"/>
      <c r="Z27" s="11"/>
      <c r="AA27" s="11"/>
      <c r="AB27" s="11"/>
      <c r="AC27" s="11"/>
      <c r="AD27" s="11"/>
      <c r="AE27" s="11"/>
      <c r="AF27" s="11"/>
      <c r="AG27" s="11"/>
      <c r="AH27" s="11"/>
      <c r="AI27" s="12"/>
      <c r="AJ27" s="11"/>
      <c r="AK27" s="11"/>
      <c r="AL27" s="11"/>
      <c r="AM27" s="11"/>
      <c r="AN27" s="9"/>
      <c r="AO27" s="9"/>
      <c r="AP27" s="9"/>
      <c r="AQ27" s="9"/>
      <c r="AR27" s="9"/>
      <c r="AS27" s="9"/>
      <c r="AT27" s="9"/>
      <c r="AU27" s="9"/>
      <c r="AV27" s="9"/>
      <c r="AW27" s="9"/>
      <c r="AX27" s="13"/>
    </row>
    <row r="28" spans="1:50" s="14" customFormat="1" x14ac:dyDescent="0.25">
      <c r="A28" s="11"/>
      <c r="B28" s="11"/>
      <c r="C28" s="11"/>
      <c r="D28" s="11"/>
      <c r="E28" s="11"/>
      <c r="F28" s="11"/>
      <c r="G28" s="11"/>
      <c r="H28" s="10"/>
      <c r="I28" s="11"/>
      <c r="J28" s="11"/>
      <c r="K28" s="11"/>
      <c r="L28" s="11"/>
      <c r="M28" s="10"/>
      <c r="N28" s="9"/>
      <c r="O28" s="10"/>
      <c r="P28" s="11"/>
      <c r="Q28" s="11"/>
      <c r="R28" s="11"/>
      <c r="S28" s="11"/>
      <c r="T28" s="9"/>
      <c r="U28" s="9"/>
      <c r="V28" s="9"/>
      <c r="W28" s="9"/>
      <c r="X28" s="9"/>
      <c r="Y28" s="10"/>
      <c r="Z28" s="11"/>
      <c r="AA28" s="11"/>
      <c r="AB28" s="11"/>
      <c r="AC28" s="11"/>
      <c r="AD28" s="11"/>
      <c r="AE28" s="11"/>
      <c r="AF28" s="11"/>
      <c r="AG28" s="11"/>
      <c r="AH28" s="11"/>
      <c r="AI28" s="12"/>
      <c r="AJ28" s="11"/>
      <c r="AK28" s="11"/>
      <c r="AL28" s="11"/>
      <c r="AM28" s="11"/>
      <c r="AN28" s="9"/>
      <c r="AO28" s="9"/>
      <c r="AP28" s="9"/>
      <c r="AQ28" s="9"/>
      <c r="AR28" s="9"/>
      <c r="AS28" s="9"/>
      <c r="AT28" s="9"/>
      <c r="AU28" s="9"/>
      <c r="AV28" s="9"/>
      <c r="AW28" s="9"/>
      <c r="AX28" s="13"/>
    </row>
    <row r="29" spans="1:50" s="14" customFormat="1" x14ac:dyDescent="0.25">
      <c r="A29" s="11"/>
      <c r="B29" s="11"/>
      <c r="C29" s="11"/>
      <c r="D29" s="11"/>
      <c r="E29" s="11"/>
      <c r="F29" s="11"/>
      <c r="G29" s="11"/>
      <c r="H29" s="10"/>
      <c r="I29" s="11"/>
      <c r="J29" s="11"/>
      <c r="K29" s="11"/>
      <c r="L29" s="11"/>
      <c r="M29" s="10"/>
      <c r="N29" s="9"/>
      <c r="O29" s="10"/>
      <c r="P29" s="11"/>
      <c r="Q29" s="11"/>
      <c r="R29" s="11"/>
      <c r="S29" s="11"/>
      <c r="T29" s="9"/>
      <c r="U29" s="9"/>
      <c r="V29" s="9"/>
      <c r="W29" s="9"/>
      <c r="X29" s="9"/>
      <c r="Y29" s="10"/>
      <c r="Z29" s="11"/>
      <c r="AA29" s="11"/>
      <c r="AB29" s="11"/>
      <c r="AC29" s="11"/>
      <c r="AD29" s="11"/>
      <c r="AE29" s="11"/>
      <c r="AF29" s="11"/>
      <c r="AG29" s="11"/>
      <c r="AH29" s="11"/>
      <c r="AI29" s="12"/>
      <c r="AJ29" s="11"/>
      <c r="AK29" s="11"/>
      <c r="AL29" s="11"/>
      <c r="AM29" s="11"/>
      <c r="AN29" s="9"/>
      <c r="AO29" s="9"/>
      <c r="AP29" s="9"/>
      <c r="AQ29" s="9"/>
      <c r="AR29" s="9"/>
      <c r="AS29" s="9"/>
      <c r="AT29" s="9"/>
      <c r="AU29" s="9"/>
      <c r="AV29" s="9"/>
      <c r="AW29" s="9"/>
      <c r="AX29" s="13"/>
    </row>
    <row r="30" spans="1:50" s="14" customFormat="1" x14ac:dyDescent="0.25">
      <c r="A30" s="11"/>
      <c r="B30" s="11"/>
      <c r="C30" s="11"/>
      <c r="D30" s="11"/>
      <c r="E30" s="9"/>
      <c r="F30" s="9"/>
      <c r="G30" s="9"/>
      <c r="H30" s="10"/>
      <c r="I30" s="11"/>
      <c r="J30" s="9"/>
      <c r="K30" s="9"/>
      <c r="L30" s="9"/>
      <c r="M30" s="10"/>
      <c r="N30" s="9"/>
      <c r="O30" s="10"/>
      <c r="P30" s="11"/>
      <c r="Q30" s="11"/>
      <c r="R30" s="11"/>
      <c r="S30" s="11"/>
      <c r="T30" s="9"/>
      <c r="U30" s="9"/>
      <c r="V30" s="9"/>
      <c r="W30" s="9"/>
      <c r="X30" s="9"/>
      <c r="Y30" s="10"/>
      <c r="Z30" s="11"/>
      <c r="AA30" s="11"/>
      <c r="AB30" s="11"/>
      <c r="AC30" s="11"/>
      <c r="AD30" s="11"/>
      <c r="AE30" s="11"/>
      <c r="AF30" s="11"/>
      <c r="AG30" s="11"/>
      <c r="AH30" s="11"/>
      <c r="AI30" s="12"/>
      <c r="AJ30" s="11"/>
      <c r="AK30" s="11"/>
      <c r="AL30" s="11"/>
      <c r="AM30" s="11"/>
      <c r="AN30" s="9"/>
      <c r="AO30" s="9"/>
      <c r="AP30" s="9"/>
      <c r="AQ30" s="9"/>
      <c r="AR30" s="9"/>
      <c r="AS30" s="9"/>
      <c r="AT30" s="9"/>
      <c r="AU30" s="9"/>
      <c r="AV30" s="9"/>
      <c r="AW30" s="9"/>
      <c r="AX30" s="13"/>
    </row>
    <row r="31" spans="1:50" s="14" customFormat="1" x14ac:dyDescent="0.25">
      <c r="A31" s="11"/>
      <c r="B31" s="11"/>
      <c r="C31" s="11"/>
      <c r="D31" s="11"/>
      <c r="E31" s="9"/>
      <c r="F31" s="9"/>
      <c r="G31" s="9"/>
      <c r="H31" s="10"/>
      <c r="I31" s="11"/>
      <c r="J31" s="9"/>
      <c r="K31" s="9"/>
      <c r="L31" s="9"/>
      <c r="M31" s="10"/>
      <c r="N31" s="9"/>
      <c r="O31" s="10"/>
      <c r="P31" s="11"/>
      <c r="Q31" s="11"/>
      <c r="R31" s="11"/>
      <c r="S31" s="11"/>
      <c r="T31" s="9"/>
      <c r="U31" s="9"/>
      <c r="V31" s="9"/>
      <c r="W31" s="9"/>
      <c r="X31" s="9"/>
      <c r="Y31" s="10"/>
      <c r="Z31" s="11"/>
      <c r="AA31" s="11"/>
      <c r="AB31" s="11"/>
      <c r="AC31" s="11"/>
      <c r="AD31" s="11"/>
      <c r="AE31" s="11"/>
      <c r="AF31" s="11"/>
      <c r="AG31" s="11"/>
      <c r="AH31" s="11"/>
      <c r="AI31" s="12"/>
      <c r="AJ31" s="11"/>
      <c r="AK31" s="11"/>
      <c r="AL31" s="11"/>
      <c r="AM31" s="11"/>
      <c r="AN31" s="9"/>
      <c r="AO31" s="9"/>
      <c r="AP31" s="9"/>
      <c r="AQ31" s="9"/>
      <c r="AR31" s="9"/>
      <c r="AS31" s="9"/>
      <c r="AT31" s="9"/>
      <c r="AU31" s="9"/>
      <c r="AV31" s="9"/>
      <c r="AW31" s="9"/>
      <c r="AX31" s="13"/>
    </row>
    <row r="32" spans="1:50" s="14" customFormat="1" x14ac:dyDescent="0.25">
      <c r="A32" s="11"/>
      <c r="B32" s="11"/>
      <c r="C32" s="11"/>
      <c r="D32" s="11"/>
      <c r="E32" s="11"/>
      <c r="F32" s="11"/>
      <c r="G32" s="11"/>
      <c r="H32" s="10"/>
      <c r="I32" s="11"/>
      <c r="J32" s="11"/>
      <c r="K32" s="11"/>
      <c r="L32" s="11"/>
      <c r="M32" s="10"/>
      <c r="N32" s="9"/>
      <c r="O32" s="10"/>
      <c r="P32" s="11"/>
      <c r="Q32" s="11"/>
      <c r="R32" s="11"/>
      <c r="S32" s="11"/>
      <c r="T32" s="9"/>
      <c r="U32" s="9"/>
      <c r="V32" s="9"/>
      <c r="W32" s="9"/>
      <c r="X32" s="9"/>
      <c r="Y32" s="10"/>
      <c r="Z32" s="11"/>
      <c r="AA32" s="11"/>
      <c r="AB32" s="11"/>
      <c r="AC32" s="11"/>
      <c r="AD32" s="11"/>
      <c r="AE32" s="11"/>
      <c r="AF32" s="11"/>
      <c r="AG32" s="11"/>
      <c r="AH32" s="11"/>
      <c r="AI32" s="12"/>
      <c r="AJ32" s="11"/>
      <c r="AK32" s="11"/>
      <c r="AL32" s="11"/>
      <c r="AM32" s="11"/>
      <c r="AN32" s="9"/>
      <c r="AO32" s="9"/>
      <c r="AP32" s="9"/>
      <c r="AQ32" s="9" t="s">
        <v>2614</v>
      </c>
      <c r="AR32" s="9"/>
      <c r="AS32" s="9"/>
      <c r="AT32" s="9"/>
      <c r="AU32" s="9"/>
      <c r="AV32" s="9"/>
      <c r="AW32" s="9"/>
      <c r="AX32" s="13"/>
    </row>
    <row r="33" spans="1:50" s="14" customFormat="1" x14ac:dyDescent="0.25">
      <c r="A33" s="11"/>
      <c r="B33" s="11"/>
      <c r="C33" s="11"/>
      <c r="D33" s="11"/>
      <c r="E33" s="9"/>
      <c r="F33" s="9"/>
      <c r="G33" s="9"/>
      <c r="H33" s="10"/>
      <c r="I33" s="11"/>
      <c r="J33" s="9"/>
      <c r="K33" s="9"/>
      <c r="L33" s="9"/>
      <c r="M33" s="10"/>
      <c r="N33" s="9"/>
      <c r="O33" s="10"/>
      <c r="P33" s="11"/>
      <c r="Q33" s="11"/>
      <c r="R33" s="11"/>
      <c r="S33" s="11"/>
      <c r="T33" s="9"/>
      <c r="U33" s="9"/>
      <c r="V33" s="9"/>
      <c r="W33" s="9"/>
      <c r="X33" s="9"/>
      <c r="Y33" s="10"/>
      <c r="Z33" s="11"/>
      <c r="AA33" s="11"/>
      <c r="AB33" s="11"/>
      <c r="AC33" s="11"/>
      <c r="AD33" s="11"/>
      <c r="AE33" s="11"/>
      <c r="AF33" s="11"/>
      <c r="AG33" s="11"/>
      <c r="AH33" s="11"/>
      <c r="AI33" s="12"/>
      <c r="AJ33" s="11"/>
      <c r="AK33" s="11"/>
      <c r="AL33" s="11"/>
      <c r="AM33" s="11"/>
      <c r="AN33" s="9"/>
      <c r="AO33" s="9"/>
      <c r="AP33" s="9"/>
      <c r="AQ33" s="9"/>
      <c r="AR33" s="9"/>
      <c r="AS33" s="9"/>
      <c r="AT33" s="9"/>
      <c r="AU33" s="9"/>
      <c r="AV33" s="9"/>
      <c r="AW33" s="9"/>
      <c r="AX33" s="13"/>
    </row>
    <row r="34" spans="1:50" s="14" customFormat="1" x14ac:dyDescent="0.25">
      <c r="A34" s="11"/>
      <c r="B34" s="11"/>
      <c r="C34" s="11"/>
      <c r="D34" s="11"/>
      <c r="E34" s="9"/>
      <c r="F34" s="9"/>
      <c r="G34" s="9"/>
      <c r="H34" s="10"/>
      <c r="I34" s="11"/>
      <c r="J34" s="9"/>
      <c r="K34" s="9"/>
      <c r="L34" s="9"/>
      <c r="M34" s="10"/>
      <c r="N34" s="9"/>
      <c r="O34" s="10"/>
      <c r="P34" s="11"/>
      <c r="Q34" s="11"/>
      <c r="R34" s="11"/>
      <c r="S34" s="11"/>
      <c r="T34" s="9"/>
      <c r="U34" s="9"/>
      <c r="V34" s="9"/>
      <c r="W34" s="9"/>
      <c r="X34" s="9"/>
      <c r="Y34" s="10"/>
      <c r="Z34" s="11"/>
      <c r="AA34" s="11"/>
      <c r="AB34" s="11"/>
      <c r="AC34" s="11"/>
      <c r="AD34" s="11"/>
      <c r="AE34" s="11"/>
      <c r="AF34" s="11"/>
      <c r="AG34" s="11"/>
      <c r="AH34" s="11"/>
      <c r="AI34" s="12"/>
      <c r="AJ34" s="11"/>
      <c r="AK34" s="11"/>
      <c r="AL34" s="11"/>
      <c r="AM34" s="11"/>
      <c r="AN34" s="9"/>
      <c r="AO34" s="9"/>
      <c r="AP34" s="9"/>
      <c r="AQ34" s="9"/>
      <c r="AR34" s="9"/>
      <c r="AS34" s="9"/>
      <c r="AT34" s="9"/>
      <c r="AU34" s="9"/>
      <c r="AV34" s="9"/>
      <c r="AW34" s="9"/>
      <c r="AX34" s="13"/>
    </row>
    <row r="35" spans="1:50" s="14" customFormat="1" x14ac:dyDescent="0.25">
      <c r="A35" s="11"/>
      <c r="B35" s="11"/>
      <c r="C35" s="11"/>
      <c r="D35" s="9"/>
      <c r="E35" s="9"/>
      <c r="F35" s="9"/>
      <c r="G35" s="9"/>
      <c r="H35" s="10"/>
      <c r="I35" s="9"/>
      <c r="J35" s="9"/>
      <c r="K35" s="9"/>
      <c r="L35" s="9"/>
      <c r="M35" s="10"/>
      <c r="N35" s="9"/>
      <c r="O35" s="10"/>
      <c r="P35" s="11"/>
      <c r="Q35" s="11"/>
      <c r="R35" s="11"/>
      <c r="S35" s="11"/>
      <c r="T35" s="9"/>
      <c r="U35" s="9"/>
      <c r="V35" s="9"/>
      <c r="W35" s="9"/>
      <c r="X35" s="9"/>
      <c r="Y35" s="10"/>
      <c r="Z35" s="11"/>
      <c r="AA35" s="11"/>
      <c r="AB35" s="11"/>
      <c r="AC35" s="11"/>
      <c r="AD35" s="11"/>
      <c r="AE35" s="11"/>
      <c r="AF35" s="11"/>
      <c r="AG35" s="11"/>
      <c r="AH35" s="11"/>
      <c r="AI35" s="12"/>
      <c r="AJ35" s="11"/>
      <c r="AK35" s="11"/>
      <c r="AL35" s="11"/>
      <c r="AM35" s="11"/>
      <c r="AN35" s="9"/>
      <c r="AO35" s="9"/>
      <c r="AP35" s="9"/>
      <c r="AQ35" s="9"/>
      <c r="AR35" s="9"/>
      <c r="AS35" s="9"/>
      <c r="AT35" s="9"/>
      <c r="AU35" s="9"/>
      <c r="AV35" s="9"/>
      <c r="AW35" s="9"/>
      <c r="AX35" s="13"/>
    </row>
    <row r="36" spans="1:50" s="14" customFormat="1" x14ac:dyDescent="0.25">
      <c r="A36" s="11"/>
      <c r="B36" s="11"/>
      <c r="C36" s="11"/>
      <c r="D36" s="11"/>
      <c r="E36" s="9"/>
      <c r="F36" s="9"/>
      <c r="G36" s="9"/>
      <c r="H36" s="10"/>
      <c r="I36" s="11"/>
      <c r="J36" s="9"/>
      <c r="K36" s="9"/>
      <c r="L36" s="9"/>
      <c r="M36" s="10"/>
      <c r="N36" s="9"/>
      <c r="O36" s="10"/>
      <c r="P36" s="11"/>
      <c r="Q36" s="11"/>
      <c r="R36" s="11"/>
      <c r="S36" s="11"/>
      <c r="T36" s="9"/>
      <c r="U36" s="9"/>
      <c r="V36" s="9"/>
      <c r="W36" s="9"/>
      <c r="X36" s="9"/>
      <c r="Y36" s="10"/>
      <c r="Z36" s="11"/>
      <c r="AA36" s="11"/>
      <c r="AB36" s="11"/>
      <c r="AC36" s="11"/>
      <c r="AD36" s="11"/>
      <c r="AE36" s="11"/>
      <c r="AF36" s="11"/>
      <c r="AG36" s="11"/>
      <c r="AH36" s="11"/>
      <c r="AI36" s="12"/>
      <c r="AJ36" s="11"/>
      <c r="AK36" s="11"/>
      <c r="AL36" s="11"/>
      <c r="AM36" s="11"/>
      <c r="AN36" s="9"/>
      <c r="AO36" s="9"/>
      <c r="AP36" s="9"/>
      <c r="AQ36" s="9"/>
      <c r="AR36" s="9"/>
      <c r="AS36" s="9"/>
      <c r="AT36" s="9"/>
      <c r="AU36" s="9"/>
      <c r="AV36" s="9"/>
      <c r="AW36" s="9"/>
      <c r="AX36" s="13"/>
    </row>
    <row r="37" spans="1:50" s="14" customFormat="1" x14ac:dyDescent="0.25">
      <c r="A37" s="11"/>
      <c r="B37" s="11"/>
      <c r="C37" s="11"/>
      <c r="D37" s="11"/>
      <c r="E37" s="11"/>
      <c r="F37" s="11"/>
      <c r="G37" s="11"/>
      <c r="H37" s="10"/>
      <c r="I37" s="11"/>
      <c r="J37" s="11"/>
      <c r="K37" s="11"/>
      <c r="L37" s="11"/>
      <c r="M37" s="10"/>
      <c r="N37" s="9"/>
      <c r="O37" s="10"/>
      <c r="P37" s="11"/>
      <c r="Q37" s="11"/>
      <c r="R37" s="11"/>
      <c r="S37" s="11"/>
      <c r="T37" s="9"/>
      <c r="U37" s="9"/>
      <c r="V37" s="9"/>
      <c r="W37" s="9"/>
      <c r="X37" s="9"/>
      <c r="Y37" s="10"/>
      <c r="Z37" s="11"/>
      <c r="AA37" s="11"/>
      <c r="AB37" s="11"/>
      <c r="AC37" s="11"/>
      <c r="AD37" s="11"/>
      <c r="AE37" s="11"/>
      <c r="AF37" s="11"/>
      <c r="AG37" s="11"/>
      <c r="AH37" s="11"/>
      <c r="AI37" s="12"/>
      <c r="AJ37" s="11"/>
      <c r="AK37" s="11"/>
      <c r="AL37" s="11"/>
      <c r="AM37" s="11"/>
      <c r="AN37" s="9"/>
      <c r="AO37" s="9"/>
      <c r="AP37" s="9"/>
      <c r="AQ37" s="9"/>
      <c r="AR37" s="9"/>
      <c r="AS37" s="9"/>
      <c r="AT37" s="9"/>
      <c r="AU37" s="9"/>
      <c r="AV37" s="9"/>
      <c r="AW37" s="9"/>
      <c r="AX37" s="13"/>
    </row>
    <row r="38" spans="1:50" s="14" customFormat="1" x14ac:dyDescent="0.25">
      <c r="A38" s="11"/>
      <c r="B38" s="11"/>
      <c r="C38" s="11"/>
      <c r="D38" s="11"/>
      <c r="E38" s="9"/>
      <c r="F38" s="9"/>
      <c r="G38" s="9"/>
      <c r="H38" s="10"/>
      <c r="I38" s="11"/>
      <c r="J38" s="9"/>
      <c r="K38" s="9"/>
      <c r="L38" s="9"/>
      <c r="M38" s="10"/>
      <c r="N38" s="9"/>
      <c r="O38" s="10"/>
      <c r="P38" s="11"/>
      <c r="Q38" s="11"/>
      <c r="R38" s="11"/>
      <c r="S38" s="11"/>
      <c r="T38" s="9"/>
      <c r="U38" s="9"/>
      <c r="V38" s="9"/>
      <c r="W38" s="9"/>
      <c r="X38" s="9"/>
      <c r="Y38" s="10"/>
      <c r="Z38" s="11"/>
      <c r="AA38" s="11"/>
      <c r="AB38" s="11"/>
      <c r="AC38" s="11"/>
      <c r="AD38" s="11"/>
      <c r="AE38" s="11"/>
      <c r="AF38" s="11"/>
      <c r="AG38" s="11"/>
      <c r="AH38" s="11"/>
      <c r="AI38" s="12"/>
      <c r="AJ38" s="11"/>
      <c r="AK38" s="11"/>
      <c r="AL38" s="11"/>
      <c r="AM38" s="11"/>
      <c r="AN38" s="9"/>
      <c r="AO38" s="9"/>
      <c r="AP38" s="9"/>
      <c r="AQ38" s="9"/>
      <c r="AR38" s="9"/>
      <c r="AS38" s="9"/>
      <c r="AT38" s="9"/>
      <c r="AU38" s="9"/>
      <c r="AV38" s="9"/>
      <c r="AW38" s="9"/>
      <c r="AX38" s="13"/>
    </row>
    <row r="39" spans="1:50" s="14" customFormat="1" x14ac:dyDescent="0.25">
      <c r="A39" s="11"/>
      <c r="B39" s="11"/>
      <c r="C39" s="11"/>
      <c r="D39" s="11"/>
      <c r="E39" s="11"/>
      <c r="F39" s="11"/>
      <c r="G39" s="11"/>
      <c r="H39" s="10"/>
      <c r="I39" s="11"/>
      <c r="J39" s="11"/>
      <c r="K39" s="11"/>
      <c r="L39" s="11"/>
      <c r="M39" s="10"/>
      <c r="N39" s="9"/>
      <c r="O39" s="10"/>
      <c r="P39" s="11"/>
      <c r="Q39" s="11"/>
      <c r="R39" s="11"/>
      <c r="S39" s="11"/>
      <c r="T39" s="9"/>
      <c r="U39" s="9"/>
      <c r="V39" s="9"/>
      <c r="W39" s="9"/>
      <c r="X39" s="9"/>
      <c r="Y39" s="10"/>
      <c r="Z39" s="11"/>
      <c r="AA39" s="11"/>
      <c r="AB39" s="11"/>
      <c r="AC39" s="11"/>
      <c r="AD39" s="11"/>
      <c r="AE39" s="11"/>
      <c r="AF39" s="11"/>
      <c r="AG39" s="11"/>
      <c r="AH39" s="11"/>
      <c r="AI39" s="12"/>
      <c r="AJ39" s="11"/>
      <c r="AK39" s="11"/>
      <c r="AL39" s="11"/>
      <c r="AM39" s="11"/>
      <c r="AN39" s="9"/>
      <c r="AO39" s="9"/>
      <c r="AP39" s="9"/>
      <c r="AQ39" s="9"/>
      <c r="AR39" s="9"/>
      <c r="AS39" s="9"/>
      <c r="AT39" s="9"/>
      <c r="AU39" s="9"/>
      <c r="AV39" s="9"/>
      <c r="AW39" s="9"/>
      <c r="AX39" s="13"/>
    </row>
    <row r="40" spans="1:50" s="14" customFormat="1" x14ac:dyDescent="0.25">
      <c r="A40" s="11"/>
      <c r="B40" s="11"/>
      <c r="C40" s="11"/>
      <c r="D40" s="11"/>
      <c r="E40" s="11"/>
      <c r="F40" s="11"/>
      <c r="G40" s="11"/>
      <c r="H40" s="10"/>
      <c r="I40" s="11"/>
      <c r="J40" s="11"/>
      <c r="K40" s="11"/>
      <c r="L40" s="11"/>
      <c r="M40" s="10"/>
      <c r="N40" s="9"/>
      <c r="O40" s="10"/>
      <c r="P40" s="11"/>
      <c r="Q40" s="11"/>
      <c r="R40" s="11"/>
      <c r="S40" s="11"/>
      <c r="T40" s="9"/>
      <c r="U40" s="9"/>
      <c r="V40" s="9"/>
      <c r="W40" s="9"/>
      <c r="X40" s="9"/>
      <c r="Y40" s="10"/>
      <c r="Z40" s="11"/>
      <c r="AA40" s="11"/>
      <c r="AB40" s="11"/>
      <c r="AC40" s="11"/>
      <c r="AD40" s="11"/>
      <c r="AE40" s="11"/>
      <c r="AF40" s="11"/>
      <c r="AG40" s="11"/>
      <c r="AH40" s="11"/>
      <c r="AI40" s="12"/>
      <c r="AJ40" s="11"/>
      <c r="AK40" s="11"/>
      <c r="AL40" s="11"/>
      <c r="AM40" s="11"/>
      <c r="AN40" s="9"/>
      <c r="AO40" s="9"/>
      <c r="AP40" s="9"/>
      <c r="AQ40" s="9"/>
      <c r="AR40" s="9"/>
      <c r="AS40" s="9"/>
      <c r="AT40" s="9"/>
      <c r="AU40" s="9"/>
      <c r="AV40" s="9"/>
      <c r="AW40" s="9"/>
      <c r="AX40" s="13"/>
    </row>
    <row r="41" spans="1:50" s="14" customFormat="1" x14ac:dyDescent="0.25">
      <c r="A41" s="11"/>
      <c r="B41" s="11"/>
      <c r="C41" s="11"/>
      <c r="D41" s="11"/>
      <c r="E41" s="9"/>
      <c r="F41" s="9"/>
      <c r="G41" s="9"/>
      <c r="H41" s="10"/>
      <c r="I41" s="11"/>
      <c r="J41" s="9"/>
      <c r="K41" s="9"/>
      <c r="L41" s="9"/>
      <c r="M41" s="10"/>
      <c r="N41" s="9"/>
      <c r="O41" s="10"/>
      <c r="P41" s="11"/>
      <c r="Q41" s="11"/>
      <c r="R41" s="11"/>
      <c r="S41" s="11"/>
      <c r="T41" s="9"/>
      <c r="U41" s="9"/>
      <c r="V41" s="9"/>
      <c r="W41" s="9"/>
      <c r="X41" s="9"/>
      <c r="Y41" s="10"/>
      <c r="Z41" s="11"/>
      <c r="AA41" s="11"/>
      <c r="AB41" s="11"/>
      <c r="AC41" s="11"/>
      <c r="AD41" s="11"/>
      <c r="AE41" s="11"/>
      <c r="AF41" s="11"/>
      <c r="AG41" s="11"/>
      <c r="AH41" s="11"/>
      <c r="AI41" s="12"/>
      <c r="AJ41" s="11"/>
      <c r="AK41" s="11"/>
      <c r="AL41" s="11"/>
      <c r="AM41" s="11"/>
      <c r="AN41" s="9"/>
      <c r="AO41" s="9"/>
      <c r="AP41" s="9"/>
      <c r="AQ41" s="9"/>
      <c r="AR41" s="9"/>
      <c r="AS41" s="9"/>
      <c r="AT41" s="9"/>
      <c r="AU41" s="9"/>
      <c r="AV41" s="9"/>
      <c r="AW41" s="9"/>
      <c r="AX41" s="13"/>
    </row>
    <row r="42" spans="1:50" s="14" customFormat="1" x14ac:dyDescent="0.25">
      <c r="A42" s="11"/>
      <c r="B42" s="11"/>
      <c r="C42" s="11"/>
      <c r="D42" s="11"/>
      <c r="E42" s="9"/>
      <c r="F42" s="9"/>
      <c r="G42" s="9"/>
      <c r="H42" s="10"/>
      <c r="I42" s="11"/>
      <c r="J42" s="9"/>
      <c r="K42" s="9"/>
      <c r="L42" s="9"/>
      <c r="M42" s="10"/>
      <c r="N42" s="9"/>
      <c r="O42" s="10"/>
      <c r="P42" s="11"/>
      <c r="Q42" s="11"/>
      <c r="R42" s="11"/>
      <c r="S42" s="11"/>
      <c r="T42" s="9"/>
      <c r="U42" s="9"/>
      <c r="V42" s="9"/>
      <c r="W42" s="9"/>
      <c r="X42" s="9"/>
      <c r="Y42" s="10"/>
      <c r="Z42" s="11"/>
      <c r="AA42" s="11"/>
      <c r="AB42" s="11"/>
      <c r="AC42" s="11"/>
      <c r="AD42" s="11"/>
      <c r="AE42" s="11"/>
      <c r="AF42" s="11"/>
      <c r="AG42" s="11"/>
      <c r="AH42" s="11"/>
      <c r="AI42" s="12"/>
      <c r="AJ42" s="11"/>
      <c r="AK42" s="11"/>
      <c r="AL42" s="11"/>
      <c r="AM42" s="11"/>
      <c r="AN42" s="9"/>
      <c r="AO42" s="9"/>
      <c r="AP42" s="9"/>
      <c r="AQ42" s="9"/>
      <c r="AR42" s="9"/>
      <c r="AS42" s="9"/>
      <c r="AT42" s="9"/>
      <c r="AU42" s="9"/>
      <c r="AV42" s="9"/>
      <c r="AW42" s="9"/>
      <c r="AX42" s="13"/>
    </row>
    <row r="43" spans="1:50" s="14" customFormat="1" x14ac:dyDescent="0.25">
      <c r="A43" s="11"/>
      <c r="B43" s="11"/>
      <c r="C43" s="11"/>
      <c r="D43" s="11"/>
      <c r="E43" s="11"/>
      <c r="F43" s="11"/>
      <c r="G43" s="11"/>
      <c r="H43" s="10"/>
      <c r="I43" s="11"/>
      <c r="J43" s="11"/>
      <c r="K43" s="11"/>
      <c r="L43" s="11"/>
      <c r="M43" s="10"/>
      <c r="N43" s="9"/>
      <c r="O43" s="10"/>
      <c r="P43" s="11"/>
      <c r="Q43" s="11"/>
      <c r="R43" s="11"/>
      <c r="S43" s="11"/>
      <c r="T43" s="9"/>
      <c r="U43" s="9"/>
      <c r="V43" s="9"/>
      <c r="W43" s="9"/>
      <c r="X43" s="9"/>
      <c r="Y43" s="10"/>
      <c r="Z43" s="11"/>
      <c r="AA43" s="11"/>
      <c r="AB43" s="11"/>
      <c r="AC43" s="11"/>
      <c r="AD43" s="11"/>
      <c r="AE43" s="11"/>
      <c r="AF43" s="11"/>
      <c r="AG43" s="11"/>
      <c r="AH43" s="11"/>
      <c r="AI43" s="12"/>
      <c r="AJ43" s="11"/>
      <c r="AK43" s="11"/>
      <c r="AL43" s="11"/>
      <c r="AM43" s="11"/>
      <c r="AN43" s="9"/>
      <c r="AO43" s="9"/>
      <c r="AP43" s="9"/>
      <c r="AQ43" s="9"/>
      <c r="AR43" s="9"/>
      <c r="AS43" s="9"/>
      <c r="AT43" s="9"/>
      <c r="AU43" s="9"/>
      <c r="AV43" s="9"/>
      <c r="AW43" s="9"/>
      <c r="AX43" s="13"/>
    </row>
    <row r="44" spans="1:50" s="14" customFormat="1" x14ac:dyDescent="0.25">
      <c r="A44" s="11"/>
      <c r="B44" s="11"/>
      <c r="C44" s="11"/>
      <c r="D44" s="11"/>
      <c r="E44" s="9"/>
      <c r="F44" s="9"/>
      <c r="G44" s="9"/>
      <c r="H44" s="10"/>
      <c r="I44" s="11"/>
      <c r="J44" s="9"/>
      <c r="K44" s="9"/>
      <c r="L44" s="9"/>
      <c r="M44" s="10"/>
      <c r="N44" s="9"/>
      <c r="O44" s="10"/>
      <c r="P44" s="11"/>
      <c r="Q44" s="11"/>
      <c r="R44" s="11"/>
      <c r="S44" s="11"/>
      <c r="T44" s="9"/>
      <c r="U44" s="9"/>
      <c r="V44" s="9"/>
      <c r="W44" s="9"/>
      <c r="X44" s="9"/>
      <c r="Y44" s="10"/>
      <c r="Z44" s="11"/>
      <c r="AA44" s="11"/>
      <c r="AB44" s="11"/>
      <c r="AC44" s="11"/>
      <c r="AD44" s="11"/>
      <c r="AE44" s="11"/>
      <c r="AF44" s="11"/>
      <c r="AG44" s="11"/>
      <c r="AH44" s="11"/>
      <c r="AI44" s="12"/>
      <c r="AJ44" s="11"/>
      <c r="AK44" s="11"/>
      <c r="AL44" s="11"/>
      <c r="AM44" s="11"/>
      <c r="AN44" s="9"/>
      <c r="AO44" s="9"/>
      <c r="AP44" s="9"/>
      <c r="AQ44" s="9"/>
      <c r="AR44" s="9"/>
      <c r="AS44" s="9"/>
      <c r="AT44" s="9"/>
      <c r="AU44" s="9"/>
      <c r="AV44" s="9"/>
      <c r="AW44" s="9"/>
      <c r="AX44" s="13"/>
    </row>
    <row r="45" spans="1:50" s="14" customFormat="1" x14ac:dyDescent="0.25">
      <c r="A45" s="11"/>
      <c r="B45" s="11"/>
      <c r="C45" s="11"/>
      <c r="D45" s="11"/>
      <c r="E45" s="11"/>
      <c r="F45" s="11"/>
      <c r="G45" s="11"/>
      <c r="H45" s="10"/>
      <c r="I45" s="11"/>
      <c r="J45" s="11"/>
      <c r="K45" s="11"/>
      <c r="L45" s="11"/>
      <c r="M45" s="10"/>
      <c r="N45" s="9"/>
      <c r="O45" s="10"/>
      <c r="P45" s="11"/>
      <c r="Q45" s="11"/>
      <c r="R45" s="11"/>
      <c r="S45" s="11"/>
      <c r="T45" s="9"/>
      <c r="U45" s="9"/>
      <c r="V45" s="9"/>
      <c r="W45" s="9"/>
      <c r="X45" s="9"/>
      <c r="Y45" s="10"/>
      <c r="Z45" s="11"/>
      <c r="AA45" s="11"/>
      <c r="AB45" s="11"/>
      <c r="AC45" s="11"/>
      <c r="AD45" s="11"/>
      <c r="AE45" s="11"/>
      <c r="AF45" s="11"/>
      <c r="AG45" s="11"/>
      <c r="AH45" s="11"/>
      <c r="AI45" s="12"/>
      <c r="AJ45" s="11"/>
      <c r="AK45" s="11"/>
      <c r="AL45" s="11"/>
      <c r="AM45" s="11"/>
      <c r="AN45" s="9"/>
      <c r="AO45" s="9"/>
      <c r="AP45" s="9"/>
      <c r="AQ45" s="9"/>
      <c r="AR45" s="9"/>
      <c r="AS45" s="9"/>
      <c r="AT45" s="9"/>
      <c r="AU45" s="9"/>
      <c r="AV45" s="9"/>
      <c r="AW45" s="9"/>
      <c r="AX45" s="13"/>
    </row>
    <row r="46" spans="1:50" s="14" customFormat="1" x14ac:dyDescent="0.25">
      <c r="A46" s="11"/>
      <c r="B46" s="11"/>
      <c r="C46" s="11"/>
      <c r="D46" s="9"/>
      <c r="E46" s="9"/>
      <c r="F46" s="9"/>
      <c r="G46" s="9"/>
      <c r="H46" s="10"/>
      <c r="I46" s="9"/>
      <c r="J46" s="9"/>
      <c r="K46" s="9"/>
      <c r="L46" s="9"/>
      <c r="M46" s="10"/>
      <c r="N46" s="9"/>
      <c r="O46" s="10"/>
      <c r="P46" s="11"/>
      <c r="Q46" s="11"/>
      <c r="R46" s="11"/>
      <c r="S46" s="11"/>
      <c r="T46" s="9"/>
      <c r="U46" s="9"/>
      <c r="V46" s="9"/>
      <c r="W46" s="9"/>
      <c r="X46" s="9"/>
      <c r="Y46" s="10"/>
      <c r="Z46" s="11"/>
      <c r="AA46" s="11"/>
      <c r="AB46" s="11"/>
      <c r="AC46" s="11"/>
      <c r="AD46" s="11"/>
      <c r="AE46" s="11"/>
      <c r="AF46" s="11"/>
      <c r="AG46" s="11"/>
      <c r="AH46" s="11"/>
      <c r="AI46" s="12"/>
      <c r="AJ46" s="11"/>
      <c r="AK46" s="11"/>
      <c r="AL46" s="11"/>
      <c r="AM46" s="11"/>
      <c r="AN46" s="9"/>
      <c r="AO46" s="9"/>
      <c r="AP46" s="9"/>
      <c r="AQ46" s="9"/>
      <c r="AR46" s="9"/>
      <c r="AS46" s="9"/>
      <c r="AT46" s="9"/>
      <c r="AU46" s="9"/>
      <c r="AV46" s="9"/>
      <c r="AW46" s="9"/>
      <c r="AX46" s="13"/>
    </row>
    <row r="47" spans="1:50" s="14" customFormat="1" x14ac:dyDescent="0.25">
      <c r="A47" s="11"/>
      <c r="B47" s="11"/>
      <c r="C47" s="11"/>
      <c r="D47" s="9"/>
      <c r="E47" s="9"/>
      <c r="F47" s="9"/>
      <c r="G47" s="9"/>
      <c r="H47" s="10"/>
      <c r="I47" s="9"/>
      <c r="J47" s="9"/>
      <c r="K47" s="9" t="s">
        <v>1410</v>
      </c>
      <c r="L47" s="9"/>
      <c r="M47" s="10"/>
      <c r="N47" s="9"/>
      <c r="O47" s="10"/>
      <c r="P47" s="11"/>
      <c r="Q47" s="11"/>
      <c r="R47" s="11"/>
      <c r="S47" s="11"/>
      <c r="T47" s="9"/>
      <c r="U47" s="9"/>
      <c r="V47" s="9"/>
      <c r="W47" s="9"/>
      <c r="X47" s="9"/>
      <c r="Y47" s="10"/>
      <c r="Z47" s="11"/>
      <c r="AA47" s="11"/>
      <c r="AB47" s="11"/>
      <c r="AC47" s="11"/>
      <c r="AD47" s="11"/>
      <c r="AE47" s="11"/>
      <c r="AF47" s="11"/>
      <c r="AG47" s="11"/>
      <c r="AH47" s="11"/>
      <c r="AI47" s="12"/>
      <c r="AJ47" s="11"/>
      <c r="AK47" s="11"/>
      <c r="AL47" s="11"/>
      <c r="AM47" s="11"/>
      <c r="AN47" s="9"/>
      <c r="AO47" s="9"/>
      <c r="AP47" s="9"/>
      <c r="AQ47" s="9"/>
      <c r="AR47" s="9"/>
      <c r="AS47" s="9"/>
      <c r="AT47" s="9"/>
      <c r="AU47" s="9"/>
      <c r="AV47" s="9"/>
      <c r="AW47" s="9"/>
      <c r="AX47" s="13"/>
    </row>
    <row r="48" spans="1:50" s="14" customFormat="1" x14ac:dyDescent="0.25">
      <c r="A48" s="11"/>
      <c r="B48" s="11"/>
      <c r="C48" s="11"/>
      <c r="D48" s="9"/>
      <c r="E48" s="9"/>
      <c r="F48" s="9"/>
      <c r="G48" s="9"/>
      <c r="H48" s="10"/>
      <c r="I48" s="9"/>
      <c r="J48" s="9"/>
      <c r="K48" s="9"/>
      <c r="L48" s="9"/>
      <c r="M48" s="10"/>
      <c r="N48" s="9"/>
      <c r="O48" s="10"/>
      <c r="P48" s="11"/>
      <c r="Q48" s="11"/>
      <c r="R48" s="11"/>
      <c r="S48" s="11"/>
      <c r="T48" s="9"/>
      <c r="U48" s="9"/>
      <c r="V48" s="9"/>
      <c r="W48" s="9"/>
      <c r="X48" s="9"/>
      <c r="Y48" s="10"/>
      <c r="Z48" s="11"/>
      <c r="AA48" s="11"/>
      <c r="AB48" s="11"/>
      <c r="AC48" s="11"/>
      <c r="AD48" s="11"/>
      <c r="AE48" s="11"/>
      <c r="AF48" s="11"/>
      <c r="AG48" s="11"/>
      <c r="AH48" s="11"/>
      <c r="AI48" s="12"/>
      <c r="AJ48" s="11"/>
      <c r="AK48" s="11"/>
      <c r="AL48" s="11"/>
      <c r="AM48" s="11"/>
      <c r="AN48" s="9"/>
      <c r="AO48" s="9"/>
      <c r="AP48" s="9"/>
      <c r="AQ48" s="9"/>
      <c r="AR48" s="9"/>
      <c r="AS48" s="9"/>
      <c r="AT48" s="9"/>
      <c r="AU48" s="9"/>
      <c r="AV48" s="9"/>
      <c r="AW48" s="9"/>
      <c r="AX48" s="13"/>
    </row>
    <row r="49" spans="1:50" s="14" customFormat="1" x14ac:dyDescent="0.25">
      <c r="A49" s="11"/>
      <c r="B49" s="11"/>
      <c r="C49" s="11"/>
      <c r="D49" s="9"/>
      <c r="E49" s="9"/>
      <c r="F49" s="9"/>
      <c r="G49" s="9"/>
      <c r="H49" s="10"/>
      <c r="I49" s="9"/>
      <c r="J49" s="9"/>
      <c r="K49" s="9"/>
      <c r="L49" s="9"/>
      <c r="M49" s="10"/>
      <c r="N49" s="9"/>
      <c r="O49" s="10"/>
      <c r="P49" s="11"/>
      <c r="Q49" s="11"/>
      <c r="R49" s="11"/>
      <c r="S49" s="11"/>
      <c r="T49" s="9"/>
      <c r="U49" s="9"/>
      <c r="V49" s="9"/>
      <c r="W49" s="9"/>
      <c r="X49" s="9"/>
      <c r="Y49" s="10"/>
      <c r="Z49" s="11"/>
      <c r="AA49" s="11"/>
      <c r="AB49" s="11"/>
      <c r="AC49" s="11"/>
      <c r="AD49" s="11"/>
      <c r="AE49" s="11"/>
      <c r="AF49" s="11"/>
      <c r="AG49" s="11"/>
      <c r="AH49" s="11"/>
      <c r="AI49" s="12"/>
      <c r="AJ49" s="11"/>
      <c r="AK49" s="11"/>
      <c r="AL49" s="11"/>
      <c r="AM49" s="11"/>
      <c r="AN49" s="9"/>
      <c r="AO49" s="9"/>
      <c r="AP49" s="9"/>
      <c r="AQ49" s="9"/>
      <c r="AR49" s="9"/>
      <c r="AS49" s="9"/>
      <c r="AT49" s="9"/>
      <c r="AU49" s="9"/>
      <c r="AV49" s="9"/>
      <c r="AW49" s="9"/>
      <c r="AX49" s="13"/>
    </row>
    <row r="50" spans="1:50" s="14" customFormat="1" x14ac:dyDescent="0.25">
      <c r="A50" s="11"/>
      <c r="B50" s="11"/>
      <c r="C50" s="11"/>
      <c r="D50" s="11"/>
      <c r="E50" s="9"/>
      <c r="F50" s="9"/>
      <c r="G50" s="9"/>
      <c r="H50" s="10"/>
      <c r="I50" s="11"/>
      <c r="J50" s="9"/>
      <c r="K50" s="9"/>
      <c r="L50" s="9"/>
      <c r="M50" s="10"/>
      <c r="N50" s="9"/>
      <c r="O50" s="10"/>
      <c r="P50" s="11"/>
      <c r="Q50" s="11"/>
      <c r="R50" s="11"/>
      <c r="S50" s="11"/>
      <c r="T50" s="9"/>
      <c r="U50" s="9"/>
      <c r="V50" s="9"/>
      <c r="W50" s="9"/>
      <c r="X50" s="9"/>
      <c r="Y50" s="10"/>
      <c r="Z50" s="11"/>
      <c r="AA50" s="11"/>
      <c r="AB50" s="11"/>
      <c r="AC50" s="11"/>
      <c r="AD50" s="11"/>
      <c r="AE50" s="11"/>
      <c r="AF50" s="11"/>
      <c r="AG50" s="11"/>
      <c r="AH50" s="11"/>
      <c r="AI50" s="12"/>
      <c r="AJ50" s="11"/>
      <c r="AK50" s="11"/>
      <c r="AL50" s="11"/>
      <c r="AM50" s="11"/>
      <c r="AN50" s="9"/>
      <c r="AO50" s="9"/>
      <c r="AP50" s="9"/>
      <c r="AQ50" s="9"/>
      <c r="AR50" s="9"/>
      <c r="AS50" s="9"/>
      <c r="AT50" s="9"/>
      <c r="AU50" s="9"/>
      <c r="AV50" s="9"/>
      <c r="AW50" s="9"/>
      <c r="AX50" s="13"/>
    </row>
    <row r="51" spans="1:50" s="14" customFormat="1" x14ac:dyDescent="0.25">
      <c r="A51" s="11"/>
      <c r="B51" s="11"/>
      <c r="C51" s="11"/>
      <c r="D51" s="11"/>
      <c r="E51" s="11"/>
      <c r="F51" s="11"/>
      <c r="G51" s="11"/>
      <c r="H51" s="10"/>
      <c r="I51" s="11"/>
      <c r="J51" s="11"/>
      <c r="K51" s="11"/>
      <c r="L51" s="11"/>
      <c r="M51" s="10"/>
      <c r="N51" s="9"/>
      <c r="O51" s="10"/>
      <c r="P51" s="11"/>
      <c r="Q51" s="11"/>
      <c r="R51" s="11"/>
      <c r="S51" s="11"/>
      <c r="T51" s="9"/>
      <c r="U51" s="9"/>
      <c r="V51" s="9"/>
      <c r="W51" s="9"/>
      <c r="X51" s="9"/>
      <c r="Y51" s="10"/>
      <c r="Z51" s="11"/>
      <c r="AA51" s="11"/>
      <c r="AB51" s="11"/>
      <c r="AC51" s="11"/>
      <c r="AD51" s="11"/>
      <c r="AE51" s="11"/>
      <c r="AF51" s="11"/>
      <c r="AG51" s="11"/>
      <c r="AH51" s="11"/>
      <c r="AI51" s="12"/>
      <c r="AJ51" s="11"/>
      <c r="AK51" s="11"/>
      <c r="AL51" s="11"/>
      <c r="AM51" s="11"/>
      <c r="AN51" s="9"/>
      <c r="AO51" s="9"/>
      <c r="AP51" s="9"/>
      <c r="AQ51" s="9"/>
      <c r="AR51" s="9"/>
      <c r="AS51" s="9"/>
      <c r="AT51" s="9"/>
      <c r="AU51" s="9"/>
      <c r="AV51" s="9"/>
      <c r="AW51" s="9"/>
      <c r="AX51" s="13"/>
    </row>
    <row r="52" spans="1:50" s="14" customFormat="1" x14ac:dyDescent="0.25">
      <c r="A52" s="11"/>
      <c r="B52" s="11"/>
      <c r="C52" s="11"/>
      <c r="D52" s="11"/>
      <c r="E52" s="9"/>
      <c r="F52" s="9"/>
      <c r="G52" s="9"/>
      <c r="H52" s="10"/>
      <c r="I52" s="11"/>
      <c r="J52" s="9"/>
      <c r="K52" s="9" t="s">
        <v>1411</v>
      </c>
      <c r="L52" s="9"/>
      <c r="M52" s="10"/>
      <c r="N52" s="9"/>
      <c r="O52" s="10"/>
      <c r="P52" s="11"/>
      <c r="Q52" s="11"/>
      <c r="R52" s="11"/>
      <c r="S52" s="11"/>
      <c r="T52" s="9"/>
      <c r="U52" s="9"/>
      <c r="V52" s="9"/>
      <c r="W52" s="9"/>
      <c r="X52" s="9"/>
      <c r="Y52" s="10"/>
      <c r="Z52" s="11"/>
      <c r="AA52" s="11"/>
      <c r="AB52" s="11"/>
      <c r="AC52" s="11"/>
      <c r="AD52" s="11"/>
      <c r="AE52" s="11"/>
      <c r="AF52" s="11"/>
      <c r="AG52" s="11"/>
      <c r="AH52" s="11"/>
      <c r="AI52" s="12"/>
      <c r="AJ52" s="11"/>
      <c r="AK52" s="11"/>
      <c r="AL52" s="11"/>
      <c r="AM52" s="11"/>
      <c r="AN52" s="9"/>
      <c r="AO52" s="9"/>
      <c r="AP52" s="9"/>
      <c r="AQ52" s="9"/>
      <c r="AR52" s="9"/>
      <c r="AS52" s="9"/>
      <c r="AT52" s="9"/>
      <c r="AU52" s="9"/>
      <c r="AV52" s="9"/>
      <c r="AW52" s="9"/>
      <c r="AX52" s="13"/>
    </row>
    <row r="53" spans="1:50" s="14" customFormat="1" x14ac:dyDescent="0.25">
      <c r="A53" s="11"/>
      <c r="B53" s="11"/>
      <c r="C53" s="11"/>
      <c r="D53" s="11"/>
      <c r="E53" s="9"/>
      <c r="F53" s="9"/>
      <c r="G53" s="9"/>
      <c r="H53" s="10"/>
      <c r="I53" s="11"/>
      <c r="J53" s="9"/>
      <c r="K53" s="9"/>
      <c r="L53" s="9"/>
      <c r="M53" s="10"/>
      <c r="N53" s="9"/>
      <c r="O53" s="10"/>
      <c r="P53" s="11"/>
      <c r="Q53" s="11"/>
      <c r="R53" s="11"/>
      <c r="S53" s="11"/>
      <c r="T53" s="9"/>
      <c r="U53" s="9"/>
      <c r="V53" s="9"/>
      <c r="W53" s="9"/>
      <c r="X53" s="9"/>
      <c r="Y53" s="10"/>
      <c r="Z53" s="11"/>
      <c r="AA53" s="11"/>
      <c r="AB53" s="11"/>
      <c r="AC53" s="11"/>
      <c r="AD53" s="11"/>
      <c r="AE53" s="11"/>
      <c r="AF53" s="11"/>
      <c r="AG53" s="11"/>
      <c r="AH53" s="11"/>
      <c r="AI53" s="12"/>
      <c r="AJ53" s="11"/>
      <c r="AK53" s="11"/>
      <c r="AL53" s="11"/>
      <c r="AM53" s="11"/>
      <c r="AN53" s="9"/>
      <c r="AO53" s="9"/>
      <c r="AP53" s="9"/>
      <c r="AQ53" s="9"/>
      <c r="AR53" s="9"/>
      <c r="AS53" s="9"/>
      <c r="AT53" s="9"/>
      <c r="AU53" s="9"/>
      <c r="AV53" s="9"/>
      <c r="AW53" s="9"/>
      <c r="AX53" s="13"/>
    </row>
    <row r="54" spans="1:50" s="14" customFormat="1" x14ac:dyDescent="0.25">
      <c r="A54" s="11"/>
      <c r="B54" s="11"/>
      <c r="C54" s="11"/>
      <c r="D54" s="11"/>
      <c r="E54" s="9"/>
      <c r="F54" s="9"/>
      <c r="G54" s="9"/>
      <c r="H54" s="10"/>
      <c r="I54" s="11"/>
      <c r="J54" s="9"/>
      <c r="K54" s="9"/>
      <c r="L54" s="9"/>
      <c r="M54" s="10"/>
      <c r="N54" s="9"/>
      <c r="O54" s="10"/>
      <c r="P54" s="11"/>
      <c r="Q54" s="11"/>
      <c r="R54" s="11"/>
      <c r="S54" s="11"/>
      <c r="T54" s="9"/>
      <c r="U54" s="9"/>
      <c r="V54" s="9"/>
      <c r="W54" s="9"/>
      <c r="X54" s="9"/>
      <c r="Y54" s="10"/>
      <c r="Z54" s="11"/>
      <c r="AA54" s="11"/>
      <c r="AB54" s="11"/>
      <c r="AC54" s="11"/>
      <c r="AD54" s="11"/>
      <c r="AE54" s="11"/>
      <c r="AF54" s="11"/>
      <c r="AG54" s="11"/>
      <c r="AH54" s="11"/>
      <c r="AI54" s="12"/>
      <c r="AJ54" s="11"/>
      <c r="AK54" s="11"/>
      <c r="AL54" s="11"/>
      <c r="AM54" s="11"/>
      <c r="AN54" s="9"/>
      <c r="AO54" s="9"/>
      <c r="AP54" s="9"/>
      <c r="AQ54" s="9"/>
      <c r="AR54" s="9"/>
      <c r="AS54" s="9"/>
      <c r="AT54" s="9"/>
      <c r="AU54" s="9"/>
      <c r="AV54" s="9"/>
      <c r="AW54" s="9"/>
      <c r="AX54" s="13"/>
    </row>
    <row r="55" spans="1:50" s="14" customFormat="1" x14ac:dyDescent="0.25">
      <c r="A55" s="11"/>
      <c r="B55" s="11"/>
      <c r="C55" s="11"/>
      <c r="D55" s="11"/>
      <c r="E55" s="11"/>
      <c r="F55" s="9"/>
      <c r="G55" s="9"/>
      <c r="H55" s="10"/>
      <c r="I55" s="11"/>
      <c r="J55" s="11"/>
      <c r="K55" s="9"/>
      <c r="L55" s="9"/>
      <c r="M55" s="10"/>
      <c r="N55" s="9"/>
      <c r="O55" s="10"/>
      <c r="P55" s="11"/>
      <c r="Q55" s="11"/>
      <c r="R55" s="11"/>
      <c r="S55" s="11"/>
      <c r="T55" s="9"/>
      <c r="U55" s="9"/>
      <c r="V55" s="9"/>
      <c r="W55" s="9"/>
      <c r="X55" s="9"/>
      <c r="Y55" s="10"/>
      <c r="Z55" s="11"/>
      <c r="AA55" s="11"/>
      <c r="AB55" s="11"/>
      <c r="AC55" s="11"/>
      <c r="AD55" s="11"/>
      <c r="AE55" s="11"/>
      <c r="AF55" s="11"/>
      <c r="AG55" s="11"/>
      <c r="AH55" s="11"/>
      <c r="AI55" s="12"/>
      <c r="AJ55" s="11"/>
      <c r="AK55" s="11"/>
      <c r="AL55" s="11"/>
      <c r="AM55" s="11"/>
      <c r="AN55" s="9"/>
      <c r="AO55" s="9"/>
      <c r="AP55" s="9"/>
      <c r="AQ55" s="9"/>
      <c r="AR55" s="9"/>
      <c r="AS55" s="9"/>
      <c r="AT55" s="9"/>
      <c r="AU55" s="9"/>
      <c r="AV55" s="9"/>
      <c r="AW55" s="9"/>
      <c r="AX55" s="13"/>
    </row>
    <row r="56" spans="1:50" s="14" customFormat="1" x14ac:dyDescent="0.25">
      <c r="A56" s="11"/>
      <c r="B56" s="11"/>
      <c r="C56" s="11"/>
      <c r="D56" s="11"/>
      <c r="E56" s="11"/>
      <c r="F56" s="11"/>
      <c r="G56" s="11"/>
      <c r="H56" s="10"/>
      <c r="I56" s="11"/>
      <c r="J56" s="11"/>
      <c r="K56" s="11"/>
      <c r="L56" s="11"/>
      <c r="M56" s="10"/>
      <c r="N56" s="9"/>
      <c r="O56" s="10"/>
      <c r="P56" s="11"/>
      <c r="Q56" s="11"/>
      <c r="R56" s="11"/>
      <c r="S56" s="11"/>
      <c r="T56" s="9"/>
      <c r="U56" s="9"/>
      <c r="V56" s="9"/>
      <c r="W56" s="9"/>
      <c r="X56" s="9"/>
      <c r="Y56" s="10"/>
      <c r="Z56" s="11"/>
      <c r="AA56" s="11"/>
      <c r="AB56" s="11"/>
      <c r="AC56" s="11"/>
      <c r="AD56" s="11"/>
      <c r="AE56" s="11"/>
      <c r="AF56" s="11"/>
      <c r="AG56" s="11"/>
      <c r="AH56" s="11"/>
      <c r="AI56" s="12"/>
      <c r="AJ56" s="11"/>
      <c r="AK56" s="11"/>
      <c r="AL56" s="11"/>
      <c r="AM56" s="11"/>
      <c r="AN56" s="9"/>
      <c r="AO56" s="9"/>
      <c r="AP56" s="9"/>
      <c r="AQ56" s="9"/>
      <c r="AR56" s="9"/>
      <c r="AS56" s="9"/>
      <c r="AT56" s="9"/>
      <c r="AU56" s="9"/>
      <c r="AV56" s="9"/>
      <c r="AW56" s="9"/>
      <c r="AX56" s="13"/>
    </row>
    <row r="57" spans="1:50" s="14" customFormat="1" x14ac:dyDescent="0.25">
      <c r="A57" s="11"/>
      <c r="B57" s="11"/>
      <c r="C57" s="11"/>
      <c r="D57" s="11"/>
      <c r="E57" s="11"/>
      <c r="F57" s="11"/>
      <c r="G57" s="11"/>
      <c r="H57" s="10"/>
      <c r="I57" s="11"/>
      <c r="J57" s="11"/>
      <c r="K57" s="11"/>
      <c r="L57" s="11"/>
      <c r="M57" s="10"/>
      <c r="N57" s="9"/>
      <c r="O57" s="10"/>
      <c r="P57" s="11"/>
      <c r="Q57" s="11"/>
      <c r="R57" s="11"/>
      <c r="S57" s="11"/>
      <c r="T57" s="9"/>
      <c r="U57" s="9"/>
      <c r="V57" s="9"/>
      <c r="W57" s="9"/>
      <c r="X57" s="9"/>
      <c r="Y57" s="10"/>
      <c r="Z57" s="11"/>
      <c r="AA57" s="11"/>
      <c r="AB57" s="11"/>
      <c r="AC57" s="11"/>
      <c r="AD57" s="11"/>
      <c r="AE57" s="11"/>
      <c r="AF57" s="11"/>
      <c r="AG57" s="11"/>
      <c r="AH57" s="11"/>
      <c r="AI57" s="12"/>
      <c r="AJ57" s="11"/>
      <c r="AK57" s="11"/>
      <c r="AL57" s="11"/>
      <c r="AM57" s="11"/>
      <c r="AN57" s="9"/>
      <c r="AO57" s="9"/>
      <c r="AP57" s="9"/>
      <c r="AQ57" s="9"/>
      <c r="AR57" s="9"/>
      <c r="AS57" s="9"/>
      <c r="AT57" s="9"/>
      <c r="AU57" s="9"/>
      <c r="AV57" s="9"/>
      <c r="AW57" s="9"/>
      <c r="AX57" s="13"/>
    </row>
    <row r="58" spans="1:50" s="14" customFormat="1" x14ac:dyDescent="0.25">
      <c r="A58" s="11"/>
      <c r="B58" s="11"/>
      <c r="C58" s="11"/>
      <c r="D58" s="11"/>
      <c r="E58" s="11"/>
      <c r="F58" s="9"/>
      <c r="G58" s="9"/>
      <c r="H58" s="10"/>
      <c r="I58" s="11"/>
      <c r="J58" s="11"/>
      <c r="K58" s="9"/>
      <c r="L58" s="9"/>
      <c r="M58" s="10"/>
      <c r="N58" s="9"/>
      <c r="O58" s="10"/>
      <c r="P58" s="11"/>
      <c r="Q58" s="11"/>
      <c r="R58" s="11"/>
      <c r="S58" s="11"/>
      <c r="T58" s="9"/>
      <c r="U58" s="9"/>
      <c r="V58" s="9"/>
      <c r="W58" s="9"/>
      <c r="X58" s="9"/>
      <c r="Y58" s="10"/>
      <c r="Z58" s="11"/>
      <c r="AA58" s="11"/>
      <c r="AB58" s="11"/>
      <c r="AC58" s="11"/>
      <c r="AD58" s="11"/>
      <c r="AE58" s="11"/>
      <c r="AF58" s="11"/>
      <c r="AG58" s="11"/>
      <c r="AH58" s="11"/>
      <c r="AI58" s="12"/>
      <c r="AJ58" s="11"/>
      <c r="AK58" s="11"/>
      <c r="AL58" s="11"/>
      <c r="AM58" s="11"/>
      <c r="AN58" s="9"/>
      <c r="AO58" s="9"/>
      <c r="AP58" s="9"/>
      <c r="AQ58" s="9"/>
      <c r="AR58" s="9"/>
      <c r="AS58" s="9"/>
      <c r="AT58" s="9"/>
      <c r="AU58" s="9"/>
      <c r="AV58" s="9"/>
      <c r="AW58" s="9"/>
      <c r="AX58" s="13"/>
    </row>
    <row r="59" spans="1:50" s="14" customFormat="1" x14ac:dyDescent="0.25">
      <c r="A59" s="11"/>
      <c r="B59" s="11"/>
      <c r="C59" s="11"/>
      <c r="D59" s="11"/>
      <c r="E59" s="9"/>
      <c r="F59" s="9"/>
      <c r="G59" s="9"/>
      <c r="H59" s="10"/>
      <c r="I59" s="11"/>
      <c r="J59" s="9"/>
      <c r="K59" s="9"/>
      <c r="L59" s="9"/>
      <c r="M59" s="10"/>
      <c r="N59" s="9"/>
      <c r="O59" s="10"/>
      <c r="P59" s="11"/>
      <c r="Q59" s="11"/>
      <c r="R59" s="11"/>
      <c r="S59" s="11"/>
      <c r="T59" s="9"/>
      <c r="U59" s="9"/>
      <c r="V59" s="9"/>
      <c r="W59" s="9"/>
      <c r="X59" s="9"/>
      <c r="Y59" s="10"/>
      <c r="Z59" s="11"/>
      <c r="AA59" s="11"/>
      <c r="AB59" s="11"/>
      <c r="AC59" s="11"/>
      <c r="AD59" s="11"/>
      <c r="AE59" s="11"/>
      <c r="AF59" s="11"/>
      <c r="AG59" s="11"/>
      <c r="AH59" s="11"/>
      <c r="AI59" s="12"/>
      <c r="AJ59" s="11"/>
      <c r="AK59" s="11"/>
      <c r="AL59" s="11"/>
      <c r="AM59" s="11"/>
      <c r="AN59" s="9"/>
      <c r="AO59" s="9"/>
      <c r="AP59" s="9"/>
      <c r="AQ59" s="9"/>
      <c r="AR59" s="9"/>
      <c r="AS59" s="9"/>
      <c r="AT59" s="9"/>
      <c r="AU59" s="9"/>
      <c r="AV59" s="9"/>
      <c r="AW59" s="9"/>
      <c r="AX59" s="13"/>
    </row>
    <row r="60" spans="1:50" s="14" customFormat="1" x14ac:dyDescent="0.25">
      <c r="A60" s="11"/>
      <c r="B60" s="11"/>
      <c r="C60" s="11"/>
      <c r="D60" s="11"/>
      <c r="E60" s="11"/>
      <c r="F60" s="11"/>
      <c r="G60" s="11"/>
      <c r="H60" s="10"/>
      <c r="I60" s="11"/>
      <c r="J60" s="11"/>
      <c r="K60" s="11"/>
      <c r="L60" s="11"/>
      <c r="M60" s="10"/>
      <c r="N60" s="9"/>
      <c r="O60" s="10"/>
      <c r="P60" s="11"/>
      <c r="Q60" s="11"/>
      <c r="R60" s="11"/>
      <c r="S60" s="11"/>
      <c r="T60" s="9"/>
      <c r="U60" s="9"/>
      <c r="V60" s="9"/>
      <c r="W60" s="9"/>
      <c r="X60" s="9"/>
      <c r="Y60" s="10"/>
      <c r="Z60" s="11"/>
      <c r="AA60" s="11"/>
      <c r="AB60" s="11"/>
      <c r="AC60" s="11"/>
      <c r="AD60" s="11"/>
      <c r="AE60" s="11"/>
      <c r="AF60" s="11"/>
      <c r="AG60" s="11"/>
      <c r="AH60" s="11"/>
      <c r="AI60" s="12"/>
      <c r="AJ60" s="11"/>
      <c r="AK60" s="11"/>
      <c r="AL60" s="11"/>
      <c r="AM60" s="11"/>
      <c r="AN60" s="9"/>
      <c r="AO60" s="9"/>
      <c r="AP60" s="9"/>
      <c r="AQ60" s="9"/>
      <c r="AR60" s="9"/>
      <c r="AS60" s="9"/>
      <c r="AT60" s="9"/>
      <c r="AU60" s="9"/>
      <c r="AV60" s="9"/>
      <c r="AW60" s="9"/>
      <c r="AX60" s="13"/>
    </row>
    <row r="61" spans="1:50" s="14" customFormat="1" x14ac:dyDescent="0.25">
      <c r="A61" s="11"/>
      <c r="B61" s="11"/>
      <c r="C61" s="11"/>
      <c r="D61" s="11"/>
      <c r="E61" s="11"/>
      <c r="F61" s="11"/>
      <c r="G61" s="11"/>
      <c r="H61" s="10"/>
      <c r="I61" s="11"/>
      <c r="J61" s="11"/>
      <c r="K61" s="11"/>
      <c r="L61" s="11"/>
      <c r="M61" s="10"/>
      <c r="N61" s="9"/>
      <c r="O61" s="10"/>
      <c r="P61" s="11"/>
      <c r="Q61" s="11"/>
      <c r="R61" s="11"/>
      <c r="S61" s="11"/>
      <c r="T61" s="9"/>
      <c r="U61" s="9"/>
      <c r="V61" s="9"/>
      <c r="W61" s="9"/>
      <c r="X61" s="9"/>
      <c r="Y61" s="10"/>
      <c r="Z61" s="11"/>
      <c r="AA61" s="11"/>
      <c r="AB61" s="11"/>
      <c r="AC61" s="11"/>
      <c r="AD61" s="11"/>
      <c r="AE61" s="11"/>
      <c r="AF61" s="11"/>
      <c r="AG61" s="11"/>
      <c r="AH61" s="11"/>
      <c r="AI61" s="12"/>
      <c r="AJ61" s="11"/>
      <c r="AK61" s="11"/>
      <c r="AL61" s="11"/>
      <c r="AM61" s="11"/>
      <c r="AN61" s="9"/>
      <c r="AO61" s="9"/>
      <c r="AP61" s="9"/>
      <c r="AQ61" s="9"/>
      <c r="AR61" s="9"/>
      <c r="AS61" s="9"/>
      <c r="AT61" s="9"/>
      <c r="AU61" s="9"/>
      <c r="AV61" s="9"/>
      <c r="AW61" s="9"/>
      <c r="AX61" s="13"/>
    </row>
    <row r="62" spans="1:50" s="14" customFormat="1" x14ac:dyDescent="0.25">
      <c r="A62" s="11"/>
      <c r="B62" s="11"/>
      <c r="C62" s="11"/>
      <c r="D62" s="11"/>
      <c r="E62" s="9"/>
      <c r="F62" s="9"/>
      <c r="G62" s="9"/>
      <c r="H62" s="10"/>
      <c r="I62" s="11"/>
      <c r="J62" s="9"/>
      <c r="K62" s="9"/>
      <c r="L62" s="9"/>
      <c r="M62" s="10"/>
      <c r="N62" s="9"/>
      <c r="O62" s="10"/>
      <c r="P62" s="11"/>
      <c r="Q62" s="11"/>
      <c r="R62" s="11"/>
      <c r="S62" s="11"/>
      <c r="T62" s="9"/>
      <c r="U62" s="9"/>
      <c r="V62" s="9"/>
      <c r="W62" s="9"/>
      <c r="X62" s="9"/>
      <c r="Y62" s="10"/>
      <c r="Z62" s="11"/>
      <c r="AA62" s="11"/>
      <c r="AB62" s="11"/>
      <c r="AC62" s="11"/>
      <c r="AD62" s="11"/>
      <c r="AE62" s="11"/>
      <c r="AF62" s="11"/>
      <c r="AG62" s="11"/>
      <c r="AH62" s="11"/>
      <c r="AI62" s="12"/>
      <c r="AJ62" s="11"/>
      <c r="AK62" s="11"/>
      <c r="AL62" s="11"/>
      <c r="AM62" s="11"/>
      <c r="AN62" s="9"/>
      <c r="AO62" s="9"/>
      <c r="AP62" s="9"/>
      <c r="AQ62" s="9"/>
      <c r="AR62" s="9"/>
      <c r="AS62" s="9"/>
      <c r="AT62" s="9"/>
      <c r="AU62" s="9"/>
      <c r="AV62" s="9"/>
      <c r="AW62" s="9"/>
      <c r="AX62" s="13"/>
    </row>
    <row r="63" spans="1:50" s="14" customFormat="1" x14ac:dyDescent="0.25">
      <c r="A63" s="11"/>
      <c r="B63" s="11"/>
      <c r="C63" s="11"/>
      <c r="D63" s="11"/>
      <c r="E63" s="9"/>
      <c r="F63" s="9"/>
      <c r="G63" s="9"/>
      <c r="H63" s="10"/>
      <c r="I63" s="11"/>
      <c r="J63" s="9"/>
      <c r="K63" s="9"/>
      <c r="L63" s="9"/>
      <c r="M63" s="10"/>
      <c r="N63" s="9"/>
      <c r="O63" s="10"/>
      <c r="P63" s="11"/>
      <c r="Q63" s="11"/>
      <c r="R63" s="11"/>
      <c r="S63" s="11"/>
      <c r="T63" s="9"/>
      <c r="U63" s="9"/>
      <c r="V63" s="9"/>
      <c r="W63" s="9"/>
      <c r="X63" s="9"/>
      <c r="Y63" s="10"/>
      <c r="Z63" s="11"/>
      <c r="AA63" s="11"/>
      <c r="AB63" s="11"/>
      <c r="AC63" s="11"/>
      <c r="AD63" s="11"/>
      <c r="AE63" s="11"/>
      <c r="AF63" s="11"/>
      <c r="AG63" s="11"/>
      <c r="AH63" s="11"/>
      <c r="AI63" s="12"/>
      <c r="AJ63" s="11"/>
      <c r="AK63" s="11"/>
      <c r="AL63" s="11"/>
      <c r="AM63" s="11"/>
      <c r="AN63" s="9"/>
      <c r="AO63" s="9"/>
      <c r="AP63" s="9"/>
      <c r="AQ63" s="9"/>
      <c r="AR63" s="9"/>
      <c r="AS63" s="9"/>
      <c r="AT63" s="9"/>
      <c r="AU63" s="9"/>
      <c r="AV63" s="9"/>
      <c r="AW63" s="9"/>
      <c r="AX63" s="13"/>
    </row>
    <row r="64" spans="1:50" s="14" customFormat="1" x14ac:dyDescent="0.25">
      <c r="A64" s="11"/>
      <c r="B64" s="11"/>
      <c r="C64" s="11"/>
      <c r="D64" s="11"/>
      <c r="E64" s="11"/>
      <c r="F64" s="11"/>
      <c r="G64" s="11"/>
      <c r="H64" s="10"/>
      <c r="I64" s="11"/>
      <c r="J64" s="11"/>
      <c r="K64" s="11"/>
      <c r="L64" s="11"/>
      <c r="M64" s="10"/>
      <c r="N64" s="9"/>
      <c r="O64" s="10"/>
      <c r="P64" s="11"/>
      <c r="Q64" s="11"/>
      <c r="R64" s="11"/>
      <c r="S64" s="11"/>
      <c r="T64" s="9"/>
      <c r="U64" s="9"/>
      <c r="V64" s="9"/>
      <c r="W64" s="9"/>
      <c r="X64" s="9"/>
      <c r="Y64" s="10"/>
      <c r="Z64" s="11"/>
      <c r="AA64" s="11"/>
      <c r="AB64" s="11"/>
      <c r="AC64" s="11"/>
      <c r="AD64" s="11"/>
      <c r="AE64" s="11"/>
      <c r="AF64" s="11"/>
      <c r="AG64" s="11"/>
      <c r="AH64" s="11"/>
      <c r="AI64" s="12"/>
      <c r="AJ64" s="11"/>
      <c r="AK64" s="11"/>
      <c r="AL64" s="11"/>
      <c r="AM64" s="11"/>
      <c r="AN64" s="9"/>
      <c r="AO64" s="9"/>
      <c r="AP64" s="9"/>
      <c r="AQ64" s="9"/>
      <c r="AR64" s="9"/>
      <c r="AS64" s="9"/>
      <c r="AT64" s="9"/>
      <c r="AU64" s="9"/>
      <c r="AV64" s="9"/>
      <c r="AW64" s="9"/>
      <c r="AX64" s="13"/>
    </row>
    <row r="65" spans="1:50" s="14" customFormat="1" x14ac:dyDescent="0.25">
      <c r="A65" s="11"/>
      <c r="B65" s="11"/>
      <c r="C65" s="11"/>
      <c r="D65" s="11"/>
      <c r="E65" s="11"/>
      <c r="F65" s="11"/>
      <c r="G65" s="11"/>
      <c r="H65" s="10"/>
      <c r="I65" s="11"/>
      <c r="J65" s="11"/>
      <c r="K65" s="11"/>
      <c r="L65" s="11"/>
      <c r="M65" s="10"/>
      <c r="N65" s="9"/>
      <c r="O65" s="10"/>
      <c r="P65" s="11"/>
      <c r="Q65" s="11"/>
      <c r="R65" s="11"/>
      <c r="S65" s="11"/>
      <c r="T65" s="9"/>
      <c r="U65" s="9"/>
      <c r="V65" s="9"/>
      <c r="W65" s="9"/>
      <c r="X65" s="9"/>
      <c r="Y65" s="10"/>
      <c r="Z65" s="11"/>
      <c r="AA65" s="11"/>
      <c r="AB65" s="11"/>
      <c r="AC65" s="11"/>
      <c r="AD65" s="11"/>
      <c r="AE65" s="11"/>
      <c r="AF65" s="11"/>
      <c r="AG65" s="11"/>
      <c r="AH65" s="11"/>
      <c r="AI65" s="12"/>
      <c r="AJ65" s="11"/>
      <c r="AK65" s="11"/>
      <c r="AL65" s="11"/>
      <c r="AM65" s="11"/>
      <c r="AN65" s="9"/>
      <c r="AO65" s="9"/>
      <c r="AP65" s="9"/>
      <c r="AQ65" s="9"/>
      <c r="AR65" s="9"/>
      <c r="AS65" s="9"/>
      <c r="AT65" s="9"/>
      <c r="AU65" s="9"/>
      <c r="AV65" s="9"/>
      <c r="AW65" s="9"/>
      <c r="AX65" s="13"/>
    </row>
    <row r="66" spans="1:50" s="14" customFormat="1" x14ac:dyDescent="0.25">
      <c r="A66" s="11"/>
      <c r="B66" s="11"/>
      <c r="C66" s="11"/>
      <c r="D66" s="11"/>
      <c r="E66" s="9"/>
      <c r="F66" s="9"/>
      <c r="G66" s="9"/>
      <c r="H66" s="10"/>
      <c r="I66" s="11"/>
      <c r="J66" s="9"/>
      <c r="K66" s="9"/>
      <c r="L66" s="9"/>
      <c r="M66" s="10"/>
      <c r="N66" s="9"/>
      <c r="O66" s="10"/>
      <c r="P66" s="11"/>
      <c r="Q66" s="11"/>
      <c r="R66" s="11"/>
      <c r="S66" s="11"/>
      <c r="T66" s="9"/>
      <c r="U66" s="9"/>
      <c r="V66" s="9"/>
      <c r="W66" s="9"/>
      <c r="X66" s="9"/>
      <c r="Y66" s="10"/>
      <c r="Z66" s="11"/>
      <c r="AA66" s="11"/>
      <c r="AB66" s="11"/>
      <c r="AC66" s="11"/>
      <c r="AD66" s="11"/>
      <c r="AE66" s="11"/>
      <c r="AF66" s="11"/>
      <c r="AG66" s="11"/>
      <c r="AH66" s="11"/>
      <c r="AI66" s="12"/>
      <c r="AJ66" s="11"/>
      <c r="AK66" s="11"/>
      <c r="AL66" s="11"/>
      <c r="AM66" s="11"/>
      <c r="AN66" s="9"/>
      <c r="AO66" s="9"/>
      <c r="AP66" s="9"/>
      <c r="AQ66" s="9"/>
      <c r="AR66" s="9"/>
      <c r="AS66" s="9"/>
      <c r="AT66" s="9"/>
      <c r="AU66" s="9"/>
      <c r="AV66" s="9"/>
      <c r="AW66" s="9"/>
      <c r="AX66" s="13"/>
    </row>
    <row r="67" spans="1:50" s="14" customFormat="1" x14ac:dyDescent="0.25">
      <c r="A67" s="11"/>
      <c r="B67" s="11"/>
      <c r="C67" s="11"/>
      <c r="D67" s="11"/>
      <c r="E67" s="11"/>
      <c r="F67" s="11"/>
      <c r="G67" s="11"/>
      <c r="H67" s="10"/>
      <c r="I67" s="11"/>
      <c r="J67" s="11"/>
      <c r="K67" s="11"/>
      <c r="L67" s="11"/>
      <c r="M67" s="10"/>
      <c r="N67" s="9"/>
      <c r="O67" s="10"/>
      <c r="P67" s="11"/>
      <c r="Q67" s="11"/>
      <c r="R67" s="11"/>
      <c r="S67" s="11"/>
      <c r="T67" s="9"/>
      <c r="U67" s="9"/>
      <c r="V67" s="9"/>
      <c r="W67" s="9"/>
      <c r="X67" s="9"/>
      <c r="Y67" s="10"/>
      <c r="Z67" s="11"/>
      <c r="AA67" s="11"/>
      <c r="AB67" s="11"/>
      <c r="AC67" s="11"/>
      <c r="AD67" s="11"/>
      <c r="AE67" s="11"/>
      <c r="AF67" s="11"/>
      <c r="AG67" s="11"/>
      <c r="AH67" s="11"/>
      <c r="AI67" s="12"/>
      <c r="AJ67" s="11"/>
      <c r="AK67" s="11"/>
      <c r="AL67" s="11"/>
      <c r="AM67" s="11"/>
      <c r="AN67" s="9"/>
      <c r="AO67" s="9"/>
      <c r="AP67" s="9"/>
      <c r="AQ67" s="9"/>
      <c r="AR67" s="9"/>
      <c r="AS67" s="9"/>
      <c r="AT67" s="9"/>
      <c r="AU67" s="9"/>
      <c r="AV67" s="9"/>
      <c r="AW67" s="9"/>
      <c r="AX67" s="13"/>
    </row>
    <row r="68" spans="1:50" s="14" customFormat="1" x14ac:dyDescent="0.25">
      <c r="A68" s="11"/>
      <c r="B68" s="11"/>
      <c r="C68" s="11"/>
      <c r="D68" s="11"/>
      <c r="E68" s="11"/>
      <c r="F68" s="11"/>
      <c r="G68" s="11"/>
      <c r="H68" s="10"/>
      <c r="I68" s="11"/>
      <c r="J68" s="11"/>
      <c r="K68" s="11"/>
      <c r="L68" s="11"/>
      <c r="M68" s="10"/>
      <c r="N68" s="9"/>
      <c r="O68" s="10"/>
      <c r="P68" s="11"/>
      <c r="Q68" s="11"/>
      <c r="R68" s="11"/>
      <c r="S68" s="11"/>
      <c r="T68" s="9"/>
      <c r="U68" s="9"/>
      <c r="V68" s="9"/>
      <c r="W68" s="9"/>
      <c r="X68" s="9"/>
      <c r="Y68" s="10"/>
      <c r="Z68" s="11"/>
      <c r="AA68" s="11"/>
      <c r="AB68" s="11"/>
      <c r="AC68" s="11"/>
      <c r="AD68" s="11"/>
      <c r="AE68" s="11"/>
      <c r="AF68" s="11"/>
      <c r="AG68" s="11"/>
      <c r="AH68" s="11"/>
      <c r="AI68" s="12"/>
      <c r="AJ68" s="11"/>
      <c r="AK68" s="11"/>
      <c r="AL68" s="11"/>
      <c r="AM68" s="11"/>
      <c r="AN68" s="9"/>
      <c r="AO68" s="9"/>
      <c r="AP68" s="9"/>
      <c r="AQ68" s="9"/>
      <c r="AR68" s="9"/>
      <c r="AS68" s="9"/>
      <c r="AT68" s="9"/>
      <c r="AU68" s="9"/>
      <c r="AV68" s="9"/>
      <c r="AW68" s="9"/>
      <c r="AX68" s="13"/>
    </row>
    <row r="69" spans="1:50" s="14" customFormat="1" x14ac:dyDescent="0.25">
      <c r="A69" s="11"/>
      <c r="B69" s="11"/>
      <c r="C69" s="11"/>
      <c r="D69" s="11"/>
      <c r="E69" s="11"/>
      <c r="F69" s="11"/>
      <c r="G69" s="11"/>
      <c r="H69" s="10"/>
      <c r="I69" s="11"/>
      <c r="J69" s="11"/>
      <c r="K69" s="11"/>
      <c r="L69" s="11"/>
      <c r="M69" s="10"/>
      <c r="N69" s="9"/>
      <c r="O69" s="10"/>
      <c r="P69" s="11"/>
      <c r="Q69" s="11"/>
      <c r="R69" s="11"/>
      <c r="S69" s="11"/>
      <c r="T69" s="9"/>
      <c r="U69" s="9"/>
      <c r="V69" s="9"/>
      <c r="W69" s="9"/>
      <c r="X69" s="9"/>
      <c r="Y69" s="10"/>
      <c r="Z69" s="11"/>
      <c r="AA69" s="11"/>
      <c r="AB69" s="11"/>
      <c r="AC69" s="11"/>
      <c r="AD69" s="9"/>
      <c r="AE69" s="9"/>
      <c r="AF69" s="9"/>
      <c r="AG69" s="9"/>
      <c r="AH69" s="11"/>
      <c r="AI69" s="12"/>
      <c r="AJ69" s="11"/>
      <c r="AK69" s="11"/>
      <c r="AL69" s="11"/>
      <c r="AM69" s="11"/>
      <c r="AN69" s="9"/>
      <c r="AO69" s="9"/>
      <c r="AP69" s="9"/>
      <c r="AQ69" s="9"/>
      <c r="AR69" s="9"/>
      <c r="AS69" s="9"/>
      <c r="AT69" s="9"/>
      <c r="AU69" s="9"/>
      <c r="AV69" s="9"/>
      <c r="AW69" s="9"/>
      <c r="AX69" s="13"/>
    </row>
    <row r="70" spans="1:50" s="14" customFormat="1" x14ac:dyDescent="0.25">
      <c r="A70" s="11"/>
      <c r="B70" s="11"/>
      <c r="C70" s="11"/>
      <c r="D70" s="11"/>
      <c r="E70" s="11"/>
      <c r="F70" s="11"/>
      <c r="G70" s="11"/>
      <c r="H70" s="10"/>
      <c r="I70" s="11"/>
      <c r="J70" s="11"/>
      <c r="K70" s="11"/>
      <c r="L70" s="11"/>
      <c r="M70" s="10"/>
      <c r="N70" s="9"/>
      <c r="O70" s="10"/>
      <c r="P70" s="11"/>
      <c r="Q70" s="11"/>
      <c r="R70" s="11"/>
      <c r="S70" s="11"/>
      <c r="T70" s="9"/>
      <c r="U70" s="9"/>
      <c r="V70" s="9"/>
      <c r="W70" s="9"/>
      <c r="X70" s="9"/>
      <c r="Y70" s="10"/>
      <c r="Z70" s="11"/>
      <c r="AA70" s="11"/>
      <c r="AB70" s="11"/>
      <c r="AC70" s="11"/>
      <c r="AD70" s="11"/>
      <c r="AE70" s="11"/>
      <c r="AF70" s="11"/>
      <c r="AG70" s="11"/>
      <c r="AH70" s="11"/>
      <c r="AI70" s="12"/>
      <c r="AJ70" s="11"/>
      <c r="AK70" s="11"/>
      <c r="AL70" s="11"/>
      <c r="AM70" s="11"/>
      <c r="AN70" s="9"/>
      <c r="AO70" s="9"/>
      <c r="AP70" s="9"/>
      <c r="AQ70" s="9"/>
      <c r="AR70" s="9"/>
      <c r="AS70" s="9"/>
      <c r="AT70" s="9"/>
      <c r="AU70" s="9"/>
      <c r="AV70" s="9"/>
      <c r="AW70" s="9"/>
      <c r="AX70" s="13"/>
    </row>
    <row r="71" spans="1:50" s="14" customFormat="1" x14ac:dyDescent="0.25">
      <c r="A71" s="11"/>
      <c r="B71" s="11"/>
      <c r="C71" s="11"/>
      <c r="D71" s="11"/>
      <c r="E71" s="11"/>
      <c r="F71" s="11"/>
      <c r="G71" s="11"/>
      <c r="H71" s="10"/>
      <c r="I71" s="11"/>
      <c r="J71" s="11"/>
      <c r="K71" s="11"/>
      <c r="L71" s="11"/>
      <c r="M71" s="10"/>
      <c r="N71" s="9"/>
      <c r="O71" s="10"/>
      <c r="P71" s="11"/>
      <c r="Q71" s="11"/>
      <c r="R71" s="11"/>
      <c r="S71" s="11"/>
      <c r="T71" s="9"/>
      <c r="U71" s="9"/>
      <c r="V71" s="9"/>
      <c r="W71" s="9"/>
      <c r="X71" s="9"/>
      <c r="Y71" s="10"/>
      <c r="Z71" s="11"/>
      <c r="AA71" s="11"/>
      <c r="AB71" s="11"/>
      <c r="AC71" s="11"/>
      <c r="AD71" s="11"/>
      <c r="AE71" s="11"/>
      <c r="AF71" s="11"/>
      <c r="AG71" s="11"/>
      <c r="AH71" s="11"/>
      <c r="AI71" s="12"/>
      <c r="AJ71" s="11"/>
      <c r="AK71" s="11"/>
      <c r="AL71" s="11"/>
      <c r="AM71" s="11"/>
      <c r="AN71" s="9"/>
      <c r="AO71" s="9"/>
      <c r="AP71" s="9"/>
      <c r="AQ71" s="9"/>
      <c r="AR71" s="9"/>
      <c r="AS71" s="9"/>
      <c r="AT71" s="9"/>
      <c r="AU71" s="9"/>
      <c r="AV71" s="9"/>
      <c r="AW71" s="9"/>
      <c r="AX71" s="13"/>
    </row>
    <row r="72" spans="1:50" s="14" customFormat="1" x14ac:dyDescent="0.25">
      <c r="A72" s="11"/>
      <c r="B72" s="11"/>
      <c r="C72" s="11"/>
      <c r="D72" s="11"/>
      <c r="E72" s="9"/>
      <c r="F72" s="9"/>
      <c r="G72" s="9"/>
      <c r="H72" s="10"/>
      <c r="I72" s="11"/>
      <c r="J72" s="9"/>
      <c r="K72" s="9"/>
      <c r="L72" s="9"/>
      <c r="M72" s="10"/>
      <c r="N72" s="9"/>
      <c r="O72" s="10"/>
      <c r="P72" s="11"/>
      <c r="Q72" s="11"/>
      <c r="R72" s="11"/>
      <c r="S72" s="11"/>
      <c r="T72" s="9"/>
      <c r="U72" s="9"/>
      <c r="V72" s="9"/>
      <c r="W72" s="9"/>
      <c r="X72" s="9"/>
      <c r="Y72" s="10"/>
      <c r="Z72" s="11"/>
      <c r="AA72" s="11"/>
      <c r="AB72" s="11"/>
      <c r="AC72" s="11"/>
      <c r="AD72" s="11"/>
      <c r="AE72" s="11"/>
      <c r="AF72" s="11"/>
      <c r="AG72" s="11"/>
      <c r="AH72" s="11"/>
      <c r="AI72" s="12"/>
      <c r="AJ72" s="11"/>
      <c r="AK72" s="11"/>
      <c r="AL72" s="11"/>
      <c r="AM72" s="11"/>
      <c r="AN72" s="9"/>
      <c r="AO72" s="9"/>
      <c r="AP72" s="9"/>
      <c r="AQ72" s="9"/>
      <c r="AR72" s="9"/>
      <c r="AS72" s="9"/>
      <c r="AT72" s="9"/>
      <c r="AU72" s="9"/>
      <c r="AV72" s="9"/>
      <c r="AW72" s="9"/>
      <c r="AX72" s="13"/>
    </row>
    <row r="73" spans="1:50" s="14" customFormat="1" x14ac:dyDescent="0.25">
      <c r="A73" s="11"/>
      <c r="B73" s="11"/>
      <c r="C73" s="11"/>
      <c r="D73" s="9"/>
      <c r="E73" s="9"/>
      <c r="F73" s="9"/>
      <c r="G73" s="9"/>
      <c r="H73" s="10"/>
      <c r="I73" s="9"/>
      <c r="J73" s="9"/>
      <c r="K73" s="9"/>
      <c r="L73" s="9"/>
      <c r="M73" s="10"/>
      <c r="N73" s="9"/>
      <c r="O73" s="10"/>
      <c r="P73" s="11"/>
      <c r="Q73" s="11"/>
      <c r="R73" s="11"/>
      <c r="S73" s="11"/>
      <c r="T73" s="9"/>
      <c r="U73" s="9"/>
      <c r="V73" s="9"/>
      <c r="W73" s="9"/>
      <c r="X73" s="9"/>
      <c r="Y73" s="10"/>
      <c r="Z73" s="11"/>
      <c r="AA73" s="11"/>
      <c r="AB73" s="11"/>
      <c r="AC73" s="11"/>
      <c r="AD73" s="11"/>
      <c r="AE73" s="11"/>
      <c r="AF73" s="11"/>
      <c r="AG73" s="11"/>
      <c r="AH73" s="11"/>
      <c r="AI73" s="12"/>
      <c r="AJ73" s="11"/>
      <c r="AK73" s="11"/>
      <c r="AL73" s="11"/>
      <c r="AM73" s="11"/>
      <c r="AN73" s="9"/>
      <c r="AO73" s="9"/>
      <c r="AP73" s="9"/>
      <c r="AQ73" s="9"/>
      <c r="AR73" s="9"/>
      <c r="AS73" s="9"/>
      <c r="AT73" s="9"/>
      <c r="AU73" s="9"/>
      <c r="AV73" s="9"/>
      <c r="AW73" s="9"/>
      <c r="AX73" s="13"/>
    </row>
    <row r="74" spans="1:50" s="14" customFormat="1" x14ac:dyDescent="0.25">
      <c r="A74" s="11"/>
      <c r="B74" s="11"/>
      <c r="C74" s="11"/>
      <c r="D74" s="9"/>
      <c r="E74" s="9"/>
      <c r="F74" s="9"/>
      <c r="G74" s="9"/>
      <c r="H74" s="10"/>
      <c r="I74" s="9"/>
      <c r="J74" s="9"/>
      <c r="K74" s="9"/>
      <c r="L74" s="9"/>
      <c r="M74" s="10"/>
      <c r="N74" s="9"/>
      <c r="O74" s="10"/>
      <c r="P74" s="11"/>
      <c r="Q74" s="11"/>
      <c r="R74" s="11"/>
      <c r="S74" s="11"/>
      <c r="T74" s="9"/>
      <c r="U74" s="9"/>
      <c r="V74" s="9"/>
      <c r="W74" s="9"/>
      <c r="X74" s="9"/>
      <c r="Y74" s="10"/>
      <c r="Z74" s="11"/>
      <c r="AA74" s="11"/>
      <c r="AB74" s="11"/>
      <c r="AC74" s="11"/>
      <c r="AD74" s="11"/>
      <c r="AE74" s="11"/>
      <c r="AF74" s="11"/>
      <c r="AG74" s="11"/>
      <c r="AH74" s="11"/>
      <c r="AI74" s="12"/>
      <c r="AJ74" s="11"/>
      <c r="AK74" s="11"/>
      <c r="AL74" s="11"/>
      <c r="AM74" s="11"/>
      <c r="AN74" s="9"/>
      <c r="AO74" s="9"/>
      <c r="AP74" s="9"/>
      <c r="AQ74" s="9"/>
      <c r="AR74" s="9"/>
      <c r="AS74" s="9"/>
      <c r="AT74" s="9"/>
      <c r="AU74" s="9"/>
      <c r="AV74" s="9"/>
      <c r="AW74" s="9"/>
      <c r="AX74" s="13"/>
    </row>
    <row r="75" spans="1:50" s="14" customFormat="1" x14ac:dyDescent="0.25">
      <c r="A75" s="11"/>
      <c r="B75" s="11"/>
      <c r="C75" s="11"/>
      <c r="D75" s="11"/>
      <c r="E75" s="9"/>
      <c r="F75" s="9"/>
      <c r="G75" s="9"/>
      <c r="H75" s="10"/>
      <c r="I75" s="11"/>
      <c r="J75" s="9"/>
      <c r="K75" s="9"/>
      <c r="L75" s="9"/>
      <c r="M75" s="10"/>
      <c r="N75" s="9"/>
      <c r="O75" s="10"/>
      <c r="P75" s="11"/>
      <c r="Q75" s="11"/>
      <c r="R75" s="11"/>
      <c r="S75" s="11"/>
      <c r="T75" s="9"/>
      <c r="U75" s="9"/>
      <c r="V75" s="9"/>
      <c r="W75" s="9"/>
      <c r="X75" s="9"/>
      <c r="Y75" s="10"/>
      <c r="Z75" s="11"/>
      <c r="AA75" s="11"/>
      <c r="AB75" s="11"/>
      <c r="AC75" s="11"/>
      <c r="AD75" s="11"/>
      <c r="AE75" s="11"/>
      <c r="AF75" s="11"/>
      <c r="AG75" s="11"/>
      <c r="AH75" s="11"/>
      <c r="AI75" s="12"/>
      <c r="AJ75" s="11"/>
      <c r="AK75" s="11"/>
      <c r="AL75" s="11"/>
      <c r="AM75" s="11"/>
      <c r="AN75" s="9"/>
      <c r="AO75" s="9"/>
      <c r="AP75" s="9"/>
      <c r="AQ75" s="9"/>
      <c r="AR75" s="9"/>
      <c r="AS75" s="9"/>
      <c r="AT75" s="9"/>
      <c r="AU75" s="9"/>
      <c r="AV75" s="9"/>
      <c r="AW75" s="9"/>
      <c r="AX75" s="13"/>
    </row>
    <row r="76" spans="1:50" s="14" customFormat="1" x14ac:dyDescent="0.25">
      <c r="A76" s="11"/>
      <c r="B76" s="11"/>
      <c r="C76" s="11"/>
      <c r="D76" s="11"/>
      <c r="E76" s="9"/>
      <c r="F76" s="9"/>
      <c r="G76" s="9"/>
      <c r="H76" s="10"/>
      <c r="I76" s="11"/>
      <c r="J76" s="9"/>
      <c r="K76" s="9"/>
      <c r="L76" s="9"/>
      <c r="M76" s="10"/>
      <c r="N76" s="9"/>
      <c r="O76" s="10"/>
      <c r="P76" s="11"/>
      <c r="Q76" s="11"/>
      <c r="R76" s="11"/>
      <c r="S76" s="11"/>
      <c r="T76" s="9"/>
      <c r="U76" s="9"/>
      <c r="V76" s="9"/>
      <c r="W76" s="9"/>
      <c r="X76" s="9"/>
      <c r="Y76" s="10"/>
      <c r="Z76" s="11"/>
      <c r="AA76" s="11"/>
      <c r="AB76" s="11"/>
      <c r="AC76" s="11"/>
      <c r="AD76" s="11"/>
      <c r="AE76" s="11"/>
      <c r="AF76" s="11"/>
      <c r="AG76" s="11"/>
      <c r="AH76" s="11"/>
      <c r="AI76" s="12"/>
      <c r="AJ76" s="11"/>
      <c r="AK76" s="11"/>
      <c r="AL76" s="11"/>
      <c r="AM76" s="11"/>
      <c r="AN76" s="9"/>
      <c r="AO76" s="9"/>
      <c r="AP76" s="9"/>
      <c r="AQ76" s="9"/>
      <c r="AR76" s="9"/>
      <c r="AS76" s="9"/>
      <c r="AT76" s="9"/>
      <c r="AU76" s="9"/>
      <c r="AV76" s="9"/>
      <c r="AW76" s="9"/>
      <c r="AX76" s="13"/>
    </row>
    <row r="77" spans="1:50" s="14" customFormat="1" x14ac:dyDescent="0.25">
      <c r="A77" s="11"/>
      <c r="B77" s="11"/>
      <c r="C77" s="11"/>
      <c r="D77" s="11"/>
      <c r="E77" s="9"/>
      <c r="F77" s="9"/>
      <c r="G77" s="9"/>
      <c r="H77" s="10"/>
      <c r="I77" s="11"/>
      <c r="J77" s="9"/>
      <c r="K77" s="9"/>
      <c r="L77" s="9"/>
      <c r="M77" s="10"/>
      <c r="N77" s="9"/>
      <c r="O77" s="10"/>
      <c r="P77" s="11"/>
      <c r="Q77" s="11"/>
      <c r="R77" s="11"/>
      <c r="S77" s="11"/>
      <c r="T77" s="9"/>
      <c r="U77" s="9"/>
      <c r="V77" s="9"/>
      <c r="W77" s="9"/>
      <c r="X77" s="9"/>
      <c r="Y77" s="10"/>
      <c r="Z77" s="11"/>
      <c r="AA77" s="11"/>
      <c r="AB77" s="11"/>
      <c r="AC77" s="11"/>
      <c r="AD77" s="11"/>
      <c r="AE77" s="11"/>
      <c r="AF77" s="11"/>
      <c r="AG77" s="11"/>
      <c r="AH77" s="11"/>
      <c r="AI77" s="12"/>
      <c r="AJ77" s="11"/>
      <c r="AK77" s="11"/>
      <c r="AL77" s="11"/>
      <c r="AM77" s="11"/>
      <c r="AN77" s="9"/>
      <c r="AO77" s="9"/>
      <c r="AP77" s="9"/>
      <c r="AQ77" s="9"/>
      <c r="AR77" s="9"/>
      <c r="AS77" s="9"/>
      <c r="AT77" s="9"/>
      <c r="AU77" s="9"/>
      <c r="AV77" s="9"/>
      <c r="AW77" s="9"/>
      <c r="AX77" s="13"/>
    </row>
    <row r="78" spans="1:50" s="14" customFormat="1" x14ac:dyDescent="0.25">
      <c r="A78" s="11"/>
      <c r="B78" s="11"/>
      <c r="C78" s="11"/>
      <c r="D78" s="11"/>
      <c r="E78" s="11"/>
      <c r="F78" s="11"/>
      <c r="G78" s="11"/>
      <c r="H78" s="10"/>
      <c r="I78" s="11"/>
      <c r="J78" s="11"/>
      <c r="K78" s="11"/>
      <c r="L78" s="11"/>
      <c r="M78" s="10"/>
      <c r="N78" s="9"/>
      <c r="O78" s="10"/>
      <c r="P78" s="11"/>
      <c r="Q78" s="11"/>
      <c r="R78" s="11"/>
      <c r="S78" s="11"/>
      <c r="T78" s="9"/>
      <c r="U78" s="9"/>
      <c r="V78" s="9"/>
      <c r="W78" s="9"/>
      <c r="X78" s="9"/>
      <c r="Y78" s="10"/>
      <c r="Z78" s="11"/>
      <c r="AA78" s="11"/>
      <c r="AB78" s="11"/>
      <c r="AC78" s="11"/>
      <c r="AD78" s="11"/>
      <c r="AE78" s="11"/>
      <c r="AF78" s="11"/>
      <c r="AG78" s="11"/>
      <c r="AH78" s="11"/>
      <c r="AI78" s="12"/>
      <c r="AJ78" s="11"/>
      <c r="AK78" s="11"/>
      <c r="AL78" s="11"/>
      <c r="AM78" s="11"/>
      <c r="AN78" s="9"/>
      <c r="AO78" s="9"/>
      <c r="AP78" s="9"/>
      <c r="AQ78" s="9"/>
      <c r="AR78" s="9"/>
      <c r="AS78" s="9"/>
      <c r="AT78" s="9"/>
      <c r="AU78" s="9"/>
      <c r="AV78" s="9"/>
      <c r="AW78" s="9"/>
      <c r="AX78" s="13"/>
    </row>
    <row r="79" spans="1:50" s="14" customFormat="1" x14ac:dyDescent="0.25">
      <c r="A79" s="11"/>
      <c r="B79" s="11"/>
      <c r="C79" s="11"/>
      <c r="D79" s="11"/>
      <c r="E79" s="9"/>
      <c r="F79" s="9"/>
      <c r="G79" s="9"/>
      <c r="H79" s="10"/>
      <c r="I79" s="11"/>
      <c r="J79" s="9"/>
      <c r="K79" s="9"/>
      <c r="L79" s="9"/>
      <c r="M79" s="10"/>
      <c r="N79" s="9"/>
      <c r="O79" s="10"/>
      <c r="P79" s="11"/>
      <c r="Q79" s="11"/>
      <c r="R79" s="11"/>
      <c r="S79" s="11"/>
      <c r="T79" s="9"/>
      <c r="U79" s="9"/>
      <c r="V79" s="9"/>
      <c r="W79" s="9"/>
      <c r="X79" s="9"/>
      <c r="Y79" s="10"/>
      <c r="Z79" s="11"/>
      <c r="AA79" s="11"/>
      <c r="AB79" s="11"/>
      <c r="AC79" s="11"/>
      <c r="AD79" s="11"/>
      <c r="AE79" s="11"/>
      <c r="AF79" s="11"/>
      <c r="AG79" s="11"/>
      <c r="AH79" s="11"/>
      <c r="AI79" s="12"/>
      <c r="AJ79" s="11"/>
      <c r="AK79" s="11"/>
      <c r="AL79" s="11"/>
      <c r="AM79" s="11"/>
      <c r="AN79" s="9"/>
      <c r="AO79" s="9"/>
      <c r="AP79" s="9"/>
      <c r="AQ79" s="9"/>
      <c r="AR79" s="9"/>
      <c r="AS79" s="9"/>
      <c r="AT79" s="9"/>
      <c r="AU79" s="9"/>
      <c r="AV79" s="9"/>
      <c r="AW79" s="9"/>
      <c r="AX79" s="13"/>
    </row>
    <row r="80" spans="1:50" s="14" customFormat="1" x14ac:dyDescent="0.25">
      <c r="A80" s="11"/>
      <c r="B80" s="11"/>
      <c r="C80" s="11"/>
      <c r="D80" s="11"/>
      <c r="E80" s="11"/>
      <c r="F80" s="11"/>
      <c r="G80" s="11"/>
      <c r="H80" s="10"/>
      <c r="I80" s="11"/>
      <c r="J80" s="11"/>
      <c r="K80" s="11"/>
      <c r="L80" s="11"/>
      <c r="M80" s="10"/>
      <c r="N80" s="9"/>
      <c r="O80" s="10"/>
      <c r="P80" s="11"/>
      <c r="Q80" s="11"/>
      <c r="R80" s="11"/>
      <c r="S80" s="11"/>
      <c r="T80" s="9"/>
      <c r="U80" s="9"/>
      <c r="V80" s="9"/>
      <c r="W80" s="9"/>
      <c r="X80" s="9"/>
      <c r="Y80" s="10"/>
      <c r="Z80" s="11"/>
      <c r="AA80" s="11"/>
      <c r="AB80" s="11"/>
      <c r="AC80" s="11"/>
      <c r="AD80" s="11"/>
      <c r="AE80" s="11"/>
      <c r="AF80" s="11"/>
      <c r="AG80" s="11"/>
      <c r="AH80" s="11"/>
      <c r="AI80" s="12"/>
      <c r="AJ80" s="11"/>
      <c r="AK80" s="11"/>
      <c r="AL80" s="11"/>
      <c r="AM80" s="11"/>
      <c r="AN80" s="9"/>
      <c r="AO80" s="9"/>
      <c r="AP80" s="9"/>
      <c r="AQ80" s="9"/>
      <c r="AR80" s="9"/>
      <c r="AS80" s="9"/>
      <c r="AT80" s="9"/>
      <c r="AU80" s="9"/>
      <c r="AV80" s="9"/>
      <c r="AW80" s="9"/>
      <c r="AX80" s="13"/>
    </row>
    <row r="81" spans="1:50" s="14" customFormat="1" x14ac:dyDescent="0.25">
      <c r="A81" s="11"/>
      <c r="B81" s="11"/>
      <c r="C81" s="11"/>
      <c r="D81" s="11"/>
      <c r="E81" s="11"/>
      <c r="F81" s="11"/>
      <c r="G81" s="11"/>
      <c r="H81" s="10"/>
      <c r="I81" s="11"/>
      <c r="J81" s="11"/>
      <c r="K81" s="11"/>
      <c r="L81" s="11"/>
      <c r="M81" s="10"/>
      <c r="N81" s="9"/>
      <c r="O81" s="10"/>
      <c r="P81" s="11"/>
      <c r="Q81" s="11"/>
      <c r="R81" s="11"/>
      <c r="S81" s="11"/>
      <c r="T81" s="9"/>
      <c r="U81" s="9"/>
      <c r="V81" s="9"/>
      <c r="W81" s="9"/>
      <c r="X81" s="9"/>
      <c r="Y81" s="10"/>
      <c r="Z81" s="11"/>
      <c r="AA81" s="11"/>
      <c r="AB81" s="11"/>
      <c r="AC81" s="11"/>
      <c r="AD81" s="11"/>
      <c r="AE81" s="11"/>
      <c r="AF81" s="11"/>
      <c r="AG81" s="11"/>
      <c r="AH81" s="11"/>
      <c r="AI81" s="12"/>
      <c r="AJ81" s="11"/>
      <c r="AK81" s="11"/>
      <c r="AL81" s="11"/>
      <c r="AM81" s="11"/>
      <c r="AN81" s="9"/>
      <c r="AO81" s="9"/>
      <c r="AP81" s="9"/>
      <c r="AQ81" s="9"/>
      <c r="AR81" s="9"/>
      <c r="AS81" s="9"/>
      <c r="AT81" s="9"/>
      <c r="AU81" s="9"/>
      <c r="AV81" s="9"/>
      <c r="AW81" s="9"/>
      <c r="AX81" s="13"/>
    </row>
    <row r="82" spans="1:50" s="14" customFormat="1" x14ac:dyDescent="0.25">
      <c r="A82" s="11"/>
      <c r="B82" s="11"/>
      <c r="C82" s="11"/>
      <c r="D82" s="11"/>
      <c r="E82" s="11"/>
      <c r="F82" s="11"/>
      <c r="G82" s="11"/>
      <c r="H82" s="10"/>
      <c r="I82" s="11"/>
      <c r="J82" s="11"/>
      <c r="K82" s="11"/>
      <c r="L82" s="11"/>
      <c r="M82" s="10"/>
      <c r="N82" s="9"/>
      <c r="O82" s="10"/>
      <c r="P82" s="11"/>
      <c r="Q82" s="11"/>
      <c r="R82" s="11"/>
      <c r="S82" s="11"/>
      <c r="T82" s="9"/>
      <c r="U82" s="9"/>
      <c r="V82" s="9"/>
      <c r="W82" s="9"/>
      <c r="X82" s="9"/>
      <c r="Y82" s="10"/>
      <c r="Z82" s="11"/>
      <c r="AA82" s="11"/>
      <c r="AB82" s="11"/>
      <c r="AC82" s="11"/>
      <c r="AD82" s="11"/>
      <c r="AE82" s="11"/>
      <c r="AF82" s="11"/>
      <c r="AG82" s="11"/>
      <c r="AH82" s="11"/>
      <c r="AI82" s="12"/>
      <c r="AJ82" s="11"/>
      <c r="AK82" s="11"/>
      <c r="AL82" s="11"/>
      <c r="AM82" s="11"/>
      <c r="AN82" s="9"/>
      <c r="AO82" s="9"/>
      <c r="AP82" s="9"/>
      <c r="AQ82" s="9"/>
      <c r="AR82" s="9"/>
      <c r="AS82" s="9"/>
      <c r="AT82" s="9"/>
      <c r="AU82" s="9"/>
      <c r="AV82" s="9"/>
      <c r="AW82" s="9"/>
      <c r="AX82" s="13"/>
    </row>
    <row r="83" spans="1:50" s="14" customFormat="1" x14ac:dyDescent="0.25">
      <c r="A83" s="11"/>
      <c r="B83" s="11"/>
      <c r="C83" s="11"/>
      <c r="D83" s="11"/>
      <c r="E83" s="11"/>
      <c r="F83" s="11"/>
      <c r="G83" s="11"/>
      <c r="H83" s="10"/>
      <c r="I83" s="11"/>
      <c r="J83" s="11"/>
      <c r="K83" s="11"/>
      <c r="L83" s="11"/>
      <c r="M83" s="10"/>
      <c r="N83" s="9"/>
      <c r="O83" s="10"/>
      <c r="P83" s="11"/>
      <c r="Q83" s="11"/>
      <c r="R83" s="11"/>
      <c r="S83" s="11"/>
      <c r="T83" s="9"/>
      <c r="U83" s="9"/>
      <c r="V83" s="9"/>
      <c r="W83" s="9"/>
      <c r="X83" s="9"/>
      <c r="Y83" s="10"/>
      <c r="Z83" s="11"/>
      <c r="AA83" s="11"/>
      <c r="AB83" s="11"/>
      <c r="AC83" s="11"/>
      <c r="AD83" s="11"/>
      <c r="AE83" s="11"/>
      <c r="AF83" s="11"/>
      <c r="AG83" s="11"/>
      <c r="AH83" s="11"/>
      <c r="AI83" s="12"/>
      <c r="AJ83" s="11"/>
      <c r="AK83" s="11"/>
      <c r="AL83" s="11"/>
      <c r="AM83" s="11"/>
      <c r="AN83" s="9"/>
      <c r="AO83" s="9"/>
      <c r="AP83" s="9"/>
      <c r="AQ83" s="9"/>
      <c r="AR83" s="9"/>
      <c r="AS83" s="9"/>
      <c r="AT83" s="9"/>
      <c r="AU83" s="9"/>
      <c r="AV83" s="9"/>
      <c r="AW83" s="9"/>
      <c r="AX83" s="13"/>
    </row>
    <row r="84" spans="1:50" s="14" customFormat="1" x14ac:dyDescent="0.25">
      <c r="A84" s="11"/>
      <c r="B84" s="11"/>
      <c r="C84" s="11"/>
      <c r="D84" s="11"/>
      <c r="E84" s="9"/>
      <c r="F84" s="9"/>
      <c r="G84" s="9"/>
      <c r="H84" s="10"/>
      <c r="I84" s="11"/>
      <c r="J84" s="9"/>
      <c r="K84" s="9"/>
      <c r="L84" s="9"/>
      <c r="M84" s="10"/>
      <c r="N84" s="9"/>
      <c r="O84" s="10"/>
      <c r="P84" s="11"/>
      <c r="Q84" s="11"/>
      <c r="R84" s="11"/>
      <c r="S84" s="11"/>
      <c r="T84" s="9"/>
      <c r="U84" s="9"/>
      <c r="V84" s="9"/>
      <c r="W84" s="9"/>
      <c r="X84" s="9"/>
      <c r="Y84" s="10"/>
      <c r="Z84" s="11"/>
      <c r="AA84" s="11"/>
      <c r="AB84" s="11"/>
      <c r="AC84" s="11"/>
      <c r="AD84" s="11"/>
      <c r="AE84" s="11"/>
      <c r="AF84" s="11"/>
      <c r="AG84" s="11"/>
      <c r="AH84" s="11"/>
      <c r="AI84" s="12"/>
      <c r="AJ84" s="11"/>
      <c r="AK84" s="11"/>
      <c r="AL84" s="11"/>
      <c r="AM84" s="11"/>
      <c r="AN84" s="9"/>
      <c r="AO84" s="9"/>
      <c r="AP84" s="9"/>
      <c r="AQ84" s="9"/>
      <c r="AR84" s="9"/>
      <c r="AS84" s="9"/>
      <c r="AT84" s="9"/>
      <c r="AU84" s="9"/>
      <c r="AV84" s="9"/>
      <c r="AW84" s="9"/>
      <c r="AX84" s="13"/>
    </row>
    <row r="85" spans="1:50" s="14" customFormat="1" x14ac:dyDescent="0.25">
      <c r="A85" s="11"/>
      <c r="B85" s="11"/>
      <c r="C85" s="11"/>
      <c r="D85" s="11"/>
      <c r="E85" s="11"/>
      <c r="F85" s="11"/>
      <c r="G85" s="11"/>
      <c r="H85" s="10"/>
      <c r="I85" s="11"/>
      <c r="J85" s="11"/>
      <c r="K85" s="11"/>
      <c r="L85" s="11"/>
      <c r="M85" s="10"/>
      <c r="N85" s="9"/>
      <c r="O85" s="10"/>
      <c r="P85" s="11"/>
      <c r="Q85" s="11"/>
      <c r="R85" s="11"/>
      <c r="S85" s="11"/>
      <c r="T85" s="9"/>
      <c r="U85" s="9"/>
      <c r="V85" s="9"/>
      <c r="W85" s="9"/>
      <c r="X85" s="9"/>
      <c r="Y85" s="10"/>
      <c r="Z85" s="11"/>
      <c r="AA85" s="11"/>
      <c r="AB85" s="11"/>
      <c r="AC85" s="11"/>
      <c r="AD85" s="11"/>
      <c r="AE85" s="11"/>
      <c r="AF85" s="11"/>
      <c r="AG85" s="11"/>
      <c r="AH85" s="11"/>
      <c r="AI85" s="12"/>
      <c r="AJ85" s="11"/>
      <c r="AK85" s="11"/>
      <c r="AL85" s="11"/>
      <c r="AM85" s="11"/>
      <c r="AN85" s="9"/>
      <c r="AO85" s="9"/>
      <c r="AP85" s="9"/>
      <c r="AQ85" s="9"/>
      <c r="AR85" s="9"/>
      <c r="AS85" s="9"/>
      <c r="AT85" s="9"/>
      <c r="AU85" s="9"/>
      <c r="AV85" s="9"/>
      <c r="AW85" s="9"/>
      <c r="AX85" s="13"/>
    </row>
    <row r="86" spans="1:50" s="14" customFormat="1" x14ac:dyDescent="0.25">
      <c r="A86" s="11"/>
      <c r="B86" s="11"/>
      <c r="C86" s="11"/>
      <c r="D86" s="9"/>
      <c r="E86" s="9"/>
      <c r="F86" s="9"/>
      <c r="G86" s="9"/>
      <c r="H86" s="10"/>
      <c r="I86" s="9"/>
      <c r="J86" s="9"/>
      <c r="K86" s="9"/>
      <c r="L86" s="9"/>
      <c r="M86" s="10"/>
      <c r="N86" s="9"/>
      <c r="O86" s="10"/>
      <c r="P86" s="11"/>
      <c r="Q86" s="11"/>
      <c r="R86" s="11"/>
      <c r="S86" s="11"/>
      <c r="T86" s="9"/>
      <c r="U86" s="9"/>
      <c r="V86" s="9"/>
      <c r="W86" s="9"/>
      <c r="X86" s="9"/>
      <c r="Y86" s="10"/>
      <c r="Z86" s="11"/>
      <c r="AA86" s="11"/>
      <c r="AB86" s="11"/>
      <c r="AC86" s="11"/>
      <c r="AD86" s="11"/>
      <c r="AE86" s="11"/>
      <c r="AF86" s="11"/>
      <c r="AG86" s="11"/>
      <c r="AH86" s="11"/>
      <c r="AI86" s="12"/>
      <c r="AJ86" s="11"/>
      <c r="AK86" s="11"/>
      <c r="AL86" s="11"/>
      <c r="AM86" s="11"/>
      <c r="AN86" s="9"/>
      <c r="AO86" s="9"/>
      <c r="AP86" s="9"/>
      <c r="AQ86" s="9"/>
      <c r="AR86" s="9"/>
      <c r="AS86" s="9"/>
      <c r="AT86" s="9"/>
      <c r="AU86" s="9"/>
      <c r="AV86" s="9"/>
      <c r="AW86" s="9"/>
      <c r="AX86" s="13"/>
    </row>
    <row r="87" spans="1:50" s="14" customFormat="1" x14ac:dyDescent="0.25">
      <c r="A87" s="11"/>
      <c r="B87" s="11"/>
      <c r="C87" s="11"/>
      <c r="D87" s="11"/>
      <c r="E87" s="11"/>
      <c r="F87" s="11"/>
      <c r="G87" s="11"/>
      <c r="H87" s="10"/>
      <c r="I87" s="11"/>
      <c r="J87" s="11"/>
      <c r="K87" s="11"/>
      <c r="L87" s="11"/>
      <c r="M87" s="10"/>
      <c r="N87" s="9"/>
      <c r="O87" s="10"/>
      <c r="P87" s="11"/>
      <c r="Q87" s="11"/>
      <c r="R87" s="11"/>
      <c r="S87" s="11"/>
      <c r="T87" s="9"/>
      <c r="U87" s="9"/>
      <c r="V87" s="9"/>
      <c r="W87" s="9"/>
      <c r="X87" s="9"/>
      <c r="Y87" s="10"/>
      <c r="Z87" s="11"/>
      <c r="AA87" s="11"/>
      <c r="AB87" s="11"/>
      <c r="AC87" s="11"/>
      <c r="AD87" s="11"/>
      <c r="AE87" s="11"/>
      <c r="AF87" s="11"/>
      <c r="AG87" s="11"/>
      <c r="AH87" s="11"/>
      <c r="AI87" s="12"/>
      <c r="AJ87" s="11"/>
      <c r="AK87" s="11"/>
      <c r="AL87" s="11"/>
      <c r="AM87" s="11"/>
      <c r="AN87" s="9"/>
      <c r="AO87" s="9"/>
      <c r="AP87" s="9"/>
      <c r="AQ87" s="9"/>
      <c r="AR87" s="9"/>
      <c r="AS87" s="9"/>
      <c r="AT87" s="9"/>
      <c r="AU87" s="9"/>
      <c r="AV87" s="9"/>
      <c r="AW87" s="9"/>
      <c r="AX87" s="13"/>
    </row>
    <row r="88" spans="1:50" s="14" customFormat="1" x14ac:dyDescent="0.25">
      <c r="A88" s="11"/>
      <c r="B88" s="11"/>
      <c r="C88" s="11"/>
      <c r="D88" s="11"/>
      <c r="E88" s="11"/>
      <c r="F88" s="11"/>
      <c r="G88" s="11"/>
      <c r="H88" s="10"/>
      <c r="I88" s="11"/>
      <c r="J88" s="11"/>
      <c r="K88" s="11"/>
      <c r="L88" s="11"/>
      <c r="M88" s="10"/>
      <c r="N88" s="9"/>
      <c r="O88" s="10"/>
      <c r="P88" s="11"/>
      <c r="Q88" s="11"/>
      <c r="R88" s="11"/>
      <c r="S88" s="11"/>
      <c r="T88" s="9"/>
      <c r="U88" s="9"/>
      <c r="V88" s="9"/>
      <c r="W88" s="9"/>
      <c r="X88" s="9"/>
      <c r="Y88" s="10"/>
      <c r="Z88" s="11"/>
      <c r="AA88" s="11"/>
      <c r="AB88" s="11"/>
      <c r="AC88" s="11"/>
      <c r="AD88" s="11"/>
      <c r="AE88" s="11"/>
      <c r="AF88" s="11"/>
      <c r="AG88" s="11"/>
      <c r="AH88" s="11"/>
      <c r="AI88" s="12"/>
      <c r="AJ88" s="11"/>
      <c r="AK88" s="11"/>
      <c r="AL88" s="11"/>
      <c r="AM88" s="11"/>
      <c r="AN88" s="9"/>
      <c r="AO88" s="9"/>
      <c r="AP88" s="9"/>
      <c r="AQ88" s="9"/>
      <c r="AR88" s="9"/>
      <c r="AS88" s="9"/>
      <c r="AT88" s="9"/>
      <c r="AU88" s="9"/>
      <c r="AV88" s="9"/>
      <c r="AW88" s="9"/>
      <c r="AX88" s="13"/>
    </row>
    <row r="89" spans="1:50" s="14" customFormat="1" x14ac:dyDescent="0.25">
      <c r="A89" s="11"/>
      <c r="B89" s="11"/>
      <c r="C89" s="11"/>
      <c r="D89" s="11"/>
      <c r="E89" s="11"/>
      <c r="F89" s="11"/>
      <c r="G89" s="11"/>
      <c r="H89" s="10"/>
      <c r="I89" s="11"/>
      <c r="J89" s="11"/>
      <c r="K89" s="11"/>
      <c r="L89" s="11"/>
      <c r="M89" s="10"/>
      <c r="N89" s="9"/>
      <c r="O89" s="10"/>
      <c r="P89" s="11"/>
      <c r="Q89" s="11"/>
      <c r="R89" s="11"/>
      <c r="S89" s="11"/>
      <c r="T89" s="9"/>
      <c r="U89" s="9"/>
      <c r="V89" s="9"/>
      <c r="W89" s="9"/>
      <c r="X89" s="9"/>
      <c r="Y89" s="10"/>
      <c r="Z89" s="11"/>
      <c r="AA89" s="11"/>
      <c r="AB89" s="11"/>
      <c r="AC89" s="11"/>
      <c r="AD89" s="11"/>
      <c r="AE89" s="11"/>
      <c r="AF89" s="11"/>
      <c r="AG89" s="11"/>
      <c r="AH89" s="11"/>
      <c r="AI89" s="12"/>
      <c r="AJ89" s="11"/>
      <c r="AK89" s="11"/>
      <c r="AL89" s="11"/>
      <c r="AM89" s="11"/>
      <c r="AN89" s="9"/>
      <c r="AO89" s="9"/>
      <c r="AP89" s="9"/>
      <c r="AQ89" s="9"/>
      <c r="AR89" s="9"/>
      <c r="AS89" s="9"/>
      <c r="AT89" s="9"/>
      <c r="AU89" s="9"/>
      <c r="AV89" s="9"/>
      <c r="AW89" s="9"/>
      <c r="AX89" s="13"/>
    </row>
    <row r="90" spans="1:50" s="14" customFormat="1" x14ac:dyDescent="0.25">
      <c r="A90" s="11"/>
      <c r="B90" s="11"/>
      <c r="C90" s="11"/>
      <c r="D90" s="11"/>
      <c r="E90" s="9"/>
      <c r="F90" s="9"/>
      <c r="G90" s="9"/>
      <c r="H90" s="10"/>
      <c r="I90" s="11"/>
      <c r="J90" s="9"/>
      <c r="K90" s="9"/>
      <c r="L90" s="9"/>
      <c r="M90" s="10"/>
      <c r="N90" s="9"/>
      <c r="O90" s="10"/>
      <c r="P90" s="11"/>
      <c r="Q90" s="11"/>
      <c r="R90" s="11"/>
      <c r="S90" s="11"/>
      <c r="T90" s="9"/>
      <c r="U90" s="9"/>
      <c r="V90" s="9"/>
      <c r="W90" s="9"/>
      <c r="X90" s="9"/>
      <c r="Y90" s="10"/>
      <c r="Z90" s="11"/>
      <c r="AA90" s="11"/>
      <c r="AB90" s="11"/>
      <c r="AC90" s="11"/>
      <c r="AD90" s="11"/>
      <c r="AE90" s="11"/>
      <c r="AF90" s="11"/>
      <c r="AG90" s="11"/>
      <c r="AH90" s="11"/>
      <c r="AI90" s="12"/>
      <c r="AJ90" s="11"/>
      <c r="AK90" s="11"/>
      <c r="AL90" s="11"/>
      <c r="AM90" s="11"/>
      <c r="AN90" s="9"/>
      <c r="AO90" s="9"/>
      <c r="AP90" s="9"/>
      <c r="AQ90" s="9"/>
      <c r="AR90" s="9"/>
      <c r="AS90" s="9"/>
      <c r="AT90" s="9"/>
      <c r="AU90" s="9"/>
      <c r="AV90" s="9"/>
      <c r="AW90" s="9"/>
      <c r="AX90" s="13"/>
    </row>
    <row r="91" spans="1:50" s="14" customFormat="1" x14ac:dyDescent="0.25">
      <c r="A91" s="11"/>
      <c r="B91" s="11"/>
      <c r="C91" s="11"/>
      <c r="D91" s="11"/>
      <c r="E91" s="11"/>
      <c r="F91" s="11"/>
      <c r="G91" s="11"/>
      <c r="H91" s="10"/>
      <c r="I91" s="11"/>
      <c r="J91" s="11"/>
      <c r="K91" s="11"/>
      <c r="L91" s="11"/>
      <c r="M91" s="10"/>
      <c r="N91" s="9"/>
      <c r="O91" s="10"/>
      <c r="P91" s="11"/>
      <c r="Q91" s="11"/>
      <c r="R91" s="11"/>
      <c r="S91" s="11"/>
      <c r="T91" s="9"/>
      <c r="U91" s="9"/>
      <c r="V91" s="9"/>
      <c r="W91" s="9"/>
      <c r="X91" s="9"/>
      <c r="Y91" s="10"/>
      <c r="Z91" s="11"/>
      <c r="AA91" s="11"/>
      <c r="AB91" s="11"/>
      <c r="AC91" s="11"/>
      <c r="AD91" s="11"/>
      <c r="AE91" s="11"/>
      <c r="AF91" s="11"/>
      <c r="AG91" s="11"/>
      <c r="AH91" s="11"/>
      <c r="AI91" s="12"/>
      <c r="AJ91" s="11"/>
      <c r="AK91" s="11"/>
      <c r="AL91" s="11"/>
      <c r="AM91" s="11"/>
      <c r="AN91" s="9"/>
      <c r="AO91" s="9"/>
      <c r="AP91" s="9"/>
      <c r="AQ91" s="9"/>
      <c r="AR91" s="9"/>
      <c r="AS91" s="9"/>
      <c r="AT91" s="9"/>
      <c r="AU91" s="9"/>
      <c r="AV91" s="9"/>
      <c r="AW91" s="9"/>
      <c r="AX91" s="13"/>
    </row>
    <row r="92" spans="1:50" s="14" customFormat="1" x14ac:dyDescent="0.25">
      <c r="A92" s="11"/>
      <c r="B92" s="11"/>
      <c r="C92" s="11"/>
      <c r="D92" s="11"/>
      <c r="E92" s="9"/>
      <c r="F92" s="9"/>
      <c r="G92" s="9"/>
      <c r="H92" s="10"/>
      <c r="I92" s="11"/>
      <c r="J92" s="9"/>
      <c r="K92" s="9"/>
      <c r="L92" s="9"/>
      <c r="M92" s="10"/>
      <c r="N92" s="9"/>
      <c r="O92" s="10"/>
      <c r="P92" s="11"/>
      <c r="Q92" s="11"/>
      <c r="R92" s="11"/>
      <c r="S92" s="11"/>
      <c r="T92" s="9"/>
      <c r="U92" s="9"/>
      <c r="V92" s="9"/>
      <c r="W92" s="9"/>
      <c r="X92" s="9"/>
      <c r="Y92" s="10"/>
      <c r="Z92" s="11"/>
      <c r="AA92" s="11"/>
      <c r="AB92" s="11"/>
      <c r="AC92" s="11"/>
      <c r="AD92" s="11"/>
      <c r="AE92" s="11"/>
      <c r="AF92" s="11"/>
      <c r="AG92" s="11"/>
      <c r="AH92" s="11"/>
      <c r="AI92" s="12"/>
      <c r="AJ92" s="11"/>
      <c r="AK92" s="11"/>
      <c r="AL92" s="11"/>
      <c r="AM92" s="11"/>
      <c r="AN92" s="9"/>
      <c r="AO92" s="9"/>
      <c r="AP92" s="9"/>
      <c r="AQ92" s="9"/>
      <c r="AR92" s="9"/>
      <c r="AS92" s="9"/>
      <c r="AT92" s="9"/>
      <c r="AU92" s="9"/>
      <c r="AV92" s="9"/>
      <c r="AW92" s="9"/>
      <c r="AX92" s="13"/>
    </row>
    <row r="93" spans="1:50" s="14" customFormat="1" x14ac:dyDescent="0.25">
      <c r="A93" s="11"/>
      <c r="B93" s="11"/>
      <c r="C93" s="11"/>
      <c r="D93" s="11"/>
      <c r="E93" s="9"/>
      <c r="F93" s="9"/>
      <c r="G93" s="9"/>
      <c r="H93" s="10"/>
      <c r="I93" s="11"/>
      <c r="J93" s="9"/>
      <c r="K93" s="9"/>
      <c r="L93" s="9"/>
      <c r="M93" s="10"/>
      <c r="N93" s="9"/>
      <c r="O93" s="10"/>
      <c r="P93" s="11"/>
      <c r="Q93" s="11"/>
      <c r="R93" s="11"/>
      <c r="S93" s="11"/>
      <c r="T93" s="9"/>
      <c r="U93" s="9"/>
      <c r="V93" s="9"/>
      <c r="W93" s="9"/>
      <c r="X93" s="9"/>
      <c r="Y93" s="10"/>
      <c r="Z93" s="11"/>
      <c r="AA93" s="11"/>
      <c r="AB93" s="11"/>
      <c r="AC93" s="11"/>
      <c r="AD93" s="11"/>
      <c r="AE93" s="11"/>
      <c r="AF93" s="11"/>
      <c r="AG93" s="11"/>
      <c r="AH93" s="11"/>
      <c r="AI93" s="12"/>
      <c r="AJ93" s="11"/>
      <c r="AK93" s="11"/>
      <c r="AL93" s="11"/>
      <c r="AM93" s="11"/>
      <c r="AN93" s="9"/>
      <c r="AO93" s="9"/>
      <c r="AP93" s="9"/>
      <c r="AQ93" s="9"/>
      <c r="AR93" s="9"/>
      <c r="AS93" s="9"/>
      <c r="AT93" s="9"/>
      <c r="AU93" s="9"/>
      <c r="AV93" s="9"/>
      <c r="AW93" s="9"/>
      <c r="AX93" s="13"/>
    </row>
    <row r="94" spans="1:50" s="14" customFormat="1" x14ac:dyDescent="0.25">
      <c r="A94" s="11"/>
      <c r="B94" s="11"/>
      <c r="C94" s="11"/>
      <c r="D94" s="11"/>
      <c r="E94" s="9"/>
      <c r="F94" s="9"/>
      <c r="G94" s="9"/>
      <c r="H94" s="10"/>
      <c r="I94" s="11"/>
      <c r="J94" s="9"/>
      <c r="K94" s="9"/>
      <c r="L94" s="9"/>
      <c r="M94" s="10"/>
      <c r="N94" s="9"/>
      <c r="O94" s="10"/>
      <c r="P94" s="11"/>
      <c r="Q94" s="11"/>
      <c r="R94" s="11"/>
      <c r="S94" s="11"/>
      <c r="T94" s="9"/>
      <c r="U94" s="9"/>
      <c r="V94" s="9"/>
      <c r="W94" s="9"/>
      <c r="X94" s="9"/>
      <c r="Y94" s="10"/>
      <c r="Z94" s="11"/>
      <c r="AA94" s="11"/>
      <c r="AB94" s="11"/>
      <c r="AC94" s="11"/>
      <c r="AD94" s="11"/>
      <c r="AE94" s="11"/>
      <c r="AF94" s="11"/>
      <c r="AG94" s="11"/>
      <c r="AH94" s="11"/>
      <c r="AI94" s="12"/>
      <c r="AJ94" s="11"/>
      <c r="AK94" s="11"/>
      <c r="AL94" s="11"/>
      <c r="AM94" s="11"/>
      <c r="AN94" s="9"/>
      <c r="AO94" s="9"/>
      <c r="AP94" s="9"/>
      <c r="AQ94" s="9"/>
      <c r="AR94" s="9"/>
      <c r="AS94" s="9"/>
      <c r="AT94" s="9"/>
      <c r="AU94" s="9"/>
      <c r="AV94" s="9"/>
      <c r="AW94" s="9"/>
      <c r="AX94" s="13"/>
    </row>
    <row r="95" spans="1:50" s="14" customFormat="1" x14ac:dyDescent="0.25">
      <c r="A95" s="11"/>
      <c r="B95" s="11"/>
      <c r="C95" s="11"/>
      <c r="D95" s="11"/>
      <c r="E95" s="9"/>
      <c r="F95" s="9"/>
      <c r="G95" s="9"/>
      <c r="H95" s="10"/>
      <c r="I95" s="11"/>
      <c r="J95" s="9"/>
      <c r="K95" s="9"/>
      <c r="L95" s="9"/>
      <c r="M95" s="10"/>
      <c r="N95" s="9"/>
      <c r="O95" s="10"/>
      <c r="P95" s="11"/>
      <c r="Q95" s="11"/>
      <c r="R95" s="11"/>
      <c r="S95" s="11"/>
      <c r="T95" s="9"/>
      <c r="U95" s="9"/>
      <c r="V95" s="9"/>
      <c r="W95" s="9"/>
      <c r="X95" s="9"/>
      <c r="Y95" s="10"/>
      <c r="Z95" s="11"/>
      <c r="AA95" s="11"/>
      <c r="AB95" s="11"/>
      <c r="AC95" s="11"/>
      <c r="AD95" s="11"/>
      <c r="AE95" s="11"/>
      <c r="AF95" s="11"/>
      <c r="AG95" s="11"/>
      <c r="AH95" s="11"/>
      <c r="AI95" s="12"/>
      <c r="AJ95" s="11"/>
      <c r="AK95" s="11"/>
      <c r="AL95" s="11"/>
      <c r="AM95" s="11"/>
      <c r="AN95" s="9"/>
      <c r="AO95" s="9"/>
      <c r="AP95" s="9"/>
      <c r="AQ95" s="9"/>
      <c r="AR95" s="9"/>
      <c r="AS95" s="9"/>
      <c r="AT95" s="9"/>
      <c r="AU95" s="9"/>
      <c r="AV95" s="9"/>
      <c r="AW95" s="9"/>
      <c r="AX95" s="13"/>
    </row>
    <row r="96" spans="1:50" s="14" customFormat="1" x14ac:dyDescent="0.25">
      <c r="A96" s="11"/>
      <c r="B96" s="11"/>
      <c r="C96" s="11"/>
      <c r="D96" s="11"/>
      <c r="E96" s="11"/>
      <c r="F96" s="11"/>
      <c r="G96" s="11"/>
      <c r="H96" s="10"/>
      <c r="I96" s="11"/>
      <c r="J96" s="11"/>
      <c r="K96" s="11"/>
      <c r="L96" s="11"/>
      <c r="M96" s="10"/>
      <c r="N96" s="9"/>
      <c r="O96" s="10"/>
      <c r="P96" s="11"/>
      <c r="Q96" s="11"/>
      <c r="R96" s="11"/>
      <c r="S96" s="11"/>
      <c r="T96" s="9"/>
      <c r="U96" s="9"/>
      <c r="V96" s="9"/>
      <c r="W96" s="9"/>
      <c r="X96" s="9"/>
      <c r="Y96" s="10"/>
      <c r="Z96" s="11"/>
      <c r="AA96" s="11"/>
      <c r="AB96" s="11"/>
      <c r="AC96" s="11"/>
      <c r="AD96" s="11"/>
      <c r="AE96" s="11"/>
      <c r="AF96" s="11"/>
      <c r="AG96" s="11"/>
      <c r="AH96" s="11"/>
      <c r="AI96" s="12"/>
      <c r="AJ96" s="11"/>
      <c r="AK96" s="11"/>
      <c r="AL96" s="11"/>
      <c r="AM96" s="11"/>
      <c r="AN96" s="9"/>
      <c r="AO96" s="9"/>
      <c r="AP96" s="9"/>
      <c r="AQ96" s="9"/>
      <c r="AR96" s="9"/>
      <c r="AS96" s="9"/>
      <c r="AT96" s="9"/>
      <c r="AU96" s="9"/>
      <c r="AV96" s="9"/>
      <c r="AW96" s="9"/>
      <c r="AX96" s="13"/>
    </row>
    <row r="97" spans="1:50" s="14" customFormat="1" x14ac:dyDescent="0.25">
      <c r="A97" s="11"/>
      <c r="B97" s="11"/>
      <c r="C97" s="11"/>
      <c r="D97" s="11"/>
      <c r="E97" s="9"/>
      <c r="F97" s="9"/>
      <c r="G97" s="9"/>
      <c r="H97" s="10"/>
      <c r="I97" s="11"/>
      <c r="J97" s="9"/>
      <c r="K97" s="9"/>
      <c r="L97" s="9"/>
      <c r="M97" s="10"/>
      <c r="N97" s="9"/>
      <c r="O97" s="10"/>
      <c r="P97" s="11"/>
      <c r="Q97" s="11"/>
      <c r="R97" s="11"/>
      <c r="S97" s="11"/>
      <c r="T97" s="9"/>
      <c r="U97" s="9"/>
      <c r="V97" s="9"/>
      <c r="W97" s="9"/>
      <c r="X97" s="9"/>
      <c r="Y97" s="10"/>
      <c r="Z97" s="11"/>
      <c r="AA97" s="11"/>
      <c r="AB97" s="11"/>
      <c r="AC97" s="11"/>
      <c r="AD97" s="11"/>
      <c r="AE97" s="11"/>
      <c r="AF97" s="11"/>
      <c r="AG97" s="11"/>
      <c r="AH97" s="11"/>
      <c r="AI97" s="12"/>
      <c r="AJ97" s="11"/>
      <c r="AK97" s="11"/>
      <c r="AL97" s="11"/>
      <c r="AM97" s="11"/>
      <c r="AN97" s="9"/>
      <c r="AO97" s="9"/>
      <c r="AP97" s="9"/>
      <c r="AQ97" s="9"/>
      <c r="AR97" s="9"/>
      <c r="AS97" s="9"/>
      <c r="AT97" s="9"/>
      <c r="AU97" s="9"/>
      <c r="AV97" s="9"/>
      <c r="AW97" s="9"/>
      <c r="AX97" s="13"/>
    </row>
    <row r="98" spans="1:50" s="14" customFormat="1" x14ac:dyDescent="0.25">
      <c r="A98" s="11"/>
      <c r="B98" s="11"/>
      <c r="C98" s="11"/>
      <c r="D98" s="11"/>
      <c r="E98" s="9"/>
      <c r="F98" s="9"/>
      <c r="G98" s="9"/>
      <c r="H98" s="10"/>
      <c r="I98" s="11"/>
      <c r="J98" s="9"/>
      <c r="K98" s="9"/>
      <c r="L98" s="9"/>
      <c r="M98" s="10"/>
      <c r="N98" s="9"/>
      <c r="O98" s="10"/>
      <c r="P98" s="11"/>
      <c r="Q98" s="11"/>
      <c r="R98" s="11"/>
      <c r="S98" s="11"/>
      <c r="T98" s="9"/>
      <c r="U98" s="9"/>
      <c r="V98" s="9"/>
      <c r="W98" s="9"/>
      <c r="X98" s="9"/>
      <c r="Y98" s="10"/>
      <c r="Z98" s="11"/>
      <c r="AA98" s="11"/>
      <c r="AB98" s="11"/>
      <c r="AC98" s="11"/>
      <c r="AD98" s="11"/>
      <c r="AE98" s="11"/>
      <c r="AF98" s="11"/>
      <c r="AG98" s="11"/>
      <c r="AH98" s="11"/>
      <c r="AI98" s="12"/>
      <c r="AJ98" s="11"/>
      <c r="AK98" s="11"/>
      <c r="AL98" s="11"/>
      <c r="AM98" s="11"/>
      <c r="AN98" s="9"/>
      <c r="AO98" s="9"/>
      <c r="AP98" s="9"/>
      <c r="AQ98" s="9"/>
      <c r="AR98" s="9"/>
      <c r="AS98" s="9"/>
      <c r="AT98" s="9"/>
      <c r="AU98" s="9"/>
      <c r="AV98" s="9"/>
      <c r="AW98" s="9"/>
      <c r="AX98" s="13"/>
    </row>
    <row r="99" spans="1:50" s="14" customFormat="1" x14ac:dyDescent="0.25">
      <c r="A99" s="11"/>
      <c r="B99" s="11"/>
      <c r="C99" s="11"/>
      <c r="D99" s="11"/>
      <c r="E99" s="9"/>
      <c r="F99" s="9"/>
      <c r="G99" s="9"/>
      <c r="H99" s="10"/>
      <c r="I99" s="11"/>
      <c r="J99" s="9"/>
      <c r="K99" s="9"/>
      <c r="L99" s="9"/>
      <c r="M99" s="10"/>
      <c r="N99" s="9"/>
      <c r="O99" s="10"/>
      <c r="P99" s="11"/>
      <c r="Q99" s="11"/>
      <c r="R99" s="11"/>
      <c r="S99" s="11"/>
      <c r="T99" s="11"/>
      <c r="U99" s="9"/>
      <c r="V99" s="9"/>
      <c r="W99" s="9"/>
      <c r="X99" s="9"/>
      <c r="Y99" s="10"/>
      <c r="Z99" s="11"/>
      <c r="AA99" s="11"/>
      <c r="AB99" s="11"/>
      <c r="AC99" s="11"/>
      <c r="AD99" s="11"/>
      <c r="AE99" s="11"/>
      <c r="AF99" s="11"/>
      <c r="AG99" s="11"/>
      <c r="AH99" s="11"/>
      <c r="AI99" s="12"/>
      <c r="AJ99" s="11"/>
      <c r="AK99" s="11"/>
      <c r="AL99" s="11"/>
      <c r="AM99" s="11"/>
      <c r="AN99" s="9"/>
      <c r="AO99" s="9"/>
      <c r="AP99" s="9"/>
      <c r="AQ99" s="9"/>
      <c r="AR99" s="9"/>
      <c r="AS99" s="9"/>
      <c r="AT99" s="9"/>
      <c r="AU99" s="9"/>
      <c r="AV99" s="9"/>
      <c r="AW99" s="9"/>
      <c r="AX99" s="13"/>
    </row>
    <row r="100" spans="1:50" s="14" customFormat="1" x14ac:dyDescent="0.25">
      <c r="A100" s="11"/>
      <c r="B100" s="11"/>
      <c r="C100" s="11"/>
      <c r="D100" s="11"/>
      <c r="E100" s="11"/>
      <c r="F100" s="11"/>
      <c r="G100" s="11"/>
      <c r="H100" s="10"/>
      <c r="I100" s="11"/>
      <c r="J100" s="11"/>
      <c r="K100" s="11"/>
      <c r="L100" s="11"/>
      <c r="M100" s="10"/>
      <c r="N100" s="9"/>
      <c r="O100" s="10"/>
      <c r="P100" s="11"/>
      <c r="Q100" s="11"/>
      <c r="R100" s="11"/>
      <c r="S100" s="11"/>
      <c r="T100" s="9"/>
      <c r="U100" s="9"/>
      <c r="V100" s="9"/>
      <c r="W100" s="9"/>
      <c r="X100" s="9"/>
      <c r="Y100" s="10"/>
      <c r="Z100" s="11"/>
      <c r="AA100" s="11"/>
      <c r="AB100" s="11"/>
      <c r="AC100" s="11"/>
      <c r="AD100" s="11"/>
      <c r="AE100" s="11"/>
      <c r="AF100" s="11"/>
      <c r="AG100" s="11"/>
      <c r="AH100" s="11"/>
      <c r="AI100" s="12"/>
      <c r="AJ100" s="11"/>
      <c r="AK100" s="11"/>
      <c r="AL100" s="11"/>
      <c r="AM100" s="11"/>
      <c r="AN100" s="9"/>
      <c r="AO100" s="9"/>
      <c r="AP100" s="9"/>
      <c r="AQ100" s="9"/>
      <c r="AR100" s="9"/>
      <c r="AS100" s="9"/>
      <c r="AT100" s="9"/>
      <c r="AU100" s="9"/>
      <c r="AV100" s="9"/>
      <c r="AW100" s="9"/>
      <c r="AX100" s="13"/>
    </row>
    <row r="101" spans="1:50" s="14" customFormat="1" x14ac:dyDescent="0.25">
      <c r="A101" s="11"/>
      <c r="B101" s="11"/>
      <c r="C101" s="11"/>
      <c r="D101" s="11"/>
      <c r="E101" s="11"/>
      <c r="F101" s="11"/>
      <c r="G101" s="11"/>
      <c r="H101" s="10"/>
      <c r="I101" s="11"/>
      <c r="J101" s="11"/>
      <c r="K101" s="11"/>
      <c r="L101" s="11"/>
      <c r="M101" s="10"/>
      <c r="N101" s="9"/>
      <c r="O101" s="10"/>
      <c r="P101" s="11"/>
      <c r="Q101" s="11"/>
      <c r="R101" s="11"/>
      <c r="S101" s="11"/>
      <c r="T101" s="9"/>
      <c r="U101" s="9"/>
      <c r="V101" s="9"/>
      <c r="W101" s="9"/>
      <c r="X101" s="9"/>
      <c r="Y101" s="10"/>
      <c r="Z101" s="11"/>
      <c r="AA101" s="11"/>
      <c r="AB101" s="11"/>
      <c r="AC101" s="11"/>
      <c r="AD101" s="11"/>
      <c r="AE101" s="11"/>
      <c r="AF101" s="11"/>
      <c r="AG101" s="11"/>
      <c r="AH101" s="11"/>
      <c r="AI101" s="12"/>
      <c r="AJ101" s="11"/>
      <c r="AK101" s="11"/>
      <c r="AL101" s="11"/>
      <c r="AM101" s="11"/>
      <c r="AN101" s="9"/>
      <c r="AO101" s="9"/>
      <c r="AP101" s="9"/>
      <c r="AQ101" s="9"/>
      <c r="AR101" s="9"/>
      <c r="AS101" s="9"/>
      <c r="AT101" s="9"/>
      <c r="AU101" s="9"/>
      <c r="AV101" s="9"/>
      <c r="AW101" s="9"/>
      <c r="AX101" s="13"/>
    </row>
    <row r="102" spans="1:50" s="14" customFormat="1" x14ac:dyDescent="0.25">
      <c r="A102" s="11"/>
      <c r="B102" s="11"/>
      <c r="C102" s="11"/>
      <c r="D102" s="11"/>
      <c r="E102" s="9"/>
      <c r="F102" s="9"/>
      <c r="G102" s="9"/>
      <c r="H102" s="10"/>
      <c r="I102" s="11"/>
      <c r="J102" s="9"/>
      <c r="K102" s="9"/>
      <c r="L102" s="9"/>
      <c r="M102" s="10"/>
      <c r="N102" s="9"/>
      <c r="O102" s="10"/>
      <c r="P102" s="11"/>
      <c r="Q102" s="11"/>
      <c r="R102" s="11"/>
      <c r="S102" s="11"/>
      <c r="T102" s="9"/>
      <c r="U102" s="9"/>
      <c r="V102" s="9"/>
      <c r="W102" s="9"/>
      <c r="X102" s="9"/>
      <c r="Y102" s="10"/>
      <c r="Z102" s="11"/>
      <c r="AA102" s="11"/>
      <c r="AB102" s="11"/>
      <c r="AC102" s="11"/>
      <c r="AD102" s="11"/>
      <c r="AE102" s="11"/>
      <c r="AF102" s="11"/>
      <c r="AG102" s="11"/>
      <c r="AH102" s="11"/>
      <c r="AI102" s="12"/>
      <c r="AJ102" s="11"/>
      <c r="AK102" s="11"/>
      <c r="AL102" s="11"/>
      <c r="AM102" s="11"/>
      <c r="AN102" s="9"/>
      <c r="AO102" s="9"/>
      <c r="AP102" s="9"/>
      <c r="AQ102" s="9"/>
      <c r="AR102" s="9"/>
      <c r="AS102" s="9"/>
      <c r="AT102" s="9"/>
      <c r="AU102" s="9"/>
      <c r="AV102" s="9"/>
      <c r="AW102" s="9"/>
      <c r="AX102" s="13"/>
    </row>
    <row r="103" spans="1:50" s="14" customFormat="1" x14ac:dyDescent="0.25">
      <c r="A103" s="11"/>
      <c r="B103" s="11"/>
      <c r="C103" s="11"/>
      <c r="D103" s="11"/>
      <c r="E103" s="11"/>
      <c r="F103" s="11"/>
      <c r="G103" s="11"/>
      <c r="H103" s="10"/>
      <c r="I103" s="11"/>
      <c r="J103" s="11"/>
      <c r="K103" s="11"/>
      <c r="L103" s="11"/>
      <c r="M103" s="10"/>
      <c r="N103" s="9"/>
      <c r="O103" s="10"/>
      <c r="P103" s="11"/>
      <c r="Q103" s="11"/>
      <c r="R103" s="11"/>
      <c r="S103" s="11"/>
      <c r="T103" s="9"/>
      <c r="U103" s="9"/>
      <c r="V103" s="9"/>
      <c r="W103" s="9"/>
      <c r="X103" s="9"/>
      <c r="Y103" s="10"/>
      <c r="Z103" s="11"/>
      <c r="AA103" s="11"/>
      <c r="AB103" s="11"/>
      <c r="AC103" s="11"/>
      <c r="AD103" s="11"/>
      <c r="AE103" s="11"/>
      <c r="AF103" s="11"/>
      <c r="AG103" s="11"/>
      <c r="AH103" s="11"/>
      <c r="AI103" s="12"/>
      <c r="AJ103" s="11"/>
      <c r="AK103" s="11"/>
      <c r="AL103" s="11"/>
      <c r="AM103" s="11"/>
      <c r="AN103" s="9"/>
      <c r="AO103" s="9"/>
      <c r="AP103" s="9"/>
      <c r="AQ103" s="9"/>
      <c r="AR103" s="9"/>
      <c r="AS103" s="9"/>
      <c r="AT103" s="9"/>
      <c r="AU103" s="9"/>
      <c r="AV103" s="9"/>
      <c r="AW103" s="9"/>
      <c r="AX103" s="13"/>
    </row>
    <row r="104" spans="1:50" s="14" customFormat="1" x14ac:dyDescent="0.25">
      <c r="A104" s="11"/>
      <c r="B104" s="11"/>
      <c r="C104" s="11"/>
      <c r="D104" s="9"/>
      <c r="E104" s="9"/>
      <c r="F104" s="9"/>
      <c r="G104" s="9"/>
      <c r="H104" s="10"/>
      <c r="I104" s="9"/>
      <c r="J104" s="9"/>
      <c r="K104" s="9"/>
      <c r="L104" s="9"/>
      <c r="M104" s="10"/>
      <c r="N104" s="9"/>
      <c r="O104" s="10"/>
      <c r="P104" s="11"/>
      <c r="Q104" s="11"/>
      <c r="R104" s="11"/>
      <c r="S104" s="11"/>
      <c r="T104" s="9"/>
      <c r="U104" s="9"/>
      <c r="V104" s="9"/>
      <c r="W104" s="9"/>
      <c r="X104" s="9"/>
      <c r="Y104" s="10"/>
      <c r="Z104" s="11"/>
      <c r="AA104" s="11"/>
      <c r="AB104" s="11"/>
      <c r="AC104" s="11"/>
      <c r="AD104" s="11"/>
      <c r="AE104" s="11"/>
      <c r="AF104" s="11"/>
      <c r="AG104" s="11"/>
      <c r="AH104" s="11"/>
      <c r="AI104" s="12"/>
      <c r="AJ104" s="11"/>
      <c r="AK104" s="11"/>
      <c r="AL104" s="11"/>
      <c r="AM104" s="11"/>
      <c r="AN104" s="9"/>
      <c r="AO104" s="9"/>
      <c r="AP104" s="9"/>
      <c r="AQ104" s="9"/>
      <c r="AR104" s="9"/>
      <c r="AS104" s="9"/>
      <c r="AT104" s="9"/>
      <c r="AU104" s="9"/>
      <c r="AV104" s="9"/>
      <c r="AW104" s="9"/>
      <c r="AX104" s="13"/>
    </row>
    <row r="105" spans="1:50" s="14" customFormat="1" x14ac:dyDescent="0.25">
      <c r="A105" s="11"/>
      <c r="B105" s="11"/>
      <c r="C105" s="11"/>
      <c r="D105" s="11"/>
      <c r="E105" s="9"/>
      <c r="F105" s="9"/>
      <c r="G105" s="9"/>
      <c r="H105" s="10"/>
      <c r="I105" s="11"/>
      <c r="J105" s="9"/>
      <c r="K105" s="9"/>
      <c r="L105" s="9"/>
      <c r="M105" s="10"/>
      <c r="N105" s="9"/>
      <c r="O105" s="10"/>
      <c r="P105" s="11"/>
      <c r="Q105" s="11"/>
      <c r="R105" s="11"/>
      <c r="S105" s="11"/>
      <c r="T105" s="9"/>
      <c r="U105" s="9"/>
      <c r="V105" s="9"/>
      <c r="W105" s="9"/>
      <c r="X105" s="9"/>
      <c r="Y105" s="10"/>
      <c r="Z105" s="11"/>
      <c r="AA105" s="11"/>
      <c r="AB105" s="11"/>
      <c r="AC105" s="11"/>
      <c r="AD105" s="11"/>
      <c r="AE105" s="11"/>
      <c r="AF105" s="11"/>
      <c r="AG105" s="11"/>
      <c r="AH105" s="11"/>
      <c r="AI105" s="12"/>
      <c r="AJ105" s="11"/>
      <c r="AK105" s="11"/>
      <c r="AL105" s="11"/>
      <c r="AM105" s="11"/>
      <c r="AN105" s="9"/>
      <c r="AO105" s="9"/>
      <c r="AP105" s="9"/>
      <c r="AQ105" s="9"/>
      <c r="AR105" s="9"/>
      <c r="AS105" s="9"/>
      <c r="AT105" s="9"/>
      <c r="AU105" s="9"/>
      <c r="AV105" s="9"/>
      <c r="AW105" s="9"/>
      <c r="AX105" s="13"/>
    </row>
    <row r="106" spans="1:50" s="14" customFormat="1" x14ac:dyDescent="0.25">
      <c r="A106" s="11"/>
      <c r="B106" s="11"/>
      <c r="C106" s="11"/>
      <c r="D106" s="11"/>
      <c r="E106" s="11"/>
      <c r="F106" s="11"/>
      <c r="G106" s="11"/>
      <c r="H106" s="10"/>
      <c r="I106" s="11"/>
      <c r="J106" s="11"/>
      <c r="K106" s="11"/>
      <c r="L106" s="11"/>
      <c r="M106" s="10"/>
      <c r="N106" s="9"/>
      <c r="O106" s="10"/>
      <c r="P106" s="11"/>
      <c r="Q106" s="11"/>
      <c r="R106" s="11"/>
      <c r="S106" s="11"/>
      <c r="T106" s="9"/>
      <c r="U106" s="9"/>
      <c r="V106" s="9"/>
      <c r="W106" s="9"/>
      <c r="X106" s="9"/>
      <c r="Y106" s="10"/>
      <c r="Z106" s="11"/>
      <c r="AA106" s="11"/>
      <c r="AB106" s="11"/>
      <c r="AC106" s="11"/>
      <c r="AD106" s="11"/>
      <c r="AE106" s="11"/>
      <c r="AF106" s="11"/>
      <c r="AG106" s="11"/>
      <c r="AH106" s="11"/>
      <c r="AI106" s="12"/>
      <c r="AJ106" s="11"/>
      <c r="AK106" s="11"/>
      <c r="AL106" s="11"/>
      <c r="AM106" s="11"/>
      <c r="AN106" s="9"/>
      <c r="AO106" s="9"/>
      <c r="AP106" s="9"/>
      <c r="AQ106" s="9"/>
      <c r="AR106" s="9"/>
      <c r="AS106" s="9"/>
      <c r="AT106" s="9"/>
      <c r="AU106" s="9"/>
      <c r="AV106" s="9"/>
      <c r="AW106" s="9"/>
      <c r="AX106" s="13"/>
    </row>
    <row r="107" spans="1:50" s="14" customFormat="1" x14ac:dyDescent="0.25">
      <c r="A107" s="11"/>
      <c r="B107" s="11"/>
      <c r="C107" s="11"/>
      <c r="D107" s="11"/>
      <c r="E107" s="11"/>
      <c r="F107" s="11"/>
      <c r="G107" s="11"/>
      <c r="H107" s="10"/>
      <c r="I107" s="11"/>
      <c r="J107" s="11"/>
      <c r="K107" s="11"/>
      <c r="L107" s="11"/>
      <c r="M107" s="10"/>
      <c r="N107" s="9"/>
      <c r="O107" s="10"/>
      <c r="P107" s="11"/>
      <c r="Q107" s="11"/>
      <c r="R107" s="11"/>
      <c r="S107" s="11"/>
      <c r="T107" s="9"/>
      <c r="U107" s="9"/>
      <c r="V107" s="9"/>
      <c r="W107" s="9"/>
      <c r="X107" s="9"/>
      <c r="Y107" s="10"/>
      <c r="Z107" s="11"/>
      <c r="AA107" s="11"/>
      <c r="AB107" s="11"/>
      <c r="AC107" s="11"/>
      <c r="AD107" s="11"/>
      <c r="AE107" s="11"/>
      <c r="AF107" s="11"/>
      <c r="AG107" s="11"/>
      <c r="AH107" s="11"/>
      <c r="AI107" s="12"/>
      <c r="AJ107" s="11"/>
      <c r="AK107" s="11"/>
      <c r="AL107" s="11"/>
      <c r="AM107" s="11"/>
      <c r="AN107" s="9"/>
      <c r="AO107" s="9"/>
      <c r="AP107" s="9"/>
      <c r="AQ107" s="9"/>
      <c r="AR107" s="9"/>
      <c r="AS107" s="9"/>
      <c r="AT107" s="9"/>
      <c r="AU107" s="9"/>
      <c r="AV107" s="9"/>
      <c r="AW107" s="9"/>
      <c r="AX107" s="13"/>
    </row>
    <row r="108" spans="1:50" s="14" customFormat="1" x14ac:dyDescent="0.25">
      <c r="A108" s="11"/>
      <c r="B108" s="11"/>
      <c r="C108" s="11"/>
      <c r="D108" s="11"/>
      <c r="E108" s="11"/>
      <c r="F108" s="11"/>
      <c r="G108" s="11"/>
      <c r="H108" s="10"/>
      <c r="I108" s="11"/>
      <c r="J108" s="11"/>
      <c r="K108" s="11"/>
      <c r="L108" s="11"/>
      <c r="M108" s="10"/>
      <c r="N108" s="9"/>
      <c r="O108" s="10"/>
      <c r="P108" s="11"/>
      <c r="Q108" s="11"/>
      <c r="R108" s="11"/>
      <c r="S108" s="11"/>
      <c r="T108" s="9"/>
      <c r="U108" s="9"/>
      <c r="V108" s="9"/>
      <c r="W108" s="9"/>
      <c r="X108" s="9"/>
      <c r="Y108" s="10"/>
      <c r="Z108" s="11"/>
      <c r="AA108" s="11"/>
      <c r="AB108" s="11"/>
      <c r="AC108" s="11"/>
      <c r="AD108" s="11"/>
      <c r="AE108" s="11"/>
      <c r="AF108" s="11"/>
      <c r="AG108" s="11"/>
      <c r="AH108" s="11"/>
      <c r="AI108" s="12"/>
      <c r="AJ108" s="11"/>
      <c r="AK108" s="11"/>
      <c r="AL108" s="11"/>
      <c r="AM108" s="11"/>
      <c r="AN108" s="9"/>
      <c r="AO108" s="9"/>
      <c r="AP108" s="9"/>
      <c r="AQ108" s="9"/>
      <c r="AR108" s="9"/>
      <c r="AS108" s="9"/>
      <c r="AT108" s="9"/>
      <c r="AU108" s="9"/>
      <c r="AV108" s="9"/>
      <c r="AW108" s="9"/>
      <c r="AX108" s="13"/>
    </row>
    <row r="109" spans="1:50" s="14" customFormat="1" x14ac:dyDescent="0.25">
      <c r="A109" s="11"/>
      <c r="B109" s="11"/>
      <c r="C109" s="11"/>
      <c r="D109" s="11"/>
      <c r="E109" s="9"/>
      <c r="F109" s="9"/>
      <c r="G109" s="9"/>
      <c r="H109" s="10"/>
      <c r="I109" s="11"/>
      <c r="J109" s="9"/>
      <c r="K109" s="9"/>
      <c r="L109" s="9"/>
      <c r="M109" s="10"/>
      <c r="N109" s="9"/>
      <c r="O109" s="10"/>
      <c r="P109" s="11"/>
      <c r="Q109" s="11"/>
      <c r="R109" s="11"/>
      <c r="S109" s="11"/>
      <c r="T109" s="9"/>
      <c r="U109" s="9"/>
      <c r="V109" s="9"/>
      <c r="W109" s="9"/>
      <c r="X109" s="9"/>
      <c r="Y109" s="10"/>
      <c r="Z109" s="11"/>
      <c r="AA109" s="11"/>
      <c r="AB109" s="11"/>
      <c r="AC109" s="11"/>
      <c r="AD109" s="11"/>
      <c r="AE109" s="11"/>
      <c r="AF109" s="11"/>
      <c r="AG109" s="11"/>
      <c r="AH109" s="11"/>
      <c r="AI109" s="12"/>
      <c r="AJ109" s="11"/>
      <c r="AK109" s="11"/>
      <c r="AL109" s="11"/>
      <c r="AM109" s="11"/>
      <c r="AN109" s="9"/>
      <c r="AO109" s="9"/>
      <c r="AP109" s="9"/>
      <c r="AQ109" s="9"/>
      <c r="AR109" s="9"/>
      <c r="AS109" s="9"/>
      <c r="AT109" s="9"/>
      <c r="AU109" s="9"/>
      <c r="AV109" s="9"/>
      <c r="AW109" s="9"/>
      <c r="AX109" s="13"/>
    </row>
    <row r="110" spans="1:50" s="14" customFormat="1" x14ac:dyDescent="0.25">
      <c r="A110" s="11"/>
      <c r="B110" s="11"/>
      <c r="C110" s="11"/>
      <c r="D110" s="11"/>
      <c r="E110" s="9"/>
      <c r="F110" s="9"/>
      <c r="G110" s="9"/>
      <c r="H110" s="10"/>
      <c r="I110" s="11"/>
      <c r="J110" s="9"/>
      <c r="K110" s="9"/>
      <c r="L110" s="9"/>
      <c r="M110" s="10"/>
      <c r="N110" s="9"/>
      <c r="O110" s="10"/>
      <c r="P110" s="11"/>
      <c r="Q110" s="11"/>
      <c r="R110" s="11"/>
      <c r="S110" s="11"/>
      <c r="T110" s="9"/>
      <c r="U110" s="9"/>
      <c r="V110" s="9"/>
      <c r="W110" s="9"/>
      <c r="X110" s="9"/>
      <c r="Y110" s="10"/>
      <c r="Z110" s="11"/>
      <c r="AA110" s="11"/>
      <c r="AB110" s="11"/>
      <c r="AC110" s="11"/>
      <c r="AD110" s="11"/>
      <c r="AE110" s="11"/>
      <c r="AF110" s="11"/>
      <c r="AG110" s="11"/>
      <c r="AH110" s="11"/>
      <c r="AI110" s="12"/>
      <c r="AJ110" s="11"/>
      <c r="AK110" s="11"/>
      <c r="AL110" s="11"/>
      <c r="AM110" s="11"/>
      <c r="AN110" s="9"/>
      <c r="AO110" s="9"/>
      <c r="AP110" s="9"/>
      <c r="AQ110" s="9"/>
      <c r="AR110" s="9"/>
      <c r="AS110" s="9"/>
      <c r="AT110" s="9"/>
      <c r="AU110" s="9"/>
      <c r="AV110" s="9"/>
      <c r="AW110" s="9"/>
      <c r="AX110" s="13"/>
    </row>
    <row r="111" spans="1:50" s="14" customFormat="1" x14ac:dyDescent="0.25">
      <c r="A111" s="11"/>
      <c r="B111" s="11"/>
      <c r="C111" s="11"/>
      <c r="D111" s="11"/>
      <c r="E111" s="9"/>
      <c r="F111" s="9"/>
      <c r="G111" s="9"/>
      <c r="H111" s="10"/>
      <c r="I111" s="11"/>
      <c r="J111" s="9"/>
      <c r="K111" s="9"/>
      <c r="L111" s="9"/>
      <c r="M111" s="10"/>
      <c r="N111" s="9"/>
      <c r="O111" s="10"/>
      <c r="P111" s="11"/>
      <c r="Q111" s="11"/>
      <c r="R111" s="11"/>
      <c r="S111" s="11"/>
      <c r="T111" s="9"/>
      <c r="U111" s="9"/>
      <c r="V111" s="9"/>
      <c r="W111" s="9"/>
      <c r="X111" s="9"/>
      <c r="Y111" s="10"/>
      <c r="Z111" s="11"/>
      <c r="AA111" s="11"/>
      <c r="AB111" s="11"/>
      <c r="AC111" s="11"/>
      <c r="AD111" s="11"/>
      <c r="AE111" s="11"/>
      <c r="AF111" s="11"/>
      <c r="AG111" s="11"/>
      <c r="AH111" s="11"/>
      <c r="AI111" s="12"/>
      <c r="AJ111" s="11"/>
      <c r="AK111" s="11"/>
      <c r="AL111" s="11"/>
      <c r="AM111" s="11"/>
      <c r="AN111" s="9"/>
      <c r="AO111" s="9"/>
      <c r="AP111" s="9"/>
      <c r="AQ111" s="9"/>
      <c r="AR111" s="9"/>
      <c r="AS111" s="9"/>
      <c r="AT111" s="9"/>
      <c r="AU111" s="9"/>
      <c r="AV111" s="9"/>
      <c r="AW111" s="9"/>
      <c r="AX111" s="13"/>
    </row>
    <row r="112" spans="1:50" s="14" customFormat="1" x14ac:dyDescent="0.25">
      <c r="A112" s="11"/>
      <c r="B112" s="11"/>
      <c r="C112" s="11"/>
      <c r="D112" s="11"/>
      <c r="E112" s="9"/>
      <c r="F112" s="9"/>
      <c r="G112" s="9"/>
      <c r="H112" s="10"/>
      <c r="I112" s="11"/>
      <c r="J112" s="9"/>
      <c r="K112" s="9"/>
      <c r="L112" s="9"/>
      <c r="M112" s="10"/>
      <c r="N112" s="9"/>
      <c r="O112" s="10"/>
      <c r="P112" s="11"/>
      <c r="Q112" s="11"/>
      <c r="R112" s="11"/>
      <c r="S112" s="11"/>
      <c r="T112" s="9"/>
      <c r="U112" s="9"/>
      <c r="V112" s="9"/>
      <c r="W112" s="9"/>
      <c r="X112" s="9"/>
      <c r="Y112" s="10"/>
      <c r="Z112" s="11"/>
      <c r="AA112" s="11"/>
      <c r="AB112" s="11"/>
      <c r="AC112" s="11"/>
      <c r="AD112" s="11"/>
      <c r="AE112" s="11"/>
      <c r="AF112" s="11"/>
      <c r="AG112" s="11"/>
      <c r="AH112" s="11"/>
      <c r="AI112" s="12"/>
      <c r="AJ112" s="11"/>
      <c r="AK112" s="11"/>
      <c r="AL112" s="11"/>
      <c r="AM112" s="11"/>
      <c r="AN112" s="9"/>
      <c r="AO112" s="9"/>
      <c r="AP112" s="9"/>
      <c r="AQ112" s="9"/>
      <c r="AR112" s="9"/>
      <c r="AS112" s="9"/>
      <c r="AT112" s="9"/>
      <c r="AU112" s="9"/>
      <c r="AV112" s="9"/>
      <c r="AW112" s="9"/>
      <c r="AX112" s="13"/>
    </row>
    <row r="113" spans="1:50" s="14" customFormat="1" x14ac:dyDescent="0.25">
      <c r="A113" s="11"/>
      <c r="B113" s="11"/>
      <c r="C113" s="11"/>
      <c r="D113" s="11"/>
      <c r="E113" s="9"/>
      <c r="F113" s="9"/>
      <c r="G113" s="9"/>
      <c r="H113" s="10"/>
      <c r="I113" s="11"/>
      <c r="J113" s="9"/>
      <c r="K113" s="9"/>
      <c r="L113" s="9"/>
      <c r="M113" s="10"/>
      <c r="N113" s="9"/>
      <c r="O113" s="10"/>
      <c r="P113" s="11"/>
      <c r="Q113" s="11"/>
      <c r="R113" s="11"/>
      <c r="S113" s="11"/>
      <c r="T113" s="9"/>
      <c r="U113" s="9"/>
      <c r="V113" s="9"/>
      <c r="W113" s="9"/>
      <c r="X113" s="9"/>
      <c r="Y113" s="10"/>
      <c r="Z113" s="11"/>
      <c r="AA113" s="11"/>
      <c r="AB113" s="11"/>
      <c r="AC113" s="11"/>
      <c r="AD113" s="11"/>
      <c r="AE113" s="11"/>
      <c r="AF113" s="11"/>
      <c r="AG113" s="11"/>
      <c r="AH113" s="11"/>
      <c r="AI113" s="12"/>
      <c r="AJ113" s="11"/>
      <c r="AK113" s="11"/>
      <c r="AL113" s="11"/>
      <c r="AM113" s="11"/>
      <c r="AN113" s="9"/>
      <c r="AO113" s="9"/>
      <c r="AP113" s="9"/>
      <c r="AQ113" s="9"/>
      <c r="AR113" s="9"/>
      <c r="AS113" s="9"/>
      <c r="AT113" s="9"/>
      <c r="AU113" s="9"/>
      <c r="AV113" s="9"/>
      <c r="AW113" s="9"/>
      <c r="AX113" s="13"/>
    </row>
    <row r="114" spans="1:50" s="14" customFormat="1" x14ac:dyDescent="0.25">
      <c r="A114" s="11"/>
      <c r="B114" s="11"/>
      <c r="C114" s="11"/>
      <c r="D114" s="11"/>
      <c r="E114" s="9"/>
      <c r="F114" s="9"/>
      <c r="G114" s="9"/>
      <c r="H114" s="10"/>
      <c r="I114" s="11"/>
      <c r="J114" s="9"/>
      <c r="K114" s="9"/>
      <c r="L114" s="9"/>
      <c r="M114" s="10"/>
      <c r="N114" s="9"/>
      <c r="O114" s="10"/>
      <c r="P114" s="11"/>
      <c r="Q114" s="11"/>
      <c r="R114" s="11"/>
      <c r="S114" s="11"/>
      <c r="T114" s="9"/>
      <c r="U114" s="9"/>
      <c r="V114" s="9"/>
      <c r="W114" s="9"/>
      <c r="X114" s="9"/>
      <c r="Y114" s="10"/>
      <c r="Z114" s="11"/>
      <c r="AA114" s="11"/>
      <c r="AB114" s="11"/>
      <c r="AC114" s="11"/>
      <c r="AD114" s="11"/>
      <c r="AE114" s="11"/>
      <c r="AF114" s="11"/>
      <c r="AG114" s="11"/>
      <c r="AH114" s="11"/>
      <c r="AI114" s="12"/>
      <c r="AJ114" s="11"/>
      <c r="AK114" s="11"/>
      <c r="AL114" s="11"/>
      <c r="AM114" s="11"/>
      <c r="AN114" s="9"/>
      <c r="AO114" s="9"/>
      <c r="AP114" s="9"/>
      <c r="AQ114" s="9"/>
      <c r="AR114" s="9"/>
      <c r="AS114" s="9"/>
      <c r="AT114" s="9"/>
      <c r="AU114" s="9"/>
      <c r="AV114" s="9"/>
      <c r="AW114" s="9"/>
      <c r="AX114" s="13"/>
    </row>
    <row r="115" spans="1:50" s="14" customFormat="1" x14ac:dyDescent="0.25">
      <c r="A115" s="11"/>
      <c r="B115" s="11"/>
      <c r="C115" s="11"/>
      <c r="D115" s="9"/>
      <c r="E115" s="9"/>
      <c r="F115" s="9"/>
      <c r="G115" s="9"/>
      <c r="H115" s="10"/>
      <c r="I115" s="9"/>
      <c r="J115" s="9"/>
      <c r="K115" s="9"/>
      <c r="L115" s="9"/>
      <c r="M115" s="10"/>
      <c r="N115" s="9"/>
      <c r="O115" s="10"/>
      <c r="P115" s="11"/>
      <c r="Q115" s="11"/>
      <c r="R115" s="11"/>
      <c r="S115" s="11"/>
      <c r="T115" s="9"/>
      <c r="U115" s="9"/>
      <c r="V115" s="9"/>
      <c r="W115" s="9"/>
      <c r="X115" s="9"/>
      <c r="Y115" s="10"/>
      <c r="Z115" s="11"/>
      <c r="AA115" s="11"/>
      <c r="AB115" s="11"/>
      <c r="AC115" s="11"/>
      <c r="AD115" s="11"/>
      <c r="AE115" s="11"/>
      <c r="AF115" s="11"/>
      <c r="AG115" s="11"/>
      <c r="AH115" s="11"/>
      <c r="AI115" s="12"/>
      <c r="AJ115" s="11"/>
      <c r="AK115" s="11"/>
      <c r="AL115" s="11"/>
      <c r="AM115" s="11"/>
      <c r="AN115" s="9"/>
      <c r="AO115" s="9"/>
      <c r="AP115" s="9"/>
      <c r="AQ115" s="9"/>
      <c r="AR115" s="9"/>
      <c r="AS115" s="9"/>
      <c r="AT115" s="9"/>
      <c r="AU115" s="9"/>
      <c r="AV115" s="9"/>
      <c r="AW115" s="9"/>
      <c r="AX115" s="13"/>
    </row>
    <row r="116" spans="1:50" s="14" customFormat="1" x14ac:dyDescent="0.25">
      <c r="A116" s="11"/>
      <c r="B116" s="11"/>
      <c r="C116" s="11"/>
      <c r="D116" s="11"/>
      <c r="E116" s="11"/>
      <c r="F116" s="11"/>
      <c r="G116" s="11"/>
      <c r="H116" s="10"/>
      <c r="I116" s="11"/>
      <c r="J116" s="11"/>
      <c r="K116" s="11"/>
      <c r="L116" s="11"/>
      <c r="M116" s="10"/>
      <c r="N116" s="9"/>
      <c r="O116" s="10"/>
      <c r="P116" s="11"/>
      <c r="Q116" s="11"/>
      <c r="R116" s="11"/>
      <c r="S116" s="11"/>
      <c r="T116" s="9"/>
      <c r="U116" s="9"/>
      <c r="V116" s="9"/>
      <c r="W116" s="9"/>
      <c r="X116" s="9"/>
      <c r="Y116" s="10"/>
      <c r="Z116" s="11"/>
      <c r="AA116" s="11"/>
      <c r="AB116" s="11"/>
      <c r="AC116" s="11"/>
      <c r="AD116" s="11"/>
      <c r="AE116" s="11"/>
      <c r="AF116" s="11"/>
      <c r="AG116" s="11"/>
      <c r="AH116" s="11"/>
      <c r="AI116" s="12"/>
      <c r="AJ116" s="11"/>
      <c r="AK116" s="11"/>
      <c r="AL116" s="11"/>
      <c r="AM116" s="11"/>
      <c r="AN116" s="9"/>
      <c r="AO116" s="9"/>
      <c r="AP116" s="9"/>
      <c r="AQ116" s="9"/>
      <c r="AR116" s="9"/>
      <c r="AS116" s="9"/>
      <c r="AT116" s="9"/>
      <c r="AU116" s="9"/>
      <c r="AV116" s="9"/>
      <c r="AW116" s="9"/>
      <c r="AX116" s="13"/>
    </row>
    <row r="117" spans="1:50" s="14" customFormat="1" x14ac:dyDescent="0.25">
      <c r="A117" s="11"/>
      <c r="B117" s="11"/>
      <c r="C117" s="11"/>
      <c r="D117" s="11"/>
      <c r="E117" s="11"/>
      <c r="F117" s="11"/>
      <c r="G117" s="11"/>
      <c r="H117" s="10"/>
      <c r="I117" s="11"/>
      <c r="J117" s="11"/>
      <c r="K117" s="11"/>
      <c r="L117" s="11"/>
      <c r="M117" s="10"/>
      <c r="N117" s="9"/>
      <c r="O117" s="10"/>
      <c r="P117" s="11"/>
      <c r="Q117" s="11"/>
      <c r="R117" s="11"/>
      <c r="S117" s="11"/>
      <c r="T117" s="9"/>
      <c r="U117" s="9"/>
      <c r="V117" s="9"/>
      <c r="W117" s="9"/>
      <c r="X117" s="9"/>
      <c r="Y117" s="10"/>
      <c r="Z117" s="11"/>
      <c r="AA117" s="11"/>
      <c r="AB117" s="11"/>
      <c r="AC117" s="11"/>
      <c r="AD117" s="11"/>
      <c r="AE117" s="11"/>
      <c r="AF117" s="11"/>
      <c r="AG117" s="11"/>
      <c r="AH117" s="11"/>
      <c r="AI117" s="12"/>
      <c r="AJ117" s="11"/>
      <c r="AK117" s="11"/>
      <c r="AL117" s="11"/>
      <c r="AM117" s="11"/>
      <c r="AN117" s="9"/>
      <c r="AO117" s="9"/>
      <c r="AP117" s="9"/>
      <c r="AQ117" s="9"/>
      <c r="AR117" s="9"/>
      <c r="AS117" s="9"/>
      <c r="AT117" s="9"/>
      <c r="AU117" s="9"/>
      <c r="AV117" s="9"/>
      <c r="AW117" s="9"/>
      <c r="AX117" s="13"/>
    </row>
    <row r="118" spans="1:50" s="14" customFormat="1" x14ac:dyDescent="0.25">
      <c r="A118" s="11"/>
      <c r="B118" s="11"/>
      <c r="C118" s="11"/>
      <c r="D118" s="11"/>
      <c r="E118" s="9"/>
      <c r="F118" s="9"/>
      <c r="G118" s="9"/>
      <c r="H118" s="10"/>
      <c r="I118" s="11"/>
      <c r="J118" s="9"/>
      <c r="K118" s="9"/>
      <c r="L118" s="9"/>
      <c r="M118" s="10"/>
      <c r="N118" s="9"/>
      <c r="O118" s="10"/>
      <c r="P118" s="11"/>
      <c r="Q118" s="11"/>
      <c r="R118" s="11"/>
      <c r="S118" s="11"/>
      <c r="T118" s="9"/>
      <c r="U118" s="9"/>
      <c r="V118" s="9"/>
      <c r="W118" s="9"/>
      <c r="X118" s="9"/>
      <c r="Y118" s="10"/>
      <c r="Z118" s="11"/>
      <c r="AA118" s="11"/>
      <c r="AB118" s="11"/>
      <c r="AC118" s="11"/>
      <c r="AD118" s="11"/>
      <c r="AE118" s="11"/>
      <c r="AF118" s="11"/>
      <c r="AG118" s="11"/>
      <c r="AH118" s="11"/>
      <c r="AI118" s="12"/>
      <c r="AJ118" s="11"/>
      <c r="AK118" s="11"/>
      <c r="AL118" s="11"/>
      <c r="AM118" s="11"/>
      <c r="AN118" s="9"/>
      <c r="AO118" s="9"/>
      <c r="AP118" s="9"/>
      <c r="AQ118" s="9"/>
      <c r="AR118" s="9"/>
      <c r="AS118" s="9"/>
      <c r="AT118" s="9"/>
      <c r="AU118" s="9"/>
      <c r="AV118" s="9"/>
      <c r="AW118" s="9"/>
      <c r="AX118" s="13"/>
    </row>
    <row r="119" spans="1:50" s="14" customFormat="1" x14ac:dyDescent="0.25">
      <c r="A119" s="11"/>
      <c r="B119" s="11"/>
      <c r="C119" s="11"/>
      <c r="D119" s="11"/>
      <c r="E119" s="11"/>
      <c r="F119" s="11"/>
      <c r="G119" s="11"/>
      <c r="H119" s="10"/>
      <c r="I119" s="11"/>
      <c r="J119" s="11"/>
      <c r="K119" s="11"/>
      <c r="L119" s="11"/>
      <c r="M119" s="10"/>
      <c r="N119" s="9"/>
      <c r="O119" s="10"/>
      <c r="P119" s="11"/>
      <c r="Q119" s="11"/>
      <c r="R119" s="11"/>
      <c r="S119" s="11"/>
      <c r="T119" s="9"/>
      <c r="U119" s="9"/>
      <c r="V119" s="9"/>
      <c r="W119" s="9"/>
      <c r="X119" s="9"/>
      <c r="Y119" s="10"/>
      <c r="Z119" s="11"/>
      <c r="AA119" s="11"/>
      <c r="AB119" s="11"/>
      <c r="AC119" s="11"/>
      <c r="AD119" s="11"/>
      <c r="AE119" s="11"/>
      <c r="AF119" s="11"/>
      <c r="AG119" s="11"/>
      <c r="AH119" s="11"/>
      <c r="AI119" s="12"/>
      <c r="AJ119" s="11"/>
      <c r="AK119" s="11"/>
      <c r="AL119" s="11"/>
      <c r="AM119" s="11"/>
      <c r="AN119" s="9"/>
      <c r="AO119" s="9"/>
      <c r="AP119" s="9"/>
      <c r="AQ119" s="9"/>
      <c r="AR119" s="9"/>
      <c r="AS119" s="9"/>
      <c r="AT119" s="9"/>
      <c r="AU119" s="9"/>
      <c r="AV119" s="9"/>
      <c r="AW119" s="9"/>
      <c r="AX119" s="13"/>
    </row>
    <row r="120" spans="1:50" s="14" customFormat="1" x14ac:dyDescent="0.25">
      <c r="A120" s="11"/>
      <c r="B120" s="11"/>
      <c r="C120" s="11"/>
      <c r="D120" s="9"/>
      <c r="E120" s="9"/>
      <c r="F120" s="9"/>
      <c r="G120" s="9"/>
      <c r="H120" s="10"/>
      <c r="I120" s="9"/>
      <c r="J120" s="9"/>
      <c r="K120" s="9"/>
      <c r="L120" s="9"/>
      <c r="M120" s="10"/>
      <c r="N120" s="9"/>
      <c r="O120" s="10"/>
      <c r="P120" s="11"/>
      <c r="Q120" s="11"/>
      <c r="R120" s="11"/>
      <c r="S120" s="11"/>
      <c r="T120" s="9"/>
      <c r="U120" s="9"/>
      <c r="V120" s="9"/>
      <c r="W120" s="9"/>
      <c r="X120" s="9"/>
      <c r="Y120" s="10"/>
      <c r="Z120" s="11"/>
      <c r="AA120" s="11"/>
      <c r="AB120" s="11"/>
      <c r="AC120" s="11"/>
      <c r="AD120" s="11"/>
      <c r="AE120" s="11"/>
      <c r="AF120" s="11"/>
      <c r="AG120" s="11"/>
      <c r="AH120" s="11"/>
      <c r="AI120" s="12"/>
      <c r="AJ120" s="11"/>
      <c r="AK120" s="11"/>
      <c r="AL120" s="11"/>
      <c r="AM120" s="11"/>
      <c r="AN120" s="9"/>
      <c r="AO120" s="9"/>
      <c r="AP120" s="9"/>
      <c r="AQ120" s="9"/>
      <c r="AR120" s="9"/>
      <c r="AS120" s="9"/>
      <c r="AT120" s="9"/>
      <c r="AU120" s="9"/>
      <c r="AV120" s="9"/>
      <c r="AW120" s="9"/>
      <c r="AX120" s="13"/>
    </row>
    <row r="121" spans="1:50" s="14" customFormat="1" x14ac:dyDescent="0.25">
      <c r="A121" s="11"/>
      <c r="B121" s="11"/>
      <c r="C121" s="11"/>
      <c r="D121" s="11"/>
      <c r="E121" s="11"/>
      <c r="F121" s="11"/>
      <c r="G121" s="11"/>
      <c r="H121" s="10"/>
      <c r="I121" s="11"/>
      <c r="J121" s="11"/>
      <c r="K121" s="11"/>
      <c r="L121" s="11"/>
      <c r="M121" s="10"/>
      <c r="N121" s="9"/>
      <c r="O121" s="10"/>
      <c r="P121" s="11"/>
      <c r="Q121" s="11"/>
      <c r="R121" s="11"/>
      <c r="S121" s="11"/>
      <c r="T121" s="9"/>
      <c r="U121" s="9"/>
      <c r="V121" s="9"/>
      <c r="W121" s="9"/>
      <c r="X121" s="9"/>
      <c r="Y121" s="10"/>
      <c r="Z121" s="11"/>
      <c r="AA121" s="11"/>
      <c r="AB121" s="11"/>
      <c r="AC121" s="11"/>
      <c r="AD121" s="11"/>
      <c r="AE121" s="11"/>
      <c r="AF121" s="11"/>
      <c r="AG121" s="11"/>
      <c r="AH121" s="11"/>
      <c r="AI121" s="12"/>
      <c r="AJ121" s="11"/>
      <c r="AK121" s="11"/>
      <c r="AL121" s="11"/>
      <c r="AM121" s="11"/>
      <c r="AN121" s="9"/>
      <c r="AO121" s="9"/>
      <c r="AP121" s="9"/>
      <c r="AQ121" s="9"/>
      <c r="AR121" s="9"/>
      <c r="AS121" s="9"/>
      <c r="AT121" s="9"/>
      <c r="AU121" s="9"/>
      <c r="AV121" s="9"/>
      <c r="AW121" s="9"/>
      <c r="AX121" s="13"/>
    </row>
    <row r="122" spans="1:50" s="14" customFormat="1" x14ac:dyDescent="0.25">
      <c r="A122" s="11"/>
      <c r="B122" s="11"/>
      <c r="C122" s="11"/>
      <c r="D122" s="9"/>
      <c r="E122" s="9"/>
      <c r="F122" s="9"/>
      <c r="G122" s="9"/>
      <c r="H122" s="10"/>
      <c r="I122" s="9"/>
      <c r="J122" s="9"/>
      <c r="K122" s="9"/>
      <c r="L122" s="9"/>
      <c r="M122" s="10"/>
      <c r="N122" s="9"/>
      <c r="O122" s="10"/>
      <c r="P122" s="11"/>
      <c r="Q122" s="11"/>
      <c r="R122" s="11"/>
      <c r="S122" s="11"/>
      <c r="T122" s="9"/>
      <c r="U122" s="9"/>
      <c r="V122" s="9"/>
      <c r="W122" s="9"/>
      <c r="X122" s="9"/>
      <c r="Y122" s="10"/>
      <c r="Z122" s="11"/>
      <c r="AA122" s="11"/>
      <c r="AB122" s="11"/>
      <c r="AC122" s="11"/>
      <c r="AD122" s="11"/>
      <c r="AE122" s="11"/>
      <c r="AF122" s="11"/>
      <c r="AG122" s="11"/>
      <c r="AH122" s="11"/>
      <c r="AI122" s="12"/>
      <c r="AJ122" s="11"/>
      <c r="AK122" s="11"/>
      <c r="AL122" s="11"/>
      <c r="AM122" s="11"/>
      <c r="AN122" s="9"/>
      <c r="AO122" s="9"/>
      <c r="AP122" s="9"/>
      <c r="AQ122" s="9"/>
      <c r="AR122" s="9"/>
      <c r="AS122" s="9"/>
      <c r="AT122" s="9"/>
      <c r="AU122" s="9"/>
      <c r="AV122" s="9"/>
      <c r="AW122" s="9"/>
      <c r="AX122" s="13"/>
    </row>
    <row r="123" spans="1:50" s="14" customFormat="1" x14ac:dyDescent="0.25">
      <c r="A123" s="11"/>
      <c r="B123" s="11"/>
      <c r="C123" s="11"/>
      <c r="D123" s="11"/>
      <c r="E123" s="11"/>
      <c r="F123" s="11"/>
      <c r="G123" s="11"/>
      <c r="H123" s="10"/>
      <c r="I123" s="11"/>
      <c r="J123" s="11"/>
      <c r="K123" s="11"/>
      <c r="L123" s="11"/>
      <c r="M123" s="10"/>
      <c r="N123" s="9"/>
      <c r="O123" s="10"/>
      <c r="P123" s="11"/>
      <c r="Q123" s="11"/>
      <c r="R123" s="11"/>
      <c r="S123" s="11"/>
      <c r="T123" s="9"/>
      <c r="U123" s="9"/>
      <c r="V123" s="9"/>
      <c r="W123" s="9"/>
      <c r="X123" s="9"/>
      <c r="Y123" s="10"/>
      <c r="Z123" s="11"/>
      <c r="AA123" s="11"/>
      <c r="AB123" s="11"/>
      <c r="AC123" s="11"/>
      <c r="AD123" s="11"/>
      <c r="AE123" s="11"/>
      <c r="AF123" s="11"/>
      <c r="AG123" s="11"/>
      <c r="AH123" s="11"/>
      <c r="AI123" s="12"/>
      <c r="AJ123" s="11"/>
      <c r="AK123" s="11"/>
      <c r="AL123" s="11"/>
      <c r="AM123" s="11"/>
      <c r="AN123" s="9"/>
      <c r="AO123" s="9"/>
      <c r="AP123" s="9"/>
      <c r="AQ123" s="9"/>
      <c r="AR123" s="9"/>
      <c r="AS123" s="9"/>
      <c r="AT123" s="9"/>
      <c r="AU123" s="9"/>
      <c r="AV123" s="9"/>
      <c r="AW123" s="9"/>
      <c r="AX123" s="13"/>
    </row>
    <row r="124" spans="1:50" s="14" customFormat="1" x14ac:dyDescent="0.25">
      <c r="A124" s="11"/>
      <c r="B124" s="11"/>
      <c r="C124" s="11"/>
      <c r="D124" s="11"/>
      <c r="E124" s="11"/>
      <c r="F124" s="11"/>
      <c r="G124" s="11"/>
      <c r="H124" s="10"/>
      <c r="I124" s="11"/>
      <c r="J124" s="11"/>
      <c r="K124" s="11"/>
      <c r="L124" s="11"/>
      <c r="M124" s="10"/>
      <c r="N124" s="9"/>
      <c r="O124" s="10"/>
      <c r="P124" s="11"/>
      <c r="Q124" s="11"/>
      <c r="R124" s="11"/>
      <c r="S124" s="11"/>
      <c r="T124" s="9"/>
      <c r="U124" s="9"/>
      <c r="V124" s="9"/>
      <c r="W124" s="9"/>
      <c r="X124" s="9"/>
      <c r="Y124" s="10"/>
      <c r="Z124" s="11"/>
      <c r="AA124" s="11"/>
      <c r="AB124" s="11"/>
      <c r="AC124" s="11"/>
      <c r="AD124" s="11"/>
      <c r="AE124" s="11"/>
      <c r="AF124" s="11"/>
      <c r="AG124" s="11"/>
      <c r="AH124" s="11"/>
      <c r="AI124" s="12"/>
      <c r="AJ124" s="11"/>
      <c r="AK124" s="11"/>
      <c r="AL124" s="11"/>
      <c r="AM124" s="11"/>
      <c r="AN124" s="9"/>
      <c r="AO124" s="9"/>
      <c r="AP124" s="9"/>
      <c r="AQ124" s="9"/>
      <c r="AR124" s="9"/>
      <c r="AS124" s="9"/>
      <c r="AT124" s="9"/>
      <c r="AU124" s="9"/>
      <c r="AV124" s="9"/>
      <c r="AW124" s="9"/>
      <c r="AX124" s="13"/>
    </row>
    <row r="125" spans="1:50" s="14" customFormat="1" x14ac:dyDescent="0.25">
      <c r="A125" s="11"/>
      <c r="B125" s="11"/>
      <c r="C125" s="11"/>
      <c r="D125" s="11"/>
      <c r="E125" s="11"/>
      <c r="F125" s="11"/>
      <c r="G125" s="11"/>
      <c r="H125" s="10"/>
      <c r="I125" s="11"/>
      <c r="J125" s="11"/>
      <c r="K125" s="11"/>
      <c r="L125" s="11"/>
      <c r="M125" s="10"/>
      <c r="N125" s="9"/>
      <c r="O125" s="10"/>
      <c r="P125" s="11"/>
      <c r="Q125" s="11"/>
      <c r="R125" s="11"/>
      <c r="S125" s="11"/>
      <c r="T125" s="9"/>
      <c r="U125" s="9"/>
      <c r="V125" s="9"/>
      <c r="W125" s="9"/>
      <c r="X125" s="9"/>
      <c r="Y125" s="10"/>
      <c r="Z125" s="11"/>
      <c r="AA125" s="11"/>
      <c r="AB125" s="11"/>
      <c r="AC125" s="11"/>
      <c r="AD125" s="11"/>
      <c r="AE125" s="11"/>
      <c r="AF125" s="11"/>
      <c r="AG125" s="11"/>
      <c r="AH125" s="11"/>
      <c r="AI125" s="12"/>
      <c r="AJ125" s="11"/>
      <c r="AK125" s="11"/>
      <c r="AL125" s="11"/>
      <c r="AM125" s="11"/>
      <c r="AN125" s="9"/>
      <c r="AO125" s="9"/>
      <c r="AP125" s="9"/>
      <c r="AQ125" s="9"/>
      <c r="AR125" s="9"/>
      <c r="AS125" s="9"/>
      <c r="AT125" s="9"/>
      <c r="AU125" s="9"/>
      <c r="AV125" s="9"/>
      <c r="AW125" s="9"/>
      <c r="AX125" s="13"/>
    </row>
    <row r="126" spans="1:50" s="14" customFormat="1" x14ac:dyDescent="0.25">
      <c r="A126" s="11"/>
      <c r="B126" s="11"/>
      <c r="C126" s="11"/>
      <c r="D126" s="11"/>
      <c r="E126" s="11"/>
      <c r="F126" s="11"/>
      <c r="G126" s="11"/>
      <c r="H126" s="10"/>
      <c r="I126" s="11"/>
      <c r="J126" s="11"/>
      <c r="K126" s="11"/>
      <c r="L126" s="11"/>
      <c r="M126" s="10"/>
      <c r="N126" s="9"/>
      <c r="O126" s="10"/>
      <c r="P126" s="11"/>
      <c r="Q126" s="11"/>
      <c r="R126" s="11"/>
      <c r="S126" s="11"/>
      <c r="T126" s="9"/>
      <c r="U126" s="9"/>
      <c r="V126" s="9"/>
      <c r="W126" s="9"/>
      <c r="X126" s="9"/>
      <c r="Y126" s="10"/>
      <c r="Z126" s="11"/>
      <c r="AA126" s="11"/>
      <c r="AB126" s="11"/>
      <c r="AC126" s="11"/>
      <c r="AD126" s="11"/>
      <c r="AE126" s="11"/>
      <c r="AF126" s="11"/>
      <c r="AG126" s="11"/>
      <c r="AH126" s="11"/>
      <c r="AI126" s="12"/>
      <c r="AJ126" s="11"/>
      <c r="AK126" s="11"/>
      <c r="AL126" s="11"/>
      <c r="AM126" s="11"/>
      <c r="AN126" s="9"/>
      <c r="AO126" s="9"/>
      <c r="AP126" s="9"/>
      <c r="AQ126" s="9"/>
      <c r="AR126" s="9"/>
      <c r="AS126" s="9"/>
      <c r="AT126" s="9"/>
      <c r="AU126" s="9"/>
      <c r="AV126" s="9"/>
      <c r="AW126" s="9"/>
      <c r="AX126" s="13"/>
    </row>
    <row r="127" spans="1:50" s="14" customFormat="1" x14ac:dyDescent="0.25">
      <c r="A127" s="11"/>
      <c r="B127" s="11"/>
      <c r="C127" s="11"/>
      <c r="D127" s="11"/>
      <c r="E127" s="11"/>
      <c r="F127" s="11"/>
      <c r="G127" s="11"/>
      <c r="H127" s="10"/>
      <c r="I127" s="11"/>
      <c r="J127" s="11"/>
      <c r="K127" s="11"/>
      <c r="L127" s="11"/>
      <c r="M127" s="10"/>
      <c r="N127" s="9"/>
      <c r="O127" s="10"/>
      <c r="P127" s="11"/>
      <c r="Q127" s="11"/>
      <c r="R127" s="11"/>
      <c r="S127" s="11"/>
      <c r="T127" s="9"/>
      <c r="U127" s="9"/>
      <c r="V127" s="9"/>
      <c r="W127" s="9"/>
      <c r="X127" s="9"/>
      <c r="Y127" s="10"/>
      <c r="Z127" s="11"/>
      <c r="AA127" s="11"/>
      <c r="AB127" s="11"/>
      <c r="AC127" s="11"/>
      <c r="AD127" s="11"/>
      <c r="AE127" s="11"/>
      <c r="AF127" s="11"/>
      <c r="AG127" s="11"/>
      <c r="AH127" s="11"/>
      <c r="AI127" s="12"/>
      <c r="AJ127" s="11"/>
      <c r="AK127" s="11"/>
      <c r="AL127" s="11"/>
      <c r="AM127" s="11"/>
      <c r="AN127" s="9"/>
      <c r="AO127" s="9"/>
      <c r="AP127" s="9"/>
      <c r="AQ127" s="9"/>
      <c r="AR127" s="9"/>
      <c r="AS127" s="9"/>
      <c r="AT127" s="9"/>
      <c r="AU127" s="9"/>
      <c r="AV127" s="9"/>
      <c r="AW127" s="9"/>
      <c r="AX127" s="13"/>
    </row>
    <row r="128" spans="1:50" s="14" customFormat="1" x14ac:dyDescent="0.25">
      <c r="A128" s="11"/>
      <c r="B128" s="11"/>
      <c r="C128" s="11"/>
      <c r="D128" s="11"/>
      <c r="E128" s="11"/>
      <c r="F128" s="11"/>
      <c r="G128" s="11"/>
      <c r="H128" s="10"/>
      <c r="I128" s="11"/>
      <c r="J128" s="11"/>
      <c r="K128" s="11"/>
      <c r="L128" s="11"/>
      <c r="M128" s="10"/>
      <c r="N128" s="9"/>
      <c r="O128" s="10"/>
      <c r="P128" s="11"/>
      <c r="Q128" s="11"/>
      <c r="R128" s="11"/>
      <c r="S128" s="11"/>
      <c r="T128" s="9"/>
      <c r="U128" s="9"/>
      <c r="V128" s="9"/>
      <c r="W128" s="9"/>
      <c r="X128" s="9"/>
      <c r="Y128" s="10"/>
      <c r="Z128" s="11"/>
      <c r="AA128" s="11"/>
      <c r="AB128" s="11"/>
      <c r="AC128" s="11"/>
      <c r="AD128" s="11"/>
      <c r="AE128" s="11"/>
      <c r="AF128" s="11"/>
      <c r="AG128" s="11"/>
      <c r="AH128" s="11"/>
      <c r="AI128" s="12"/>
      <c r="AJ128" s="11"/>
      <c r="AK128" s="11"/>
      <c r="AL128" s="11"/>
      <c r="AM128" s="11"/>
      <c r="AN128" s="9"/>
      <c r="AO128" s="9"/>
      <c r="AP128" s="9"/>
      <c r="AQ128" s="9"/>
      <c r="AR128" s="9"/>
      <c r="AS128" s="9"/>
      <c r="AT128" s="9"/>
      <c r="AU128" s="9"/>
      <c r="AV128" s="9"/>
      <c r="AW128" s="9"/>
      <c r="AX128" s="13"/>
    </row>
    <row r="129" spans="1:50" s="14" customFormat="1" x14ac:dyDescent="0.25">
      <c r="A129" s="11"/>
      <c r="B129" s="11"/>
      <c r="C129" s="11"/>
      <c r="D129" s="11"/>
      <c r="E129" s="11"/>
      <c r="F129" s="11"/>
      <c r="G129" s="11"/>
      <c r="H129" s="10"/>
      <c r="I129" s="11"/>
      <c r="J129" s="11"/>
      <c r="K129" s="11"/>
      <c r="L129" s="11"/>
      <c r="M129" s="10"/>
      <c r="N129" s="9"/>
      <c r="O129" s="10"/>
      <c r="P129" s="11"/>
      <c r="Q129" s="11"/>
      <c r="R129" s="11"/>
      <c r="S129" s="11"/>
      <c r="T129" s="9"/>
      <c r="U129" s="9"/>
      <c r="V129" s="9"/>
      <c r="W129" s="9"/>
      <c r="X129" s="9"/>
      <c r="Y129" s="10"/>
      <c r="Z129" s="11"/>
      <c r="AA129" s="11"/>
      <c r="AB129" s="11"/>
      <c r="AC129" s="11"/>
      <c r="AD129" s="11"/>
      <c r="AE129" s="11"/>
      <c r="AF129" s="11"/>
      <c r="AG129" s="11"/>
      <c r="AH129" s="11"/>
      <c r="AI129" s="12"/>
      <c r="AJ129" s="11"/>
      <c r="AK129" s="11"/>
      <c r="AL129" s="11"/>
      <c r="AM129" s="11"/>
      <c r="AN129" s="9"/>
      <c r="AO129" s="9"/>
      <c r="AP129" s="9"/>
      <c r="AQ129" s="9"/>
      <c r="AR129" s="9"/>
      <c r="AS129" s="9"/>
      <c r="AT129" s="9"/>
      <c r="AU129" s="9"/>
      <c r="AV129" s="9"/>
      <c r="AW129" s="9"/>
      <c r="AX129" s="13"/>
    </row>
    <row r="130" spans="1:50" s="14" customFormat="1" x14ac:dyDescent="0.25">
      <c r="A130" s="11"/>
      <c r="B130" s="11"/>
      <c r="C130" s="11"/>
      <c r="D130" s="11"/>
      <c r="E130" s="11"/>
      <c r="F130" s="11"/>
      <c r="G130" s="11"/>
      <c r="H130" s="10"/>
      <c r="I130" s="11"/>
      <c r="J130" s="11"/>
      <c r="K130" s="11"/>
      <c r="L130" s="11"/>
      <c r="M130" s="10"/>
      <c r="N130" s="9"/>
      <c r="O130" s="10"/>
      <c r="P130" s="11"/>
      <c r="Q130" s="11"/>
      <c r="R130" s="11"/>
      <c r="S130" s="11"/>
      <c r="T130" s="9"/>
      <c r="U130" s="9"/>
      <c r="V130" s="9"/>
      <c r="W130" s="9"/>
      <c r="X130" s="9"/>
      <c r="Y130" s="10"/>
      <c r="Z130" s="11"/>
      <c r="AA130" s="11"/>
      <c r="AB130" s="11"/>
      <c r="AC130" s="11"/>
      <c r="AD130" s="11"/>
      <c r="AE130" s="11"/>
      <c r="AF130" s="11"/>
      <c r="AG130" s="11"/>
      <c r="AH130" s="11"/>
      <c r="AI130" s="12"/>
      <c r="AJ130" s="11"/>
      <c r="AK130" s="11"/>
      <c r="AL130" s="11"/>
      <c r="AM130" s="11"/>
      <c r="AN130" s="9"/>
      <c r="AO130" s="9"/>
      <c r="AP130" s="9"/>
      <c r="AQ130" s="9"/>
      <c r="AR130" s="9"/>
      <c r="AS130" s="9"/>
      <c r="AT130" s="9"/>
      <c r="AU130" s="9"/>
      <c r="AV130" s="9"/>
      <c r="AW130" s="9"/>
      <c r="AX130" s="13"/>
    </row>
    <row r="131" spans="1:50" s="14" customFormat="1" x14ac:dyDescent="0.25">
      <c r="A131" s="11"/>
      <c r="B131" s="11"/>
      <c r="C131" s="11"/>
      <c r="D131" s="11"/>
      <c r="E131" s="11"/>
      <c r="F131" s="11"/>
      <c r="G131" s="11"/>
      <c r="H131" s="10"/>
      <c r="I131" s="11"/>
      <c r="J131" s="11"/>
      <c r="K131" s="11"/>
      <c r="L131" s="11"/>
      <c r="M131" s="10"/>
      <c r="N131" s="9"/>
      <c r="O131" s="10"/>
      <c r="P131" s="11"/>
      <c r="Q131" s="11"/>
      <c r="R131" s="11"/>
      <c r="S131" s="11"/>
      <c r="T131" s="9"/>
      <c r="U131" s="9"/>
      <c r="V131" s="9"/>
      <c r="W131" s="9"/>
      <c r="X131" s="9"/>
      <c r="Y131" s="10"/>
      <c r="Z131" s="11"/>
      <c r="AA131" s="11"/>
      <c r="AB131" s="11"/>
      <c r="AC131" s="11"/>
      <c r="AD131" s="11"/>
      <c r="AE131" s="11"/>
      <c r="AF131" s="11"/>
      <c r="AG131" s="11"/>
      <c r="AH131" s="11"/>
      <c r="AI131" s="12"/>
      <c r="AJ131" s="11"/>
      <c r="AK131" s="11"/>
      <c r="AL131" s="11"/>
      <c r="AM131" s="11"/>
      <c r="AN131" s="9"/>
      <c r="AO131" s="9"/>
      <c r="AP131" s="9"/>
      <c r="AQ131" s="9"/>
      <c r="AR131" s="9"/>
      <c r="AS131" s="9"/>
      <c r="AT131" s="9"/>
      <c r="AU131" s="9"/>
      <c r="AV131" s="9"/>
      <c r="AW131" s="9"/>
      <c r="AX131" s="13"/>
    </row>
    <row r="132" spans="1:50" s="14" customFormat="1" x14ac:dyDescent="0.25">
      <c r="A132" s="11"/>
      <c r="B132" s="11"/>
      <c r="C132" s="11"/>
      <c r="D132" s="11"/>
      <c r="E132" s="11"/>
      <c r="F132" s="11"/>
      <c r="G132" s="11"/>
      <c r="H132" s="10"/>
      <c r="I132" s="11"/>
      <c r="J132" s="11"/>
      <c r="K132" s="11"/>
      <c r="L132" s="11"/>
      <c r="M132" s="10"/>
      <c r="N132" s="9"/>
      <c r="O132" s="10"/>
      <c r="P132" s="11"/>
      <c r="Q132" s="11"/>
      <c r="R132" s="11"/>
      <c r="S132" s="11"/>
      <c r="T132" s="9"/>
      <c r="U132" s="9"/>
      <c r="V132" s="9"/>
      <c r="W132" s="9"/>
      <c r="X132" s="9"/>
      <c r="Y132" s="10"/>
      <c r="Z132" s="11"/>
      <c r="AA132" s="11"/>
      <c r="AB132" s="11"/>
      <c r="AC132" s="11"/>
      <c r="AD132" s="11"/>
      <c r="AE132" s="11"/>
      <c r="AF132" s="11"/>
      <c r="AG132" s="11"/>
      <c r="AH132" s="11"/>
      <c r="AI132" s="12"/>
      <c r="AJ132" s="11"/>
      <c r="AK132" s="11"/>
      <c r="AL132" s="11"/>
      <c r="AM132" s="11"/>
      <c r="AN132" s="9"/>
      <c r="AO132" s="9"/>
      <c r="AP132" s="9"/>
      <c r="AQ132" s="9"/>
      <c r="AR132" s="9"/>
      <c r="AS132" s="9"/>
      <c r="AT132" s="9"/>
      <c r="AU132" s="9"/>
      <c r="AV132" s="9"/>
      <c r="AW132" s="9"/>
      <c r="AX132" s="13"/>
    </row>
    <row r="133" spans="1:50" s="14" customFormat="1" x14ac:dyDescent="0.25">
      <c r="A133" s="11"/>
      <c r="B133" s="11"/>
      <c r="C133" s="11"/>
      <c r="D133" s="11"/>
      <c r="E133" s="9"/>
      <c r="F133" s="9"/>
      <c r="G133" s="9"/>
      <c r="H133" s="10"/>
      <c r="I133" s="11"/>
      <c r="J133" s="9"/>
      <c r="K133" s="9"/>
      <c r="L133" s="9"/>
      <c r="M133" s="10"/>
      <c r="N133" s="9"/>
      <c r="O133" s="10"/>
      <c r="P133" s="11"/>
      <c r="Q133" s="11"/>
      <c r="R133" s="11"/>
      <c r="S133" s="11"/>
      <c r="T133" s="9"/>
      <c r="U133" s="9"/>
      <c r="V133" s="9"/>
      <c r="W133" s="9"/>
      <c r="X133" s="9"/>
      <c r="Y133" s="10"/>
      <c r="Z133" s="11"/>
      <c r="AA133" s="11"/>
      <c r="AB133" s="11"/>
      <c r="AC133" s="11"/>
      <c r="AD133" s="11"/>
      <c r="AE133" s="11"/>
      <c r="AF133" s="11"/>
      <c r="AG133" s="11"/>
      <c r="AH133" s="11"/>
      <c r="AI133" s="12"/>
      <c r="AJ133" s="11"/>
      <c r="AK133" s="11"/>
      <c r="AL133" s="11"/>
      <c r="AM133" s="11"/>
      <c r="AN133" s="9"/>
      <c r="AO133" s="9"/>
      <c r="AP133" s="9"/>
      <c r="AQ133" s="9"/>
      <c r="AR133" s="9"/>
      <c r="AS133" s="9"/>
      <c r="AT133" s="9"/>
      <c r="AU133" s="9"/>
      <c r="AV133" s="9"/>
      <c r="AW133" s="9"/>
      <c r="AX133" s="13"/>
    </row>
    <row r="134" spans="1:50" s="14" customFormat="1" x14ac:dyDescent="0.25">
      <c r="A134" s="11"/>
      <c r="B134" s="11"/>
      <c r="C134" s="11"/>
      <c r="D134" s="11"/>
      <c r="E134" s="9"/>
      <c r="F134" s="9"/>
      <c r="G134" s="9"/>
      <c r="H134" s="10"/>
      <c r="I134" s="11"/>
      <c r="J134" s="9"/>
      <c r="K134" s="9"/>
      <c r="L134" s="9"/>
      <c r="M134" s="10"/>
      <c r="N134" s="9"/>
      <c r="O134" s="10"/>
      <c r="P134" s="11"/>
      <c r="Q134" s="11"/>
      <c r="R134" s="11"/>
      <c r="S134" s="11"/>
      <c r="T134" s="9"/>
      <c r="U134" s="9"/>
      <c r="V134" s="9"/>
      <c r="W134" s="9"/>
      <c r="X134" s="9"/>
      <c r="Y134" s="10"/>
      <c r="Z134" s="11"/>
      <c r="AA134" s="11"/>
      <c r="AB134" s="11"/>
      <c r="AC134" s="11"/>
      <c r="AD134" s="11"/>
      <c r="AE134" s="11"/>
      <c r="AF134" s="11"/>
      <c r="AG134" s="11"/>
      <c r="AH134" s="11"/>
      <c r="AI134" s="12"/>
      <c r="AJ134" s="11"/>
      <c r="AK134" s="11"/>
      <c r="AL134" s="11"/>
      <c r="AM134" s="11"/>
      <c r="AN134" s="9"/>
      <c r="AO134" s="9"/>
      <c r="AP134" s="9"/>
      <c r="AQ134" s="9"/>
      <c r="AR134" s="9"/>
      <c r="AS134" s="9"/>
      <c r="AT134" s="9"/>
      <c r="AU134" s="9"/>
      <c r="AV134" s="9"/>
      <c r="AW134" s="9"/>
      <c r="AX134" s="13"/>
    </row>
    <row r="135" spans="1:50" s="14" customFormat="1" x14ac:dyDescent="0.25">
      <c r="A135" s="11"/>
      <c r="B135" s="11"/>
      <c r="C135" s="11"/>
      <c r="D135" s="9"/>
      <c r="E135" s="9"/>
      <c r="F135" s="9"/>
      <c r="G135" s="9"/>
      <c r="H135" s="10"/>
      <c r="I135" s="9"/>
      <c r="J135" s="9"/>
      <c r="K135" s="9"/>
      <c r="L135" s="9"/>
      <c r="M135" s="10"/>
      <c r="N135" s="9"/>
      <c r="O135" s="10"/>
      <c r="P135" s="11"/>
      <c r="Q135" s="11"/>
      <c r="R135" s="11"/>
      <c r="S135" s="11"/>
      <c r="T135" s="9"/>
      <c r="U135" s="9"/>
      <c r="V135" s="9"/>
      <c r="W135" s="9"/>
      <c r="X135" s="9"/>
      <c r="Y135" s="10"/>
      <c r="Z135" s="11"/>
      <c r="AA135" s="11"/>
      <c r="AB135" s="11"/>
      <c r="AC135" s="11"/>
      <c r="AD135" s="11"/>
      <c r="AE135" s="11"/>
      <c r="AF135" s="11"/>
      <c r="AG135" s="11"/>
      <c r="AH135" s="11"/>
      <c r="AI135" s="12"/>
      <c r="AJ135" s="11"/>
      <c r="AK135" s="11"/>
      <c r="AL135" s="11"/>
      <c r="AM135" s="11"/>
      <c r="AN135" s="9"/>
      <c r="AO135" s="9"/>
      <c r="AP135" s="9"/>
      <c r="AQ135" s="9"/>
      <c r="AR135" s="9"/>
      <c r="AS135" s="9"/>
      <c r="AT135" s="9"/>
      <c r="AU135" s="9"/>
      <c r="AV135" s="9"/>
      <c r="AW135" s="9"/>
      <c r="AX135" s="13"/>
    </row>
    <row r="136" spans="1:50" s="14" customFormat="1" x14ac:dyDescent="0.25">
      <c r="A136" s="11"/>
      <c r="B136" s="11"/>
      <c r="C136" s="11"/>
      <c r="D136" s="9"/>
      <c r="E136" s="9"/>
      <c r="F136" s="9"/>
      <c r="G136" s="9"/>
      <c r="H136" s="10"/>
      <c r="I136" s="9"/>
      <c r="J136" s="9"/>
      <c r="K136" s="9"/>
      <c r="L136" s="9"/>
      <c r="M136" s="10"/>
      <c r="N136" s="9"/>
      <c r="O136" s="10"/>
      <c r="P136" s="11"/>
      <c r="Q136" s="11"/>
      <c r="R136" s="11"/>
      <c r="S136" s="11"/>
      <c r="T136" s="9"/>
      <c r="U136" s="9"/>
      <c r="V136" s="9"/>
      <c r="W136" s="9"/>
      <c r="X136" s="9"/>
      <c r="Y136" s="10"/>
      <c r="Z136" s="11"/>
      <c r="AA136" s="11"/>
      <c r="AB136" s="11"/>
      <c r="AC136" s="11"/>
      <c r="AD136" s="11"/>
      <c r="AE136" s="11"/>
      <c r="AF136" s="11"/>
      <c r="AG136" s="11"/>
      <c r="AH136" s="11"/>
      <c r="AI136" s="12"/>
      <c r="AJ136" s="11"/>
      <c r="AK136" s="11"/>
      <c r="AL136" s="11"/>
      <c r="AM136" s="11"/>
      <c r="AN136" s="9"/>
      <c r="AO136" s="9"/>
      <c r="AP136" s="9"/>
      <c r="AQ136" s="9"/>
      <c r="AR136" s="9"/>
      <c r="AS136" s="9"/>
      <c r="AT136" s="9"/>
      <c r="AU136" s="9"/>
      <c r="AV136" s="9"/>
      <c r="AW136" s="9"/>
      <c r="AX136" s="13"/>
    </row>
    <row r="137" spans="1:50" s="14" customFormat="1" x14ac:dyDescent="0.25">
      <c r="A137" s="11"/>
      <c r="B137" s="11"/>
      <c r="C137" s="11"/>
      <c r="D137" s="9"/>
      <c r="E137" s="9"/>
      <c r="F137" s="9"/>
      <c r="G137" s="9"/>
      <c r="H137" s="10"/>
      <c r="I137" s="9"/>
      <c r="J137" s="9"/>
      <c r="K137" s="9"/>
      <c r="L137" s="9"/>
      <c r="M137" s="10"/>
      <c r="N137" s="9"/>
      <c r="O137" s="10"/>
      <c r="P137" s="11"/>
      <c r="Q137" s="11"/>
      <c r="R137" s="11"/>
      <c r="S137" s="11"/>
      <c r="T137" s="9"/>
      <c r="U137" s="9"/>
      <c r="V137" s="9"/>
      <c r="W137" s="9"/>
      <c r="X137" s="9"/>
      <c r="Y137" s="10"/>
      <c r="Z137" s="11"/>
      <c r="AA137" s="11"/>
      <c r="AB137" s="11"/>
      <c r="AC137" s="11"/>
      <c r="AD137" s="11"/>
      <c r="AE137" s="11"/>
      <c r="AF137" s="11"/>
      <c r="AG137" s="11"/>
      <c r="AH137" s="11"/>
      <c r="AI137" s="12"/>
      <c r="AJ137" s="11"/>
      <c r="AK137" s="11"/>
      <c r="AL137" s="11"/>
      <c r="AM137" s="11"/>
      <c r="AN137" s="9"/>
      <c r="AO137" s="9"/>
      <c r="AP137" s="9"/>
      <c r="AQ137" s="9"/>
      <c r="AR137" s="9"/>
      <c r="AS137" s="9"/>
      <c r="AT137" s="9"/>
      <c r="AU137" s="9"/>
      <c r="AV137" s="9"/>
      <c r="AW137" s="9"/>
      <c r="AX137" s="13"/>
    </row>
    <row r="138" spans="1:50" s="14" customFormat="1" x14ac:dyDescent="0.25">
      <c r="A138" s="11"/>
      <c r="B138" s="11"/>
      <c r="C138" s="11"/>
      <c r="D138" s="9"/>
      <c r="E138" s="9"/>
      <c r="F138" s="9"/>
      <c r="G138" s="9"/>
      <c r="H138" s="10"/>
      <c r="I138" s="9"/>
      <c r="J138" s="9"/>
      <c r="K138" s="9"/>
      <c r="L138" s="9"/>
      <c r="M138" s="10"/>
      <c r="N138" s="9"/>
      <c r="O138" s="10"/>
      <c r="P138" s="11"/>
      <c r="Q138" s="11"/>
      <c r="R138" s="11"/>
      <c r="S138" s="11"/>
      <c r="T138" s="9"/>
      <c r="U138" s="9"/>
      <c r="V138" s="9"/>
      <c r="W138" s="9"/>
      <c r="X138" s="9"/>
      <c r="Y138" s="10"/>
      <c r="Z138" s="11"/>
      <c r="AA138" s="11"/>
      <c r="AB138" s="11"/>
      <c r="AC138" s="11"/>
      <c r="AD138" s="11"/>
      <c r="AE138" s="11"/>
      <c r="AF138" s="11"/>
      <c r="AG138" s="11"/>
      <c r="AH138" s="11"/>
      <c r="AI138" s="12"/>
      <c r="AJ138" s="11"/>
      <c r="AK138" s="11"/>
      <c r="AL138" s="11"/>
      <c r="AM138" s="11"/>
      <c r="AN138" s="9"/>
      <c r="AO138" s="9"/>
      <c r="AP138" s="9"/>
      <c r="AQ138" s="9"/>
      <c r="AR138" s="9"/>
      <c r="AS138" s="9"/>
      <c r="AT138" s="9"/>
      <c r="AU138" s="9"/>
      <c r="AV138" s="9"/>
      <c r="AW138" s="9"/>
      <c r="AX138" s="13"/>
    </row>
    <row r="139" spans="1:50" s="14" customFormat="1" x14ac:dyDescent="0.25">
      <c r="A139" s="11"/>
      <c r="B139" s="11"/>
      <c r="C139" s="11"/>
      <c r="D139" s="11"/>
      <c r="E139" s="9"/>
      <c r="F139" s="9"/>
      <c r="G139" s="9"/>
      <c r="H139" s="10"/>
      <c r="I139" s="11"/>
      <c r="J139" s="9"/>
      <c r="K139" s="9"/>
      <c r="L139" s="9"/>
      <c r="M139" s="10"/>
      <c r="N139" s="9"/>
      <c r="O139" s="10"/>
      <c r="P139" s="11"/>
      <c r="Q139" s="11"/>
      <c r="R139" s="11"/>
      <c r="S139" s="11"/>
      <c r="T139" s="9"/>
      <c r="U139" s="9"/>
      <c r="V139" s="9"/>
      <c r="W139" s="9"/>
      <c r="X139" s="9"/>
      <c r="Y139" s="10"/>
      <c r="Z139" s="11"/>
      <c r="AA139" s="11"/>
      <c r="AB139" s="11"/>
      <c r="AC139" s="11"/>
      <c r="AD139" s="11"/>
      <c r="AE139" s="11"/>
      <c r="AF139" s="11"/>
      <c r="AG139" s="11"/>
      <c r="AH139" s="11"/>
      <c r="AI139" s="12"/>
      <c r="AJ139" s="11"/>
      <c r="AK139" s="11"/>
      <c r="AL139" s="11"/>
      <c r="AM139" s="11"/>
      <c r="AN139" s="9"/>
      <c r="AO139" s="9"/>
      <c r="AP139" s="9"/>
      <c r="AQ139" s="9"/>
      <c r="AR139" s="9"/>
      <c r="AS139" s="9"/>
      <c r="AT139" s="9"/>
      <c r="AU139" s="9"/>
      <c r="AV139" s="9"/>
      <c r="AW139" s="9"/>
      <c r="AX139" s="13"/>
    </row>
    <row r="140" spans="1:50" s="14" customFormat="1" x14ac:dyDescent="0.25">
      <c r="A140" s="11"/>
      <c r="B140" s="11"/>
      <c r="C140" s="11"/>
      <c r="D140" s="11"/>
      <c r="E140" s="11"/>
      <c r="F140" s="11"/>
      <c r="G140" s="11"/>
      <c r="H140" s="10"/>
      <c r="I140" s="11"/>
      <c r="J140" s="11"/>
      <c r="K140" s="11"/>
      <c r="L140" s="11"/>
      <c r="M140" s="10"/>
      <c r="N140" s="9"/>
      <c r="O140" s="10"/>
      <c r="P140" s="11"/>
      <c r="Q140" s="11"/>
      <c r="R140" s="11"/>
      <c r="S140" s="11"/>
      <c r="T140" s="9"/>
      <c r="U140" s="9"/>
      <c r="V140" s="9"/>
      <c r="W140" s="9"/>
      <c r="X140" s="9"/>
      <c r="Y140" s="10"/>
      <c r="Z140" s="11"/>
      <c r="AA140" s="11"/>
      <c r="AB140" s="11"/>
      <c r="AC140" s="11"/>
      <c r="AD140" s="9"/>
      <c r="AE140" s="9"/>
      <c r="AF140" s="9"/>
      <c r="AG140" s="9"/>
      <c r="AH140" s="11"/>
      <c r="AI140" s="12"/>
      <c r="AJ140" s="11"/>
      <c r="AK140" s="11"/>
      <c r="AL140" s="11"/>
      <c r="AM140" s="11"/>
      <c r="AN140" s="9"/>
      <c r="AO140" s="9"/>
      <c r="AP140" s="9"/>
      <c r="AQ140" s="9"/>
      <c r="AR140" s="9"/>
      <c r="AS140" s="9"/>
      <c r="AT140" s="9"/>
      <c r="AU140" s="9"/>
      <c r="AV140" s="9"/>
      <c r="AW140" s="9"/>
      <c r="AX140" s="13"/>
    </row>
    <row r="141" spans="1:50" s="14" customFormat="1" x14ac:dyDescent="0.25">
      <c r="A141" s="11"/>
      <c r="B141" s="11"/>
      <c r="C141" s="11"/>
      <c r="D141" s="11"/>
      <c r="E141" s="11"/>
      <c r="F141" s="11"/>
      <c r="G141" s="11"/>
      <c r="H141" s="10"/>
      <c r="I141" s="11"/>
      <c r="J141" s="11"/>
      <c r="K141" s="11"/>
      <c r="L141" s="11"/>
      <c r="M141" s="10"/>
      <c r="N141" s="9"/>
      <c r="O141" s="10"/>
      <c r="P141" s="11"/>
      <c r="Q141" s="11"/>
      <c r="R141" s="11"/>
      <c r="S141" s="11"/>
      <c r="T141" s="9"/>
      <c r="U141" s="9"/>
      <c r="V141" s="9"/>
      <c r="W141" s="9"/>
      <c r="X141" s="9"/>
      <c r="Y141" s="10"/>
      <c r="Z141" s="11"/>
      <c r="AA141" s="11"/>
      <c r="AB141" s="11"/>
      <c r="AC141" s="11"/>
      <c r="AD141" s="11"/>
      <c r="AE141" s="9"/>
      <c r="AF141" s="9"/>
      <c r="AG141" s="9"/>
      <c r="AH141" s="11"/>
      <c r="AI141" s="12"/>
      <c r="AJ141" s="11"/>
      <c r="AK141" s="11"/>
      <c r="AL141" s="11"/>
      <c r="AM141" s="11"/>
      <c r="AN141" s="9"/>
      <c r="AO141" s="9"/>
      <c r="AP141" s="9"/>
      <c r="AQ141" s="9"/>
      <c r="AR141" s="9"/>
      <c r="AS141" s="9"/>
      <c r="AT141" s="9"/>
      <c r="AU141" s="9"/>
      <c r="AV141" s="9"/>
      <c r="AW141" s="9"/>
      <c r="AX141" s="13"/>
    </row>
    <row r="142" spans="1:50" s="14" customFormat="1" x14ac:dyDescent="0.25">
      <c r="A142" s="11"/>
      <c r="B142" s="11"/>
      <c r="C142" s="11"/>
      <c r="D142" s="11"/>
      <c r="E142" s="9"/>
      <c r="F142" s="9"/>
      <c r="G142" s="9"/>
      <c r="H142" s="10"/>
      <c r="I142" s="11"/>
      <c r="J142" s="9"/>
      <c r="K142" s="9"/>
      <c r="L142" s="9"/>
      <c r="M142" s="10"/>
      <c r="N142" s="9"/>
      <c r="O142" s="10"/>
      <c r="P142" s="11"/>
      <c r="Q142" s="11"/>
      <c r="R142" s="11"/>
      <c r="S142" s="11"/>
      <c r="T142" s="9"/>
      <c r="U142" s="9"/>
      <c r="V142" s="9"/>
      <c r="W142" s="9"/>
      <c r="X142" s="9"/>
      <c r="Y142" s="10"/>
      <c r="Z142" s="11"/>
      <c r="AA142" s="11"/>
      <c r="AB142" s="11"/>
      <c r="AC142" s="11"/>
      <c r="AD142" s="11"/>
      <c r="AE142" s="11"/>
      <c r="AF142" s="11"/>
      <c r="AG142" s="11"/>
      <c r="AH142" s="11"/>
      <c r="AI142" s="12"/>
      <c r="AJ142" s="11"/>
      <c r="AK142" s="11"/>
      <c r="AL142" s="11"/>
      <c r="AM142" s="11"/>
      <c r="AN142" s="9"/>
      <c r="AO142" s="9"/>
      <c r="AP142" s="9"/>
      <c r="AQ142" s="9"/>
      <c r="AR142" s="9"/>
      <c r="AS142" s="9"/>
      <c r="AT142" s="9"/>
      <c r="AU142" s="9"/>
      <c r="AV142" s="9"/>
      <c r="AW142" s="9"/>
      <c r="AX142" s="13"/>
    </row>
    <row r="143" spans="1:50" s="14" customFormat="1" x14ac:dyDescent="0.25">
      <c r="A143" s="11"/>
      <c r="B143" s="11"/>
      <c r="C143" s="11"/>
      <c r="D143" s="11"/>
      <c r="E143" s="9"/>
      <c r="F143" s="9"/>
      <c r="G143" s="9"/>
      <c r="H143" s="10"/>
      <c r="I143" s="11"/>
      <c r="J143" s="9"/>
      <c r="K143" s="9"/>
      <c r="L143" s="9"/>
      <c r="M143" s="10"/>
      <c r="N143" s="9"/>
      <c r="O143" s="10"/>
      <c r="P143" s="11"/>
      <c r="Q143" s="11"/>
      <c r="R143" s="11"/>
      <c r="S143" s="11"/>
      <c r="T143" s="9"/>
      <c r="U143" s="9"/>
      <c r="V143" s="9"/>
      <c r="W143" s="9"/>
      <c r="X143" s="9"/>
      <c r="Y143" s="10"/>
      <c r="Z143" s="11"/>
      <c r="AA143" s="11"/>
      <c r="AB143" s="11"/>
      <c r="AC143" s="11"/>
      <c r="AD143" s="11"/>
      <c r="AE143" s="11"/>
      <c r="AF143" s="11"/>
      <c r="AG143" s="11"/>
      <c r="AH143" s="11"/>
      <c r="AI143" s="12"/>
      <c r="AJ143" s="11"/>
      <c r="AK143" s="11"/>
      <c r="AL143" s="11"/>
      <c r="AM143" s="11"/>
      <c r="AN143" s="9"/>
      <c r="AO143" s="9"/>
      <c r="AP143" s="9"/>
      <c r="AQ143" s="9"/>
      <c r="AR143" s="9"/>
      <c r="AS143" s="9"/>
      <c r="AT143" s="9"/>
      <c r="AU143" s="9"/>
      <c r="AV143" s="9"/>
      <c r="AW143" s="9"/>
      <c r="AX143" s="13"/>
    </row>
    <row r="144" spans="1:50" s="14" customFormat="1" x14ac:dyDescent="0.25">
      <c r="A144" s="11"/>
      <c r="B144" s="11"/>
      <c r="C144" s="11"/>
      <c r="D144" s="11"/>
      <c r="E144" s="11"/>
      <c r="F144" s="11"/>
      <c r="G144" s="11"/>
      <c r="H144" s="10"/>
      <c r="I144" s="11"/>
      <c r="J144" s="11"/>
      <c r="K144" s="11"/>
      <c r="L144" s="11"/>
      <c r="M144" s="10"/>
      <c r="N144" s="9"/>
      <c r="O144" s="10"/>
      <c r="P144" s="11"/>
      <c r="Q144" s="11"/>
      <c r="R144" s="11"/>
      <c r="S144" s="11"/>
      <c r="T144" s="9"/>
      <c r="U144" s="9"/>
      <c r="V144" s="9"/>
      <c r="W144" s="9"/>
      <c r="X144" s="9"/>
      <c r="Y144" s="10"/>
      <c r="Z144" s="11"/>
      <c r="AA144" s="11"/>
      <c r="AB144" s="11"/>
      <c r="AC144" s="11"/>
      <c r="AD144" s="11"/>
      <c r="AE144" s="11"/>
      <c r="AF144" s="11"/>
      <c r="AG144" s="11"/>
      <c r="AH144" s="11"/>
      <c r="AI144" s="12"/>
      <c r="AJ144" s="11"/>
      <c r="AK144" s="11"/>
      <c r="AL144" s="11"/>
      <c r="AM144" s="11"/>
      <c r="AN144" s="9"/>
      <c r="AO144" s="9"/>
      <c r="AP144" s="9"/>
      <c r="AQ144" s="9"/>
      <c r="AR144" s="9"/>
      <c r="AS144" s="9"/>
      <c r="AT144" s="9"/>
      <c r="AU144" s="9"/>
      <c r="AV144" s="9"/>
      <c r="AW144" s="9"/>
      <c r="AX144" s="13"/>
    </row>
    <row r="145" spans="1:50" s="14" customFormat="1" x14ac:dyDescent="0.25">
      <c r="A145" s="11"/>
      <c r="B145" s="11"/>
      <c r="C145" s="11"/>
      <c r="D145" s="11"/>
      <c r="E145" s="11"/>
      <c r="F145" s="11"/>
      <c r="G145" s="11"/>
      <c r="H145" s="10"/>
      <c r="I145" s="11"/>
      <c r="J145" s="11"/>
      <c r="K145" s="11"/>
      <c r="L145" s="11"/>
      <c r="M145" s="10"/>
      <c r="N145" s="9"/>
      <c r="O145" s="10"/>
      <c r="P145" s="11"/>
      <c r="Q145" s="11"/>
      <c r="R145" s="11"/>
      <c r="S145" s="11"/>
      <c r="T145" s="9"/>
      <c r="U145" s="9"/>
      <c r="V145" s="9"/>
      <c r="W145" s="9"/>
      <c r="X145" s="9"/>
      <c r="Y145" s="10"/>
      <c r="Z145" s="11"/>
      <c r="AA145" s="11"/>
      <c r="AB145" s="11"/>
      <c r="AC145" s="11"/>
      <c r="AD145" s="11"/>
      <c r="AE145" s="11"/>
      <c r="AF145" s="11"/>
      <c r="AG145" s="11"/>
      <c r="AH145" s="11"/>
      <c r="AI145" s="12"/>
      <c r="AJ145" s="11"/>
      <c r="AK145" s="11"/>
      <c r="AL145" s="11"/>
      <c r="AM145" s="11"/>
      <c r="AN145" s="9"/>
      <c r="AO145" s="9"/>
      <c r="AP145" s="9"/>
      <c r="AQ145" s="9"/>
      <c r="AR145" s="9"/>
      <c r="AS145" s="9"/>
      <c r="AT145" s="9"/>
      <c r="AU145" s="9"/>
      <c r="AV145" s="9"/>
      <c r="AW145" s="9"/>
      <c r="AX145" s="13"/>
    </row>
    <row r="146" spans="1:50" s="14" customFormat="1" x14ac:dyDescent="0.25">
      <c r="A146" s="11"/>
      <c r="B146" s="11"/>
      <c r="C146" s="11"/>
      <c r="D146" s="11"/>
      <c r="E146" s="9"/>
      <c r="F146" s="9"/>
      <c r="G146" s="9"/>
      <c r="H146" s="10"/>
      <c r="I146" s="11"/>
      <c r="J146" s="9"/>
      <c r="K146" s="9"/>
      <c r="L146" s="9"/>
      <c r="M146" s="10"/>
      <c r="N146" s="9"/>
      <c r="O146" s="10"/>
      <c r="P146" s="11"/>
      <c r="Q146" s="11"/>
      <c r="R146" s="11"/>
      <c r="S146" s="11"/>
      <c r="T146" s="9"/>
      <c r="U146" s="9"/>
      <c r="V146" s="9"/>
      <c r="W146" s="9"/>
      <c r="X146" s="9"/>
      <c r="Y146" s="10"/>
      <c r="Z146" s="11"/>
      <c r="AA146" s="11"/>
      <c r="AB146" s="11"/>
      <c r="AC146" s="11"/>
      <c r="AD146" s="11"/>
      <c r="AE146" s="11"/>
      <c r="AF146" s="11"/>
      <c r="AG146" s="11"/>
      <c r="AH146" s="11"/>
      <c r="AI146" s="12"/>
      <c r="AJ146" s="11"/>
      <c r="AK146" s="11"/>
      <c r="AL146" s="11"/>
      <c r="AM146" s="11"/>
      <c r="AN146" s="9"/>
      <c r="AO146" s="9"/>
      <c r="AP146" s="9"/>
      <c r="AQ146" s="9"/>
      <c r="AR146" s="9"/>
      <c r="AS146" s="9"/>
      <c r="AT146" s="9"/>
      <c r="AU146" s="9"/>
      <c r="AV146" s="9"/>
      <c r="AW146" s="9"/>
      <c r="AX146" s="13"/>
    </row>
    <row r="147" spans="1:50" s="14" customFormat="1" x14ac:dyDescent="0.25">
      <c r="A147" s="11"/>
      <c r="B147" s="11"/>
      <c r="C147" s="11"/>
      <c r="D147" s="11"/>
      <c r="E147" s="11"/>
      <c r="F147" s="11"/>
      <c r="G147" s="11"/>
      <c r="H147" s="10"/>
      <c r="I147" s="11"/>
      <c r="J147" s="11"/>
      <c r="K147" s="11"/>
      <c r="L147" s="11"/>
      <c r="M147" s="10"/>
      <c r="N147" s="9"/>
      <c r="O147" s="10"/>
      <c r="P147" s="11"/>
      <c r="Q147" s="11"/>
      <c r="R147" s="11"/>
      <c r="S147" s="11"/>
      <c r="T147" s="9"/>
      <c r="U147" s="9"/>
      <c r="V147" s="9"/>
      <c r="W147" s="9"/>
      <c r="X147" s="9"/>
      <c r="Y147" s="10"/>
      <c r="Z147" s="11"/>
      <c r="AA147" s="11"/>
      <c r="AB147" s="11"/>
      <c r="AC147" s="11"/>
      <c r="AD147" s="11"/>
      <c r="AE147" s="11"/>
      <c r="AF147" s="11"/>
      <c r="AG147" s="11"/>
      <c r="AH147" s="11"/>
      <c r="AI147" s="12"/>
      <c r="AJ147" s="11"/>
      <c r="AK147" s="11"/>
      <c r="AL147" s="11"/>
      <c r="AM147" s="11"/>
      <c r="AN147" s="9"/>
      <c r="AO147" s="9"/>
      <c r="AP147" s="9"/>
      <c r="AQ147" s="9"/>
      <c r="AR147" s="9"/>
      <c r="AS147" s="9"/>
      <c r="AT147" s="9"/>
      <c r="AU147" s="9"/>
      <c r="AV147" s="9"/>
      <c r="AW147" s="9"/>
      <c r="AX147" s="13"/>
    </row>
    <row r="148" spans="1:50" s="14" customFormat="1" x14ac:dyDescent="0.25">
      <c r="A148" s="11"/>
      <c r="B148" s="11"/>
      <c r="C148" s="11"/>
      <c r="D148" s="11"/>
      <c r="E148" s="11"/>
      <c r="F148" s="11"/>
      <c r="G148" s="11"/>
      <c r="H148" s="10"/>
      <c r="I148" s="11"/>
      <c r="J148" s="11"/>
      <c r="K148" s="11"/>
      <c r="L148" s="11"/>
      <c r="M148" s="10"/>
      <c r="N148" s="9"/>
      <c r="O148" s="10"/>
      <c r="P148" s="11"/>
      <c r="Q148" s="11"/>
      <c r="R148" s="11"/>
      <c r="S148" s="11"/>
      <c r="T148" s="9"/>
      <c r="U148" s="9"/>
      <c r="V148" s="9"/>
      <c r="W148" s="9"/>
      <c r="X148" s="9"/>
      <c r="Y148" s="10"/>
      <c r="Z148" s="11"/>
      <c r="AA148" s="11"/>
      <c r="AB148" s="11"/>
      <c r="AC148" s="11"/>
      <c r="AD148" s="11"/>
      <c r="AE148" s="11"/>
      <c r="AF148" s="11"/>
      <c r="AG148" s="11"/>
      <c r="AH148" s="11"/>
      <c r="AI148" s="12"/>
      <c r="AJ148" s="11"/>
      <c r="AK148" s="11"/>
      <c r="AL148" s="11"/>
      <c r="AM148" s="11"/>
      <c r="AN148" s="9"/>
      <c r="AO148" s="9"/>
      <c r="AP148" s="9"/>
      <c r="AQ148" s="9"/>
      <c r="AR148" s="9"/>
      <c r="AS148" s="9"/>
      <c r="AT148" s="9"/>
      <c r="AU148" s="9"/>
      <c r="AV148" s="9"/>
      <c r="AW148" s="9"/>
      <c r="AX148" s="13"/>
    </row>
    <row r="149" spans="1:50" s="14" customFormat="1" x14ac:dyDescent="0.25">
      <c r="A149" s="11"/>
      <c r="B149" s="11"/>
      <c r="C149" s="11"/>
      <c r="D149" s="11"/>
      <c r="E149" s="11"/>
      <c r="F149" s="11"/>
      <c r="G149" s="11"/>
      <c r="H149" s="10"/>
      <c r="I149" s="11"/>
      <c r="J149" s="11"/>
      <c r="K149" s="11"/>
      <c r="L149" s="11"/>
      <c r="M149" s="10"/>
      <c r="N149" s="9"/>
      <c r="O149" s="10"/>
      <c r="P149" s="11"/>
      <c r="Q149" s="11"/>
      <c r="R149" s="11"/>
      <c r="S149" s="11"/>
      <c r="T149" s="9"/>
      <c r="U149" s="9"/>
      <c r="V149" s="9"/>
      <c r="W149" s="9"/>
      <c r="X149" s="9"/>
      <c r="Y149" s="10"/>
      <c r="Z149" s="11"/>
      <c r="AA149" s="11"/>
      <c r="AB149" s="11"/>
      <c r="AC149" s="11"/>
      <c r="AD149" s="9"/>
      <c r="AE149" s="9"/>
      <c r="AF149" s="9"/>
      <c r="AG149" s="9"/>
      <c r="AH149" s="11"/>
      <c r="AI149" s="10"/>
      <c r="AJ149" s="11"/>
      <c r="AK149" s="11"/>
      <c r="AL149" s="11"/>
      <c r="AM149" s="11"/>
      <c r="AN149" s="9"/>
      <c r="AO149" s="9"/>
      <c r="AP149" s="9"/>
      <c r="AQ149" s="9"/>
      <c r="AR149" s="9"/>
      <c r="AS149" s="9"/>
      <c r="AT149" s="9"/>
      <c r="AU149" s="9"/>
      <c r="AV149" s="9"/>
      <c r="AW149" s="9"/>
      <c r="AX149" s="13"/>
    </row>
    <row r="150" spans="1:50" s="14" customFormat="1" x14ac:dyDescent="0.25">
      <c r="A150" s="11"/>
      <c r="B150" s="11"/>
      <c r="C150" s="11"/>
      <c r="D150" s="11"/>
      <c r="E150" s="11"/>
      <c r="F150" s="11"/>
      <c r="G150" s="11"/>
      <c r="H150" s="10"/>
      <c r="I150" s="11"/>
      <c r="J150" s="11"/>
      <c r="K150" s="11"/>
      <c r="L150" s="11"/>
      <c r="M150" s="10"/>
      <c r="N150" s="9"/>
      <c r="O150" s="10"/>
      <c r="P150" s="11"/>
      <c r="Q150" s="11"/>
      <c r="R150" s="11"/>
      <c r="S150" s="11"/>
      <c r="T150" s="9"/>
      <c r="U150" s="9"/>
      <c r="V150" s="9"/>
      <c r="W150" s="9"/>
      <c r="X150" s="9"/>
      <c r="Y150" s="10"/>
      <c r="Z150" s="11"/>
      <c r="AA150" s="11"/>
      <c r="AB150" s="11"/>
      <c r="AC150" s="11"/>
      <c r="AD150" s="11"/>
      <c r="AE150" s="11"/>
      <c r="AF150" s="11"/>
      <c r="AG150" s="11"/>
      <c r="AH150" s="11"/>
      <c r="AI150" s="12"/>
      <c r="AJ150" s="11"/>
      <c r="AK150" s="11"/>
      <c r="AL150" s="11"/>
      <c r="AM150" s="11"/>
      <c r="AN150" s="9"/>
      <c r="AO150" s="9"/>
      <c r="AP150" s="9"/>
      <c r="AQ150" s="9"/>
      <c r="AR150" s="9"/>
      <c r="AS150" s="9"/>
      <c r="AT150" s="9"/>
      <c r="AU150" s="9"/>
      <c r="AV150" s="9"/>
      <c r="AW150" s="9"/>
      <c r="AX150" s="13"/>
    </row>
    <row r="151" spans="1:50" s="14" customFormat="1" x14ac:dyDescent="0.25">
      <c r="A151" s="11"/>
      <c r="B151" s="11"/>
      <c r="C151" s="11"/>
      <c r="D151" s="11"/>
      <c r="E151" s="11"/>
      <c r="F151" s="11"/>
      <c r="G151" s="11"/>
      <c r="H151" s="10"/>
      <c r="I151" s="11"/>
      <c r="J151" s="11"/>
      <c r="K151" s="11"/>
      <c r="L151" s="11"/>
      <c r="M151" s="10"/>
      <c r="N151" s="9"/>
      <c r="O151" s="10"/>
      <c r="P151" s="11"/>
      <c r="Q151" s="11"/>
      <c r="R151" s="11"/>
      <c r="S151" s="11"/>
      <c r="T151" s="9"/>
      <c r="U151" s="9"/>
      <c r="V151" s="9"/>
      <c r="W151" s="9"/>
      <c r="X151" s="9"/>
      <c r="Y151" s="10"/>
      <c r="Z151" s="11"/>
      <c r="AA151" s="11"/>
      <c r="AB151" s="11"/>
      <c r="AC151" s="11"/>
      <c r="AD151" s="11"/>
      <c r="AE151" s="11"/>
      <c r="AF151" s="11"/>
      <c r="AG151" s="11"/>
      <c r="AH151" s="11"/>
      <c r="AI151" s="12"/>
      <c r="AJ151" s="11"/>
      <c r="AK151" s="11"/>
      <c r="AL151" s="11"/>
      <c r="AM151" s="11"/>
      <c r="AN151" s="9"/>
      <c r="AO151" s="9"/>
      <c r="AP151" s="9"/>
      <c r="AQ151" s="9"/>
      <c r="AR151" s="9"/>
      <c r="AS151" s="9"/>
      <c r="AT151" s="9"/>
      <c r="AU151" s="9"/>
      <c r="AV151" s="9"/>
      <c r="AW151" s="9"/>
      <c r="AX151" s="13"/>
    </row>
    <row r="152" spans="1:50" s="14" customFormat="1" x14ac:dyDescent="0.25">
      <c r="A152" s="11"/>
      <c r="B152" s="11"/>
      <c r="C152" s="11"/>
      <c r="D152" s="11"/>
      <c r="E152" s="11"/>
      <c r="F152" s="11"/>
      <c r="G152" s="11"/>
      <c r="H152" s="10"/>
      <c r="I152" s="11"/>
      <c r="J152" s="11"/>
      <c r="K152" s="11"/>
      <c r="L152" s="11"/>
      <c r="M152" s="10"/>
      <c r="N152" s="9"/>
      <c r="O152" s="10"/>
      <c r="P152" s="11"/>
      <c r="Q152" s="11"/>
      <c r="R152" s="11"/>
      <c r="S152" s="11"/>
      <c r="T152" s="9"/>
      <c r="U152" s="9"/>
      <c r="V152" s="9"/>
      <c r="W152" s="9"/>
      <c r="X152" s="9"/>
      <c r="Y152" s="10"/>
      <c r="Z152" s="11"/>
      <c r="AA152" s="11"/>
      <c r="AB152" s="11"/>
      <c r="AC152" s="11"/>
      <c r="AD152" s="11"/>
      <c r="AE152" s="11"/>
      <c r="AF152" s="11"/>
      <c r="AG152" s="11"/>
      <c r="AH152" s="11"/>
      <c r="AI152" s="12"/>
      <c r="AJ152" s="11"/>
      <c r="AK152" s="11"/>
      <c r="AL152" s="11"/>
      <c r="AM152" s="11"/>
      <c r="AN152" s="9"/>
      <c r="AO152" s="9"/>
      <c r="AP152" s="9"/>
      <c r="AQ152" s="9"/>
      <c r="AR152" s="9"/>
      <c r="AS152" s="9"/>
      <c r="AT152" s="9"/>
      <c r="AU152" s="9"/>
      <c r="AV152" s="9"/>
      <c r="AW152" s="9"/>
      <c r="AX152" s="13"/>
    </row>
    <row r="153" spans="1:50" s="14" customFormat="1" x14ac:dyDescent="0.25">
      <c r="A153" s="11"/>
      <c r="B153" s="11"/>
      <c r="C153" s="11"/>
      <c r="D153" s="11"/>
      <c r="E153" s="11"/>
      <c r="F153" s="11"/>
      <c r="G153" s="11"/>
      <c r="H153" s="10"/>
      <c r="I153" s="11"/>
      <c r="J153" s="11"/>
      <c r="K153" s="11"/>
      <c r="L153" s="11"/>
      <c r="M153" s="10"/>
      <c r="N153" s="9"/>
      <c r="O153" s="10"/>
      <c r="P153" s="11"/>
      <c r="Q153" s="11"/>
      <c r="R153" s="11"/>
      <c r="S153" s="11"/>
      <c r="T153" s="9"/>
      <c r="U153" s="9"/>
      <c r="V153" s="9"/>
      <c r="W153" s="9"/>
      <c r="X153" s="9"/>
      <c r="Y153" s="10"/>
      <c r="Z153" s="11"/>
      <c r="AA153" s="11"/>
      <c r="AB153" s="11"/>
      <c r="AC153" s="11"/>
      <c r="AD153" s="11"/>
      <c r="AE153" s="11"/>
      <c r="AF153" s="11"/>
      <c r="AG153" s="11"/>
      <c r="AH153" s="11"/>
      <c r="AI153" s="12"/>
      <c r="AJ153" s="11"/>
      <c r="AK153" s="11"/>
      <c r="AL153" s="11"/>
      <c r="AM153" s="11"/>
      <c r="AN153" s="9"/>
      <c r="AO153" s="9"/>
      <c r="AP153" s="9"/>
      <c r="AQ153" s="9"/>
      <c r="AR153" s="9"/>
      <c r="AS153" s="9"/>
      <c r="AT153" s="9"/>
      <c r="AU153" s="9"/>
      <c r="AV153" s="9"/>
      <c r="AW153" s="9"/>
      <c r="AX153" s="13"/>
    </row>
    <row r="154" spans="1:50" s="14" customFormat="1" x14ac:dyDescent="0.25">
      <c r="A154" s="11"/>
      <c r="B154" s="11"/>
      <c r="C154" s="11"/>
      <c r="D154" s="11"/>
      <c r="E154" s="11"/>
      <c r="F154" s="11"/>
      <c r="G154" s="11"/>
      <c r="H154" s="10"/>
      <c r="I154" s="11"/>
      <c r="J154" s="11"/>
      <c r="K154" s="11"/>
      <c r="L154" s="11"/>
      <c r="M154" s="10"/>
      <c r="N154" s="9"/>
      <c r="O154" s="10"/>
      <c r="P154" s="11"/>
      <c r="Q154" s="11"/>
      <c r="R154" s="11"/>
      <c r="S154" s="11"/>
      <c r="T154" s="9"/>
      <c r="U154" s="9"/>
      <c r="V154" s="9"/>
      <c r="W154" s="9"/>
      <c r="X154" s="9"/>
      <c r="Y154" s="10"/>
      <c r="Z154" s="11"/>
      <c r="AA154" s="11"/>
      <c r="AB154" s="11"/>
      <c r="AC154" s="11"/>
      <c r="AD154" s="11"/>
      <c r="AE154" s="11"/>
      <c r="AF154" s="11"/>
      <c r="AG154" s="11"/>
      <c r="AH154" s="11"/>
      <c r="AI154" s="12"/>
      <c r="AJ154" s="11"/>
      <c r="AK154" s="11"/>
      <c r="AL154" s="11"/>
      <c r="AM154" s="11"/>
      <c r="AN154" s="9"/>
      <c r="AO154" s="9"/>
      <c r="AP154" s="9"/>
      <c r="AQ154" s="9"/>
      <c r="AR154" s="9"/>
      <c r="AS154" s="9"/>
      <c r="AT154" s="9"/>
      <c r="AU154" s="9"/>
      <c r="AV154" s="9"/>
      <c r="AW154" s="9"/>
      <c r="AX154" s="13"/>
    </row>
    <row r="155" spans="1:50" s="14" customFormat="1" x14ac:dyDescent="0.25">
      <c r="A155" s="11"/>
      <c r="B155" s="11"/>
      <c r="C155" s="11"/>
      <c r="D155" s="11"/>
      <c r="E155" s="11"/>
      <c r="F155" s="11"/>
      <c r="G155" s="11"/>
      <c r="H155" s="10"/>
      <c r="I155" s="11"/>
      <c r="J155" s="11"/>
      <c r="K155" s="11"/>
      <c r="L155" s="11"/>
      <c r="M155" s="10"/>
      <c r="N155" s="9"/>
      <c r="O155" s="10"/>
      <c r="P155" s="11"/>
      <c r="Q155" s="11"/>
      <c r="R155" s="11"/>
      <c r="S155" s="11"/>
      <c r="T155" s="9"/>
      <c r="U155" s="9"/>
      <c r="V155" s="9"/>
      <c r="W155" s="9"/>
      <c r="X155" s="9"/>
      <c r="Y155" s="10"/>
      <c r="Z155" s="11"/>
      <c r="AA155" s="11"/>
      <c r="AB155" s="11"/>
      <c r="AC155" s="11"/>
      <c r="AD155" s="11"/>
      <c r="AE155" s="11"/>
      <c r="AF155" s="11"/>
      <c r="AG155" s="11"/>
      <c r="AH155" s="11"/>
      <c r="AI155" s="12"/>
      <c r="AJ155" s="11"/>
      <c r="AK155" s="11"/>
      <c r="AL155" s="11"/>
      <c r="AM155" s="11"/>
      <c r="AN155" s="9"/>
      <c r="AO155" s="9"/>
      <c r="AP155" s="9"/>
      <c r="AQ155" s="9"/>
      <c r="AR155" s="9"/>
      <c r="AS155" s="9"/>
      <c r="AT155" s="9"/>
      <c r="AU155" s="9"/>
      <c r="AV155" s="9"/>
      <c r="AW155" s="9"/>
      <c r="AX155" s="13"/>
    </row>
    <row r="156" spans="1:50" s="14" customFormat="1" x14ac:dyDescent="0.25">
      <c r="A156" s="11"/>
      <c r="B156" s="11"/>
      <c r="C156" s="11"/>
      <c r="D156" s="9"/>
      <c r="E156" s="9"/>
      <c r="F156" s="9"/>
      <c r="G156" s="9"/>
      <c r="H156" s="10"/>
      <c r="I156" s="9"/>
      <c r="J156" s="9"/>
      <c r="K156" s="9"/>
      <c r="L156" s="9"/>
      <c r="M156" s="10"/>
      <c r="N156" s="9"/>
      <c r="O156" s="10"/>
      <c r="P156" s="11"/>
      <c r="Q156" s="11"/>
      <c r="R156" s="11"/>
      <c r="S156" s="11"/>
      <c r="T156" s="9"/>
      <c r="U156" s="9"/>
      <c r="V156" s="9"/>
      <c r="W156" s="9"/>
      <c r="X156" s="9"/>
      <c r="Y156" s="10"/>
      <c r="Z156" s="11"/>
      <c r="AA156" s="11"/>
      <c r="AB156" s="11"/>
      <c r="AC156" s="11"/>
      <c r="AD156" s="11"/>
      <c r="AE156" s="11"/>
      <c r="AF156" s="11"/>
      <c r="AG156" s="11"/>
      <c r="AH156" s="11"/>
      <c r="AI156" s="12"/>
      <c r="AJ156" s="11"/>
      <c r="AK156" s="11"/>
      <c r="AL156" s="11"/>
      <c r="AM156" s="11"/>
      <c r="AN156" s="9"/>
      <c r="AO156" s="9"/>
      <c r="AP156" s="9"/>
      <c r="AQ156" s="9"/>
      <c r="AR156" s="9"/>
      <c r="AS156" s="9"/>
      <c r="AT156" s="9"/>
      <c r="AU156" s="9"/>
      <c r="AV156" s="9"/>
      <c r="AW156" s="9"/>
      <c r="AX156" s="13"/>
    </row>
    <row r="157" spans="1:50" s="14" customFormat="1" x14ac:dyDescent="0.25">
      <c r="A157" s="11"/>
      <c r="B157" s="11"/>
      <c r="C157" s="11"/>
      <c r="D157" s="11"/>
      <c r="E157" s="11"/>
      <c r="F157" s="11"/>
      <c r="G157" s="11"/>
      <c r="H157" s="10"/>
      <c r="I157" s="11"/>
      <c r="J157" s="11"/>
      <c r="K157" s="11"/>
      <c r="L157" s="11"/>
      <c r="M157" s="10"/>
      <c r="N157" s="9"/>
      <c r="O157" s="10"/>
      <c r="P157" s="11"/>
      <c r="Q157" s="11"/>
      <c r="R157" s="11"/>
      <c r="S157" s="11"/>
      <c r="T157" s="9"/>
      <c r="U157" s="9"/>
      <c r="V157" s="9"/>
      <c r="W157" s="9"/>
      <c r="X157" s="9"/>
      <c r="Y157" s="10"/>
      <c r="Z157" s="11"/>
      <c r="AA157" s="11"/>
      <c r="AB157" s="11"/>
      <c r="AC157" s="11"/>
      <c r="AD157" s="9"/>
      <c r="AE157" s="9"/>
      <c r="AF157" s="9"/>
      <c r="AG157" s="9"/>
      <c r="AH157" s="11"/>
      <c r="AI157" s="10"/>
      <c r="AJ157" s="11"/>
      <c r="AK157" s="11"/>
      <c r="AL157" s="11"/>
      <c r="AM157" s="11"/>
      <c r="AN157" s="9"/>
      <c r="AO157" s="9"/>
      <c r="AP157" s="9"/>
      <c r="AQ157" s="9"/>
      <c r="AR157" s="9"/>
      <c r="AS157" s="9"/>
      <c r="AT157" s="9"/>
      <c r="AU157" s="9"/>
      <c r="AV157" s="9"/>
      <c r="AW157" s="9"/>
      <c r="AX157" s="13"/>
    </row>
    <row r="158" spans="1:50" s="14" customFormat="1" x14ac:dyDescent="0.25">
      <c r="A158" s="11"/>
      <c r="B158" s="11"/>
      <c r="C158" s="11"/>
      <c r="D158" s="9"/>
      <c r="E158" s="9"/>
      <c r="F158" s="9"/>
      <c r="G158" s="9"/>
      <c r="H158" s="10"/>
      <c r="I158" s="9"/>
      <c r="J158" s="9"/>
      <c r="K158" s="9"/>
      <c r="L158" s="9"/>
      <c r="M158" s="10"/>
      <c r="N158" s="9"/>
      <c r="O158" s="10"/>
      <c r="P158" s="11"/>
      <c r="Q158" s="11"/>
      <c r="R158" s="11"/>
      <c r="S158" s="11"/>
      <c r="T158" s="9"/>
      <c r="U158" s="9"/>
      <c r="V158" s="9"/>
      <c r="W158" s="9"/>
      <c r="X158" s="9"/>
      <c r="Y158" s="10"/>
      <c r="Z158" s="11"/>
      <c r="AA158" s="11"/>
      <c r="AB158" s="11"/>
      <c r="AC158" s="11"/>
      <c r="AD158" s="11"/>
      <c r="AE158" s="11"/>
      <c r="AF158" s="11"/>
      <c r="AG158" s="11"/>
      <c r="AH158" s="11"/>
      <c r="AI158" s="12"/>
      <c r="AJ158" s="11"/>
      <c r="AK158" s="11"/>
      <c r="AL158" s="11"/>
      <c r="AM158" s="11"/>
      <c r="AN158" s="9"/>
      <c r="AO158" s="9"/>
      <c r="AP158" s="9"/>
      <c r="AQ158" s="9"/>
      <c r="AR158" s="9"/>
      <c r="AS158" s="9"/>
      <c r="AT158" s="9"/>
      <c r="AU158" s="9"/>
      <c r="AV158" s="9"/>
      <c r="AW158" s="9"/>
      <c r="AX158" s="13"/>
    </row>
    <row r="159" spans="1:50" s="14" customFormat="1" x14ac:dyDescent="0.25">
      <c r="A159" s="11"/>
      <c r="B159" s="11"/>
      <c r="C159" s="11"/>
      <c r="D159" s="9"/>
      <c r="E159" s="9"/>
      <c r="F159" s="9"/>
      <c r="G159" s="9"/>
      <c r="H159" s="10"/>
      <c r="I159" s="9"/>
      <c r="J159" s="9"/>
      <c r="K159" s="9"/>
      <c r="L159" s="9"/>
      <c r="M159" s="10"/>
      <c r="N159" s="9"/>
      <c r="O159" s="10"/>
      <c r="P159" s="11"/>
      <c r="Q159" s="11"/>
      <c r="R159" s="11"/>
      <c r="S159" s="11"/>
      <c r="T159" s="9"/>
      <c r="U159" s="9"/>
      <c r="V159" s="9"/>
      <c r="W159" s="9"/>
      <c r="X159" s="9"/>
      <c r="Y159" s="10"/>
      <c r="Z159" s="11"/>
      <c r="AA159" s="11"/>
      <c r="AB159" s="11"/>
      <c r="AC159" s="11"/>
      <c r="AD159" s="11"/>
      <c r="AE159" s="11"/>
      <c r="AF159" s="11"/>
      <c r="AG159" s="11"/>
      <c r="AH159" s="11"/>
      <c r="AI159" s="12"/>
      <c r="AJ159" s="11"/>
      <c r="AK159" s="11"/>
      <c r="AL159" s="11"/>
      <c r="AM159" s="11"/>
      <c r="AN159" s="9"/>
      <c r="AO159" s="9"/>
      <c r="AP159" s="9"/>
      <c r="AQ159" s="9"/>
      <c r="AR159" s="9"/>
      <c r="AS159" s="9"/>
      <c r="AT159" s="9"/>
      <c r="AU159" s="9"/>
      <c r="AV159" s="9"/>
      <c r="AW159" s="9"/>
      <c r="AX159" s="13"/>
    </row>
    <row r="160" spans="1:50" s="14" customFormat="1" x14ac:dyDescent="0.25">
      <c r="A160" s="11"/>
      <c r="B160" s="11"/>
      <c r="C160" s="11"/>
      <c r="D160" s="11"/>
      <c r="E160" s="11"/>
      <c r="F160" s="11"/>
      <c r="G160" s="11"/>
      <c r="H160" s="10"/>
      <c r="I160" s="11"/>
      <c r="J160" s="11"/>
      <c r="K160" s="11"/>
      <c r="L160" s="11"/>
      <c r="M160" s="10"/>
      <c r="N160" s="9"/>
      <c r="O160" s="10"/>
      <c r="P160" s="11"/>
      <c r="Q160" s="11"/>
      <c r="R160" s="11"/>
      <c r="S160" s="11"/>
      <c r="T160" s="9"/>
      <c r="U160" s="9"/>
      <c r="V160" s="9"/>
      <c r="W160" s="9"/>
      <c r="X160" s="9"/>
      <c r="Y160" s="10"/>
      <c r="Z160" s="11"/>
      <c r="AA160" s="11"/>
      <c r="AB160" s="11"/>
      <c r="AC160" s="11"/>
      <c r="AD160" s="11"/>
      <c r="AE160" s="11"/>
      <c r="AF160" s="11"/>
      <c r="AG160" s="11"/>
      <c r="AH160" s="11"/>
      <c r="AI160" s="12"/>
      <c r="AJ160" s="11"/>
      <c r="AK160" s="11"/>
      <c r="AL160" s="11"/>
      <c r="AM160" s="11"/>
      <c r="AN160" s="9"/>
      <c r="AO160" s="9"/>
      <c r="AP160" s="9"/>
      <c r="AQ160" s="9"/>
      <c r="AR160" s="9"/>
      <c r="AS160" s="9"/>
      <c r="AT160" s="9"/>
      <c r="AU160" s="9"/>
      <c r="AV160" s="9"/>
      <c r="AW160" s="9"/>
      <c r="AX160" s="13"/>
    </row>
    <row r="161" spans="1:50" s="14" customFormat="1" x14ac:dyDescent="0.25">
      <c r="A161" s="11"/>
      <c r="B161" s="11"/>
      <c r="C161" s="11"/>
      <c r="D161" s="11"/>
      <c r="E161" s="11"/>
      <c r="F161" s="11"/>
      <c r="G161" s="11"/>
      <c r="H161" s="10"/>
      <c r="I161" s="11"/>
      <c r="J161" s="11"/>
      <c r="K161" s="11"/>
      <c r="L161" s="11"/>
      <c r="M161" s="10"/>
      <c r="N161" s="9"/>
      <c r="O161" s="10"/>
      <c r="P161" s="11"/>
      <c r="Q161" s="11"/>
      <c r="R161" s="11"/>
      <c r="S161" s="11"/>
      <c r="T161" s="9"/>
      <c r="U161" s="9"/>
      <c r="V161" s="9"/>
      <c r="W161" s="9"/>
      <c r="X161" s="9"/>
      <c r="Y161" s="10"/>
      <c r="Z161" s="11"/>
      <c r="AA161" s="11"/>
      <c r="AB161" s="11"/>
      <c r="AC161" s="11"/>
      <c r="AD161" s="11"/>
      <c r="AE161" s="11"/>
      <c r="AF161" s="11"/>
      <c r="AG161" s="11"/>
      <c r="AH161" s="11"/>
      <c r="AI161" s="12"/>
      <c r="AJ161" s="11"/>
      <c r="AK161" s="11"/>
      <c r="AL161" s="11"/>
      <c r="AM161" s="11"/>
      <c r="AN161" s="9"/>
      <c r="AO161" s="9"/>
      <c r="AP161" s="9"/>
      <c r="AQ161" s="9"/>
      <c r="AR161" s="9"/>
      <c r="AS161" s="9"/>
      <c r="AT161" s="9"/>
      <c r="AU161" s="9"/>
      <c r="AV161" s="9"/>
      <c r="AW161" s="9"/>
      <c r="AX161" s="13"/>
    </row>
    <row r="162" spans="1:50" s="14" customFormat="1" x14ac:dyDescent="0.25">
      <c r="A162" s="11"/>
      <c r="B162" s="11"/>
      <c r="C162" s="11"/>
      <c r="D162" s="11"/>
      <c r="E162" s="9"/>
      <c r="F162" s="9"/>
      <c r="G162" s="9"/>
      <c r="H162" s="10"/>
      <c r="I162" s="11"/>
      <c r="J162" s="9"/>
      <c r="K162" s="9"/>
      <c r="L162" s="9"/>
      <c r="M162" s="10"/>
      <c r="N162" s="9"/>
      <c r="O162" s="10"/>
      <c r="P162" s="11"/>
      <c r="Q162" s="11"/>
      <c r="R162" s="11"/>
      <c r="S162" s="11"/>
      <c r="T162" s="9"/>
      <c r="U162" s="9"/>
      <c r="V162" s="9"/>
      <c r="W162" s="9"/>
      <c r="X162" s="9"/>
      <c r="Y162" s="10"/>
      <c r="Z162" s="11"/>
      <c r="AA162" s="11"/>
      <c r="AB162" s="11"/>
      <c r="AC162" s="11"/>
      <c r="AD162" s="11"/>
      <c r="AE162" s="11"/>
      <c r="AF162" s="11"/>
      <c r="AG162" s="11"/>
      <c r="AH162" s="11"/>
      <c r="AI162" s="12"/>
      <c r="AJ162" s="11"/>
      <c r="AK162" s="11"/>
      <c r="AL162" s="11"/>
      <c r="AM162" s="11"/>
      <c r="AN162" s="9"/>
      <c r="AO162" s="9"/>
      <c r="AP162" s="9"/>
      <c r="AQ162" s="9"/>
      <c r="AR162" s="9"/>
      <c r="AS162" s="9"/>
      <c r="AT162" s="9"/>
      <c r="AU162" s="9"/>
      <c r="AV162" s="9"/>
      <c r="AW162" s="9"/>
      <c r="AX162" s="13"/>
    </row>
    <row r="163" spans="1:50" s="14" customFormat="1" x14ac:dyDescent="0.25">
      <c r="A163" s="11"/>
      <c r="B163" s="11"/>
      <c r="C163" s="11"/>
      <c r="D163" s="11"/>
      <c r="E163" s="11"/>
      <c r="F163" s="11"/>
      <c r="G163" s="11"/>
      <c r="H163" s="10"/>
      <c r="I163" s="11"/>
      <c r="J163" s="11"/>
      <c r="K163" s="11"/>
      <c r="L163" s="11"/>
      <c r="M163" s="10"/>
      <c r="N163" s="9"/>
      <c r="O163" s="10"/>
      <c r="P163" s="11"/>
      <c r="Q163" s="11"/>
      <c r="R163" s="11"/>
      <c r="S163" s="11"/>
      <c r="T163" s="9"/>
      <c r="U163" s="9"/>
      <c r="V163" s="9"/>
      <c r="W163" s="9"/>
      <c r="X163" s="9"/>
      <c r="Y163" s="10"/>
      <c r="Z163" s="11"/>
      <c r="AA163" s="11"/>
      <c r="AB163" s="11"/>
      <c r="AC163" s="11"/>
      <c r="AD163" s="11"/>
      <c r="AE163" s="11"/>
      <c r="AF163" s="11"/>
      <c r="AG163" s="11"/>
      <c r="AH163" s="11"/>
      <c r="AI163" s="12"/>
      <c r="AJ163" s="11"/>
      <c r="AK163" s="11"/>
      <c r="AL163" s="11"/>
      <c r="AM163" s="11"/>
      <c r="AN163" s="9"/>
      <c r="AO163" s="9"/>
      <c r="AP163" s="9"/>
      <c r="AQ163" s="9"/>
      <c r="AR163" s="9"/>
      <c r="AS163" s="9"/>
      <c r="AT163" s="9"/>
      <c r="AU163" s="9"/>
      <c r="AV163" s="9"/>
      <c r="AW163" s="9"/>
      <c r="AX163" s="13"/>
    </row>
    <row r="164" spans="1:50" s="14" customFormat="1" x14ac:dyDescent="0.25">
      <c r="A164" s="11"/>
      <c r="B164" s="11"/>
      <c r="C164" s="11"/>
      <c r="D164" s="11"/>
      <c r="E164" s="9"/>
      <c r="F164" s="9"/>
      <c r="G164" s="9"/>
      <c r="H164" s="10"/>
      <c r="I164" s="11"/>
      <c r="J164" s="9"/>
      <c r="K164" s="9"/>
      <c r="L164" s="9"/>
      <c r="M164" s="10"/>
      <c r="N164" s="9"/>
      <c r="O164" s="10"/>
      <c r="P164" s="11"/>
      <c r="Q164" s="11"/>
      <c r="R164" s="11"/>
      <c r="S164" s="11"/>
      <c r="T164" s="9"/>
      <c r="U164" s="9"/>
      <c r="V164" s="9"/>
      <c r="W164" s="9"/>
      <c r="X164" s="9"/>
      <c r="Y164" s="10"/>
      <c r="Z164" s="11"/>
      <c r="AA164" s="11"/>
      <c r="AB164" s="11"/>
      <c r="AC164" s="11"/>
      <c r="AD164" s="11"/>
      <c r="AE164" s="11"/>
      <c r="AF164" s="11"/>
      <c r="AG164" s="11"/>
      <c r="AH164" s="11"/>
      <c r="AI164" s="12"/>
      <c r="AJ164" s="11"/>
      <c r="AK164" s="11"/>
      <c r="AL164" s="11"/>
      <c r="AM164" s="11"/>
      <c r="AN164" s="9"/>
      <c r="AO164" s="9"/>
      <c r="AP164" s="9"/>
      <c r="AQ164" s="9"/>
      <c r="AR164" s="9"/>
      <c r="AS164" s="9"/>
      <c r="AT164" s="9"/>
      <c r="AU164" s="9"/>
      <c r="AV164" s="9"/>
      <c r="AW164" s="9"/>
      <c r="AX164" s="13"/>
    </row>
    <row r="165" spans="1:50" s="14" customFormat="1" x14ac:dyDescent="0.25">
      <c r="A165" s="11"/>
      <c r="B165" s="11"/>
      <c r="C165" s="11"/>
      <c r="D165" s="9"/>
      <c r="E165" s="9"/>
      <c r="F165" s="9"/>
      <c r="G165" s="9"/>
      <c r="H165" s="10"/>
      <c r="I165" s="9"/>
      <c r="J165" s="9"/>
      <c r="K165" s="9"/>
      <c r="L165" s="9"/>
      <c r="M165" s="10"/>
      <c r="N165" s="9"/>
      <c r="O165" s="10"/>
      <c r="P165" s="11"/>
      <c r="Q165" s="11"/>
      <c r="R165" s="11"/>
      <c r="S165" s="11"/>
      <c r="T165" s="9"/>
      <c r="U165" s="9"/>
      <c r="V165" s="9"/>
      <c r="W165" s="9"/>
      <c r="X165" s="9"/>
      <c r="Y165" s="10"/>
      <c r="Z165" s="11"/>
      <c r="AA165" s="11"/>
      <c r="AB165" s="11"/>
      <c r="AC165" s="11"/>
      <c r="AD165" s="11"/>
      <c r="AE165" s="11"/>
      <c r="AF165" s="11"/>
      <c r="AG165" s="11"/>
      <c r="AH165" s="11"/>
      <c r="AI165" s="12"/>
      <c r="AJ165" s="11"/>
      <c r="AK165" s="11"/>
      <c r="AL165" s="11"/>
      <c r="AM165" s="11"/>
      <c r="AN165" s="9"/>
      <c r="AO165" s="9"/>
      <c r="AP165" s="9"/>
      <c r="AQ165" s="9"/>
      <c r="AR165" s="9"/>
      <c r="AS165" s="9"/>
      <c r="AT165" s="9"/>
      <c r="AU165" s="9"/>
      <c r="AV165" s="9"/>
      <c r="AW165" s="9"/>
      <c r="AX165" s="13"/>
    </row>
    <row r="166" spans="1:50" s="14" customFormat="1" x14ac:dyDescent="0.25">
      <c r="A166" s="11"/>
      <c r="B166" s="11"/>
      <c r="C166" s="11"/>
      <c r="D166" s="11"/>
      <c r="E166" s="9"/>
      <c r="F166" s="9"/>
      <c r="G166" s="9"/>
      <c r="H166" s="10"/>
      <c r="I166" s="11"/>
      <c r="J166" s="9"/>
      <c r="K166" s="9"/>
      <c r="L166" s="9"/>
      <c r="M166" s="10"/>
      <c r="N166" s="9"/>
      <c r="O166" s="10"/>
      <c r="P166" s="11"/>
      <c r="Q166" s="11"/>
      <c r="R166" s="11"/>
      <c r="S166" s="11"/>
      <c r="T166" s="9"/>
      <c r="U166" s="9"/>
      <c r="V166" s="9"/>
      <c r="W166" s="9"/>
      <c r="X166" s="9"/>
      <c r="Y166" s="10"/>
      <c r="Z166" s="11"/>
      <c r="AA166" s="11"/>
      <c r="AB166" s="11"/>
      <c r="AC166" s="11"/>
      <c r="AD166" s="11"/>
      <c r="AE166" s="11"/>
      <c r="AF166" s="11"/>
      <c r="AG166" s="11"/>
      <c r="AH166" s="11"/>
      <c r="AI166" s="12"/>
      <c r="AJ166" s="11"/>
      <c r="AK166" s="11"/>
      <c r="AL166" s="11"/>
      <c r="AM166" s="11"/>
      <c r="AN166" s="9"/>
      <c r="AO166" s="9"/>
      <c r="AP166" s="9"/>
      <c r="AQ166" s="9"/>
      <c r="AR166" s="9"/>
      <c r="AS166" s="9"/>
      <c r="AT166" s="9"/>
      <c r="AU166" s="9"/>
      <c r="AV166" s="9"/>
      <c r="AW166" s="9"/>
      <c r="AX166" s="13"/>
    </row>
    <row r="167" spans="1:50" s="14" customFormat="1" x14ac:dyDescent="0.25">
      <c r="A167" s="11"/>
      <c r="B167" s="11"/>
      <c r="C167" s="11"/>
      <c r="D167" s="11"/>
      <c r="E167" s="9"/>
      <c r="F167" s="9"/>
      <c r="G167" s="9"/>
      <c r="H167" s="10"/>
      <c r="I167" s="11"/>
      <c r="J167" s="9"/>
      <c r="K167" s="9"/>
      <c r="L167" s="9"/>
      <c r="M167" s="10"/>
      <c r="N167" s="9"/>
      <c r="O167" s="10"/>
      <c r="P167" s="11"/>
      <c r="Q167" s="11"/>
      <c r="R167" s="11"/>
      <c r="S167" s="11"/>
      <c r="T167" s="9"/>
      <c r="U167" s="9"/>
      <c r="V167" s="9"/>
      <c r="W167" s="9"/>
      <c r="X167" s="9"/>
      <c r="Y167" s="10"/>
      <c r="Z167" s="11"/>
      <c r="AA167" s="11"/>
      <c r="AB167" s="11"/>
      <c r="AC167" s="11"/>
      <c r="AD167" s="11"/>
      <c r="AE167" s="11"/>
      <c r="AF167" s="11"/>
      <c r="AG167" s="11"/>
      <c r="AH167" s="11"/>
      <c r="AI167" s="12"/>
      <c r="AJ167" s="11"/>
      <c r="AK167" s="11"/>
      <c r="AL167" s="11"/>
      <c r="AM167" s="11"/>
      <c r="AN167" s="9"/>
      <c r="AO167" s="9"/>
      <c r="AP167" s="9"/>
      <c r="AQ167" s="9"/>
      <c r="AR167" s="9"/>
      <c r="AS167" s="9"/>
      <c r="AT167" s="9"/>
      <c r="AU167" s="9"/>
      <c r="AV167" s="9"/>
      <c r="AW167" s="9"/>
      <c r="AX167" s="13"/>
    </row>
    <row r="168" spans="1:50" s="14" customFormat="1" x14ac:dyDescent="0.25">
      <c r="A168" s="11"/>
      <c r="B168" s="11"/>
      <c r="C168" s="11"/>
      <c r="D168" s="11"/>
      <c r="E168" s="9"/>
      <c r="F168" s="9"/>
      <c r="G168" s="9"/>
      <c r="H168" s="10"/>
      <c r="I168" s="11"/>
      <c r="J168" s="9"/>
      <c r="K168" s="9"/>
      <c r="L168" s="9"/>
      <c r="M168" s="10"/>
      <c r="N168" s="9"/>
      <c r="O168" s="10"/>
      <c r="P168" s="11"/>
      <c r="Q168" s="11"/>
      <c r="R168" s="11"/>
      <c r="S168" s="11"/>
      <c r="T168" s="9"/>
      <c r="U168" s="9"/>
      <c r="V168" s="9"/>
      <c r="W168" s="9"/>
      <c r="X168" s="9"/>
      <c r="Y168" s="10"/>
      <c r="Z168" s="11"/>
      <c r="AA168" s="11"/>
      <c r="AB168" s="11"/>
      <c r="AC168" s="11"/>
      <c r="AD168" s="11"/>
      <c r="AE168" s="11"/>
      <c r="AF168" s="11"/>
      <c r="AG168" s="11"/>
      <c r="AH168" s="11"/>
      <c r="AI168" s="12"/>
      <c r="AJ168" s="11"/>
      <c r="AK168" s="11"/>
      <c r="AL168" s="11"/>
      <c r="AM168" s="11"/>
      <c r="AN168" s="9"/>
      <c r="AO168" s="9"/>
      <c r="AP168" s="9"/>
      <c r="AQ168" s="9"/>
      <c r="AR168" s="9"/>
      <c r="AS168" s="9"/>
      <c r="AT168" s="9"/>
      <c r="AU168" s="9"/>
      <c r="AV168" s="9"/>
      <c r="AW168" s="9"/>
      <c r="AX168" s="13"/>
    </row>
    <row r="169" spans="1:50" s="14" customFormat="1" x14ac:dyDescent="0.25">
      <c r="A169" s="11"/>
      <c r="B169" s="11"/>
      <c r="C169" s="11"/>
      <c r="D169" s="11"/>
      <c r="E169" s="11"/>
      <c r="F169" s="11"/>
      <c r="G169" s="11"/>
      <c r="H169" s="10"/>
      <c r="I169" s="11"/>
      <c r="J169" s="11"/>
      <c r="K169" s="11"/>
      <c r="L169" s="11"/>
      <c r="M169" s="10"/>
      <c r="N169" s="9"/>
      <c r="O169" s="10"/>
      <c r="P169" s="11"/>
      <c r="Q169" s="11"/>
      <c r="R169" s="11"/>
      <c r="S169" s="11"/>
      <c r="T169" s="9"/>
      <c r="U169" s="9"/>
      <c r="V169" s="9"/>
      <c r="W169" s="9"/>
      <c r="X169" s="9"/>
      <c r="Y169" s="10"/>
      <c r="Z169" s="11"/>
      <c r="AA169" s="11"/>
      <c r="AB169" s="11"/>
      <c r="AC169" s="11"/>
      <c r="AD169" s="11"/>
      <c r="AE169" s="11"/>
      <c r="AF169" s="11"/>
      <c r="AG169" s="11"/>
      <c r="AH169" s="11"/>
      <c r="AI169" s="12"/>
      <c r="AJ169" s="11"/>
      <c r="AK169" s="11"/>
      <c r="AL169" s="11"/>
      <c r="AM169" s="11"/>
      <c r="AN169" s="9"/>
      <c r="AO169" s="9"/>
      <c r="AP169" s="9"/>
      <c r="AQ169" s="9"/>
      <c r="AR169" s="9"/>
      <c r="AS169" s="9"/>
      <c r="AT169" s="9"/>
      <c r="AU169" s="9"/>
      <c r="AV169" s="9"/>
      <c r="AW169" s="9"/>
      <c r="AX169" s="13"/>
    </row>
    <row r="170" spans="1:50" s="14" customFormat="1" x14ac:dyDescent="0.25">
      <c r="A170" s="11"/>
      <c r="B170" s="11"/>
      <c r="C170" s="11"/>
      <c r="D170" s="11"/>
      <c r="E170" s="11"/>
      <c r="F170" s="11"/>
      <c r="G170" s="11"/>
      <c r="H170" s="10"/>
      <c r="I170" s="11"/>
      <c r="J170" s="11"/>
      <c r="K170" s="11"/>
      <c r="L170" s="11"/>
      <c r="M170" s="10"/>
      <c r="N170" s="9"/>
      <c r="O170" s="10"/>
      <c r="P170" s="11"/>
      <c r="Q170" s="11"/>
      <c r="R170" s="11"/>
      <c r="S170" s="11"/>
      <c r="T170" s="9"/>
      <c r="U170" s="9"/>
      <c r="V170" s="9"/>
      <c r="W170" s="9"/>
      <c r="X170" s="9"/>
      <c r="Y170" s="10"/>
      <c r="Z170" s="11"/>
      <c r="AA170" s="11"/>
      <c r="AB170" s="11"/>
      <c r="AC170" s="11"/>
      <c r="AD170" s="11"/>
      <c r="AE170" s="11"/>
      <c r="AF170" s="11"/>
      <c r="AG170" s="11"/>
      <c r="AH170" s="11"/>
      <c r="AI170" s="12"/>
      <c r="AJ170" s="11"/>
      <c r="AK170" s="11"/>
      <c r="AL170" s="11"/>
      <c r="AM170" s="11"/>
      <c r="AN170" s="9"/>
      <c r="AO170" s="9"/>
      <c r="AP170" s="9"/>
      <c r="AQ170" s="9"/>
      <c r="AR170" s="9"/>
      <c r="AS170" s="9"/>
      <c r="AT170" s="9"/>
      <c r="AU170" s="9"/>
      <c r="AV170" s="9"/>
      <c r="AW170" s="9"/>
      <c r="AX170" s="13"/>
    </row>
    <row r="171" spans="1:50" s="14" customFormat="1" x14ac:dyDescent="0.25">
      <c r="A171" s="11"/>
      <c r="B171" s="11"/>
      <c r="C171" s="11"/>
      <c r="D171" s="11"/>
      <c r="E171" s="11"/>
      <c r="F171" s="11"/>
      <c r="G171" s="11"/>
      <c r="H171" s="10"/>
      <c r="I171" s="11"/>
      <c r="J171" s="11"/>
      <c r="K171" s="11"/>
      <c r="L171" s="11"/>
      <c r="M171" s="10"/>
      <c r="N171" s="9"/>
      <c r="O171" s="10"/>
      <c r="P171" s="11"/>
      <c r="Q171" s="11"/>
      <c r="R171" s="11"/>
      <c r="S171" s="11"/>
      <c r="T171" s="9"/>
      <c r="U171" s="9"/>
      <c r="V171" s="9"/>
      <c r="W171" s="9"/>
      <c r="X171" s="9"/>
      <c r="Y171" s="10"/>
      <c r="Z171" s="11"/>
      <c r="AA171" s="11"/>
      <c r="AB171" s="11"/>
      <c r="AC171" s="11"/>
      <c r="AD171" s="11"/>
      <c r="AE171" s="11"/>
      <c r="AF171" s="11"/>
      <c r="AG171" s="11"/>
      <c r="AH171" s="11"/>
      <c r="AI171" s="12"/>
      <c r="AJ171" s="11"/>
      <c r="AK171" s="11"/>
      <c r="AL171" s="11"/>
      <c r="AM171" s="11"/>
      <c r="AN171" s="9"/>
      <c r="AO171" s="9"/>
      <c r="AP171" s="9"/>
      <c r="AQ171" s="9"/>
      <c r="AR171" s="9"/>
      <c r="AS171" s="9"/>
      <c r="AT171" s="9"/>
      <c r="AU171" s="9"/>
      <c r="AV171" s="9"/>
      <c r="AW171" s="9"/>
      <c r="AX171" s="13"/>
    </row>
    <row r="172" spans="1:50" s="14" customFormat="1" x14ac:dyDescent="0.25">
      <c r="A172" s="11"/>
      <c r="B172" s="11"/>
      <c r="C172" s="11"/>
      <c r="D172" s="11"/>
      <c r="E172" s="11"/>
      <c r="F172" s="11"/>
      <c r="G172" s="11"/>
      <c r="H172" s="10"/>
      <c r="I172" s="11"/>
      <c r="J172" s="11"/>
      <c r="K172" s="11"/>
      <c r="L172" s="11"/>
      <c r="M172" s="10"/>
      <c r="N172" s="9"/>
      <c r="O172" s="10"/>
      <c r="P172" s="11"/>
      <c r="Q172" s="11"/>
      <c r="R172" s="11"/>
      <c r="S172" s="11"/>
      <c r="T172" s="9"/>
      <c r="U172" s="9"/>
      <c r="V172" s="9"/>
      <c r="W172" s="9"/>
      <c r="X172" s="9"/>
      <c r="Y172" s="10"/>
      <c r="Z172" s="11"/>
      <c r="AA172" s="11"/>
      <c r="AB172" s="11"/>
      <c r="AC172" s="11"/>
      <c r="AD172" s="11"/>
      <c r="AE172" s="11"/>
      <c r="AF172" s="11"/>
      <c r="AG172" s="11"/>
      <c r="AH172" s="11"/>
      <c r="AI172" s="12"/>
      <c r="AJ172" s="11"/>
      <c r="AK172" s="11"/>
      <c r="AL172" s="11"/>
      <c r="AM172" s="11"/>
      <c r="AN172" s="9"/>
      <c r="AO172" s="9"/>
      <c r="AP172" s="9"/>
      <c r="AQ172" s="9"/>
      <c r="AR172" s="9"/>
      <c r="AS172" s="9"/>
      <c r="AT172" s="9"/>
      <c r="AU172" s="9"/>
      <c r="AV172" s="9"/>
      <c r="AW172" s="9"/>
      <c r="AX172" s="13"/>
    </row>
    <row r="173" spans="1:50" s="14" customFormat="1" x14ac:dyDescent="0.25">
      <c r="A173" s="11"/>
      <c r="B173" s="11"/>
      <c r="C173" s="11"/>
      <c r="D173" s="11"/>
      <c r="E173" s="9"/>
      <c r="F173" s="9"/>
      <c r="G173" s="9"/>
      <c r="H173" s="10"/>
      <c r="I173" s="11"/>
      <c r="J173" s="9"/>
      <c r="K173" s="9"/>
      <c r="L173" s="9"/>
      <c r="M173" s="10"/>
      <c r="N173" s="9"/>
      <c r="O173" s="10"/>
      <c r="P173" s="11"/>
      <c r="Q173" s="11"/>
      <c r="R173" s="11"/>
      <c r="S173" s="11"/>
      <c r="T173" s="9"/>
      <c r="U173" s="9"/>
      <c r="V173" s="9"/>
      <c r="W173" s="9"/>
      <c r="X173" s="9"/>
      <c r="Y173" s="10"/>
      <c r="Z173" s="11"/>
      <c r="AA173" s="11"/>
      <c r="AB173" s="11"/>
      <c r="AC173" s="11"/>
      <c r="AD173" s="11"/>
      <c r="AE173" s="11"/>
      <c r="AF173" s="11"/>
      <c r="AG173" s="11"/>
      <c r="AH173" s="11"/>
      <c r="AI173" s="12"/>
      <c r="AJ173" s="11"/>
      <c r="AK173" s="11"/>
      <c r="AL173" s="11"/>
      <c r="AM173" s="11"/>
      <c r="AN173" s="9"/>
      <c r="AO173" s="9"/>
      <c r="AP173" s="9"/>
      <c r="AQ173" s="9"/>
      <c r="AR173" s="9"/>
      <c r="AS173" s="9"/>
      <c r="AT173" s="9"/>
      <c r="AU173" s="9"/>
      <c r="AV173" s="9"/>
      <c r="AW173" s="9"/>
      <c r="AX173" s="13"/>
    </row>
    <row r="174" spans="1:50" s="14" customFormat="1" x14ac:dyDescent="0.25">
      <c r="A174" s="11"/>
      <c r="B174" s="11"/>
      <c r="C174" s="11"/>
      <c r="D174" s="11"/>
      <c r="E174" s="9"/>
      <c r="F174" s="9"/>
      <c r="G174" s="9"/>
      <c r="H174" s="10"/>
      <c r="I174" s="11"/>
      <c r="J174" s="9"/>
      <c r="K174" s="9"/>
      <c r="L174" s="9"/>
      <c r="M174" s="10"/>
      <c r="N174" s="9"/>
      <c r="O174" s="10"/>
      <c r="P174" s="11"/>
      <c r="Q174" s="11"/>
      <c r="R174" s="11"/>
      <c r="S174" s="11"/>
      <c r="T174" s="9"/>
      <c r="U174" s="9"/>
      <c r="V174" s="9"/>
      <c r="W174" s="9"/>
      <c r="X174" s="9"/>
      <c r="Y174" s="10"/>
      <c r="Z174" s="11"/>
      <c r="AA174" s="11"/>
      <c r="AB174" s="11"/>
      <c r="AC174" s="11"/>
      <c r="AD174" s="11"/>
      <c r="AE174" s="11"/>
      <c r="AF174" s="11"/>
      <c r="AG174" s="11"/>
      <c r="AH174" s="11"/>
      <c r="AI174" s="12"/>
      <c r="AJ174" s="11"/>
      <c r="AK174" s="11"/>
      <c r="AL174" s="11"/>
      <c r="AM174" s="11"/>
      <c r="AN174" s="9"/>
      <c r="AO174" s="9"/>
      <c r="AP174" s="9"/>
      <c r="AQ174" s="9"/>
      <c r="AR174" s="9"/>
      <c r="AS174" s="9"/>
      <c r="AT174" s="9"/>
      <c r="AU174" s="9"/>
      <c r="AV174" s="9"/>
      <c r="AW174" s="9"/>
      <c r="AX174" s="13"/>
    </row>
    <row r="175" spans="1:50" s="14" customFormat="1" x14ac:dyDescent="0.25">
      <c r="A175" s="11"/>
      <c r="B175" s="11"/>
      <c r="C175" s="11"/>
      <c r="D175" s="11"/>
      <c r="E175" s="9"/>
      <c r="F175" s="9"/>
      <c r="G175" s="9"/>
      <c r="H175" s="10"/>
      <c r="I175" s="11"/>
      <c r="J175" s="9"/>
      <c r="K175" s="9"/>
      <c r="L175" s="9"/>
      <c r="M175" s="10"/>
      <c r="N175" s="9"/>
      <c r="O175" s="10"/>
      <c r="P175" s="11"/>
      <c r="Q175" s="11"/>
      <c r="R175" s="11"/>
      <c r="S175" s="11"/>
      <c r="T175" s="9"/>
      <c r="U175" s="9"/>
      <c r="V175" s="9"/>
      <c r="W175" s="9"/>
      <c r="X175" s="9"/>
      <c r="Y175" s="10"/>
      <c r="Z175" s="11"/>
      <c r="AA175" s="11"/>
      <c r="AB175" s="11"/>
      <c r="AC175" s="11"/>
      <c r="AD175" s="9"/>
      <c r="AE175" s="9"/>
      <c r="AF175" s="9"/>
      <c r="AG175" s="9"/>
      <c r="AH175" s="11"/>
      <c r="AI175" s="10"/>
      <c r="AJ175" s="11"/>
      <c r="AK175" s="11"/>
      <c r="AL175" s="11"/>
      <c r="AM175" s="11"/>
      <c r="AN175" s="9"/>
      <c r="AO175" s="9"/>
      <c r="AP175" s="9"/>
      <c r="AQ175" s="9"/>
      <c r="AR175" s="9"/>
      <c r="AS175" s="9"/>
      <c r="AT175" s="9"/>
      <c r="AU175" s="9"/>
      <c r="AV175" s="9"/>
      <c r="AW175" s="9"/>
      <c r="AX175" s="13"/>
    </row>
    <row r="176" spans="1:50" s="14" customFormat="1" x14ac:dyDescent="0.25">
      <c r="A176" s="11"/>
      <c r="B176" s="11"/>
      <c r="C176" s="11"/>
      <c r="D176" s="11"/>
      <c r="E176" s="11"/>
      <c r="F176" s="11"/>
      <c r="G176" s="11"/>
      <c r="H176" s="10"/>
      <c r="I176" s="11"/>
      <c r="J176" s="11"/>
      <c r="K176" s="11"/>
      <c r="L176" s="11"/>
      <c r="M176" s="10"/>
      <c r="N176" s="9"/>
      <c r="O176" s="10"/>
      <c r="P176" s="11"/>
      <c r="Q176" s="11"/>
      <c r="R176" s="11"/>
      <c r="S176" s="11"/>
      <c r="T176" s="9"/>
      <c r="U176" s="9"/>
      <c r="V176" s="9"/>
      <c r="W176" s="9"/>
      <c r="X176" s="9"/>
      <c r="Y176" s="10"/>
      <c r="Z176" s="11"/>
      <c r="AA176" s="11"/>
      <c r="AB176" s="11"/>
      <c r="AC176" s="11"/>
      <c r="AD176" s="11"/>
      <c r="AE176" s="11"/>
      <c r="AF176" s="11"/>
      <c r="AG176" s="11"/>
      <c r="AH176" s="11"/>
      <c r="AI176" s="12"/>
      <c r="AJ176" s="11"/>
      <c r="AK176" s="11"/>
      <c r="AL176" s="11"/>
      <c r="AM176" s="11"/>
      <c r="AN176" s="9"/>
      <c r="AO176" s="9"/>
      <c r="AP176" s="9"/>
      <c r="AQ176" s="9"/>
      <c r="AR176" s="9"/>
      <c r="AS176" s="9"/>
      <c r="AT176" s="9"/>
      <c r="AU176" s="9"/>
      <c r="AV176" s="9"/>
      <c r="AW176" s="9"/>
      <c r="AX176" s="13"/>
    </row>
    <row r="177" spans="1:50" s="14" customFormat="1" x14ac:dyDescent="0.25">
      <c r="A177" s="11"/>
      <c r="B177" s="11"/>
      <c r="C177" s="11"/>
      <c r="D177" s="11"/>
      <c r="E177" s="9"/>
      <c r="F177" s="9"/>
      <c r="G177" s="9"/>
      <c r="H177" s="10"/>
      <c r="I177" s="11"/>
      <c r="J177" s="9"/>
      <c r="K177" s="9"/>
      <c r="L177" s="9"/>
      <c r="M177" s="10"/>
      <c r="N177" s="9"/>
      <c r="O177" s="10"/>
      <c r="P177" s="11"/>
      <c r="Q177" s="11"/>
      <c r="R177" s="11"/>
      <c r="S177" s="11"/>
      <c r="T177" s="9"/>
      <c r="U177" s="9"/>
      <c r="V177" s="9"/>
      <c r="W177" s="9"/>
      <c r="X177" s="9"/>
      <c r="Y177" s="10"/>
      <c r="Z177" s="11"/>
      <c r="AA177" s="11"/>
      <c r="AB177" s="11"/>
      <c r="AC177" s="11"/>
      <c r="AD177" s="11"/>
      <c r="AE177" s="11"/>
      <c r="AF177" s="11"/>
      <c r="AG177" s="11"/>
      <c r="AH177" s="11"/>
      <c r="AI177" s="12"/>
      <c r="AJ177" s="11"/>
      <c r="AK177" s="11"/>
      <c r="AL177" s="11"/>
      <c r="AM177" s="11"/>
      <c r="AN177" s="9"/>
      <c r="AO177" s="9"/>
      <c r="AP177" s="9"/>
      <c r="AQ177" s="9"/>
      <c r="AR177" s="9"/>
      <c r="AS177" s="9"/>
      <c r="AT177" s="9"/>
      <c r="AU177" s="9"/>
      <c r="AV177" s="9"/>
      <c r="AW177" s="9"/>
      <c r="AX177" s="13"/>
    </row>
    <row r="178" spans="1:50" s="14" customFormat="1" x14ac:dyDescent="0.25">
      <c r="A178" s="11"/>
      <c r="B178" s="11"/>
      <c r="C178" s="11"/>
      <c r="D178" s="11"/>
      <c r="E178" s="11"/>
      <c r="F178" s="11"/>
      <c r="G178" s="11"/>
      <c r="H178" s="10"/>
      <c r="I178" s="11"/>
      <c r="J178" s="11"/>
      <c r="K178" s="11"/>
      <c r="L178" s="11"/>
      <c r="M178" s="10"/>
      <c r="N178" s="9"/>
      <c r="O178" s="10"/>
      <c r="P178" s="11"/>
      <c r="Q178" s="11"/>
      <c r="R178" s="11"/>
      <c r="S178" s="11"/>
      <c r="T178" s="9"/>
      <c r="U178" s="9"/>
      <c r="V178" s="9"/>
      <c r="W178" s="9"/>
      <c r="X178" s="9"/>
      <c r="Y178" s="10"/>
      <c r="Z178" s="11"/>
      <c r="AA178" s="11"/>
      <c r="AB178" s="11"/>
      <c r="AC178" s="11"/>
      <c r="AD178" s="11"/>
      <c r="AE178" s="11"/>
      <c r="AF178" s="11"/>
      <c r="AG178" s="11"/>
      <c r="AH178" s="11"/>
      <c r="AI178" s="12"/>
      <c r="AJ178" s="11"/>
      <c r="AK178" s="11"/>
      <c r="AL178" s="11"/>
      <c r="AM178" s="11"/>
      <c r="AN178" s="9"/>
      <c r="AO178" s="9"/>
      <c r="AP178" s="9"/>
      <c r="AQ178" s="9"/>
      <c r="AR178" s="9"/>
      <c r="AS178" s="9"/>
      <c r="AT178" s="9"/>
      <c r="AU178" s="9"/>
      <c r="AV178" s="9"/>
      <c r="AW178" s="9"/>
      <c r="AX178" s="13"/>
    </row>
    <row r="179" spans="1:50" s="14" customFormat="1" x14ac:dyDescent="0.25">
      <c r="A179" s="11"/>
      <c r="B179" s="11"/>
      <c r="C179" s="11"/>
      <c r="D179" s="11"/>
      <c r="E179" s="9"/>
      <c r="F179" s="9"/>
      <c r="G179" s="9"/>
      <c r="H179" s="10"/>
      <c r="I179" s="11"/>
      <c r="J179" s="9"/>
      <c r="K179" s="9"/>
      <c r="L179" s="9"/>
      <c r="M179" s="10"/>
      <c r="N179" s="9"/>
      <c r="O179" s="10"/>
      <c r="P179" s="11"/>
      <c r="Q179" s="11"/>
      <c r="R179" s="11"/>
      <c r="S179" s="11"/>
      <c r="T179" s="9"/>
      <c r="U179" s="9"/>
      <c r="V179" s="9"/>
      <c r="W179" s="9"/>
      <c r="X179" s="9"/>
      <c r="Y179" s="10"/>
      <c r="Z179" s="11"/>
      <c r="AA179" s="11"/>
      <c r="AB179" s="11"/>
      <c r="AC179" s="11"/>
      <c r="AD179" s="11"/>
      <c r="AE179" s="11"/>
      <c r="AF179" s="11"/>
      <c r="AG179" s="11"/>
      <c r="AH179" s="11"/>
      <c r="AI179" s="12"/>
      <c r="AJ179" s="11"/>
      <c r="AK179" s="11"/>
      <c r="AL179" s="11"/>
      <c r="AM179" s="11"/>
      <c r="AN179" s="9"/>
      <c r="AO179" s="9"/>
      <c r="AP179" s="9"/>
      <c r="AQ179" s="9"/>
      <c r="AR179" s="9"/>
      <c r="AS179" s="9"/>
      <c r="AT179" s="9"/>
      <c r="AU179" s="9"/>
      <c r="AV179" s="9"/>
      <c r="AW179" s="9"/>
      <c r="AX179" s="13"/>
    </row>
    <row r="180" spans="1:50" s="14" customFormat="1" x14ac:dyDescent="0.25">
      <c r="A180" s="11"/>
      <c r="B180" s="11"/>
      <c r="C180" s="11"/>
      <c r="D180" s="11"/>
      <c r="E180" s="11"/>
      <c r="F180" s="11"/>
      <c r="G180" s="11"/>
      <c r="H180" s="10"/>
      <c r="I180" s="11"/>
      <c r="J180" s="11"/>
      <c r="K180" s="11"/>
      <c r="L180" s="11"/>
      <c r="M180" s="10"/>
      <c r="N180" s="9"/>
      <c r="O180" s="10"/>
      <c r="P180" s="11"/>
      <c r="Q180" s="11"/>
      <c r="R180" s="11"/>
      <c r="S180" s="11"/>
      <c r="T180" s="9"/>
      <c r="U180" s="9"/>
      <c r="V180" s="9"/>
      <c r="W180" s="9"/>
      <c r="X180" s="9"/>
      <c r="Y180" s="10"/>
      <c r="Z180" s="11"/>
      <c r="AA180" s="11"/>
      <c r="AB180" s="11"/>
      <c r="AC180" s="11"/>
      <c r="AD180" s="9"/>
      <c r="AE180" s="9"/>
      <c r="AF180" s="9"/>
      <c r="AG180" s="9"/>
      <c r="AH180" s="11"/>
      <c r="AI180" s="12"/>
      <c r="AJ180" s="11"/>
      <c r="AK180" s="11"/>
      <c r="AL180" s="11"/>
      <c r="AM180" s="11"/>
      <c r="AN180" s="9"/>
      <c r="AO180" s="9"/>
      <c r="AP180" s="9"/>
      <c r="AQ180" s="9"/>
      <c r="AR180" s="9"/>
      <c r="AS180" s="9"/>
      <c r="AT180" s="9"/>
      <c r="AU180" s="9"/>
      <c r="AV180" s="9"/>
      <c r="AW180" s="9"/>
      <c r="AX180" s="13"/>
    </row>
    <row r="181" spans="1:50" s="14" customFormat="1" x14ac:dyDescent="0.25">
      <c r="A181" s="11"/>
      <c r="B181" s="11"/>
      <c r="C181" s="11"/>
      <c r="D181" s="11"/>
      <c r="E181" s="9"/>
      <c r="F181" s="9"/>
      <c r="G181" s="9"/>
      <c r="H181" s="10"/>
      <c r="I181" s="11"/>
      <c r="J181" s="9"/>
      <c r="K181" s="9"/>
      <c r="L181" s="9"/>
      <c r="M181" s="10"/>
      <c r="N181" s="9"/>
      <c r="O181" s="10"/>
      <c r="P181" s="11"/>
      <c r="Q181" s="11"/>
      <c r="R181" s="11"/>
      <c r="S181" s="11"/>
      <c r="T181" s="9"/>
      <c r="U181" s="9"/>
      <c r="V181" s="9"/>
      <c r="W181" s="9"/>
      <c r="X181" s="9"/>
      <c r="Y181" s="10"/>
      <c r="Z181" s="11"/>
      <c r="AA181" s="11"/>
      <c r="AB181" s="11"/>
      <c r="AC181" s="11"/>
      <c r="AD181" s="11"/>
      <c r="AE181" s="11"/>
      <c r="AF181" s="11"/>
      <c r="AG181" s="11"/>
      <c r="AH181" s="11"/>
      <c r="AI181" s="12"/>
      <c r="AJ181" s="11"/>
      <c r="AK181" s="11"/>
      <c r="AL181" s="11"/>
      <c r="AM181" s="11"/>
      <c r="AN181" s="9"/>
      <c r="AO181" s="9"/>
      <c r="AP181" s="9"/>
      <c r="AQ181" s="9"/>
      <c r="AR181" s="9"/>
      <c r="AS181" s="9"/>
      <c r="AT181" s="9"/>
      <c r="AU181" s="9"/>
      <c r="AV181" s="9"/>
      <c r="AW181" s="9"/>
      <c r="AX181" s="13"/>
    </row>
    <row r="182" spans="1:50" s="14" customFormat="1" x14ac:dyDescent="0.25">
      <c r="A182" s="11"/>
      <c r="B182" s="11"/>
      <c r="C182" s="11"/>
      <c r="D182" s="9"/>
      <c r="E182" s="9"/>
      <c r="F182" s="9"/>
      <c r="G182" s="9"/>
      <c r="H182" s="10"/>
      <c r="I182" s="9"/>
      <c r="J182" s="9"/>
      <c r="K182" s="9"/>
      <c r="L182" s="9"/>
      <c r="M182" s="10"/>
      <c r="N182" s="9"/>
      <c r="O182" s="10"/>
      <c r="P182" s="11"/>
      <c r="Q182" s="11"/>
      <c r="R182" s="11"/>
      <c r="S182" s="11"/>
      <c r="T182" s="9"/>
      <c r="U182" s="9"/>
      <c r="V182" s="9"/>
      <c r="W182" s="9"/>
      <c r="X182" s="9"/>
      <c r="Y182" s="10"/>
      <c r="Z182" s="11"/>
      <c r="AA182" s="11"/>
      <c r="AB182" s="11"/>
      <c r="AC182" s="11"/>
      <c r="AD182" s="11"/>
      <c r="AE182" s="11"/>
      <c r="AF182" s="11"/>
      <c r="AG182" s="11"/>
      <c r="AH182" s="11"/>
      <c r="AI182" s="12"/>
      <c r="AJ182" s="11"/>
      <c r="AK182" s="11"/>
      <c r="AL182" s="11"/>
      <c r="AM182" s="11"/>
      <c r="AN182" s="9"/>
      <c r="AO182" s="9"/>
      <c r="AP182" s="9"/>
      <c r="AQ182" s="9"/>
      <c r="AR182" s="9"/>
      <c r="AS182" s="9"/>
      <c r="AT182" s="9"/>
      <c r="AU182" s="9"/>
      <c r="AV182" s="9"/>
      <c r="AW182" s="9"/>
      <c r="AX182" s="13"/>
    </row>
    <row r="183" spans="1:50" s="14" customFormat="1" x14ac:dyDescent="0.25">
      <c r="A183" s="11"/>
      <c r="B183" s="11"/>
      <c r="C183" s="11"/>
      <c r="D183" s="11"/>
      <c r="E183" s="9"/>
      <c r="F183" s="9"/>
      <c r="G183" s="9"/>
      <c r="H183" s="10"/>
      <c r="I183" s="11"/>
      <c r="J183" s="9"/>
      <c r="K183" s="9"/>
      <c r="L183" s="9"/>
      <c r="M183" s="10"/>
      <c r="N183" s="9"/>
      <c r="O183" s="10"/>
      <c r="P183" s="11"/>
      <c r="Q183" s="11"/>
      <c r="R183" s="11"/>
      <c r="S183" s="11"/>
      <c r="T183" s="9"/>
      <c r="U183" s="9"/>
      <c r="V183" s="9"/>
      <c r="W183" s="9"/>
      <c r="X183" s="9"/>
      <c r="Y183" s="10"/>
      <c r="Z183" s="11"/>
      <c r="AA183" s="11"/>
      <c r="AB183" s="11"/>
      <c r="AC183" s="11"/>
      <c r="AD183" s="11"/>
      <c r="AE183" s="11"/>
      <c r="AF183" s="11"/>
      <c r="AG183" s="11"/>
      <c r="AH183" s="11"/>
      <c r="AI183" s="12"/>
      <c r="AJ183" s="11"/>
      <c r="AK183" s="11"/>
      <c r="AL183" s="11"/>
      <c r="AM183" s="11"/>
      <c r="AN183" s="9"/>
      <c r="AO183" s="9"/>
      <c r="AP183" s="9"/>
      <c r="AQ183" s="9"/>
      <c r="AR183" s="9"/>
      <c r="AS183" s="9"/>
      <c r="AT183" s="9"/>
      <c r="AU183" s="9"/>
      <c r="AV183" s="9"/>
      <c r="AW183" s="9"/>
      <c r="AX183" s="13"/>
    </row>
    <row r="184" spans="1:50" s="14" customFormat="1" x14ac:dyDescent="0.25">
      <c r="A184" s="11"/>
      <c r="B184" s="11"/>
      <c r="C184" s="11"/>
      <c r="D184" s="11"/>
      <c r="E184" s="11"/>
      <c r="F184" s="11"/>
      <c r="G184" s="11"/>
      <c r="H184" s="10"/>
      <c r="I184" s="11"/>
      <c r="J184" s="11"/>
      <c r="K184" s="11"/>
      <c r="L184" s="11"/>
      <c r="M184" s="10"/>
      <c r="N184" s="9"/>
      <c r="O184" s="10"/>
      <c r="P184" s="11"/>
      <c r="Q184" s="11"/>
      <c r="R184" s="11"/>
      <c r="S184" s="11"/>
      <c r="T184" s="9"/>
      <c r="U184" s="9"/>
      <c r="V184" s="9"/>
      <c r="W184" s="9"/>
      <c r="X184" s="9"/>
      <c r="Y184" s="10"/>
      <c r="Z184" s="11"/>
      <c r="AA184" s="11"/>
      <c r="AB184" s="11"/>
      <c r="AC184" s="11"/>
      <c r="AD184" s="11"/>
      <c r="AE184" s="11"/>
      <c r="AF184" s="11"/>
      <c r="AG184" s="11"/>
      <c r="AH184" s="11"/>
      <c r="AI184" s="12"/>
      <c r="AJ184" s="11"/>
      <c r="AK184" s="11"/>
      <c r="AL184" s="11"/>
      <c r="AM184" s="11"/>
      <c r="AN184" s="9"/>
      <c r="AO184" s="9"/>
      <c r="AP184" s="9"/>
      <c r="AQ184" s="9"/>
      <c r="AR184" s="9"/>
      <c r="AS184" s="9"/>
      <c r="AT184" s="9"/>
      <c r="AU184" s="9"/>
      <c r="AV184" s="9"/>
      <c r="AW184" s="9"/>
      <c r="AX184" s="13"/>
    </row>
    <row r="185" spans="1:50" s="14" customFormat="1" x14ac:dyDescent="0.25">
      <c r="A185" s="11"/>
      <c r="B185" s="11"/>
      <c r="C185" s="11"/>
      <c r="D185" s="11"/>
      <c r="E185" s="11"/>
      <c r="F185" s="11"/>
      <c r="G185" s="11"/>
      <c r="H185" s="10"/>
      <c r="I185" s="11"/>
      <c r="J185" s="11"/>
      <c r="K185" s="11"/>
      <c r="L185" s="11"/>
      <c r="M185" s="10"/>
      <c r="N185" s="9"/>
      <c r="O185" s="10"/>
      <c r="P185" s="11"/>
      <c r="Q185" s="11"/>
      <c r="R185" s="11"/>
      <c r="S185" s="11"/>
      <c r="T185" s="9"/>
      <c r="U185" s="9"/>
      <c r="V185" s="9"/>
      <c r="W185" s="9"/>
      <c r="X185" s="9"/>
      <c r="Y185" s="10"/>
      <c r="Z185" s="11"/>
      <c r="AA185" s="11"/>
      <c r="AB185" s="11"/>
      <c r="AC185" s="11"/>
      <c r="AD185" s="11"/>
      <c r="AE185" s="9"/>
      <c r="AF185" s="9"/>
      <c r="AG185" s="9"/>
      <c r="AH185" s="11"/>
      <c r="AI185" s="12"/>
      <c r="AJ185" s="11"/>
      <c r="AK185" s="11"/>
      <c r="AL185" s="11"/>
      <c r="AM185" s="11"/>
      <c r="AN185" s="9"/>
      <c r="AO185" s="9"/>
      <c r="AP185" s="9"/>
      <c r="AQ185" s="9"/>
      <c r="AR185" s="9"/>
      <c r="AS185" s="9"/>
      <c r="AT185" s="9"/>
      <c r="AU185" s="9"/>
      <c r="AV185" s="9"/>
      <c r="AW185" s="9"/>
      <c r="AX185" s="13"/>
    </row>
    <row r="186" spans="1:50" s="14" customFormat="1" x14ac:dyDescent="0.25">
      <c r="A186" s="11"/>
      <c r="B186" s="11"/>
      <c r="C186" s="11"/>
      <c r="D186" s="9"/>
      <c r="E186" s="9"/>
      <c r="F186" s="9"/>
      <c r="G186" s="9"/>
      <c r="H186" s="10"/>
      <c r="I186" s="9"/>
      <c r="J186" s="9"/>
      <c r="K186" s="9"/>
      <c r="L186" s="9"/>
      <c r="M186" s="10"/>
      <c r="N186" s="9"/>
      <c r="O186" s="10"/>
      <c r="P186" s="11"/>
      <c r="Q186" s="11"/>
      <c r="R186" s="11"/>
      <c r="S186" s="11"/>
      <c r="T186" s="9"/>
      <c r="U186" s="9"/>
      <c r="V186" s="9"/>
      <c r="W186" s="9"/>
      <c r="X186" s="9"/>
      <c r="Y186" s="10"/>
      <c r="Z186" s="11"/>
      <c r="AA186" s="11"/>
      <c r="AB186" s="11"/>
      <c r="AC186" s="11"/>
      <c r="AD186" s="11"/>
      <c r="AE186" s="11"/>
      <c r="AF186" s="11"/>
      <c r="AG186" s="11"/>
      <c r="AH186" s="11"/>
      <c r="AI186" s="12"/>
      <c r="AJ186" s="11"/>
      <c r="AK186" s="11"/>
      <c r="AL186" s="11"/>
      <c r="AM186" s="11"/>
      <c r="AN186" s="9"/>
      <c r="AO186" s="9"/>
      <c r="AP186" s="9"/>
      <c r="AQ186" s="9"/>
      <c r="AR186" s="9"/>
      <c r="AS186" s="9"/>
      <c r="AT186" s="9"/>
      <c r="AU186" s="9"/>
      <c r="AV186" s="9"/>
      <c r="AW186" s="9"/>
      <c r="AX186" s="13"/>
    </row>
    <row r="187" spans="1:50" s="14" customFormat="1" x14ac:dyDescent="0.25">
      <c r="A187" s="11"/>
      <c r="B187" s="11"/>
      <c r="C187" s="11"/>
      <c r="D187" s="11"/>
      <c r="E187" s="9"/>
      <c r="F187" s="9"/>
      <c r="G187" s="9"/>
      <c r="H187" s="10"/>
      <c r="I187" s="11"/>
      <c r="J187" s="9"/>
      <c r="K187" s="9"/>
      <c r="L187" s="9"/>
      <c r="M187" s="10"/>
      <c r="N187" s="9"/>
      <c r="O187" s="10"/>
      <c r="P187" s="11"/>
      <c r="Q187" s="11"/>
      <c r="R187" s="11"/>
      <c r="S187" s="11"/>
      <c r="T187" s="9"/>
      <c r="U187" s="9"/>
      <c r="V187" s="9"/>
      <c r="W187" s="9"/>
      <c r="X187" s="9"/>
      <c r="Y187" s="10"/>
      <c r="Z187" s="11"/>
      <c r="AA187" s="11"/>
      <c r="AB187" s="11"/>
      <c r="AC187" s="11"/>
      <c r="AD187" s="11"/>
      <c r="AE187" s="11"/>
      <c r="AF187" s="11"/>
      <c r="AG187" s="11"/>
      <c r="AH187" s="11"/>
      <c r="AI187" s="12"/>
      <c r="AJ187" s="11"/>
      <c r="AK187" s="11"/>
      <c r="AL187" s="11"/>
      <c r="AM187" s="11"/>
      <c r="AN187" s="9"/>
      <c r="AO187" s="9"/>
      <c r="AP187" s="9"/>
      <c r="AQ187" s="9"/>
      <c r="AR187" s="9"/>
      <c r="AS187" s="9"/>
      <c r="AT187" s="9"/>
      <c r="AU187" s="9"/>
      <c r="AV187" s="9"/>
      <c r="AW187" s="9"/>
      <c r="AX187" s="13"/>
    </row>
    <row r="188" spans="1:50" s="14" customFormat="1" x14ac:dyDescent="0.25">
      <c r="A188" s="11"/>
      <c r="B188" s="11"/>
      <c r="C188" s="11"/>
      <c r="D188" s="11"/>
      <c r="E188" s="9"/>
      <c r="F188" s="9"/>
      <c r="G188" s="9"/>
      <c r="H188" s="10"/>
      <c r="I188" s="11"/>
      <c r="J188" s="9"/>
      <c r="K188" s="9"/>
      <c r="L188" s="9"/>
      <c r="M188" s="10"/>
      <c r="N188" s="9"/>
      <c r="O188" s="10"/>
      <c r="P188" s="11"/>
      <c r="Q188" s="11"/>
      <c r="R188" s="11"/>
      <c r="S188" s="11"/>
      <c r="T188" s="9"/>
      <c r="U188" s="9"/>
      <c r="V188" s="9"/>
      <c r="W188" s="9"/>
      <c r="X188" s="9"/>
      <c r="Y188" s="10"/>
      <c r="Z188" s="11"/>
      <c r="AA188" s="11"/>
      <c r="AB188" s="11"/>
      <c r="AC188" s="11"/>
      <c r="AD188" s="11"/>
      <c r="AE188" s="11"/>
      <c r="AF188" s="11"/>
      <c r="AG188" s="11"/>
      <c r="AH188" s="11"/>
      <c r="AI188" s="12"/>
      <c r="AJ188" s="11"/>
      <c r="AK188" s="11"/>
      <c r="AL188" s="11"/>
      <c r="AM188" s="11"/>
      <c r="AN188" s="9"/>
      <c r="AO188" s="9"/>
      <c r="AP188" s="9"/>
      <c r="AQ188" s="9"/>
      <c r="AR188" s="9"/>
      <c r="AS188" s="9"/>
      <c r="AT188" s="9"/>
      <c r="AU188" s="9"/>
      <c r="AV188" s="9"/>
      <c r="AW188" s="9"/>
      <c r="AX188" s="13"/>
    </row>
    <row r="189" spans="1:50" s="14" customFormat="1" x14ac:dyDescent="0.25">
      <c r="A189" s="11"/>
      <c r="B189" s="11"/>
      <c r="C189" s="11"/>
      <c r="D189" s="11"/>
      <c r="E189" s="9"/>
      <c r="F189" s="9"/>
      <c r="G189" s="9"/>
      <c r="H189" s="10"/>
      <c r="I189" s="11"/>
      <c r="J189" s="9"/>
      <c r="K189" s="9"/>
      <c r="L189" s="9"/>
      <c r="M189" s="10"/>
      <c r="N189" s="9"/>
      <c r="O189" s="10"/>
      <c r="P189" s="11"/>
      <c r="Q189" s="11"/>
      <c r="R189" s="11"/>
      <c r="S189" s="11"/>
      <c r="T189" s="9"/>
      <c r="U189" s="9"/>
      <c r="V189" s="9"/>
      <c r="W189" s="9"/>
      <c r="X189" s="9"/>
      <c r="Y189" s="10"/>
      <c r="Z189" s="11"/>
      <c r="AA189" s="11"/>
      <c r="AB189" s="11"/>
      <c r="AC189" s="11"/>
      <c r="AD189" s="11"/>
      <c r="AE189" s="11"/>
      <c r="AF189" s="11"/>
      <c r="AG189" s="11"/>
      <c r="AH189" s="11"/>
      <c r="AI189" s="12"/>
      <c r="AJ189" s="11"/>
      <c r="AK189" s="11"/>
      <c r="AL189" s="11"/>
      <c r="AM189" s="11"/>
      <c r="AN189" s="9"/>
      <c r="AO189" s="9"/>
      <c r="AP189" s="9"/>
      <c r="AQ189" s="9"/>
      <c r="AR189" s="9"/>
      <c r="AS189" s="9"/>
      <c r="AT189" s="9"/>
      <c r="AU189" s="9"/>
      <c r="AV189" s="9"/>
      <c r="AW189" s="9"/>
      <c r="AX189" s="13"/>
    </row>
    <row r="190" spans="1:50" s="14" customFormat="1" x14ac:dyDescent="0.25">
      <c r="A190" s="11"/>
      <c r="B190" s="11"/>
      <c r="C190" s="11"/>
      <c r="D190" s="11"/>
      <c r="E190" s="9"/>
      <c r="F190" s="9"/>
      <c r="G190" s="9"/>
      <c r="H190" s="10"/>
      <c r="I190" s="11"/>
      <c r="J190" s="9"/>
      <c r="K190" s="9"/>
      <c r="L190" s="9"/>
      <c r="M190" s="10"/>
      <c r="N190" s="9"/>
      <c r="O190" s="10"/>
      <c r="P190" s="11"/>
      <c r="Q190" s="11"/>
      <c r="R190" s="11"/>
      <c r="S190" s="11"/>
      <c r="T190" s="9"/>
      <c r="U190" s="9"/>
      <c r="V190" s="9"/>
      <c r="W190" s="9"/>
      <c r="X190" s="9"/>
      <c r="Y190" s="10"/>
      <c r="Z190" s="11"/>
      <c r="AA190" s="11"/>
      <c r="AB190" s="11"/>
      <c r="AC190" s="11"/>
      <c r="AD190" s="11"/>
      <c r="AE190" s="11"/>
      <c r="AF190" s="11"/>
      <c r="AG190" s="11"/>
      <c r="AH190" s="11"/>
      <c r="AI190" s="12"/>
      <c r="AJ190" s="11"/>
      <c r="AK190" s="11"/>
      <c r="AL190" s="11"/>
      <c r="AM190" s="11"/>
      <c r="AN190" s="9"/>
      <c r="AO190" s="9"/>
      <c r="AP190" s="9"/>
      <c r="AQ190" s="9"/>
      <c r="AR190" s="9"/>
      <c r="AS190" s="9"/>
      <c r="AT190" s="9"/>
      <c r="AU190" s="9"/>
      <c r="AV190" s="9"/>
      <c r="AW190" s="9"/>
      <c r="AX190" s="13"/>
    </row>
    <row r="191" spans="1:50" s="14" customFormat="1" x14ac:dyDescent="0.25">
      <c r="A191" s="11"/>
      <c r="B191" s="11"/>
      <c r="C191" s="11"/>
      <c r="D191" s="11"/>
      <c r="E191" s="9"/>
      <c r="F191" s="9"/>
      <c r="G191" s="9"/>
      <c r="H191" s="10"/>
      <c r="I191" s="11"/>
      <c r="J191" s="9"/>
      <c r="K191" s="9"/>
      <c r="L191" s="9"/>
      <c r="M191" s="10"/>
      <c r="N191" s="9"/>
      <c r="O191" s="10"/>
      <c r="P191" s="11"/>
      <c r="Q191" s="11"/>
      <c r="R191" s="11"/>
      <c r="S191" s="11"/>
      <c r="T191" s="9"/>
      <c r="U191" s="9"/>
      <c r="V191" s="9"/>
      <c r="W191" s="9"/>
      <c r="X191" s="9"/>
      <c r="Y191" s="10"/>
      <c r="Z191" s="11"/>
      <c r="AA191" s="11"/>
      <c r="AB191" s="11"/>
      <c r="AC191" s="11"/>
      <c r="AD191" s="9"/>
      <c r="AE191" s="9"/>
      <c r="AF191" s="9"/>
      <c r="AG191" s="9"/>
      <c r="AH191" s="11"/>
      <c r="AI191" s="10"/>
      <c r="AJ191" s="11"/>
      <c r="AK191" s="11"/>
      <c r="AL191" s="11"/>
      <c r="AM191" s="11"/>
      <c r="AN191" s="9"/>
      <c r="AO191" s="9"/>
      <c r="AP191" s="9"/>
      <c r="AQ191" s="9"/>
      <c r="AR191" s="9"/>
      <c r="AS191" s="9"/>
      <c r="AT191" s="9"/>
      <c r="AU191" s="9"/>
      <c r="AV191" s="9"/>
      <c r="AW191" s="9"/>
      <c r="AX191" s="13"/>
    </row>
    <row r="192" spans="1:50" s="14" customFormat="1" x14ac:dyDescent="0.25">
      <c r="A192" s="11"/>
      <c r="B192" s="11"/>
      <c r="C192" s="11"/>
      <c r="D192" s="9"/>
      <c r="E192" s="9"/>
      <c r="F192" s="9"/>
      <c r="G192" s="9"/>
      <c r="H192" s="10"/>
      <c r="I192" s="9"/>
      <c r="J192" s="9"/>
      <c r="K192" s="9"/>
      <c r="L192" s="9"/>
      <c r="M192" s="10"/>
      <c r="N192" s="9"/>
      <c r="O192" s="10"/>
      <c r="P192" s="11"/>
      <c r="Q192" s="11"/>
      <c r="R192" s="11"/>
      <c r="S192" s="11"/>
      <c r="T192" s="9"/>
      <c r="U192" s="9"/>
      <c r="V192" s="9"/>
      <c r="W192" s="9"/>
      <c r="X192" s="9"/>
      <c r="Y192" s="10"/>
      <c r="Z192" s="11"/>
      <c r="AA192" s="11"/>
      <c r="AB192" s="11"/>
      <c r="AC192" s="11"/>
      <c r="AD192" s="11"/>
      <c r="AE192" s="11"/>
      <c r="AF192" s="11"/>
      <c r="AG192" s="11"/>
      <c r="AH192" s="11"/>
      <c r="AI192" s="12"/>
      <c r="AJ192" s="11"/>
      <c r="AK192" s="11"/>
      <c r="AL192" s="11"/>
      <c r="AM192" s="11"/>
      <c r="AN192" s="9"/>
      <c r="AO192" s="9"/>
      <c r="AP192" s="9"/>
      <c r="AQ192" s="9"/>
      <c r="AR192" s="9"/>
      <c r="AS192" s="9"/>
      <c r="AT192" s="9"/>
      <c r="AU192" s="9"/>
      <c r="AV192" s="9"/>
      <c r="AW192" s="9"/>
      <c r="AX192" s="13"/>
    </row>
    <row r="193" spans="1:50" s="14" customFormat="1" x14ac:dyDescent="0.25">
      <c r="A193" s="11"/>
      <c r="B193" s="11"/>
      <c r="C193" s="11"/>
      <c r="D193" s="11"/>
      <c r="E193" s="9"/>
      <c r="F193" s="9"/>
      <c r="G193" s="9"/>
      <c r="H193" s="10"/>
      <c r="I193" s="11"/>
      <c r="J193" s="9"/>
      <c r="K193" s="9"/>
      <c r="L193" s="9"/>
      <c r="M193" s="10"/>
      <c r="N193" s="9"/>
      <c r="O193" s="10"/>
      <c r="P193" s="11"/>
      <c r="Q193" s="11"/>
      <c r="R193" s="11"/>
      <c r="S193" s="11"/>
      <c r="T193" s="9"/>
      <c r="U193" s="9"/>
      <c r="V193" s="9"/>
      <c r="W193" s="9"/>
      <c r="X193" s="9"/>
      <c r="Y193" s="10"/>
      <c r="Z193" s="11"/>
      <c r="AA193" s="11"/>
      <c r="AB193" s="11"/>
      <c r="AC193" s="11"/>
      <c r="AD193" s="11"/>
      <c r="AE193" s="11"/>
      <c r="AF193" s="11"/>
      <c r="AG193" s="11"/>
      <c r="AH193" s="11"/>
      <c r="AI193" s="12"/>
      <c r="AJ193" s="11"/>
      <c r="AK193" s="11"/>
      <c r="AL193" s="11"/>
      <c r="AM193" s="11"/>
      <c r="AN193" s="9"/>
      <c r="AO193" s="9"/>
      <c r="AP193" s="9"/>
      <c r="AQ193" s="9"/>
      <c r="AR193" s="9"/>
      <c r="AS193" s="9"/>
      <c r="AT193" s="9"/>
      <c r="AU193" s="9"/>
      <c r="AV193" s="9"/>
      <c r="AW193" s="9"/>
      <c r="AX193" s="13"/>
    </row>
    <row r="194" spans="1:50" s="14" customFormat="1" x14ac:dyDescent="0.25">
      <c r="A194" s="11"/>
      <c r="B194" s="11"/>
      <c r="C194" s="11"/>
      <c r="D194" s="11"/>
      <c r="E194" s="11"/>
      <c r="F194" s="11"/>
      <c r="G194" s="11"/>
      <c r="H194" s="10"/>
      <c r="I194" s="11"/>
      <c r="J194" s="11"/>
      <c r="K194" s="11"/>
      <c r="L194" s="11"/>
      <c r="M194" s="10"/>
      <c r="N194" s="9"/>
      <c r="O194" s="10"/>
      <c r="P194" s="11"/>
      <c r="Q194" s="11"/>
      <c r="R194" s="11"/>
      <c r="S194" s="11"/>
      <c r="T194" s="9"/>
      <c r="U194" s="9"/>
      <c r="V194" s="9"/>
      <c r="W194" s="9"/>
      <c r="X194" s="9"/>
      <c r="Y194" s="10"/>
      <c r="Z194" s="11"/>
      <c r="AA194" s="11"/>
      <c r="AB194" s="11"/>
      <c r="AC194" s="11"/>
      <c r="AD194" s="11"/>
      <c r="AE194" s="11"/>
      <c r="AF194" s="11"/>
      <c r="AG194" s="11"/>
      <c r="AH194" s="11"/>
      <c r="AI194" s="12"/>
      <c r="AJ194" s="11"/>
      <c r="AK194" s="11"/>
      <c r="AL194" s="11"/>
      <c r="AM194" s="11"/>
      <c r="AN194" s="9"/>
      <c r="AO194" s="9"/>
      <c r="AP194" s="9"/>
      <c r="AQ194" s="9"/>
      <c r="AR194" s="9"/>
      <c r="AS194" s="9"/>
      <c r="AT194" s="9"/>
      <c r="AU194" s="9"/>
      <c r="AV194" s="9"/>
      <c r="AW194" s="9"/>
      <c r="AX194" s="13"/>
    </row>
    <row r="195" spans="1:50" s="14" customFormat="1" x14ac:dyDescent="0.25">
      <c r="A195" s="11"/>
      <c r="B195" s="11"/>
      <c r="C195" s="11"/>
      <c r="D195" s="11"/>
      <c r="E195" s="11"/>
      <c r="F195" s="11"/>
      <c r="G195" s="11"/>
      <c r="H195" s="10"/>
      <c r="I195" s="11"/>
      <c r="J195" s="11"/>
      <c r="K195" s="11"/>
      <c r="L195" s="11"/>
      <c r="M195" s="10"/>
      <c r="N195" s="9"/>
      <c r="O195" s="10"/>
      <c r="P195" s="11"/>
      <c r="Q195" s="11"/>
      <c r="R195" s="11"/>
      <c r="S195" s="11"/>
      <c r="T195" s="9"/>
      <c r="U195" s="9"/>
      <c r="V195" s="9"/>
      <c r="W195" s="9"/>
      <c r="X195" s="9"/>
      <c r="Y195" s="10"/>
      <c r="Z195" s="11"/>
      <c r="AA195" s="11"/>
      <c r="AB195" s="11"/>
      <c r="AC195" s="11"/>
      <c r="AD195" s="11"/>
      <c r="AE195" s="11"/>
      <c r="AF195" s="11"/>
      <c r="AG195" s="11"/>
      <c r="AH195" s="11"/>
      <c r="AI195" s="12"/>
      <c r="AJ195" s="11"/>
      <c r="AK195" s="11"/>
      <c r="AL195" s="11"/>
      <c r="AM195" s="11"/>
      <c r="AN195" s="9"/>
      <c r="AO195" s="9"/>
      <c r="AP195" s="9"/>
      <c r="AQ195" s="9"/>
      <c r="AR195" s="9"/>
      <c r="AS195" s="9"/>
      <c r="AT195" s="9"/>
      <c r="AU195" s="9"/>
      <c r="AV195" s="9"/>
      <c r="AW195" s="9"/>
      <c r="AX195" s="13"/>
    </row>
    <row r="196" spans="1:50" s="14" customFormat="1" x14ac:dyDescent="0.25">
      <c r="A196" s="11"/>
      <c r="B196" s="11"/>
      <c r="C196" s="11"/>
      <c r="D196" s="11"/>
      <c r="E196" s="11"/>
      <c r="F196" s="11"/>
      <c r="G196" s="11"/>
      <c r="H196" s="10"/>
      <c r="I196" s="11"/>
      <c r="J196" s="11"/>
      <c r="K196" s="11"/>
      <c r="L196" s="11"/>
      <c r="M196" s="10"/>
      <c r="N196" s="9"/>
      <c r="O196" s="10"/>
      <c r="P196" s="11"/>
      <c r="Q196" s="11"/>
      <c r="R196" s="11"/>
      <c r="S196" s="11"/>
      <c r="T196" s="9"/>
      <c r="U196" s="9"/>
      <c r="V196" s="9"/>
      <c r="W196" s="9"/>
      <c r="X196" s="9"/>
      <c r="Y196" s="10"/>
      <c r="Z196" s="11"/>
      <c r="AA196" s="11"/>
      <c r="AB196" s="11"/>
      <c r="AC196" s="11"/>
      <c r="AD196" s="11"/>
      <c r="AE196" s="11"/>
      <c r="AF196" s="11"/>
      <c r="AG196" s="11"/>
      <c r="AH196" s="11"/>
      <c r="AI196" s="12"/>
      <c r="AJ196" s="11"/>
      <c r="AK196" s="11"/>
      <c r="AL196" s="11"/>
      <c r="AM196" s="11"/>
      <c r="AN196" s="9"/>
      <c r="AO196" s="9"/>
      <c r="AP196" s="9"/>
      <c r="AQ196" s="9"/>
      <c r="AR196" s="9"/>
      <c r="AS196" s="9"/>
      <c r="AT196" s="9"/>
      <c r="AU196" s="9"/>
      <c r="AV196" s="9"/>
      <c r="AW196" s="9"/>
      <c r="AX196" s="13"/>
    </row>
    <row r="197" spans="1:50" s="14" customFormat="1" x14ac:dyDescent="0.25">
      <c r="A197" s="11"/>
      <c r="B197" s="11"/>
      <c r="C197" s="11"/>
      <c r="D197" s="11"/>
      <c r="E197" s="11"/>
      <c r="F197" s="11"/>
      <c r="G197" s="11"/>
      <c r="H197" s="10"/>
      <c r="I197" s="11"/>
      <c r="J197" s="11"/>
      <c r="K197" s="11"/>
      <c r="L197" s="11"/>
      <c r="M197" s="10"/>
      <c r="N197" s="9"/>
      <c r="O197" s="10"/>
      <c r="P197" s="11"/>
      <c r="Q197" s="11"/>
      <c r="R197" s="11"/>
      <c r="S197" s="11"/>
      <c r="T197" s="9"/>
      <c r="U197" s="9"/>
      <c r="V197" s="9"/>
      <c r="W197" s="9"/>
      <c r="X197" s="9"/>
      <c r="Y197" s="10"/>
      <c r="Z197" s="11"/>
      <c r="AA197" s="11"/>
      <c r="AB197" s="11"/>
      <c r="AC197" s="11"/>
      <c r="AD197" s="11"/>
      <c r="AE197" s="11"/>
      <c r="AF197" s="11"/>
      <c r="AG197" s="11"/>
      <c r="AH197" s="11"/>
      <c r="AI197" s="12"/>
      <c r="AJ197" s="11"/>
      <c r="AK197" s="11"/>
      <c r="AL197" s="11"/>
      <c r="AM197" s="11"/>
      <c r="AN197" s="9"/>
      <c r="AO197" s="9"/>
      <c r="AP197" s="9"/>
      <c r="AQ197" s="9"/>
      <c r="AR197" s="9"/>
      <c r="AS197" s="9"/>
      <c r="AT197" s="9"/>
      <c r="AU197" s="9"/>
      <c r="AV197" s="9"/>
      <c r="AW197" s="9"/>
      <c r="AX197" s="13"/>
    </row>
    <row r="198" spans="1:50" s="14" customFormat="1" x14ac:dyDescent="0.25">
      <c r="A198" s="11"/>
      <c r="B198" s="11"/>
      <c r="C198" s="11"/>
      <c r="D198" s="11"/>
      <c r="E198" s="11"/>
      <c r="F198" s="11"/>
      <c r="G198" s="11"/>
      <c r="H198" s="10"/>
      <c r="I198" s="11"/>
      <c r="J198" s="11"/>
      <c r="K198" s="11"/>
      <c r="L198" s="11"/>
      <c r="M198" s="10"/>
      <c r="N198" s="9"/>
      <c r="O198" s="10"/>
      <c r="P198" s="11"/>
      <c r="Q198" s="11"/>
      <c r="R198" s="11"/>
      <c r="S198" s="11"/>
      <c r="T198" s="9"/>
      <c r="U198" s="9"/>
      <c r="V198" s="9"/>
      <c r="W198" s="9"/>
      <c r="X198" s="9"/>
      <c r="Y198" s="10"/>
      <c r="Z198" s="11"/>
      <c r="AA198" s="11"/>
      <c r="AB198" s="11"/>
      <c r="AC198" s="11"/>
      <c r="AD198" s="11"/>
      <c r="AE198" s="11"/>
      <c r="AF198" s="11"/>
      <c r="AG198" s="11"/>
      <c r="AH198" s="11"/>
      <c r="AI198" s="12"/>
      <c r="AJ198" s="11"/>
      <c r="AK198" s="11"/>
      <c r="AL198" s="11"/>
      <c r="AM198" s="11"/>
      <c r="AN198" s="9"/>
      <c r="AO198" s="9"/>
      <c r="AP198" s="9"/>
      <c r="AQ198" s="9"/>
      <c r="AR198" s="9"/>
      <c r="AS198" s="9"/>
      <c r="AT198" s="9"/>
      <c r="AU198" s="9"/>
      <c r="AV198" s="9"/>
      <c r="AW198" s="9"/>
      <c r="AX198" s="13"/>
    </row>
    <row r="199" spans="1:50" s="14" customFormat="1" x14ac:dyDescent="0.25">
      <c r="A199" s="11"/>
      <c r="B199" s="11"/>
      <c r="C199" s="11"/>
      <c r="D199" s="11"/>
      <c r="E199" s="9"/>
      <c r="F199" s="9"/>
      <c r="G199" s="9"/>
      <c r="H199" s="10"/>
      <c r="I199" s="11"/>
      <c r="J199" s="9"/>
      <c r="K199" s="9"/>
      <c r="L199" s="9"/>
      <c r="M199" s="10"/>
      <c r="N199" s="9"/>
      <c r="O199" s="10"/>
      <c r="P199" s="11"/>
      <c r="Q199" s="11"/>
      <c r="R199" s="11"/>
      <c r="S199" s="11"/>
      <c r="T199" s="9"/>
      <c r="U199" s="9"/>
      <c r="V199" s="9"/>
      <c r="W199" s="9"/>
      <c r="X199" s="9"/>
      <c r="Y199" s="10"/>
      <c r="Z199" s="11"/>
      <c r="AA199" s="11"/>
      <c r="AB199" s="11"/>
      <c r="AC199" s="11"/>
      <c r="AD199" s="11"/>
      <c r="AE199" s="11"/>
      <c r="AF199" s="11"/>
      <c r="AG199" s="11"/>
      <c r="AH199" s="11"/>
      <c r="AI199" s="12"/>
      <c r="AJ199" s="11"/>
      <c r="AK199" s="11"/>
      <c r="AL199" s="11"/>
      <c r="AM199" s="11"/>
      <c r="AN199" s="9"/>
      <c r="AO199" s="9"/>
      <c r="AP199" s="9"/>
      <c r="AQ199" s="9"/>
      <c r="AR199" s="9"/>
      <c r="AS199" s="9"/>
      <c r="AT199" s="9"/>
      <c r="AU199" s="9"/>
      <c r="AV199" s="9"/>
      <c r="AW199" s="9"/>
      <c r="AX199" s="13"/>
    </row>
    <row r="200" spans="1:50" s="14" customFormat="1" x14ac:dyDescent="0.25">
      <c r="A200" s="11"/>
      <c r="B200" s="11"/>
      <c r="C200" s="11"/>
      <c r="D200" s="11"/>
      <c r="E200" s="9"/>
      <c r="F200" s="9"/>
      <c r="G200" s="9"/>
      <c r="H200" s="10"/>
      <c r="I200" s="11"/>
      <c r="J200" s="9"/>
      <c r="K200" s="9"/>
      <c r="L200" s="9"/>
      <c r="M200" s="10"/>
      <c r="N200" s="9"/>
      <c r="O200" s="10"/>
      <c r="P200" s="11"/>
      <c r="Q200" s="11"/>
      <c r="R200" s="11"/>
      <c r="S200" s="11"/>
      <c r="T200" s="11"/>
      <c r="U200" s="9"/>
      <c r="V200" s="9"/>
      <c r="W200" s="9"/>
      <c r="X200" s="9"/>
      <c r="Y200" s="10"/>
      <c r="Z200" s="11"/>
      <c r="AA200" s="11"/>
      <c r="AB200" s="11"/>
      <c r="AC200" s="11"/>
      <c r="AD200" s="11"/>
      <c r="AE200" s="11"/>
      <c r="AF200" s="11"/>
      <c r="AG200" s="11"/>
      <c r="AH200" s="11"/>
      <c r="AI200" s="12"/>
      <c r="AJ200" s="11"/>
      <c r="AK200" s="11"/>
      <c r="AL200" s="11"/>
      <c r="AM200" s="11"/>
      <c r="AN200" s="9"/>
      <c r="AO200" s="9"/>
      <c r="AP200" s="9"/>
      <c r="AQ200" s="9"/>
      <c r="AR200" s="9"/>
      <c r="AS200" s="9"/>
      <c r="AT200" s="9"/>
      <c r="AU200" s="9"/>
      <c r="AV200" s="9"/>
      <c r="AW200" s="9"/>
      <c r="AX200" s="13"/>
    </row>
    <row r="201" spans="1:50" s="14" customFormat="1" x14ac:dyDescent="0.25">
      <c r="A201" s="11"/>
      <c r="B201" s="11"/>
      <c r="C201" s="11"/>
      <c r="D201" s="11"/>
      <c r="E201" s="9"/>
      <c r="F201" s="9"/>
      <c r="G201" s="9"/>
      <c r="H201" s="10"/>
      <c r="I201" s="11"/>
      <c r="J201" s="9"/>
      <c r="K201" s="9"/>
      <c r="L201" s="9"/>
      <c r="M201" s="10"/>
      <c r="N201" s="9"/>
      <c r="O201" s="10"/>
      <c r="P201" s="11"/>
      <c r="Q201" s="11"/>
      <c r="R201" s="11"/>
      <c r="S201" s="11"/>
      <c r="T201" s="11"/>
      <c r="U201" s="9"/>
      <c r="V201" s="9"/>
      <c r="W201" s="9"/>
      <c r="X201" s="9"/>
      <c r="Y201" s="10"/>
      <c r="Z201" s="11"/>
      <c r="AA201" s="11"/>
      <c r="AB201" s="11"/>
      <c r="AC201" s="11"/>
      <c r="AD201" s="11"/>
      <c r="AE201" s="11"/>
      <c r="AF201" s="11"/>
      <c r="AG201" s="11"/>
      <c r="AH201" s="11"/>
      <c r="AI201" s="12"/>
      <c r="AJ201" s="11"/>
      <c r="AK201" s="11"/>
      <c r="AL201" s="11"/>
      <c r="AM201" s="11"/>
      <c r="AN201" s="9"/>
      <c r="AO201" s="9"/>
      <c r="AP201" s="9"/>
      <c r="AQ201" s="9"/>
      <c r="AR201" s="9"/>
      <c r="AS201" s="9"/>
      <c r="AT201" s="9"/>
      <c r="AU201" s="9"/>
      <c r="AV201" s="9"/>
      <c r="AW201" s="9"/>
      <c r="AX201" s="13"/>
    </row>
    <row r="202" spans="1:50" s="14" customFormat="1" x14ac:dyDescent="0.25">
      <c r="A202" s="11"/>
      <c r="B202" s="11"/>
      <c r="C202" s="11"/>
      <c r="D202" s="11"/>
      <c r="E202" s="9"/>
      <c r="F202" s="9"/>
      <c r="G202" s="9"/>
      <c r="H202" s="10"/>
      <c r="I202" s="11"/>
      <c r="J202" s="9"/>
      <c r="K202" s="9"/>
      <c r="L202" s="9"/>
      <c r="M202" s="10"/>
      <c r="N202" s="9"/>
      <c r="O202" s="10"/>
      <c r="P202" s="11"/>
      <c r="Q202" s="11"/>
      <c r="R202" s="11"/>
      <c r="S202" s="11"/>
      <c r="T202" s="9"/>
      <c r="U202" s="9"/>
      <c r="V202" s="9"/>
      <c r="W202" s="9"/>
      <c r="X202" s="9"/>
      <c r="Y202" s="10"/>
      <c r="Z202" s="11"/>
      <c r="AA202" s="11"/>
      <c r="AB202" s="11"/>
      <c r="AC202" s="11"/>
      <c r="AD202" s="11"/>
      <c r="AE202" s="11"/>
      <c r="AF202" s="11"/>
      <c r="AG202" s="11"/>
      <c r="AH202" s="11"/>
      <c r="AI202" s="12"/>
      <c r="AJ202" s="11"/>
      <c r="AK202" s="11"/>
      <c r="AL202" s="11"/>
      <c r="AM202" s="11"/>
      <c r="AN202" s="9"/>
      <c r="AO202" s="9"/>
      <c r="AP202" s="9"/>
      <c r="AQ202" s="9"/>
      <c r="AR202" s="9"/>
      <c r="AS202" s="9"/>
      <c r="AT202" s="9"/>
      <c r="AU202" s="9"/>
      <c r="AV202" s="9"/>
      <c r="AW202" s="9"/>
      <c r="AX202" s="13"/>
    </row>
    <row r="203" spans="1:50" s="14" customFormat="1" x14ac:dyDescent="0.25">
      <c r="A203" s="11"/>
      <c r="B203" s="11"/>
      <c r="C203" s="11"/>
      <c r="D203" s="11"/>
      <c r="E203" s="9"/>
      <c r="F203" s="9"/>
      <c r="G203" s="9"/>
      <c r="H203" s="10"/>
      <c r="I203" s="11"/>
      <c r="J203" s="9"/>
      <c r="K203" s="9"/>
      <c r="L203" s="9"/>
      <c r="M203" s="10"/>
      <c r="N203" s="9"/>
      <c r="O203" s="10"/>
      <c r="P203" s="11"/>
      <c r="Q203" s="11"/>
      <c r="R203" s="11"/>
      <c r="S203" s="11"/>
      <c r="T203" s="9"/>
      <c r="U203" s="9"/>
      <c r="V203" s="9"/>
      <c r="W203" s="9"/>
      <c r="X203" s="9"/>
      <c r="Y203" s="10"/>
      <c r="Z203" s="11"/>
      <c r="AA203" s="11"/>
      <c r="AB203" s="11"/>
      <c r="AC203" s="11"/>
      <c r="AD203" s="11"/>
      <c r="AE203" s="11"/>
      <c r="AF203" s="11"/>
      <c r="AG203" s="11"/>
      <c r="AH203" s="11"/>
      <c r="AI203" s="12"/>
      <c r="AJ203" s="11"/>
      <c r="AK203" s="11"/>
      <c r="AL203" s="11"/>
      <c r="AM203" s="11"/>
      <c r="AN203" s="9"/>
      <c r="AO203" s="9"/>
      <c r="AP203" s="9"/>
      <c r="AQ203" s="9"/>
      <c r="AR203" s="9"/>
      <c r="AS203" s="9"/>
      <c r="AT203" s="9"/>
      <c r="AU203" s="9"/>
      <c r="AV203" s="9"/>
      <c r="AW203" s="9"/>
      <c r="AX203" s="13"/>
    </row>
    <row r="204" spans="1:50" s="14" customFormat="1" x14ac:dyDescent="0.25">
      <c r="A204" s="11"/>
      <c r="B204" s="11"/>
      <c r="C204" s="11"/>
      <c r="D204" s="11"/>
      <c r="E204" s="9"/>
      <c r="F204" s="9"/>
      <c r="G204" s="9"/>
      <c r="H204" s="10"/>
      <c r="I204" s="11"/>
      <c r="J204" s="9"/>
      <c r="K204" s="9"/>
      <c r="L204" s="9"/>
      <c r="M204" s="10"/>
      <c r="N204" s="9"/>
      <c r="O204" s="10"/>
      <c r="P204" s="11"/>
      <c r="Q204" s="11"/>
      <c r="R204" s="11"/>
      <c r="S204" s="11"/>
      <c r="T204" s="9"/>
      <c r="U204" s="9"/>
      <c r="V204" s="9"/>
      <c r="W204" s="9"/>
      <c r="X204" s="9"/>
      <c r="Y204" s="10"/>
      <c r="Z204" s="11"/>
      <c r="AA204" s="11"/>
      <c r="AB204" s="11"/>
      <c r="AC204" s="11"/>
      <c r="AD204" s="11"/>
      <c r="AE204" s="11"/>
      <c r="AF204" s="11"/>
      <c r="AG204" s="11"/>
      <c r="AH204" s="11"/>
      <c r="AI204" s="12"/>
      <c r="AJ204" s="11"/>
      <c r="AK204" s="11"/>
      <c r="AL204" s="11"/>
      <c r="AM204" s="11"/>
      <c r="AN204" s="9"/>
      <c r="AO204" s="9"/>
      <c r="AP204" s="9"/>
      <c r="AQ204" s="9"/>
      <c r="AR204" s="9"/>
      <c r="AS204" s="9"/>
      <c r="AT204" s="9"/>
      <c r="AU204" s="9"/>
      <c r="AV204" s="9"/>
      <c r="AW204" s="9"/>
      <c r="AX204" s="13"/>
    </row>
    <row r="205" spans="1:50" s="14" customFormat="1" x14ac:dyDescent="0.25">
      <c r="A205" s="11"/>
      <c r="B205" s="11"/>
      <c r="C205" s="11"/>
      <c r="D205" s="11"/>
      <c r="E205" s="11"/>
      <c r="F205" s="11"/>
      <c r="G205" s="11"/>
      <c r="H205" s="10"/>
      <c r="I205" s="11"/>
      <c r="J205" s="11"/>
      <c r="K205" s="11"/>
      <c r="L205" s="11"/>
      <c r="M205" s="10"/>
      <c r="N205" s="9"/>
      <c r="O205" s="10"/>
      <c r="P205" s="11"/>
      <c r="Q205" s="11"/>
      <c r="R205" s="11"/>
      <c r="S205" s="11"/>
      <c r="T205" s="9"/>
      <c r="U205" s="9"/>
      <c r="V205" s="9"/>
      <c r="W205" s="9"/>
      <c r="X205" s="9"/>
      <c r="Y205" s="10"/>
      <c r="Z205" s="11"/>
      <c r="AA205" s="11"/>
      <c r="AB205" s="11"/>
      <c r="AC205" s="11"/>
      <c r="AD205" s="11"/>
      <c r="AE205" s="11"/>
      <c r="AF205" s="11"/>
      <c r="AG205" s="11"/>
      <c r="AH205" s="11"/>
      <c r="AI205" s="12"/>
      <c r="AJ205" s="11"/>
      <c r="AK205" s="11"/>
      <c r="AL205" s="11"/>
      <c r="AM205" s="11"/>
      <c r="AN205" s="9"/>
      <c r="AO205" s="9"/>
      <c r="AP205" s="9"/>
      <c r="AQ205" s="9"/>
      <c r="AR205" s="9"/>
      <c r="AS205" s="9"/>
      <c r="AT205" s="9"/>
      <c r="AU205" s="9"/>
      <c r="AV205" s="9"/>
      <c r="AW205" s="9"/>
      <c r="AX205" s="13"/>
    </row>
    <row r="206" spans="1:50" s="14" customFormat="1" x14ac:dyDescent="0.25">
      <c r="A206" s="11"/>
      <c r="B206" s="11"/>
      <c r="C206" s="11"/>
      <c r="D206" s="11"/>
      <c r="E206" s="9"/>
      <c r="F206" s="9"/>
      <c r="G206" s="9"/>
      <c r="H206" s="10"/>
      <c r="I206" s="11"/>
      <c r="J206" s="9"/>
      <c r="K206" s="9"/>
      <c r="L206" s="9"/>
      <c r="M206" s="10"/>
      <c r="N206" s="9"/>
      <c r="O206" s="10"/>
      <c r="P206" s="11"/>
      <c r="Q206" s="11"/>
      <c r="R206" s="11"/>
      <c r="S206" s="11"/>
      <c r="T206" s="9"/>
      <c r="U206" s="9"/>
      <c r="V206" s="9"/>
      <c r="W206" s="9"/>
      <c r="X206" s="9"/>
      <c r="Y206" s="10"/>
      <c r="Z206" s="11"/>
      <c r="AA206" s="11"/>
      <c r="AB206" s="11"/>
      <c r="AC206" s="11"/>
      <c r="AD206" s="11"/>
      <c r="AE206" s="11"/>
      <c r="AF206" s="11"/>
      <c r="AG206" s="11"/>
      <c r="AH206" s="11"/>
      <c r="AI206" s="12"/>
      <c r="AJ206" s="11"/>
      <c r="AK206" s="11"/>
      <c r="AL206" s="11"/>
      <c r="AM206" s="11"/>
      <c r="AN206" s="9"/>
      <c r="AO206" s="9"/>
      <c r="AP206" s="9"/>
      <c r="AQ206" s="9"/>
      <c r="AR206" s="9"/>
      <c r="AS206" s="9"/>
      <c r="AT206" s="9"/>
      <c r="AU206" s="9"/>
      <c r="AV206" s="9"/>
      <c r="AW206" s="9"/>
      <c r="AX206" s="13"/>
    </row>
    <row r="207" spans="1:50" s="14" customFormat="1" x14ac:dyDescent="0.25">
      <c r="A207" s="11"/>
      <c r="B207" s="11"/>
      <c r="C207" s="11"/>
      <c r="D207" s="11"/>
      <c r="E207" s="11"/>
      <c r="F207" s="11"/>
      <c r="G207" s="11"/>
      <c r="H207" s="10"/>
      <c r="I207" s="11"/>
      <c r="J207" s="11"/>
      <c r="K207" s="11"/>
      <c r="L207" s="11"/>
      <c r="M207" s="10"/>
      <c r="N207" s="9"/>
      <c r="O207" s="10"/>
      <c r="P207" s="11"/>
      <c r="Q207" s="11"/>
      <c r="R207" s="11"/>
      <c r="S207" s="11"/>
      <c r="T207" s="9"/>
      <c r="U207" s="9"/>
      <c r="V207" s="9"/>
      <c r="W207" s="9"/>
      <c r="X207" s="9"/>
      <c r="Y207" s="10"/>
      <c r="Z207" s="11"/>
      <c r="AA207" s="11"/>
      <c r="AB207" s="11"/>
      <c r="AC207" s="11"/>
      <c r="AD207" s="11"/>
      <c r="AE207" s="11"/>
      <c r="AF207" s="11"/>
      <c r="AG207" s="11"/>
      <c r="AH207" s="11"/>
      <c r="AI207" s="12"/>
      <c r="AJ207" s="11"/>
      <c r="AK207" s="11"/>
      <c r="AL207" s="11"/>
      <c r="AM207" s="11"/>
      <c r="AN207" s="9"/>
      <c r="AO207" s="9"/>
      <c r="AP207" s="9"/>
      <c r="AQ207" s="9"/>
      <c r="AR207" s="9"/>
      <c r="AS207" s="9"/>
      <c r="AT207" s="9"/>
      <c r="AU207" s="9"/>
      <c r="AV207" s="9"/>
      <c r="AW207" s="9"/>
      <c r="AX207" s="13"/>
    </row>
    <row r="208" spans="1:50" s="14" customFormat="1" x14ac:dyDescent="0.25">
      <c r="A208" s="11"/>
      <c r="B208" s="11"/>
      <c r="C208" s="11"/>
      <c r="D208" s="9"/>
      <c r="E208" s="9"/>
      <c r="F208" s="9"/>
      <c r="G208" s="9"/>
      <c r="H208" s="10"/>
      <c r="I208" s="9"/>
      <c r="J208" s="9"/>
      <c r="K208" s="9"/>
      <c r="L208" s="9"/>
      <c r="M208" s="10"/>
      <c r="N208" s="9"/>
      <c r="O208" s="10"/>
      <c r="P208" s="11"/>
      <c r="Q208" s="11"/>
      <c r="R208" s="11"/>
      <c r="S208" s="11"/>
      <c r="T208" s="9"/>
      <c r="U208" s="9"/>
      <c r="V208" s="9"/>
      <c r="W208" s="9"/>
      <c r="X208" s="9"/>
      <c r="Y208" s="10"/>
      <c r="Z208" s="11"/>
      <c r="AA208" s="11"/>
      <c r="AB208" s="11"/>
      <c r="AC208" s="11"/>
      <c r="AD208" s="11"/>
      <c r="AE208" s="11"/>
      <c r="AF208" s="11"/>
      <c r="AG208" s="11"/>
      <c r="AH208" s="11"/>
      <c r="AI208" s="12"/>
      <c r="AJ208" s="11"/>
      <c r="AK208" s="11"/>
      <c r="AL208" s="11"/>
      <c r="AM208" s="11"/>
      <c r="AN208" s="9"/>
      <c r="AO208" s="9"/>
      <c r="AP208" s="9"/>
      <c r="AQ208" s="9"/>
      <c r="AR208" s="9"/>
      <c r="AS208" s="9"/>
      <c r="AT208" s="9"/>
      <c r="AU208" s="9"/>
      <c r="AV208" s="9"/>
      <c r="AW208" s="9"/>
      <c r="AX208" s="13"/>
    </row>
    <row r="209" spans="1:50" s="14" customFormat="1" x14ac:dyDescent="0.25">
      <c r="A209" s="11"/>
      <c r="B209" s="11"/>
      <c r="C209" s="11"/>
      <c r="D209" s="11"/>
      <c r="E209" s="11"/>
      <c r="F209" s="11"/>
      <c r="G209" s="11"/>
      <c r="H209" s="10"/>
      <c r="I209" s="11"/>
      <c r="J209" s="11"/>
      <c r="K209" s="11"/>
      <c r="L209" s="11"/>
      <c r="M209" s="10"/>
      <c r="N209" s="9"/>
      <c r="O209" s="10"/>
      <c r="P209" s="11"/>
      <c r="Q209" s="11"/>
      <c r="R209" s="11"/>
      <c r="S209" s="11"/>
      <c r="T209" s="9"/>
      <c r="U209" s="9"/>
      <c r="V209" s="9"/>
      <c r="W209" s="9"/>
      <c r="X209" s="9"/>
      <c r="Y209" s="10"/>
      <c r="Z209" s="11"/>
      <c r="AA209" s="11"/>
      <c r="AB209" s="11"/>
      <c r="AC209" s="11"/>
      <c r="AD209" s="11"/>
      <c r="AE209" s="11"/>
      <c r="AF209" s="11"/>
      <c r="AG209" s="11"/>
      <c r="AH209" s="11"/>
      <c r="AI209" s="12"/>
      <c r="AJ209" s="11"/>
      <c r="AK209" s="11"/>
      <c r="AL209" s="11"/>
      <c r="AM209" s="11"/>
      <c r="AN209" s="9"/>
      <c r="AO209" s="9"/>
      <c r="AP209" s="9"/>
      <c r="AQ209" s="9"/>
      <c r="AR209" s="9"/>
      <c r="AS209" s="9"/>
      <c r="AT209" s="9"/>
      <c r="AU209" s="9"/>
      <c r="AV209" s="9"/>
      <c r="AW209" s="9"/>
      <c r="AX209" s="13"/>
    </row>
    <row r="210" spans="1:50" s="14" customFormat="1" x14ac:dyDescent="0.25">
      <c r="A210" s="11"/>
      <c r="B210" s="11"/>
      <c r="C210" s="11"/>
      <c r="D210" s="11"/>
      <c r="E210" s="11"/>
      <c r="F210" s="11"/>
      <c r="G210" s="11"/>
      <c r="H210" s="10"/>
      <c r="I210" s="11"/>
      <c r="J210" s="11"/>
      <c r="K210" s="11"/>
      <c r="L210" s="11"/>
      <c r="M210" s="10"/>
      <c r="N210" s="9"/>
      <c r="O210" s="10"/>
      <c r="P210" s="11"/>
      <c r="Q210" s="11"/>
      <c r="R210" s="11"/>
      <c r="S210" s="11"/>
      <c r="T210" s="9"/>
      <c r="U210" s="9"/>
      <c r="V210" s="9"/>
      <c r="W210" s="9"/>
      <c r="X210" s="9"/>
      <c r="Y210" s="10"/>
      <c r="Z210" s="11"/>
      <c r="AA210" s="11"/>
      <c r="AB210" s="11"/>
      <c r="AC210" s="11"/>
      <c r="AD210" s="11"/>
      <c r="AE210" s="11"/>
      <c r="AF210" s="11"/>
      <c r="AG210" s="11"/>
      <c r="AH210" s="11"/>
      <c r="AI210" s="12"/>
      <c r="AJ210" s="11"/>
      <c r="AK210" s="11"/>
      <c r="AL210" s="11"/>
      <c r="AM210" s="11"/>
      <c r="AN210" s="9"/>
      <c r="AO210" s="9"/>
      <c r="AP210" s="9"/>
      <c r="AQ210" s="9"/>
      <c r="AR210" s="9"/>
      <c r="AS210" s="9"/>
      <c r="AT210" s="9"/>
      <c r="AU210" s="9"/>
      <c r="AV210" s="9"/>
      <c r="AW210" s="9"/>
      <c r="AX210" s="13"/>
    </row>
    <row r="211" spans="1:50" s="14" customFormat="1" x14ac:dyDescent="0.25">
      <c r="A211" s="11"/>
      <c r="B211" s="11"/>
      <c r="C211" s="11"/>
      <c r="D211" s="11"/>
      <c r="E211" s="9"/>
      <c r="F211" s="9"/>
      <c r="G211" s="9"/>
      <c r="H211" s="10"/>
      <c r="I211" s="11"/>
      <c r="J211" s="9"/>
      <c r="K211" s="9"/>
      <c r="L211" s="9"/>
      <c r="M211" s="10"/>
      <c r="N211" s="9"/>
      <c r="O211" s="10"/>
      <c r="P211" s="11"/>
      <c r="Q211" s="11"/>
      <c r="R211" s="11"/>
      <c r="S211" s="11"/>
      <c r="T211" s="9"/>
      <c r="U211" s="9"/>
      <c r="V211" s="9"/>
      <c r="W211" s="9"/>
      <c r="X211" s="9"/>
      <c r="Y211" s="10"/>
      <c r="Z211" s="11"/>
      <c r="AA211" s="11"/>
      <c r="AB211" s="11"/>
      <c r="AC211" s="11"/>
      <c r="AD211" s="11"/>
      <c r="AE211" s="11"/>
      <c r="AF211" s="11"/>
      <c r="AG211" s="11"/>
      <c r="AH211" s="11"/>
      <c r="AI211" s="12"/>
      <c r="AJ211" s="11"/>
      <c r="AK211" s="11"/>
      <c r="AL211" s="11"/>
      <c r="AM211" s="11"/>
      <c r="AN211" s="9"/>
      <c r="AO211" s="9"/>
      <c r="AP211" s="9"/>
      <c r="AQ211" s="9"/>
      <c r="AR211" s="9"/>
      <c r="AS211" s="9"/>
      <c r="AT211" s="9"/>
      <c r="AU211" s="9"/>
      <c r="AV211" s="9"/>
      <c r="AW211" s="9"/>
      <c r="AX211" s="13"/>
    </row>
    <row r="212" spans="1:50" s="14" customFormat="1" x14ac:dyDescent="0.25">
      <c r="A212" s="11"/>
      <c r="B212" s="11"/>
      <c r="C212" s="11"/>
      <c r="D212" s="11"/>
      <c r="E212" s="11"/>
      <c r="F212" s="11"/>
      <c r="G212" s="11"/>
      <c r="H212" s="10"/>
      <c r="I212" s="11"/>
      <c r="J212" s="11"/>
      <c r="K212" s="11"/>
      <c r="L212" s="11"/>
      <c r="M212" s="10"/>
      <c r="N212" s="9"/>
      <c r="O212" s="10"/>
      <c r="P212" s="11"/>
      <c r="Q212" s="11"/>
      <c r="R212" s="11"/>
      <c r="S212" s="11"/>
      <c r="T212" s="9"/>
      <c r="U212" s="9"/>
      <c r="V212" s="9"/>
      <c r="W212" s="9"/>
      <c r="X212" s="9"/>
      <c r="Y212" s="10"/>
      <c r="Z212" s="11"/>
      <c r="AA212" s="11"/>
      <c r="AB212" s="11"/>
      <c r="AC212" s="11"/>
      <c r="AD212" s="11"/>
      <c r="AE212" s="11"/>
      <c r="AF212" s="11"/>
      <c r="AG212" s="11"/>
      <c r="AH212" s="11"/>
      <c r="AI212" s="12"/>
      <c r="AJ212" s="11"/>
      <c r="AK212" s="11"/>
      <c r="AL212" s="11"/>
      <c r="AM212" s="11"/>
      <c r="AN212" s="9"/>
      <c r="AO212" s="9"/>
      <c r="AP212" s="9"/>
      <c r="AQ212" s="9"/>
      <c r="AR212" s="9"/>
      <c r="AS212" s="9"/>
      <c r="AT212" s="9"/>
      <c r="AU212" s="9"/>
      <c r="AV212" s="9"/>
      <c r="AW212" s="9"/>
      <c r="AX212" s="13"/>
    </row>
    <row r="213" spans="1:50" s="14" customFormat="1" x14ac:dyDescent="0.25">
      <c r="A213" s="11"/>
      <c r="B213" s="11"/>
      <c r="C213" s="11"/>
      <c r="D213" s="11"/>
      <c r="E213" s="9"/>
      <c r="F213" s="9"/>
      <c r="G213" s="9"/>
      <c r="H213" s="10"/>
      <c r="I213" s="11"/>
      <c r="J213" s="9"/>
      <c r="K213" s="9"/>
      <c r="L213" s="9"/>
      <c r="M213" s="10"/>
      <c r="N213" s="9"/>
      <c r="O213" s="10"/>
      <c r="P213" s="11"/>
      <c r="Q213" s="11"/>
      <c r="R213" s="11"/>
      <c r="S213" s="11"/>
      <c r="T213" s="9"/>
      <c r="U213" s="9"/>
      <c r="V213" s="9"/>
      <c r="W213" s="9"/>
      <c r="X213" s="9"/>
      <c r="Y213" s="10"/>
      <c r="Z213" s="11"/>
      <c r="AA213" s="11"/>
      <c r="AB213" s="11"/>
      <c r="AC213" s="11"/>
      <c r="AD213" s="11"/>
      <c r="AE213" s="11"/>
      <c r="AF213" s="11"/>
      <c r="AG213" s="11"/>
      <c r="AH213" s="11"/>
      <c r="AI213" s="12"/>
      <c r="AJ213" s="11"/>
      <c r="AK213" s="11"/>
      <c r="AL213" s="11"/>
      <c r="AM213" s="11"/>
      <c r="AN213" s="9"/>
      <c r="AO213" s="9"/>
      <c r="AP213" s="9"/>
      <c r="AQ213" s="9"/>
      <c r="AR213" s="9"/>
      <c r="AS213" s="9"/>
      <c r="AT213" s="9"/>
      <c r="AU213" s="9"/>
      <c r="AV213" s="9"/>
      <c r="AW213" s="9"/>
      <c r="AX213" s="13"/>
    </row>
    <row r="214" spans="1:50" s="14" customFormat="1" x14ac:dyDescent="0.25">
      <c r="A214" s="11"/>
      <c r="B214" s="11"/>
      <c r="C214" s="11"/>
      <c r="D214" s="11"/>
      <c r="E214" s="9"/>
      <c r="F214" s="9"/>
      <c r="G214" s="9"/>
      <c r="H214" s="10"/>
      <c r="I214" s="11"/>
      <c r="J214" s="9"/>
      <c r="K214" s="9"/>
      <c r="L214" s="9"/>
      <c r="M214" s="10"/>
      <c r="N214" s="9"/>
      <c r="O214" s="10"/>
      <c r="P214" s="11"/>
      <c r="Q214" s="11"/>
      <c r="R214" s="11"/>
      <c r="S214" s="11"/>
      <c r="T214" s="9"/>
      <c r="U214" s="9"/>
      <c r="V214" s="9"/>
      <c r="W214" s="9"/>
      <c r="X214" s="9"/>
      <c r="Y214" s="10"/>
      <c r="Z214" s="11"/>
      <c r="AA214" s="11"/>
      <c r="AB214" s="11"/>
      <c r="AC214" s="11"/>
      <c r="AD214" s="11"/>
      <c r="AE214" s="11"/>
      <c r="AF214" s="11"/>
      <c r="AG214" s="11"/>
      <c r="AH214" s="11"/>
      <c r="AI214" s="12"/>
      <c r="AJ214" s="11"/>
      <c r="AK214" s="11"/>
      <c r="AL214" s="11"/>
      <c r="AM214" s="11"/>
      <c r="AN214" s="9"/>
      <c r="AO214" s="9"/>
      <c r="AP214" s="9"/>
      <c r="AQ214" s="9"/>
      <c r="AR214" s="9"/>
      <c r="AS214" s="9"/>
      <c r="AT214" s="9"/>
      <c r="AU214" s="9"/>
      <c r="AV214" s="9"/>
      <c r="AW214" s="9"/>
      <c r="AX214" s="13"/>
    </row>
    <row r="215" spans="1:50" s="14" customFormat="1" x14ac:dyDescent="0.25">
      <c r="A215" s="11"/>
      <c r="B215" s="11"/>
      <c r="C215" s="11"/>
      <c r="D215" s="11"/>
      <c r="E215" s="11"/>
      <c r="F215" s="11"/>
      <c r="G215" s="11"/>
      <c r="H215" s="10"/>
      <c r="I215" s="11"/>
      <c r="J215" s="11"/>
      <c r="K215" s="11"/>
      <c r="L215" s="11"/>
      <c r="M215" s="10"/>
      <c r="N215" s="9"/>
      <c r="O215" s="10"/>
      <c r="P215" s="11"/>
      <c r="Q215" s="11"/>
      <c r="R215" s="11"/>
      <c r="S215" s="11"/>
      <c r="T215" s="9"/>
      <c r="U215" s="9"/>
      <c r="V215" s="9"/>
      <c r="W215" s="9"/>
      <c r="X215" s="9"/>
      <c r="Y215" s="10"/>
      <c r="Z215" s="11"/>
      <c r="AA215" s="11"/>
      <c r="AB215" s="11"/>
      <c r="AC215" s="11"/>
      <c r="AD215" s="11"/>
      <c r="AE215" s="11"/>
      <c r="AF215" s="11"/>
      <c r="AG215" s="11"/>
      <c r="AH215" s="11"/>
      <c r="AI215" s="12"/>
      <c r="AJ215" s="11"/>
      <c r="AK215" s="11"/>
      <c r="AL215" s="11"/>
      <c r="AM215" s="11"/>
      <c r="AN215" s="9"/>
      <c r="AO215" s="9"/>
      <c r="AP215" s="9"/>
      <c r="AQ215" s="9"/>
      <c r="AR215" s="9"/>
      <c r="AS215" s="9"/>
      <c r="AT215" s="9"/>
      <c r="AU215" s="9"/>
      <c r="AV215" s="9"/>
      <c r="AW215" s="9"/>
      <c r="AX215" s="13"/>
    </row>
    <row r="216" spans="1:50" s="14" customFormat="1" x14ac:dyDescent="0.25">
      <c r="A216" s="11"/>
      <c r="B216" s="11"/>
      <c r="C216" s="11"/>
      <c r="D216" s="11"/>
      <c r="E216" s="9"/>
      <c r="F216" s="9"/>
      <c r="G216" s="9"/>
      <c r="H216" s="10"/>
      <c r="I216" s="11"/>
      <c r="J216" s="9"/>
      <c r="K216" s="9"/>
      <c r="L216" s="9"/>
      <c r="M216" s="10"/>
      <c r="N216" s="9"/>
      <c r="O216" s="10"/>
      <c r="P216" s="11"/>
      <c r="Q216" s="11"/>
      <c r="R216" s="11"/>
      <c r="S216" s="11"/>
      <c r="T216" s="9"/>
      <c r="U216" s="9"/>
      <c r="V216" s="9"/>
      <c r="W216" s="9"/>
      <c r="X216" s="9"/>
      <c r="Y216" s="10"/>
      <c r="Z216" s="11"/>
      <c r="AA216" s="11"/>
      <c r="AB216" s="11"/>
      <c r="AC216" s="11"/>
      <c r="AD216" s="11"/>
      <c r="AE216" s="11"/>
      <c r="AF216" s="11"/>
      <c r="AG216" s="11"/>
      <c r="AH216" s="11"/>
      <c r="AI216" s="12"/>
      <c r="AJ216" s="11"/>
      <c r="AK216" s="11"/>
      <c r="AL216" s="11"/>
      <c r="AM216" s="11"/>
      <c r="AN216" s="9"/>
      <c r="AO216" s="9"/>
      <c r="AP216" s="9"/>
      <c r="AQ216" s="9"/>
      <c r="AR216" s="9"/>
      <c r="AS216" s="9"/>
      <c r="AT216" s="9"/>
      <c r="AU216" s="9"/>
      <c r="AV216" s="9"/>
      <c r="AW216" s="9"/>
      <c r="AX216" s="13"/>
    </row>
    <row r="217" spans="1:50" s="14" customFormat="1" x14ac:dyDescent="0.25">
      <c r="A217" s="11"/>
      <c r="B217" s="11"/>
      <c r="C217" s="11"/>
      <c r="D217" s="11"/>
      <c r="E217" s="9"/>
      <c r="F217" s="9"/>
      <c r="G217" s="9"/>
      <c r="H217" s="10"/>
      <c r="I217" s="11"/>
      <c r="J217" s="9"/>
      <c r="K217" s="9"/>
      <c r="L217" s="9"/>
      <c r="M217" s="10"/>
      <c r="N217" s="9"/>
      <c r="O217" s="10"/>
      <c r="P217" s="11"/>
      <c r="Q217" s="11"/>
      <c r="R217" s="11"/>
      <c r="S217" s="11"/>
      <c r="T217" s="9"/>
      <c r="U217" s="9"/>
      <c r="V217" s="9"/>
      <c r="W217" s="9"/>
      <c r="X217" s="9"/>
      <c r="Y217" s="10"/>
      <c r="Z217" s="11"/>
      <c r="AA217" s="11"/>
      <c r="AB217" s="11"/>
      <c r="AC217" s="11"/>
      <c r="AD217" s="11"/>
      <c r="AE217" s="11"/>
      <c r="AF217" s="11"/>
      <c r="AG217" s="11"/>
      <c r="AH217" s="11"/>
      <c r="AI217" s="12"/>
      <c r="AJ217" s="11"/>
      <c r="AK217" s="11"/>
      <c r="AL217" s="11"/>
      <c r="AM217" s="11"/>
      <c r="AN217" s="9"/>
      <c r="AO217" s="9"/>
      <c r="AP217" s="9"/>
      <c r="AQ217" s="9"/>
      <c r="AR217" s="9"/>
      <c r="AS217" s="9"/>
      <c r="AT217" s="9"/>
      <c r="AU217" s="9"/>
      <c r="AV217" s="9"/>
      <c r="AW217" s="9"/>
      <c r="AX217" s="13"/>
    </row>
    <row r="218" spans="1:50" s="14" customFormat="1" x14ac:dyDescent="0.25">
      <c r="A218" s="11"/>
      <c r="B218" s="11"/>
      <c r="C218" s="11"/>
      <c r="D218" s="11"/>
      <c r="E218" s="11"/>
      <c r="F218" s="11"/>
      <c r="G218" s="11"/>
      <c r="H218" s="10"/>
      <c r="I218" s="11"/>
      <c r="J218" s="11"/>
      <c r="K218" s="11"/>
      <c r="L218" s="11"/>
      <c r="M218" s="10"/>
      <c r="N218" s="9"/>
      <c r="O218" s="10"/>
      <c r="P218" s="11"/>
      <c r="Q218" s="11"/>
      <c r="R218" s="11"/>
      <c r="S218" s="11"/>
      <c r="T218" s="9"/>
      <c r="U218" s="9"/>
      <c r="V218" s="9"/>
      <c r="W218" s="9"/>
      <c r="X218" s="9"/>
      <c r="Y218" s="10"/>
      <c r="Z218" s="11"/>
      <c r="AA218" s="11"/>
      <c r="AB218" s="11"/>
      <c r="AC218" s="11"/>
      <c r="AD218" s="11"/>
      <c r="AE218" s="11"/>
      <c r="AF218" s="11"/>
      <c r="AG218" s="11"/>
      <c r="AH218" s="11"/>
      <c r="AI218" s="12"/>
      <c r="AJ218" s="11"/>
      <c r="AK218" s="11"/>
      <c r="AL218" s="11"/>
      <c r="AM218" s="11"/>
      <c r="AN218" s="9"/>
      <c r="AO218" s="9"/>
      <c r="AP218" s="9"/>
      <c r="AQ218" s="9"/>
      <c r="AR218" s="9"/>
      <c r="AS218" s="9"/>
      <c r="AT218" s="9"/>
      <c r="AU218" s="9"/>
      <c r="AV218" s="9"/>
      <c r="AW218" s="9"/>
      <c r="AX218" s="13"/>
    </row>
    <row r="219" spans="1:50" s="14" customFormat="1" x14ac:dyDescent="0.25">
      <c r="A219" s="11"/>
      <c r="B219" s="11"/>
      <c r="C219" s="11"/>
      <c r="D219" s="11"/>
      <c r="E219" s="11"/>
      <c r="F219" s="11"/>
      <c r="G219" s="11"/>
      <c r="H219" s="10"/>
      <c r="I219" s="11"/>
      <c r="J219" s="11"/>
      <c r="K219" s="11"/>
      <c r="L219" s="11"/>
      <c r="M219" s="10"/>
      <c r="N219" s="9"/>
      <c r="O219" s="10"/>
      <c r="P219" s="11"/>
      <c r="Q219" s="11"/>
      <c r="R219" s="11"/>
      <c r="S219" s="11"/>
      <c r="T219" s="9"/>
      <c r="U219" s="9"/>
      <c r="V219" s="9"/>
      <c r="W219" s="9"/>
      <c r="X219" s="9"/>
      <c r="Y219" s="10"/>
      <c r="Z219" s="11"/>
      <c r="AA219" s="11"/>
      <c r="AB219" s="11"/>
      <c r="AC219" s="11"/>
      <c r="AD219" s="11"/>
      <c r="AE219" s="11"/>
      <c r="AF219" s="11"/>
      <c r="AG219" s="11"/>
      <c r="AH219" s="11"/>
      <c r="AI219" s="12"/>
      <c r="AJ219" s="11"/>
      <c r="AK219" s="11"/>
      <c r="AL219" s="11"/>
      <c r="AM219" s="11"/>
      <c r="AN219" s="9"/>
      <c r="AO219" s="9"/>
      <c r="AP219" s="9"/>
      <c r="AQ219" s="9"/>
      <c r="AR219" s="9"/>
      <c r="AS219" s="9"/>
      <c r="AT219" s="9"/>
      <c r="AU219" s="9"/>
      <c r="AV219" s="9"/>
      <c r="AW219" s="9"/>
      <c r="AX219" s="13"/>
    </row>
    <row r="220" spans="1:50" s="14" customFormat="1" x14ac:dyDescent="0.25">
      <c r="A220" s="11"/>
      <c r="B220" s="11"/>
      <c r="C220" s="11"/>
      <c r="D220" s="11"/>
      <c r="E220" s="11"/>
      <c r="F220" s="11"/>
      <c r="G220" s="11"/>
      <c r="H220" s="10"/>
      <c r="I220" s="11"/>
      <c r="J220" s="11"/>
      <c r="K220" s="11"/>
      <c r="L220" s="11"/>
      <c r="M220" s="10"/>
      <c r="N220" s="9"/>
      <c r="O220" s="10"/>
      <c r="P220" s="11"/>
      <c r="Q220" s="11"/>
      <c r="R220" s="11"/>
      <c r="S220" s="11"/>
      <c r="T220" s="9"/>
      <c r="U220" s="9"/>
      <c r="V220" s="9"/>
      <c r="W220" s="9"/>
      <c r="X220" s="9"/>
      <c r="Y220" s="10"/>
      <c r="Z220" s="11"/>
      <c r="AA220" s="11"/>
      <c r="AB220" s="11"/>
      <c r="AC220" s="11"/>
      <c r="AD220" s="11"/>
      <c r="AE220" s="11"/>
      <c r="AF220" s="11"/>
      <c r="AG220" s="11"/>
      <c r="AH220" s="11"/>
      <c r="AI220" s="12"/>
      <c r="AJ220" s="11"/>
      <c r="AK220" s="11"/>
      <c r="AL220" s="11"/>
      <c r="AM220" s="11"/>
      <c r="AN220" s="9"/>
      <c r="AO220" s="9"/>
      <c r="AP220" s="9"/>
      <c r="AQ220" s="9"/>
      <c r="AR220" s="9"/>
      <c r="AS220" s="9"/>
      <c r="AT220" s="9"/>
      <c r="AU220" s="9"/>
      <c r="AV220" s="9"/>
      <c r="AW220" s="9"/>
      <c r="AX220" s="13"/>
    </row>
    <row r="221" spans="1:50" s="14" customFormat="1" x14ac:dyDescent="0.25">
      <c r="A221" s="11"/>
      <c r="B221" s="11"/>
      <c r="C221" s="11"/>
      <c r="D221" s="9"/>
      <c r="E221" s="9"/>
      <c r="F221" s="9"/>
      <c r="G221" s="9"/>
      <c r="H221" s="10"/>
      <c r="I221" s="9"/>
      <c r="J221" s="9"/>
      <c r="K221" s="9"/>
      <c r="L221" s="9"/>
      <c r="M221" s="10"/>
      <c r="N221" s="9"/>
      <c r="O221" s="10"/>
      <c r="P221" s="11"/>
      <c r="Q221" s="11"/>
      <c r="R221" s="11"/>
      <c r="S221" s="11"/>
      <c r="T221" s="9"/>
      <c r="U221" s="9"/>
      <c r="V221" s="9"/>
      <c r="W221" s="9"/>
      <c r="X221" s="9"/>
      <c r="Y221" s="10"/>
      <c r="Z221" s="11"/>
      <c r="AA221" s="11"/>
      <c r="AB221" s="11"/>
      <c r="AC221" s="11"/>
      <c r="AD221" s="11"/>
      <c r="AE221" s="11"/>
      <c r="AF221" s="11"/>
      <c r="AG221" s="11"/>
      <c r="AH221" s="11"/>
      <c r="AI221" s="12"/>
      <c r="AJ221" s="11"/>
      <c r="AK221" s="11"/>
      <c r="AL221" s="11"/>
      <c r="AM221" s="11"/>
      <c r="AN221" s="9"/>
      <c r="AO221" s="9"/>
      <c r="AP221" s="9"/>
      <c r="AQ221" s="9"/>
      <c r="AR221" s="9"/>
      <c r="AS221" s="9"/>
      <c r="AT221" s="9"/>
      <c r="AU221" s="9"/>
      <c r="AV221" s="9"/>
      <c r="AW221" s="9"/>
      <c r="AX221" s="13"/>
    </row>
    <row r="222" spans="1:50" s="14" customFormat="1" x14ac:dyDescent="0.25">
      <c r="A222" s="11"/>
      <c r="B222" s="11"/>
      <c r="C222" s="11"/>
      <c r="D222" s="11"/>
      <c r="E222" s="11"/>
      <c r="F222" s="11"/>
      <c r="G222" s="11"/>
      <c r="H222" s="10"/>
      <c r="I222" s="11"/>
      <c r="J222" s="11"/>
      <c r="K222" s="11"/>
      <c r="L222" s="11"/>
      <c r="M222" s="10"/>
      <c r="N222" s="9"/>
      <c r="O222" s="10"/>
      <c r="P222" s="11"/>
      <c r="Q222" s="11"/>
      <c r="R222" s="11"/>
      <c r="S222" s="11"/>
      <c r="T222" s="9"/>
      <c r="U222" s="9"/>
      <c r="V222" s="9"/>
      <c r="W222" s="9"/>
      <c r="X222" s="9"/>
      <c r="Y222" s="10"/>
      <c r="Z222" s="11"/>
      <c r="AA222" s="11"/>
      <c r="AB222" s="11"/>
      <c r="AC222" s="11"/>
      <c r="AD222" s="11"/>
      <c r="AE222" s="11"/>
      <c r="AF222" s="11"/>
      <c r="AG222" s="11"/>
      <c r="AH222" s="11"/>
      <c r="AI222" s="12"/>
      <c r="AJ222" s="11"/>
      <c r="AK222" s="11"/>
      <c r="AL222" s="11"/>
      <c r="AM222" s="11"/>
      <c r="AN222" s="9"/>
      <c r="AO222" s="9"/>
      <c r="AP222" s="9"/>
      <c r="AQ222" s="9"/>
      <c r="AR222" s="9"/>
      <c r="AS222" s="9"/>
      <c r="AT222" s="9"/>
      <c r="AU222" s="9"/>
      <c r="AV222" s="9"/>
      <c r="AW222" s="9"/>
      <c r="AX222" s="13"/>
    </row>
    <row r="223" spans="1:50" s="14" customFormat="1" x14ac:dyDescent="0.25">
      <c r="A223" s="11"/>
      <c r="B223" s="11"/>
      <c r="C223" s="11"/>
      <c r="D223" s="11"/>
      <c r="E223" s="9"/>
      <c r="F223" s="9"/>
      <c r="G223" s="9"/>
      <c r="H223" s="10"/>
      <c r="I223" s="11"/>
      <c r="J223" s="9"/>
      <c r="K223" s="9"/>
      <c r="L223" s="9"/>
      <c r="M223" s="10"/>
      <c r="N223" s="9"/>
      <c r="O223" s="10"/>
      <c r="P223" s="11"/>
      <c r="Q223" s="11"/>
      <c r="R223" s="11"/>
      <c r="S223" s="11"/>
      <c r="T223" s="9"/>
      <c r="U223" s="9"/>
      <c r="V223" s="9"/>
      <c r="W223" s="9"/>
      <c r="X223" s="9"/>
      <c r="Y223" s="10"/>
      <c r="Z223" s="11"/>
      <c r="AA223" s="11"/>
      <c r="AB223" s="11"/>
      <c r="AC223" s="11"/>
      <c r="AD223" s="11"/>
      <c r="AE223" s="11"/>
      <c r="AF223" s="11"/>
      <c r="AG223" s="11"/>
      <c r="AH223" s="11"/>
      <c r="AI223" s="12"/>
      <c r="AJ223" s="11"/>
      <c r="AK223" s="11"/>
      <c r="AL223" s="11"/>
      <c r="AM223" s="11"/>
      <c r="AN223" s="9"/>
      <c r="AO223" s="9"/>
      <c r="AP223" s="9"/>
      <c r="AQ223" s="9"/>
      <c r="AR223" s="9"/>
      <c r="AS223" s="9"/>
      <c r="AT223" s="9"/>
      <c r="AU223" s="9"/>
      <c r="AV223" s="9"/>
      <c r="AW223" s="9"/>
      <c r="AX223" s="13"/>
    </row>
    <row r="224" spans="1:50" s="14" customFormat="1" x14ac:dyDescent="0.25">
      <c r="A224" s="11"/>
      <c r="B224" s="11"/>
      <c r="C224" s="11"/>
      <c r="D224" s="11"/>
      <c r="E224" s="11"/>
      <c r="F224" s="11"/>
      <c r="G224" s="11"/>
      <c r="H224" s="10"/>
      <c r="I224" s="11"/>
      <c r="J224" s="11"/>
      <c r="K224" s="11"/>
      <c r="L224" s="11"/>
      <c r="M224" s="10"/>
      <c r="N224" s="9"/>
      <c r="O224" s="10"/>
      <c r="P224" s="11"/>
      <c r="Q224" s="11"/>
      <c r="R224" s="11"/>
      <c r="S224" s="11"/>
      <c r="T224" s="9"/>
      <c r="U224" s="9"/>
      <c r="V224" s="9"/>
      <c r="W224" s="9"/>
      <c r="X224" s="9"/>
      <c r="Y224" s="10"/>
      <c r="Z224" s="11"/>
      <c r="AA224" s="11"/>
      <c r="AB224" s="11"/>
      <c r="AC224" s="11"/>
      <c r="AD224" s="11"/>
      <c r="AE224" s="11"/>
      <c r="AF224" s="11"/>
      <c r="AG224" s="11"/>
      <c r="AH224" s="11"/>
      <c r="AI224" s="12"/>
      <c r="AJ224" s="11"/>
      <c r="AK224" s="11"/>
      <c r="AL224" s="11"/>
      <c r="AM224" s="11"/>
      <c r="AN224" s="9"/>
      <c r="AO224" s="9"/>
      <c r="AP224" s="9"/>
      <c r="AQ224" s="9"/>
      <c r="AR224" s="9"/>
      <c r="AS224" s="9"/>
      <c r="AT224" s="9"/>
      <c r="AU224" s="9"/>
      <c r="AV224" s="9"/>
      <c r="AW224" s="9"/>
      <c r="AX224" s="13"/>
    </row>
    <row r="225" spans="1:50" s="14" customFormat="1" x14ac:dyDescent="0.25">
      <c r="A225" s="11"/>
      <c r="B225" s="11"/>
      <c r="C225" s="11"/>
      <c r="D225" s="11"/>
      <c r="E225" s="11"/>
      <c r="F225" s="11"/>
      <c r="G225" s="11"/>
      <c r="H225" s="10"/>
      <c r="I225" s="11"/>
      <c r="J225" s="11"/>
      <c r="K225" s="11"/>
      <c r="L225" s="11"/>
      <c r="M225" s="10"/>
      <c r="N225" s="9"/>
      <c r="O225" s="10"/>
      <c r="P225" s="11"/>
      <c r="Q225" s="11"/>
      <c r="R225" s="11"/>
      <c r="S225" s="11"/>
      <c r="T225" s="9"/>
      <c r="U225" s="9"/>
      <c r="V225" s="9"/>
      <c r="W225" s="9"/>
      <c r="X225" s="9"/>
      <c r="Y225" s="10"/>
      <c r="Z225" s="11"/>
      <c r="AA225" s="11"/>
      <c r="AB225" s="11"/>
      <c r="AC225" s="11"/>
      <c r="AD225" s="11"/>
      <c r="AE225" s="11"/>
      <c r="AF225" s="11"/>
      <c r="AG225" s="11"/>
      <c r="AH225" s="11"/>
      <c r="AI225" s="12"/>
      <c r="AJ225" s="11"/>
      <c r="AK225" s="11"/>
      <c r="AL225" s="11"/>
      <c r="AM225" s="11"/>
      <c r="AN225" s="9"/>
      <c r="AO225" s="9"/>
      <c r="AP225" s="9"/>
      <c r="AQ225" s="9"/>
      <c r="AR225" s="9"/>
      <c r="AS225" s="9"/>
      <c r="AT225" s="9"/>
      <c r="AU225" s="9"/>
      <c r="AV225" s="9"/>
      <c r="AW225" s="9"/>
      <c r="AX225" s="13"/>
    </row>
    <row r="226" spans="1:50" s="14" customFormat="1" x14ac:dyDescent="0.25">
      <c r="A226" s="11"/>
      <c r="B226" s="11"/>
      <c r="C226" s="11"/>
      <c r="D226" s="11"/>
      <c r="E226" s="11"/>
      <c r="F226" s="11"/>
      <c r="G226" s="11"/>
      <c r="H226" s="10"/>
      <c r="I226" s="11"/>
      <c r="J226" s="11"/>
      <c r="K226" s="11"/>
      <c r="L226" s="11"/>
      <c r="M226" s="10"/>
      <c r="N226" s="9"/>
      <c r="O226" s="10"/>
      <c r="P226" s="11"/>
      <c r="Q226" s="11"/>
      <c r="R226" s="11"/>
      <c r="S226" s="11"/>
      <c r="T226" s="9"/>
      <c r="U226" s="9"/>
      <c r="V226" s="9"/>
      <c r="W226" s="9"/>
      <c r="X226" s="9"/>
      <c r="Y226" s="10"/>
      <c r="Z226" s="11"/>
      <c r="AA226" s="11"/>
      <c r="AB226" s="11"/>
      <c r="AC226" s="11"/>
      <c r="AD226" s="11"/>
      <c r="AE226" s="11"/>
      <c r="AF226" s="11"/>
      <c r="AG226" s="11"/>
      <c r="AH226" s="11"/>
      <c r="AI226" s="12"/>
      <c r="AJ226" s="11"/>
      <c r="AK226" s="11"/>
      <c r="AL226" s="11"/>
      <c r="AM226" s="11"/>
      <c r="AN226" s="9"/>
      <c r="AO226" s="9"/>
      <c r="AP226" s="9"/>
      <c r="AQ226" s="9"/>
      <c r="AR226" s="9"/>
      <c r="AS226" s="9"/>
      <c r="AT226" s="9"/>
      <c r="AU226" s="9"/>
      <c r="AV226" s="9"/>
      <c r="AW226" s="9"/>
      <c r="AX226" s="13"/>
    </row>
    <row r="227" spans="1:50" s="14" customFormat="1" x14ac:dyDescent="0.25">
      <c r="A227" s="11"/>
      <c r="B227" s="11"/>
      <c r="C227" s="11"/>
      <c r="D227" s="11"/>
      <c r="E227" s="9"/>
      <c r="F227" s="9"/>
      <c r="G227" s="9"/>
      <c r="H227" s="10"/>
      <c r="I227" s="11"/>
      <c r="J227" s="9"/>
      <c r="K227" s="9"/>
      <c r="L227" s="9"/>
      <c r="M227" s="10"/>
      <c r="N227" s="9"/>
      <c r="O227" s="10"/>
      <c r="P227" s="11"/>
      <c r="Q227" s="11"/>
      <c r="R227" s="11"/>
      <c r="S227" s="11"/>
      <c r="T227" s="9"/>
      <c r="U227" s="9"/>
      <c r="V227" s="9"/>
      <c r="W227" s="9"/>
      <c r="X227" s="9"/>
      <c r="Y227" s="10"/>
      <c r="Z227" s="11"/>
      <c r="AA227" s="11"/>
      <c r="AB227" s="11"/>
      <c r="AC227" s="11"/>
      <c r="AD227" s="11"/>
      <c r="AE227" s="11"/>
      <c r="AF227" s="11"/>
      <c r="AG227" s="11"/>
      <c r="AH227" s="11"/>
      <c r="AI227" s="12"/>
      <c r="AJ227" s="11"/>
      <c r="AK227" s="11"/>
      <c r="AL227" s="11"/>
      <c r="AM227" s="11"/>
      <c r="AN227" s="9"/>
      <c r="AO227" s="9"/>
      <c r="AP227" s="9"/>
      <c r="AQ227" s="9"/>
      <c r="AR227" s="9"/>
      <c r="AS227" s="9"/>
      <c r="AT227" s="9"/>
      <c r="AU227" s="9"/>
      <c r="AV227" s="9"/>
      <c r="AW227" s="9"/>
      <c r="AX227" s="13"/>
    </row>
    <row r="228" spans="1:50" s="14" customFormat="1" x14ac:dyDescent="0.25">
      <c r="A228" s="11"/>
      <c r="B228" s="11"/>
      <c r="C228" s="11"/>
      <c r="D228" s="11"/>
      <c r="E228" s="9"/>
      <c r="F228" s="9"/>
      <c r="G228" s="9"/>
      <c r="H228" s="10"/>
      <c r="I228" s="11"/>
      <c r="J228" s="9"/>
      <c r="K228" s="9"/>
      <c r="L228" s="9"/>
      <c r="M228" s="10"/>
      <c r="N228" s="9"/>
      <c r="O228" s="10"/>
      <c r="P228" s="11"/>
      <c r="Q228" s="11"/>
      <c r="R228" s="11"/>
      <c r="S228" s="11"/>
      <c r="T228" s="9"/>
      <c r="U228" s="9"/>
      <c r="V228" s="9"/>
      <c r="W228" s="9"/>
      <c r="X228" s="9"/>
      <c r="Y228" s="10"/>
      <c r="Z228" s="11"/>
      <c r="AA228" s="11"/>
      <c r="AB228" s="11"/>
      <c r="AC228" s="11"/>
      <c r="AD228" s="11"/>
      <c r="AE228" s="11"/>
      <c r="AF228" s="11"/>
      <c r="AG228" s="11"/>
      <c r="AH228" s="11"/>
      <c r="AI228" s="12"/>
      <c r="AJ228" s="11"/>
      <c r="AK228" s="11"/>
      <c r="AL228" s="11"/>
      <c r="AM228" s="11"/>
      <c r="AN228" s="9"/>
      <c r="AO228" s="9"/>
      <c r="AP228" s="9"/>
      <c r="AQ228" s="9"/>
      <c r="AR228" s="9"/>
      <c r="AS228" s="9"/>
      <c r="AT228" s="9"/>
      <c r="AU228" s="9"/>
      <c r="AV228" s="9"/>
      <c r="AW228" s="9"/>
      <c r="AX228" s="13"/>
    </row>
    <row r="229" spans="1:50" s="14" customFormat="1" x14ac:dyDescent="0.25">
      <c r="A229" s="11"/>
      <c r="B229" s="11"/>
      <c r="C229" s="11"/>
      <c r="D229" s="11"/>
      <c r="E229" s="11"/>
      <c r="F229" s="11"/>
      <c r="G229" s="11"/>
      <c r="H229" s="10"/>
      <c r="I229" s="11"/>
      <c r="J229" s="11"/>
      <c r="K229" s="11"/>
      <c r="L229" s="11"/>
      <c r="M229" s="10"/>
      <c r="N229" s="9"/>
      <c r="O229" s="10"/>
      <c r="P229" s="11"/>
      <c r="Q229" s="11"/>
      <c r="R229" s="11"/>
      <c r="S229" s="11"/>
      <c r="T229" s="9"/>
      <c r="U229" s="9"/>
      <c r="V229" s="9"/>
      <c r="W229" s="9"/>
      <c r="X229" s="9"/>
      <c r="Y229" s="10"/>
      <c r="Z229" s="11"/>
      <c r="AA229" s="11"/>
      <c r="AB229" s="11"/>
      <c r="AC229" s="11"/>
      <c r="AD229" s="11"/>
      <c r="AE229" s="11"/>
      <c r="AF229" s="11"/>
      <c r="AG229" s="11"/>
      <c r="AH229" s="11"/>
      <c r="AI229" s="12"/>
      <c r="AJ229" s="11"/>
      <c r="AK229" s="11"/>
      <c r="AL229" s="11"/>
      <c r="AM229" s="11"/>
      <c r="AN229" s="9"/>
      <c r="AO229" s="9"/>
      <c r="AP229" s="9"/>
      <c r="AQ229" s="9"/>
      <c r="AR229" s="9"/>
      <c r="AS229" s="9"/>
      <c r="AT229" s="9"/>
      <c r="AU229" s="9"/>
      <c r="AV229" s="9"/>
      <c r="AW229" s="9"/>
      <c r="AX229" s="13"/>
    </row>
    <row r="230" spans="1:50" s="14" customFormat="1" x14ac:dyDescent="0.25">
      <c r="A230" s="11"/>
      <c r="B230" s="11"/>
      <c r="C230" s="11"/>
      <c r="D230" s="11"/>
      <c r="E230" s="11"/>
      <c r="F230" s="11"/>
      <c r="G230" s="11"/>
      <c r="H230" s="10"/>
      <c r="I230" s="11"/>
      <c r="J230" s="11"/>
      <c r="K230" s="11"/>
      <c r="L230" s="11"/>
      <c r="M230" s="10"/>
      <c r="N230" s="9"/>
      <c r="O230" s="10"/>
      <c r="P230" s="11"/>
      <c r="Q230" s="11"/>
      <c r="R230" s="11"/>
      <c r="S230" s="11"/>
      <c r="T230" s="9"/>
      <c r="U230" s="9"/>
      <c r="V230" s="9"/>
      <c r="W230" s="9"/>
      <c r="X230" s="9"/>
      <c r="Y230" s="10"/>
      <c r="Z230" s="11"/>
      <c r="AA230" s="11"/>
      <c r="AB230" s="11"/>
      <c r="AC230" s="11"/>
      <c r="AD230" s="11"/>
      <c r="AE230" s="11"/>
      <c r="AF230" s="11"/>
      <c r="AG230" s="11"/>
      <c r="AH230" s="11"/>
      <c r="AI230" s="12"/>
      <c r="AJ230" s="11"/>
      <c r="AK230" s="11"/>
      <c r="AL230" s="11"/>
      <c r="AM230" s="11"/>
      <c r="AN230" s="9"/>
      <c r="AO230" s="9"/>
      <c r="AP230" s="9"/>
      <c r="AQ230" s="9"/>
      <c r="AR230" s="9"/>
      <c r="AS230" s="9"/>
      <c r="AT230" s="9"/>
      <c r="AU230" s="9"/>
      <c r="AV230" s="9"/>
      <c r="AW230" s="9"/>
      <c r="AX230" s="13"/>
    </row>
    <row r="231" spans="1:50" s="14" customFormat="1" x14ac:dyDescent="0.25">
      <c r="A231" s="11"/>
      <c r="B231" s="11"/>
      <c r="C231" s="11"/>
      <c r="D231" s="11"/>
      <c r="E231" s="9"/>
      <c r="F231" s="9"/>
      <c r="G231" s="9"/>
      <c r="H231" s="10"/>
      <c r="I231" s="11"/>
      <c r="J231" s="9"/>
      <c r="K231" s="9"/>
      <c r="L231" s="9"/>
      <c r="M231" s="10"/>
      <c r="N231" s="9"/>
      <c r="O231" s="10"/>
      <c r="P231" s="11"/>
      <c r="Q231" s="11"/>
      <c r="R231" s="11"/>
      <c r="S231" s="11"/>
      <c r="T231" s="9"/>
      <c r="U231" s="9"/>
      <c r="V231" s="9"/>
      <c r="W231" s="9"/>
      <c r="X231" s="9"/>
      <c r="Y231" s="10"/>
      <c r="Z231" s="11"/>
      <c r="AA231" s="11"/>
      <c r="AB231" s="11"/>
      <c r="AC231" s="11"/>
      <c r="AD231" s="11"/>
      <c r="AE231" s="11"/>
      <c r="AF231" s="11"/>
      <c r="AG231" s="11"/>
      <c r="AH231" s="11"/>
      <c r="AI231" s="12"/>
      <c r="AJ231" s="11"/>
      <c r="AK231" s="11"/>
      <c r="AL231" s="11"/>
      <c r="AM231" s="11"/>
      <c r="AN231" s="9"/>
      <c r="AO231" s="9"/>
      <c r="AP231" s="9"/>
      <c r="AQ231" s="9"/>
      <c r="AR231" s="9"/>
      <c r="AS231" s="9"/>
      <c r="AT231" s="9"/>
      <c r="AU231" s="9"/>
      <c r="AV231" s="9"/>
      <c r="AW231" s="9"/>
      <c r="AX231" s="13"/>
    </row>
    <row r="232" spans="1:50" s="14" customFormat="1" x14ac:dyDescent="0.25">
      <c r="A232" s="11"/>
      <c r="B232" s="11"/>
      <c r="C232" s="11"/>
      <c r="D232" s="11"/>
      <c r="E232" s="9"/>
      <c r="F232" s="9"/>
      <c r="G232" s="9"/>
      <c r="H232" s="10"/>
      <c r="I232" s="11"/>
      <c r="J232" s="9"/>
      <c r="K232" s="9"/>
      <c r="L232" s="9"/>
      <c r="M232" s="10"/>
      <c r="N232" s="9"/>
      <c r="O232" s="10"/>
      <c r="P232" s="11"/>
      <c r="Q232" s="11"/>
      <c r="R232" s="11"/>
      <c r="S232" s="11"/>
      <c r="T232" s="9"/>
      <c r="U232" s="9"/>
      <c r="V232" s="9"/>
      <c r="W232" s="9"/>
      <c r="X232" s="9"/>
      <c r="Y232" s="10"/>
      <c r="Z232" s="11"/>
      <c r="AA232" s="11"/>
      <c r="AB232" s="11"/>
      <c r="AC232" s="11"/>
      <c r="AD232" s="11"/>
      <c r="AE232" s="11"/>
      <c r="AF232" s="11"/>
      <c r="AG232" s="11"/>
      <c r="AH232" s="11"/>
      <c r="AI232" s="12"/>
      <c r="AJ232" s="11"/>
      <c r="AK232" s="11"/>
      <c r="AL232" s="11"/>
      <c r="AM232" s="11"/>
      <c r="AN232" s="9"/>
      <c r="AO232" s="9"/>
      <c r="AP232" s="9"/>
      <c r="AQ232" s="9"/>
      <c r="AR232" s="9"/>
      <c r="AS232" s="9"/>
      <c r="AT232" s="9"/>
      <c r="AU232" s="9"/>
      <c r="AV232" s="9"/>
      <c r="AW232" s="9"/>
      <c r="AX232" s="13"/>
    </row>
    <row r="233" spans="1:50" s="14" customFormat="1" x14ac:dyDescent="0.25">
      <c r="A233" s="11"/>
      <c r="B233" s="11"/>
      <c r="C233" s="11"/>
      <c r="D233" s="9"/>
      <c r="E233" s="9"/>
      <c r="F233" s="9"/>
      <c r="G233" s="9"/>
      <c r="H233" s="10"/>
      <c r="I233" s="9"/>
      <c r="J233" s="9"/>
      <c r="K233" s="9"/>
      <c r="L233" s="9"/>
      <c r="M233" s="10"/>
      <c r="N233" s="9"/>
      <c r="O233" s="10"/>
      <c r="P233" s="11"/>
      <c r="Q233" s="11"/>
      <c r="R233" s="11"/>
      <c r="S233" s="11"/>
      <c r="T233" s="9"/>
      <c r="U233" s="9"/>
      <c r="V233" s="9"/>
      <c r="W233" s="9"/>
      <c r="X233" s="9"/>
      <c r="Y233" s="10"/>
      <c r="Z233" s="11"/>
      <c r="AA233" s="11"/>
      <c r="AB233" s="11"/>
      <c r="AC233" s="11"/>
      <c r="AD233" s="11"/>
      <c r="AE233" s="11"/>
      <c r="AF233" s="11"/>
      <c r="AG233" s="11"/>
      <c r="AH233" s="11"/>
      <c r="AI233" s="12"/>
      <c r="AJ233" s="11"/>
      <c r="AK233" s="11"/>
      <c r="AL233" s="11"/>
      <c r="AM233" s="11"/>
      <c r="AN233" s="9"/>
      <c r="AO233" s="9"/>
      <c r="AP233" s="9"/>
      <c r="AQ233" s="9"/>
      <c r="AR233" s="9"/>
      <c r="AS233" s="9"/>
      <c r="AT233" s="9"/>
      <c r="AU233" s="9"/>
      <c r="AV233" s="9"/>
      <c r="AW233" s="9"/>
      <c r="AX233" s="13"/>
    </row>
    <row r="234" spans="1:50" s="14" customFormat="1" x14ac:dyDescent="0.25">
      <c r="A234" s="11"/>
      <c r="B234" s="11"/>
      <c r="C234" s="11"/>
      <c r="D234" s="11"/>
      <c r="E234" s="9"/>
      <c r="F234" s="9"/>
      <c r="G234" s="9"/>
      <c r="H234" s="10"/>
      <c r="I234" s="11"/>
      <c r="J234" s="9"/>
      <c r="K234" s="9"/>
      <c r="L234" s="9"/>
      <c r="M234" s="10"/>
      <c r="N234" s="9"/>
      <c r="O234" s="10"/>
      <c r="P234" s="11"/>
      <c r="Q234" s="11"/>
      <c r="R234" s="11"/>
      <c r="S234" s="11"/>
      <c r="T234" s="9"/>
      <c r="U234" s="9"/>
      <c r="V234" s="9"/>
      <c r="W234" s="9"/>
      <c r="X234" s="9"/>
      <c r="Y234" s="10"/>
      <c r="Z234" s="11"/>
      <c r="AA234" s="11"/>
      <c r="AB234" s="11"/>
      <c r="AC234" s="11"/>
      <c r="AD234" s="11"/>
      <c r="AE234" s="11"/>
      <c r="AF234" s="11"/>
      <c r="AG234" s="11"/>
      <c r="AH234" s="11"/>
      <c r="AI234" s="12"/>
      <c r="AJ234" s="11"/>
      <c r="AK234" s="11"/>
      <c r="AL234" s="11"/>
      <c r="AM234" s="11"/>
      <c r="AN234" s="9"/>
      <c r="AO234" s="9"/>
      <c r="AP234" s="9"/>
      <c r="AQ234" s="9"/>
      <c r="AR234" s="9"/>
      <c r="AS234" s="9"/>
      <c r="AT234" s="9"/>
      <c r="AU234" s="9"/>
      <c r="AV234" s="9"/>
      <c r="AW234" s="9"/>
      <c r="AX234" s="13"/>
    </row>
    <row r="235" spans="1:50" s="14" customFormat="1" x14ac:dyDescent="0.25">
      <c r="A235" s="11"/>
      <c r="B235" s="11"/>
      <c r="C235" s="11"/>
      <c r="D235" s="11"/>
      <c r="E235" s="9"/>
      <c r="F235" s="9"/>
      <c r="G235" s="9"/>
      <c r="H235" s="10"/>
      <c r="I235" s="11"/>
      <c r="J235" s="9"/>
      <c r="K235" s="9"/>
      <c r="L235" s="9"/>
      <c r="M235" s="10"/>
      <c r="N235" s="9"/>
      <c r="O235" s="10"/>
      <c r="P235" s="11"/>
      <c r="Q235" s="11"/>
      <c r="R235" s="11"/>
      <c r="S235" s="11"/>
      <c r="T235" s="9"/>
      <c r="U235" s="9"/>
      <c r="V235" s="9"/>
      <c r="W235" s="9"/>
      <c r="X235" s="9"/>
      <c r="Y235" s="10"/>
      <c r="Z235" s="11"/>
      <c r="AA235" s="11"/>
      <c r="AB235" s="11"/>
      <c r="AC235" s="11"/>
      <c r="AD235" s="11"/>
      <c r="AE235" s="11"/>
      <c r="AF235" s="11"/>
      <c r="AG235" s="11"/>
      <c r="AH235" s="11"/>
      <c r="AI235" s="12"/>
      <c r="AJ235" s="11"/>
      <c r="AK235" s="11"/>
      <c r="AL235" s="11"/>
      <c r="AM235" s="11"/>
      <c r="AN235" s="9"/>
      <c r="AO235" s="9"/>
      <c r="AP235" s="9"/>
      <c r="AQ235" s="9"/>
      <c r="AR235" s="9"/>
      <c r="AS235" s="9"/>
      <c r="AT235" s="9"/>
      <c r="AU235" s="9"/>
      <c r="AV235" s="9"/>
      <c r="AW235" s="9"/>
      <c r="AX235" s="13"/>
    </row>
    <row r="236" spans="1:50" s="14" customFormat="1" x14ac:dyDescent="0.25">
      <c r="A236" s="11"/>
      <c r="B236" s="11"/>
      <c r="C236" s="11"/>
      <c r="D236" s="11"/>
      <c r="E236" s="9"/>
      <c r="F236" s="9"/>
      <c r="G236" s="9"/>
      <c r="H236" s="10"/>
      <c r="I236" s="11"/>
      <c r="J236" s="9"/>
      <c r="K236" s="9"/>
      <c r="L236" s="9"/>
      <c r="M236" s="10"/>
      <c r="N236" s="9"/>
      <c r="O236" s="10"/>
      <c r="P236" s="11"/>
      <c r="Q236" s="11"/>
      <c r="R236" s="11"/>
      <c r="S236" s="11"/>
      <c r="T236" s="9"/>
      <c r="U236" s="9"/>
      <c r="V236" s="9"/>
      <c r="W236" s="9"/>
      <c r="X236" s="9"/>
      <c r="Y236" s="10"/>
      <c r="Z236" s="11"/>
      <c r="AA236" s="11"/>
      <c r="AB236" s="11"/>
      <c r="AC236" s="11"/>
      <c r="AD236" s="11"/>
      <c r="AE236" s="11"/>
      <c r="AF236" s="11"/>
      <c r="AG236" s="11"/>
      <c r="AH236" s="11"/>
      <c r="AI236" s="12"/>
      <c r="AJ236" s="11"/>
      <c r="AK236" s="11"/>
      <c r="AL236" s="11"/>
      <c r="AM236" s="11"/>
      <c r="AN236" s="9"/>
      <c r="AO236" s="9"/>
      <c r="AP236" s="9"/>
      <c r="AQ236" s="9"/>
      <c r="AR236" s="9"/>
      <c r="AS236" s="9"/>
      <c r="AT236" s="9"/>
      <c r="AU236" s="9"/>
      <c r="AV236" s="9"/>
      <c r="AW236" s="9"/>
      <c r="AX236" s="13"/>
    </row>
    <row r="237" spans="1:50" s="14" customFormat="1" x14ac:dyDescent="0.25">
      <c r="A237" s="11"/>
      <c r="B237" s="11"/>
      <c r="C237" s="11"/>
      <c r="D237" s="11"/>
      <c r="E237" s="9"/>
      <c r="F237" s="9"/>
      <c r="G237" s="9"/>
      <c r="H237" s="10"/>
      <c r="I237" s="11"/>
      <c r="J237" s="9"/>
      <c r="K237" s="9"/>
      <c r="L237" s="9"/>
      <c r="M237" s="10"/>
      <c r="N237" s="9"/>
      <c r="O237" s="10"/>
      <c r="P237" s="11"/>
      <c r="Q237" s="11"/>
      <c r="R237" s="11"/>
      <c r="S237" s="11"/>
      <c r="T237" s="9"/>
      <c r="U237" s="9"/>
      <c r="V237" s="9"/>
      <c r="W237" s="9"/>
      <c r="X237" s="9"/>
      <c r="Y237" s="10"/>
      <c r="Z237" s="11"/>
      <c r="AA237" s="11"/>
      <c r="AB237" s="11"/>
      <c r="AC237" s="11"/>
      <c r="AD237" s="11"/>
      <c r="AE237" s="11"/>
      <c r="AF237" s="11"/>
      <c r="AG237" s="11"/>
      <c r="AH237" s="11"/>
      <c r="AI237" s="12"/>
      <c r="AJ237" s="11"/>
      <c r="AK237" s="11"/>
      <c r="AL237" s="11"/>
      <c r="AM237" s="11"/>
      <c r="AN237" s="9"/>
      <c r="AO237" s="9"/>
      <c r="AP237" s="9"/>
      <c r="AQ237" s="9"/>
      <c r="AR237" s="9"/>
      <c r="AS237" s="9"/>
      <c r="AT237" s="9"/>
      <c r="AU237" s="9"/>
      <c r="AV237" s="9"/>
      <c r="AW237" s="9"/>
      <c r="AX237" s="13"/>
    </row>
    <row r="238" spans="1:50" s="14" customFormat="1" x14ac:dyDescent="0.25">
      <c r="A238" s="11"/>
      <c r="B238" s="11"/>
      <c r="C238" s="11"/>
      <c r="D238" s="11"/>
      <c r="E238" s="9"/>
      <c r="F238" s="9"/>
      <c r="G238" s="9"/>
      <c r="H238" s="10"/>
      <c r="I238" s="11"/>
      <c r="J238" s="9"/>
      <c r="K238" s="9"/>
      <c r="L238" s="9"/>
      <c r="M238" s="10"/>
      <c r="N238" s="9"/>
      <c r="O238" s="10"/>
      <c r="P238" s="11"/>
      <c r="Q238" s="11"/>
      <c r="R238" s="11"/>
      <c r="S238" s="11"/>
      <c r="T238" s="9"/>
      <c r="U238" s="9"/>
      <c r="V238" s="9"/>
      <c r="W238" s="9"/>
      <c r="X238" s="9"/>
      <c r="Y238" s="10"/>
      <c r="Z238" s="11"/>
      <c r="AA238" s="11"/>
      <c r="AB238" s="11"/>
      <c r="AC238" s="11"/>
      <c r="AD238" s="11"/>
      <c r="AE238" s="11"/>
      <c r="AF238" s="11"/>
      <c r="AG238" s="11"/>
      <c r="AH238" s="11"/>
      <c r="AI238" s="12"/>
      <c r="AJ238" s="11"/>
      <c r="AK238" s="11"/>
      <c r="AL238" s="11"/>
      <c r="AM238" s="11"/>
      <c r="AN238" s="9"/>
      <c r="AO238" s="9"/>
      <c r="AP238" s="9"/>
      <c r="AQ238" s="9"/>
      <c r="AR238" s="9"/>
      <c r="AS238" s="9"/>
      <c r="AT238" s="9"/>
      <c r="AU238" s="9"/>
      <c r="AV238" s="9"/>
      <c r="AW238" s="9"/>
      <c r="AX238" s="13"/>
    </row>
    <row r="239" spans="1:50" s="22" customFormat="1" x14ac:dyDescent="0.25">
      <c r="A239" s="17"/>
      <c r="B239" s="17"/>
      <c r="C239" s="17"/>
      <c r="D239" s="17"/>
      <c r="E239" s="17"/>
      <c r="F239" s="17"/>
      <c r="G239" s="17"/>
      <c r="H239" s="18"/>
      <c r="I239" s="17"/>
      <c r="J239" s="17"/>
      <c r="K239" s="17"/>
      <c r="L239" s="17"/>
      <c r="M239" s="18"/>
      <c r="N239" s="19"/>
      <c r="O239" s="18"/>
      <c r="P239" s="17"/>
      <c r="Q239" s="17"/>
      <c r="R239" s="17"/>
      <c r="S239" s="17"/>
      <c r="T239" s="19"/>
      <c r="U239" s="19"/>
      <c r="V239" s="19"/>
      <c r="W239" s="19"/>
      <c r="X239" s="19"/>
      <c r="Y239" s="18"/>
      <c r="Z239" s="17"/>
      <c r="AA239" s="17"/>
      <c r="AB239" s="17"/>
      <c r="AC239" s="17"/>
      <c r="AD239" s="17"/>
      <c r="AE239" s="17"/>
      <c r="AF239" s="17"/>
      <c r="AG239" s="17"/>
      <c r="AH239" s="17"/>
      <c r="AI239" s="20"/>
      <c r="AJ239" s="17"/>
      <c r="AK239" s="17"/>
      <c r="AL239" s="17"/>
      <c r="AM239" s="17"/>
      <c r="AN239" s="19"/>
      <c r="AO239" s="19"/>
      <c r="AP239" s="19"/>
      <c r="AQ239" s="19"/>
      <c r="AR239" s="19"/>
      <c r="AS239" s="19"/>
      <c r="AT239" s="19"/>
      <c r="AU239" s="19"/>
      <c r="AV239" s="19"/>
      <c r="AW239" s="19"/>
      <c r="AX239" s="21"/>
    </row>
    <row r="240" spans="1:50" s="14" customFormat="1" x14ac:dyDescent="0.25">
      <c r="A240" s="11"/>
      <c r="B240" s="11"/>
      <c r="C240" s="11"/>
      <c r="D240" s="11"/>
      <c r="E240" s="9"/>
      <c r="F240" s="9"/>
      <c r="G240" s="9"/>
      <c r="H240" s="10"/>
      <c r="I240" s="11"/>
      <c r="J240" s="9"/>
      <c r="K240" s="9"/>
      <c r="L240" s="9"/>
      <c r="M240" s="10"/>
      <c r="N240" s="9"/>
      <c r="O240" s="10"/>
      <c r="P240" s="11"/>
      <c r="Q240" s="11"/>
      <c r="R240" s="11"/>
      <c r="S240" s="11"/>
      <c r="T240" s="9"/>
      <c r="U240" s="9"/>
      <c r="V240" s="9"/>
      <c r="W240" s="9"/>
      <c r="X240" s="9"/>
      <c r="Y240" s="10"/>
      <c r="Z240" s="11"/>
      <c r="AA240" s="11"/>
      <c r="AB240" s="11"/>
      <c r="AC240" s="11"/>
      <c r="AD240" s="11"/>
      <c r="AE240" s="11"/>
      <c r="AF240" s="11"/>
      <c r="AG240" s="11"/>
      <c r="AH240" s="11"/>
      <c r="AI240" s="12"/>
      <c r="AJ240" s="11"/>
      <c r="AK240" s="11"/>
      <c r="AL240" s="11"/>
      <c r="AM240" s="11"/>
      <c r="AN240" s="9"/>
      <c r="AO240" s="9"/>
      <c r="AP240" s="9"/>
      <c r="AQ240" s="9"/>
      <c r="AR240" s="9"/>
      <c r="AS240" s="9"/>
      <c r="AT240" s="9"/>
      <c r="AU240" s="9"/>
      <c r="AV240" s="9"/>
      <c r="AW240" s="9"/>
      <c r="AX240" s="13"/>
    </row>
    <row r="241" spans="1:50" s="14" customFormat="1" x14ac:dyDescent="0.25">
      <c r="A241" s="11"/>
      <c r="B241" s="11"/>
      <c r="C241" s="11"/>
      <c r="D241" s="11"/>
      <c r="E241" s="9"/>
      <c r="F241" s="9"/>
      <c r="G241" s="9"/>
      <c r="H241" s="10"/>
      <c r="I241" s="11"/>
      <c r="J241" s="9"/>
      <c r="K241" s="9"/>
      <c r="L241" s="9"/>
      <c r="M241" s="10"/>
      <c r="N241" s="9"/>
      <c r="O241" s="10"/>
      <c r="P241" s="11"/>
      <c r="Q241" s="11"/>
      <c r="R241" s="11"/>
      <c r="S241" s="11"/>
      <c r="T241" s="9"/>
      <c r="U241" s="9"/>
      <c r="V241" s="9"/>
      <c r="W241" s="9"/>
      <c r="X241" s="9"/>
      <c r="Y241" s="10"/>
      <c r="Z241" s="11"/>
      <c r="AA241" s="11"/>
      <c r="AB241" s="11"/>
      <c r="AC241" s="11"/>
      <c r="AD241" s="11"/>
      <c r="AE241" s="11"/>
      <c r="AF241" s="11"/>
      <c r="AG241" s="11"/>
      <c r="AH241" s="11"/>
      <c r="AI241" s="12"/>
      <c r="AJ241" s="11"/>
      <c r="AK241" s="11"/>
      <c r="AL241" s="11"/>
      <c r="AM241" s="11"/>
      <c r="AN241" s="9"/>
      <c r="AO241" s="9"/>
      <c r="AP241" s="9"/>
      <c r="AQ241" s="9"/>
      <c r="AR241" s="9"/>
      <c r="AS241" s="9"/>
      <c r="AT241" s="9"/>
      <c r="AU241" s="9"/>
      <c r="AV241" s="9"/>
      <c r="AW241" s="9"/>
      <c r="AX241" s="13"/>
    </row>
    <row r="242" spans="1:50" s="14" customFormat="1" x14ac:dyDescent="0.25">
      <c r="A242" s="11"/>
      <c r="B242" s="11"/>
      <c r="C242" s="11"/>
      <c r="D242" s="11"/>
      <c r="E242" s="9"/>
      <c r="F242" s="9"/>
      <c r="G242" s="9"/>
      <c r="H242" s="10"/>
      <c r="I242" s="11"/>
      <c r="J242" s="9"/>
      <c r="K242" s="9"/>
      <c r="L242" s="9"/>
      <c r="M242" s="10"/>
      <c r="N242" s="9"/>
      <c r="O242" s="10"/>
      <c r="P242" s="11"/>
      <c r="Q242" s="11"/>
      <c r="R242" s="11"/>
      <c r="S242" s="11"/>
      <c r="T242" s="9"/>
      <c r="U242" s="9"/>
      <c r="V242" s="9"/>
      <c r="W242" s="9"/>
      <c r="X242" s="9"/>
      <c r="Y242" s="10"/>
      <c r="Z242" s="11"/>
      <c r="AA242" s="11"/>
      <c r="AB242" s="11"/>
      <c r="AC242" s="11"/>
      <c r="AD242" s="11"/>
      <c r="AE242" s="11"/>
      <c r="AF242" s="11"/>
      <c r="AG242" s="11"/>
      <c r="AH242" s="11"/>
      <c r="AI242" s="12"/>
      <c r="AJ242" s="11"/>
      <c r="AK242" s="11"/>
      <c r="AL242" s="11"/>
      <c r="AM242" s="11"/>
      <c r="AN242" s="9"/>
      <c r="AO242" s="9"/>
      <c r="AP242" s="9"/>
      <c r="AQ242" s="9"/>
      <c r="AR242" s="9"/>
      <c r="AS242" s="9"/>
      <c r="AT242" s="9"/>
      <c r="AU242" s="9"/>
      <c r="AV242" s="9"/>
      <c r="AW242" s="9"/>
      <c r="AX242" s="13"/>
    </row>
    <row r="243" spans="1:50" s="14" customFormat="1" x14ac:dyDescent="0.25">
      <c r="A243" s="11"/>
      <c r="B243" s="11"/>
      <c r="C243" s="11"/>
      <c r="D243" s="11"/>
      <c r="E243" s="9"/>
      <c r="F243" s="9"/>
      <c r="G243" s="9"/>
      <c r="H243" s="10"/>
      <c r="I243" s="11"/>
      <c r="J243" s="9"/>
      <c r="K243" s="9"/>
      <c r="L243" s="9"/>
      <c r="M243" s="10"/>
      <c r="N243" s="9"/>
      <c r="O243" s="10"/>
      <c r="P243" s="11"/>
      <c r="Q243" s="11"/>
      <c r="R243" s="11"/>
      <c r="S243" s="11"/>
      <c r="T243" s="9"/>
      <c r="U243" s="9"/>
      <c r="V243" s="9"/>
      <c r="W243" s="9"/>
      <c r="X243" s="9"/>
      <c r="Y243" s="10"/>
      <c r="Z243" s="11"/>
      <c r="AA243" s="11"/>
      <c r="AB243" s="11"/>
      <c r="AC243" s="11"/>
      <c r="AD243" s="11"/>
      <c r="AE243" s="11"/>
      <c r="AF243" s="11"/>
      <c r="AG243" s="11"/>
      <c r="AH243" s="11"/>
      <c r="AI243" s="12"/>
      <c r="AJ243" s="11"/>
      <c r="AK243" s="11"/>
      <c r="AL243" s="11"/>
      <c r="AM243" s="11"/>
      <c r="AN243" s="9"/>
      <c r="AO243" s="9"/>
      <c r="AP243" s="9"/>
      <c r="AQ243" s="9"/>
      <c r="AR243" s="9"/>
      <c r="AS243" s="9"/>
      <c r="AT243" s="9"/>
      <c r="AU243" s="9"/>
      <c r="AV243" s="9"/>
      <c r="AW243" s="9"/>
      <c r="AX243" s="13"/>
    </row>
    <row r="244" spans="1:50" s="14" customFormat="1" x14ac:dyDescent="0.25">
      <c r="A244" s="11"/>
      <c r="B244" s="11"/>
      <c r="C244" s="11"/>
      <c r="D244" s="9"/>
      <c r="E244" s="9"/>
      <c r="F244" s="9"/>
      <c r="G244" s="9"/>
      <c r="H244" s="10"/>
      <c r="I244" s="9"/>
      <c r="J244" s="9"/>
      <c r="K244" s="9"/>
      <c r="L244" s="9"/>
      <c r="M244" s="10"/>
      <c r="N244" s="9"/>
      <c r="O244" s="10"/>
      <c r="P244" s="11"/>
      <c r="Q244" s="11"/>
      <c r="R244" s="11"/>
      <c r="S244" s="11"/>
      <c r="T244" s="9"/>
      <c r="U244" s="9"/>
      <c r="V244" s="9"/>
      <c r="W244" s="9"/>
      <c r="X244" s="9"/>
      <c r="Y244" s="10"/>
      <c r="Z244" s="11"/>
      <c r="AA244" s="11"/>
      <c r="AB244" s="11"/>
      <c r="AC244" s="11"/>
      <c r="AD244" s="11"/>
      <c r="AE244" s="11"/>
      <c r="AF244" s="11"/>
      <c r="AG244" s="11"/>
      <c r="AH244" s="11"/>
      <c r="AI244" s="12"/>
      <c r="AJ244" s="11"/>
      <c r="AK244" s="11"/>
      <c r="AL244" s="11"/>
      <c r="AM244" s="11"/>
      <c r="AN244" s="9"/>
      <c r="AO244" s="9"/>
      <c r="AP244" s="9"/>
      <c r="AQ244" s="9"/>
      <c r="AR244" s="9"/>
      <c r="AS244" s="9"/>
      <c r="AT244" s="9"/>
      <c r="AU244" s="9"/>
      <c r="AV244" s="9"/>
      <c r="AW244" s="9"/>
      <c r="AX244" s="13"/>
    </row>
    <row r="245" spans="1:50" s="14" customFormat="1" x14ac:dyDescent="0.25">
      <c r="A245" s="11"/>
      <c r="B245" s="11"/>
      <c r="C245" s="11"/>
      <c r="D245" s="11"/>
      <c r="E245" s="11"/>
      <c r="F245" s="11"/>
      <c r="G245" s="11"/>
      <c r="H245" s="10"/>
      <c r="I245" s="11"/>
      <c r="J245" s="11"/>
      <c r="K245" s="11"/>
      <c r="L245" s="11"/>
      <c r="M245" s="10"/>
      <c r="N245" s="9"/>
      <c r="O245" s="10"/>
      <c r="P245" s="11"/>
      <c r="Q245" s="11"/>
      <c r="R245" s="11"/>
      <c r="S245" s="11"/>
      <c r="T245" s="11"/>
      <c r="U245" s="11"/>
      <c r="V245" s="11"/>
      <c r="W245" s="11"/>
      <c r="X245" s="9"/>
      <c r="Y245" s="10"/>
      <c r="Z245" s="11"/>
      <c r="AA245" s="11"/>
      <c r="AB245" s="11"/>
      <c r="AC245" s="11"/>
      <c r="AD245" s="11"/>
      <c r="AE245" s="11"/>
      <c r="AF245" s="11"/>
      <c r="AG245" s="11"/>
      <c r="AH245" s="11"/>
      <c r="AI245" s="12"/>
      <c r="AJ245" s="11"/>
      <c r="AK245" s="11"/>
      <c r="AL245" s="11"/>
      <c r="AM245" s="11"/>
      <c r="AN245" s="9"/>
      <c r="AO245" s="9"/>
      <c r="AP245" s="9"/>
      <c r="AQ245" s="9"/>
      <c r="AR245" s="9"/>
      <c r="AS245" s="9"/>
      <c r="AT245" s="9"/>
      <c r="AU245" s="9"/>
      <c r="AV245" s="9"/>
      <c r="AW245" s="9"/>
      <c r="AX245" s="13"/>
    </row>
    <row r="246" spans="1:50" s="14" customFormat="1" x14ac:dyDescent="0.25">
      <c r="A246" s="11"/>
      <c r="B246" s="11"/>
      <c r="C246" s="11"/>
      <c r="D246" s="11"/>
      <c r="E246" s="11"/>
      <c r="F246" s="11"/>
      <c r="G246" s="11"/>
      <c r="H246" s="10"/>
      <c r="I246" s="11"/>
      <c r="J246" s="11"/>
      <c r="K246" s="11"/>
      <c r="L246" s="11"/>
      <c r="M246" s="10"/>
      <c r="N246" s="9"/>
      <c r="O246" s="10"/>
      <c r="P246" s="11"/>
      <c r="Q246" s="11"/>
      <c r="R246" s="11"/>
      <c r="S246" s="11"/>
      <c r="T246" s="9"/>
      <c r="U246" s="9"/>
      <c r="V246" s="9"/>
      <c r="W246" s="9"/>
      <c r="X246" s="9"/>
      <c r="Y246" s="10"/>
      <c r="Z246" s="11"/>
      <c r="AA246" s="11"/>
      <c r="AB246" s="11"/>
      <c r="AC246" s="11"/>
      <c r="AD246" s="11"/>
      <c r="AE246" s="11"/>
      <c r="AF246" s="11"/>
      <c r="AG246" s="11"/>
      <c r="AH246" s="11"/>
      <c r="AI246" s="12"/>
      <c r="AJ246" s="11"/>
      <c r="AK246" s="11"/>
      <c r="AL246" s="11"/>
      <c r="AM246" s="11"/>
      <c r="AN246" s="9"/>
      <c r="AO246" s="9"/>
      <c r="AP246" s="9"/>
      <c r="AQ246" s="9"/>
      <c r="AR246" s="9"/>
      <c r="AS246" s="9"/>
      <c r="AT246" s="9"/>
      <c r="AU246" s="9"/>
      <c r="AV246" s="9"/>
      <c r="AW246" s="9"/>
      <c r="AX246" s="13"/>
    </row>
    <row r="247" spans="1:50" s="14" customFormat="1" x14ac:dyDescent="0.25">
      <c r="A247" s="11"/>
      <c r="B247" s="11"/>
      <c r="C247" s="11"/>
      <c r="D247" s="11"/>
      <c r="E247" s="9"/>
      <c r="F247" s="9"/>
      <c r="G247" s="9"/>
      <c r="H247" s="10"/>
      <c r="I247" s="11"/>
      <c r="J247" s="9"/>
      <c r="K247" s="9"/>
      <c r="L247" s="9"/>
      <c r="M247" s="10"/>
      <c r="N247" s="9"/>
      <c r="O247" s="10"/>
      <c r="P247" s="11"/>
      <c r="Q247" s="11"/>
      <c r="R247" s="11"/>
      <c r="S247" s="11"/>
      <c r="T247" s="9"/>
      <c r="U247" s="9"/>
      <c r="V247" s="9"/>
      <c r="W247" s="9"/>
      <c r="X247" s="9"/>
      <c r="Y247" s="10"/>
      <c r="Z247" s="11"/>
      <c r="AA247" s="11"/>
      <c r="AB247" s="11"/>
      <c r="AC247" s="11"/>
      <c r="AD247" s="11"/>
      <c r="AE247" s="11"/>
      <c r="AF247" s="11"/>
      <c r="AG247" s="11"/>
      <c r="AH247" s="11"/>
      <c r="AI247" s="12"/>
      <c r="AJ247" s="11"/>
      <c r="AK247" s="11"/>
      <c r="AL247" s="11"/>
      <c r="AM247" s="11"/>
      <c r="AN247" s="9"/>
      <c r="AO247" s="9"/>
      <c r="AP247" s="9"/>
      <c r="AQ247" s="9"/>
      <c r="AR247" s="9"/>
      <c r="AS247" s="9"/>
      <c r="AT247" s="9"/>
      <c r="AU247" s="9"/>
      <c r="AV247" s="9"/>
      <c r="AW247" s="9"/>
      <c r="AX247" s="13"/>
    </row>
    <row r="248" spans="1:50" s="14" customFormat="1" x14ac:dyDescent="0.25">
      <c r="A248" s="11"/>
      <c r="B248" s="11"/>
      <c r="C248" s="11"/>
      <c r="D248" s="11"/>
      <c r="E248" s="11"/>
      <c r="F248" s="11"/>
      <c r="G248" s="11"/>
      <c r="H248" s="10"/>
      <c r="I248" s="11"/>
      <c r="J248" s="11"/>
      <c r="K248" s="11"/>
      <c r="L248" s="11"/>
      <c r="M248" s="10"/>
      <c r="N248" s="9"/>
      <c r="O248" s="10"/>
      <c r="P248" s="11"/>
      <c r="Q248" s="11"/>
      <c r="R248" s="11"/>
      <c r="S248" s="11"/>
      <c r="T248" s="9"/>
      <c r="U248" s="9"/>
      <c r="V248" s="9"/>
      <c r="W248" s="9"/>
      <c r="X248" s="9"/>
      <c r="Y248" s="10"/>
      <c r="Z248" s="11"/>
      <c r="AA248" s="11"/>
      <c r="AB248" s="11"/>
      <c r="AC248" s="11"/>
      <c r="AD248" s="11"/>
      <c r="AE248" s="11"/>
      <c r="AF248" s="11"/>
      <c r="AG248" s="11"/>
      <c r="AH248" s="11"/>
      <c r="AI248" s="12"/>
      <c r="AJ248" s="11"/>
      <c r="AK248" s="11"/>
      <c r="AL248" s="11"/>
      <c r="AM248" s="11"/>
      <c r="AN248" s="9"/>
      <c r="AO248" s="9"/>
      <c r="AP248" s="9"/>
      <c r="AQ248" s="9"/>
      <c r="AR248" s="9"/>
      <c r="AS248" s="9"/>
      <c r="AT248" s="9"/>
      <c r="AU248" s="9"/>
      <c r="AV248" s="9"/>
      <c r="AW248" s="9"/>
      <c r="AX248" s="13"/>
    </row>
    <row r="249" spans="1:50" s="14" customFormat="1" x14ac:dyDescent="0.25">
      <c r="A249" s="11"/>
      <c r="B249" s="11"/>
      <c r="C249" s="11"/>
      <c r="D249" s="11"/>
      <c r="E249" s="11"/>
      <c r="F249" s="11"/>
      <c r="G249" s="11"/>
      <c r="H249" s="10"/>
      <c r="I249" s="11"/>
      <c r="J249" s="11"/>
      <c r="K249" s="11"/>
      <c r="L249" s="11"/>
      <c r="M249" s="10"/>
      <c r="N249" s="9"/>
      <c r="O249" s="10"/>
      <c r="P249" s="11"/>
      <c r="Q249" s="11"/>
      <c r="R249" s="11"/>
      <c r="S249" s="11"/>
      <c r="T249" s="9"/>
      <c r="U249" s="9"/>
      <c r="V249" s="9"/>
      <c r="W249" s="9"/>
      <c r="X249" s="9"/>
      <c r="Y249" s="10"/>
      <c r="Z249" s="11"/>
      <c r="AA249" s="11"/>
      <c r="AB249" s="11"/>
      <c r="AC249" s="11"/>
      <c r="AD249" s="11"/>
      <c r="AE249" s="11"/>
      <c r="AF249" s="11"/>
      <c r="AG249" s="11"/>
      <c r="AH249" s="11"/>
      <c r="AI249" s="12"/>
      <c r="AJ249" s="11"/>
      <c r="AK249" s="11"/>
      <c r="AL249" s="11"/>
      <c r="AM249" s="11"/>
      <c r="AN249" s="9"/>
      <c r="AO249" s="9"/>
      <c r="AP249" s="9"/>
      <c r="AQ249" s="9"/>
      <c r="AR249" s="9"/>
      <c r="AS249" s="9"/>
      <c r="AT249" s="9"/>
      <c r="AU249" s="9"/>
      <c r="AV249" s="9"/>
      <c r="AW249" s="9"/>
      <c r="AX249" s="13"/>
    </row>
    <row r="250" spans="1:50" s="14" customFormat="1" x14ac:dyDescent="0.25">
      <c r="A250" s="11"/>
      <c r="B250" s="11"/>
      <c r="C250" s="11"/>
      <c r="D250" s="11"/>
      <c r="E250" s="9"/>
      <c r="F250" s="9"/>
      <c r="G250" s="9"/>
      <c r="H250" s="10"/>
      <c r="I250" s="11"/>
      <c r="J250" s="9"/>
      <c r="K250" s="9"/>
      <c r="L250" s="9"/>
      <c r="M250" s="10"/>
      <c r="N250" s="9"/>
      <c r="O250" s="10"/>
      <c r="P250" s="11"/>
      <c r="Q250" s="11"/>
      <c r="R250" s="11"/>
      <c r="S250" s="11"/>
      <c r="T250" s="9"/>
      <c r="U250" s="9"/>
      <c r="V250" s="9"/>
      <c r="W250" s="9"/>
      <c r="X250" s="9"/>
      <c r="Y250" s="10"/>
      <c r="Z250" s="11"/>
      <c r="AA250" s="11"/>
      <c r="AB250" s="11"/>
      <c r="AC250" s="11"/>
      <c r="AD250" s="11"/>
      <c r="AE250" s="11"/>
      <c r="AF250" s="11"/>
      <c r="AG250" s="11"/>
      <c r="AH250" s="11"/>
      <c r="AI250" s="12"/>
      <c r="AJ250" s="11"/>
      <c r="AK250" s="11"/>
      <c r="AL250" s="11"/>
      <c r="AM250" s="11"/>
      <c r="AN250" s="9"/>
      <c r="AO250" s="9"/>
      <c r="AP250" s="9"/>
      <c r="AQ250" s="9"/>
      <c r="AR250" s="9"/>
      <c r="AS250" s="9"/>
      <c r="AT250" s="9"/>
      <c r="AU250" s="9"/>
      <c r="AV250" s="9"/>
      <c r="AW250" s="9"/>
      <c r="AX250" s="13"/>
    </row>
    <row r="251" spans="1:50" s="14" customFormat="1" x14ac:dyDescent="0.25">
      <c r="A251" s="11"/>
      <c r="B251" s="11"/>
      <c r="C251" s="11"/>
      <c r="D251" s="11"/>
      <c r="E251" s="11"/>
      <c r="F251" s="11"/>
      <c r="G251" s="11"/>
      <c r="H251" s="10"/>
      <c r="I251" s="11"/>
      <c r="J251" s="11"/>
      <c r="K251" s="11"/>
      <c r="L251" s="11"/>
      <c r="M251" s="10"/>
      <c r="N251" s="9"/>
      <c r="O251" s="10"/>
      <c r="P251" s="11"/>
      <c r="Q251" s="11"/>
      <c r="R251" s="11"/>
      <c r="S251" s="11"/>
      <c r="T251" s="9"/>
      <c r="U251" s="9"/>
      <c r="V251" s="9"/>
      <c r="W251" s="9"/>
      <c r="X251" s="9"/>
      <c r="Y251" s="10"/>
      <c r="Z251" s="11"/>
      <c r="AA251" s="11"/>
      <c r="AB251" s="11"/>
      <c r="AC251" s="11"/>
      <c r="AD251" s="11"/>
      <c r="AE251" s="11"/>
      <c r="AF251" s="11"/>
      <c r="AG251" s="11"/>
      <c r="AH251" s="11"/>
      <c r="AI251" s="12"/>
      <c r="AJ251" s="11"/>
      <c r="AK251" s="11"/>
      <c r="AL251" s="11"/>
      <c r="AM251" s="11"/>
      <c r="AN251" s="9"/>
      <c r="AO251" s="9"/>
      <c r="AP251" s="9"/>
      <c r="AQ251" s="9"/>
      <c r="AR251" s="9"/>
      <c r="AS251" s="9"/>
      <c r="AT251" s="9"/>
      <c r="AU251" s="9"/>
      <c r="AV251" s="9"/>
      <c r="AW251" s="9"/>
      <c r="AX251" s="13"/>
    </row>
    <row r="252" spans="1:50" s="14" customFormat="1" x14ac:dyDescent="0.25">
      <c r="A252" s="11"/>
      <c r="B252" s="11"/>
      <c r="C252" s="11"/>
      <c r="D252" s="9"/>
      <c r="E252" s="9"/>
      <c r="F252" s="9"/>
      <c r="G252" s="9"/>
      <c r="H252" s="10"/>
      <c r="I252" s="9"/>
      <c r="J252" s="9"/>
      <c r="K252" s="9"/>
      <c r="L252" s="9"/>
      <c r="M252" s="10"/>
      <c r="N252" s="9"/>
      <c r="O252" s="10"/>
      <c r="P252" s="11"/>
      <c r="Q252" s="11"/>
      <c r="R252" s="11"/>
      <c r="S252" s="11"/>
      <c r="T252" s="9"/>
      <c r="U252" s="9"/>
      <c r="V252" s="9"/>
      <c r="W252" s="9"/>
      <c r="X252" s="9"/>
      <c r="Y252" s="10"/>
      <c r="Z252" s="11"/>
      <c r="AA252" s="11"/>
      <c r="AB252" s="11"/>
      <c r="AC252" s="11"/>
      <c r="AD252" s="11"/>
      <c r="AE252" s="11"/>
      <c r="AF252" s="11"/>
      <c r="AG252" s="11"/>
      <c r="AH252" s="11"/>
      <c r="AI252" s="12"/>
      <c r="AJ252" s="11"/>
      <c r="AK252" s="11"/>
      <c r="AL252" s="11"/>
      <c r="AM252" s="11"/>
      <c r="AN252" s="9"/>
      <c r="AO252" s="9"/>
      <c r="AP252" s="9"/>
      <c r="AQ252" s="9"/>
      <c r="AR252" s="9"/>
      <c r="AS252" s="9"/>
      <c r="AT252" s="9"/>
      <c r="AU252" s="9"/>
      <c r="AV252" s="9"/>
      <c r="AW252" s="9"/>
      <c r="AX252" s="13"/>
    </row>
    <row r="253" spans="1:50" s="14" customFormat="1" x14ac:dyDescent="0.25">
      <c r="A253" s="11"/>
      <c r="B253" s="11"/>
      <c r="C253" s="11"/>
      <c r="D253" s="11"/>
      <c r="E253" s="9"/>
      <c r="F253" s="9"/>
      <c r="G253" s="9"/>
      <c r="H253" s="10"/>
      <c r="I253" s="11"/>
      <c r="J253" s="9"/>
      <c r="K253" s="9"/>
      <c r="L253" s="9"/>
      <c r="M253" s="10"/>
      <c r="N253" s="9"/>
      <c r="O253" s="10"/>
      <c r="P253" s="11"/>
      <c r="Q253" s="11"/>
      <c r="R253" s="11"/>
      <c r="S253" s="11"/>
      <c r="T253" s="9"/>
      <c r="U253" s="9"/>
      <c r="V253" s="9"/>
      <c r="W253" s="9"/>
      <c r="X253" s="9"/>
      <c r="Y253" s="10"/>
      <c r="Z253" s="11"/>
      <c r="AA253" s="11"/>
      <c r="AB253" s="11"/>
      <c r="AC253" s="11"/>
      <c r="AD253" s="11"/>
      <c r="AE253" s="11"/>
      <c r="AF253" s="11"/>
      <c r="AG253" s="11"/>
      <c r="AH253" s="11"/>
      <c r="AI253" s="12"/>
      <c r="AJ253" s="11"/>
      <c r="AK253" s="11"/>
      <c r="AL253" s="11"/>
      <c r="AM253" s="11"/>
      <c r="AN253" s="9"/>
      <c r="AO253" s="9"/>
      <c r="AP253" s="9"/>
      <c r="AQ253" s="9"/>
      <c r="AR253" s="9"/>
      <c r="AS253" s="9"/>
      <c r="AT253" s="9"/>
      <c r="AU253" s="9"/>
      <c r="AV253" s="9"/>
      <c r="AW253" s="9"/>
      <c r="AX253" s="13"/>
    </row>
    <row r="254" spans="1:50" s="14" customFormat="1" x14ac:dyDescent="0.25">
      <c r="A254" s="11"/>
      <c r="B254" s="11"/>
      <c r="C254" s="11"/>
      <c r="D254" s="11"/>
      <c r="E254" s="11"/>
      <c r="F254" s="11"/>
      <c r="G254" s="11"/>
      <c r="H254" s="10"/>
      <c r="I254" s="11"/>
      <c r="J254" s="11"/>
      <c r="K254" s="11"/>
      <c r="L254" s="11"/>
      <c r="M254" s="10"/>
      <c r="N254" s="9"/>
      <c r="O254" s="10"/>
      <c r="P254" s="11"/>
      <c r="Q254" s="11"/>
      <c r="R254" s="11"/>
      <c r="S254" s="11"/>
      <c r="T254" s="9"/>
      <c r="U254" s="9"/>
      <c r="V254" s="9"/>
      <c r="W254" s="9"/>
      <c r="X254" s="9"/>
      <c r="Y254" s="10"/>
      <c r="Z254" s="11"/>
      <c r="AA254" s="11"/>
      <c r="AB254" s="11"/>
      <c r="AC254" s="11"/>
      <c r="AD254" s="11"/>
      <c r="AE254" s="11"/>
      <c r="AF254" s="11"/>
      <c r="AG254" s="11"/>
      <c r="AH254" s="11"/>
      <c r="AI254" s="12"/>
      <c r="AJ254" s="11"/>
      <c r="AK254" s="11"/>
      <c r="AL254" s="11"/>
      <c r="AM254" s="11"/>
      <c r="AN254" s="9"/>
      <c r="AO254" s="9"/>
      <c r="AP254" s="9"/>
      <c r="AQ254" s="9"/>
      <c r="AR254" s="9"/>
      <c r="AS254" s="9"/>
      <c r="AT254" s="9"/>
      <c r="AU254" s="9"/>
      <c r="AV254" s="9"/>
      <c r="AW254" s="9"/>
      <c r="AX254" s="13"/>
    </row>
    <row r="255" spans="1:50" s="14" customFormat="1" x14ac:dyDescent="0.25">
      <c r="A255" s="11"/>
      <c r="B255" s="11"/>
      <c r="C255" s="11"/>
      <c r="D255" s="11"/>
      <c r="E255" s="11"/>
      <c r="F255" s="11"/>
      <c r="G255" s="11"/>
      <c r="H255" s="10"/>
      <c r="I255" s="11"/>
      <c r="J255" s="11"/>
      <c r="K255" s="11"/>
      <c r="L255" s="11"/>
      <c r="M255" s="10"/>
      <c r="N255" s="9"/>
      <c r="O255" s="10"/>
      <c r="P255" s="11"/>
      <c r="Q255" s="11"/>
      <c r="R255" s="11"/>
      <c r="S255" s="11"/>
      <c r="T255" s="9"/>
      <c r="U255" s="9"/>
      <c r="V255" s="9"/>
      <c r="W255" s="9"/>
      <c r="X255" s="9"/>
      <c r="Y255" s="10"/>
      <c r="Z255" s="11"/>
      <c r="AA255" s="11"/>
      <c r="AB255" s="11"/>
      <c r="AC255" s="11"/>
      <c r="AD255" s="11"/>
      <c r="AE255" s="11"/>
      <c r="AF255" s="11"/>
      <c r="AG255" s="11"/>
      <c r="AH255" s="11"/>
      <c r="AI255" s="12"/>
      <c r="AJ255" s="11"/>
      <c r="AK255" s="11"/>
      <c r="AL255" s="11"/>
      <c r="AM255" s="11"/>
      <c r="AN255" s="9"/>
      <c r="AO255" s="9"/>
      <c r="AP255" s="9"/>
      <c r="AQ255" s="9"/>
      <c r="AR255" s="9"/>
      <c r="AS255" s="9"/>
      <c r="AT255" s="9"/>
      <c r="AU255" s="9"/>
      <c r="AV255" s="9"/>
      <c r="AW255" s="9"/>
      <c r="AX255" s="13"/>
    </row>
    <row r="256" spans="1:50" s="14" customFormat="1" x14ac:dyDescent="0.25">
      <c r="A256" s="11"/>
      <c r="B256" s="11"/>
      <c r="C256" s="11"/>
      <c r="D256" s="11"/>
      <c r="E256" s="11"/>
      <c r="F256" s="11"/>
      <c r="G256" s="11"/>
      <c r="H256" s="10"/>
      <c r="I256" s="11"/>
      <c r="J256" s="11"/>
      <c r="K256" s="11"/>
      <c r="L256" s="11"/>
      <c r="M256" s="10"/>
      <c r="N256" s="9"/>
      <c r="O256" s="10"/>
      <c r="P256" s="11"/>
      <c r="Q256" s="11"/>
      <c r="R256" s="11"/>
      <c r="S256" s="11"/>
      <c r="T256" s="9"/>
      <c r="U256" s="9"/>
      <c r="V256" s="9"/>
      <c r="W256" s="9"/>
      <c r="X256" s="9"/>
      <c r="Y256" s="10"/>
      <c r="Z256" s="11"/>
      <c r="AA256" s="11"/>
      <c r="AB256" s="11"/>
      <c r="AC256" s="11"/>
      <c r="AD256" s="11"/>
      <c r="AE256" s="11"/>
      <c r="AF256" s="11"/>
      <c r="AG256" s="11"/>
      <c r="AH256" s="11"/>
      <c r="AI256" s="12"/>
      <c r="AJ256" s="11"/>
      <c r="AK256" s="11"/>
      <c r="AL256" s="11"/>
      <c r="AM256" s="11"/>
      <c r="AN256" s="9"/>
      <c r="AO256" s="9"/>
      <c r="AP256" s="9"/>
      <c r="AQ256" s="9"/>
      <c r="AR256" s="9"/>
      <c r="AS256" s="9"/>
      <c r="AT256" s="9"/>
      <c r="AU256" s="9"/>
      <c r="AV256" s="9"/>
      <c r="AW256" s="9"/>
      <c r="AX256" s="13"/>
    </row>
    <row r="257" spans="1:50" s="14" customFormat="1" x14ac:dyDescent="0.25">
      <c r="A257" s="11"/>
      <c r="B257" s="11"/>
      <c r="C257" s="11"/>
      <c r="D257" s="11"/>
      <c r="E257" s="9"/>
      <c r="F257" s="9"/>
      <c r="G257" s="9"/>
      <c r="H257" s="10"/>
      <c r="I257" s="11"/>
      <c r="J257" s="9"/>
      <c r="K257" s="9"/>
      <c r="L257" s="9"/>
      <c r="M257" s="10"/>
      <c r="N257" s="9"/>
      <c r="O257" s="10"/>
      <c r="P257" s="11"/>
      <c r="Q257" s="11"/>
      <c r="R257" s="11"/>
      <c r="S257" s="11"/>
      <c r="T257" s="9"/>
      <c r="U257" s="9"/>
      <c r="V257" s="9"/>
      <c r="W257" s="9"/>
      <c r="X257" s="9"/>
      <c r="Y257" s="10"/>
      <c r="Z257" s="11"/>
      <c r="AA257" s="11"/>
      <c r="AB257" s="11"/>
      <c r="AC257" s="11"/>
      <c r="AD257" s="11"/>
      <c r="AE257" s="11"/>
      <c r="AF257" s="11"/>
      <c r="AG257" s="11"/>
      <c r="AH257" s="11"/>
      <c r="AI257" s="12"/>
      <c r="AJ257" s="11"/>
      <c r="AK257" s="11"/>
      <c r="AL257" s="11"/>
      <c r="AM257" s="11"/>
      <c r="AN257" s="9"/>
      <c r="AO257" s="9"/>
      <c r="AP257" s="9"/>
      <c r="AQ257" s="9"/>
      <c r="AR257" s="9"/>
      <c r="AS257" s="9"/>
      <c r="AT257" s="9"/>
      <c r="AU257" s="9"/>
      <c r="AV257" s="9"/>
      <c r="AW257" s="9"/>
      <c r="AX257" s="13"/>
    </row>
    <row r="258" spans="1:50" s="14" customFormat="1" x14ac:dyDescent="0.25">
      <c r="A258" s="11"/>
      <c r="B258" s="11"/>
      <c r="C258" s="11"/>
      <c r="D258" s="11"/>
      <c r="E258" s="9"/>
      <c r="F258" s="9"/>
      <c r="G258" s="9"/>
      <c r="H258" s="10"/>
      <c r="I258" s="11"/>
      <c r="J258" s="9"/>
      <c r="K258" s="9"/>
      <c r="L258" s="9"/>
      <c r="M258" s="10"/>
      <c r="N258" s="9"/>
      <c r="O258" s="10"/>
      <c r="P258" s="11"/>
      <c r="Q258" s="11"/>
      <c r="R258" s="11"/>
      <c r="S258" s="11"/>
      <c r="T258" s="9"/>
      <c r="U258" s="9"/>
      <c r="V258" s="9"/>
      <c r="W258" s="9"/>
      <c r="X258" s="9"/>
      <c r="Y258" s="10"/>
      <c r="Z258" s="11"/>
      <c r="AA258" s="11"/>
      <c r="AB258" s="11"/>
      <c r="AC258" s="11"/>
      <c r="AD258" s="11"/>
      <c r="AE258" s="11"/>
      <c r="AF258" s="11"/>
      <c r="AG258" s="11"/>
      <c r="AH258" s="11"/>
      <c r="AI258" s="12"/>
      <c r="AJ258" s="11"/>
      <c r="AK258" s="11"/>
      <c r="AL258" s="11"/>
      <c r="AM258" s="11"/>
      <c r="AN258" s="9"/>
      <c r="AO258" s="9"/>
      <c r="AP258" s="9"/>
      <c r="AQ258" s="9"/>
      <c r="AR258" s="9"/>
      <c r="AS258" s="9"/>
      <c r="AT258" s="9"/>
      <c r="AU258" s="9"/>
      <c r="AV258" s="9"/>
      <c r="AW258" s="9"/>
      <c r="AX258" s="13"/>
    </row>
    <row r="259" spans="1:50" s="14" customFormat="1" x14ac:dyDescent="0.25">
      <c r="A259" s="11"/>
      <c r="B259" s="11"/>
      <c r="C259" s="11"/>
      <c r="D259" s="11"/>
      <c r="E259" s="11"/>
      <c r="F259" s="11"/>
      <c r="G259" s="11"/>
      <c r="H259" s="10"/>
      <c r="I259" s="11"/>
      <c r="J259" s="11"/>
      <c r="K259" s="11"/>
      <c r="L259" s="11"/>
      <c r="M259" s="10"/>
      <c r="N259" s="9"/>
      <c r="O259" s="10"/>
      <c r="P259" s="11"/>
      <c r="Q259" s="11"/>
      <c r="R259" s="11"/>
      <c r="S259" s="11"/>
      <c r="T259" s="9"/>
      <c r="U259" s="9"/>
      <c r="V259" s="9"/>
      <c r="W259" s="9"/>
      <c r="X259" s="9"/>
      <c r="Y259" s="10"/>
      <c r="Z259" s="11"/>
      <c r="AA259" s="11"/>
      <c r="AB259" s="11"/>
      <c r="AC259" s="11"/>
      <c r="AD259" s="11"/>
      <c r="AE259" s="11"/>
      <c r="AF259" s="11"/>
      <c r="AG259" s="11"/>
      <c r="AH259" s="11"/>
      <c r="AI259" s="12"/>
      <c r="AJ259" s="11"/>
      <c r="AK259" s="11"/>
      <c r="AL259" s="11"/>
      <c r="AM259" s="11"/>
      <c r="AN259" s="9"/>
      <c r="AO259" s="9"/>
      <c r="AP259" s="9"/>
      <c r="AQ259" s="9"/>
      <c r="AR259" s="9"/>
      <c r="AS259" s="9"/>
      <c r="AT259" s="9"/>
      <c r="AU259" s="9"/>
      <c r="AV259" s="9"/>
      <c r="AW259" s="9"/>
      <c r="AX259" s="13"/>
    </row>
    <row r="260" spans="1:50" s="14" customFormat="1" x14ac:dyDescent="0.25">
      <c r="A260" s="11"/>
      <c r="B260" s="11"/>
      <c r="C260" s="11"/>
      <c r="D260" s="11"/>
      <c r="E260" s="9"/>
      <c r="F260" s="9"/>
      <c r="G260" s="9"/>
      <c r="H260" s="10"/>
      <c r="I260" s="11"/>
      <c r="J260" s="9"/>
      <c r="K260" s="9"/>
      <c r="L260" s="9"/>
      <c r="M260" s="10"/>
      <c r="N260" s="9"/>
      <c r="O260" s="10"/>
      <c r="P260" s="11"/>
      <c r="Q260" s="11"/>
      <c r="R260" s="11"/>
      <c r="S260" s="11"/>
      <c r="T260" s="9"/>
      <c r="U260" s="9"/>
      <c r="V260" s="9"/>
      <c r="W260" s="9"/>
      <c r="X260" s="9"/>
      <c r="Y260" s="10"/>
      <c r="Z260" s="11"/>
      <c r="AA260" s="11"/>
      <c r="AB260" s="11"/>
      <c r="AC260" s="11"/>
      <c r="AD260" s="11"/>
      <c r="AE260" s="11"/>
      <c r="AF260" s="11"/>
      <c r="AG260" s="11"/>
      <c r="AH260" s="11"/>
      <c r="AI260" s="12"/>
      <c r="AJ260" s="11"/>
      <c r="AK260" s="11"/>
      <c r="AL260" s="11"/>
      <c r="AM260" s="11"/>
      <c r="AN260" s="9"/>
      <c r="AO260" s="9"/>
      <c r="AP260" s="9"/>
      <c r="AQ260" s="9"/>
      <c r="AR260" s="9"/>
      <c r="AS260" s="9"/>
      <c r="AT260" s="9"/>
      <c r="AU260" s="9"/>
      <c r="AV260" s="9"/>
      <c r="AW260" s="9"/>
      <c r="AX260" s="13"/>
    </row>
    <row r="261" spans="1:50" s="14" customFormat="1" x14ac:dyDescent="0.25">
      <c r="A261" s="11"/>
      <c r="B261" s="11"/>
      <c r="C261" s="11"/>
      <c r="D261" s="11"/>
      <c r="E261" s="9"/>
      <c r="F261" s="9"/>
      <c r="G261" s="9"/>
      <c r="H261" s="10"/>
      <c r="I261" s="11"/>
      <c r="J261" s="9"/>
      <c r="K261" s="9"/>
      <c r="L261" s="9"/>
      <c r="M261" s="10"/>
      <c r="N261" s="9"/>
      <c r="O261" s="10"/>
      <c r="P261" s="11"/>
      <c r="Q261" s="11"/>
      <c r="R261" s="11"/>
      <c r="S261" s="11"/>
      <c r="T261" s="9"/>
      <c r="U261" s="9"/>
      <c r="V261" s="9"/>
      <c r="W261" s="9"/>
      <c r="X261" s="9"/>
      <c r="Y261" s="10"/>
      <c r="Z261" s="11"/>
      <c r="AA261" s="11"/>
      <c r="AB261" s="11"/>
      <c r="AC261" s="11"/>
      <c r="AD261" s="11"/>
      <c r="AE261" s="11"/>
      <c r="AF261" s="11"/>
      <c r="AG261" s="11"/>
      <c r="AH261" s="11"/>
      <c r="AI261" s="12"/>
      <c r="AJ261" s="11"/>
      <c r="AK261" s="11"/>
      <c r="AL261" s="11"/>
      <c r="AM261" s="11"/>
      <c r="AN261" s="9"/>
      <c r="AO261" s="9"/>
      <c r="AP261" s="9"/>
      <c r="AQ261" s="9"/>
      <c r="AR261" s="9"/>
      <c r="AS261" s="9"/>
      <c r="AT261" s="9"/>
      <c r="AU261" s="9"/>
      <c r="AV261" s="9"/>
      <c r="AW261" s="9"/>
      <c r="AX261" s="13"/>
    </row>
    <row r="262" spans="1:50" s="14" customFormat="1" x14ac:dyDescent="0.25">
      <c r="A262" s="11"/>
      <c r="B262" s="11"/>
      <c r="C262" s="11"/>
      <c r="D262" s="11"/>
      <c r="E262" s="9"/>
      <c r="F262" s="9"/>
      <c r="G262" s="9"/>
      <c r="H262" s="10"/>
      <c r="I262" s="11"/>
      <c r="J262" s="9"/>
      <c r="K262" s="9"/>
      <c r="L262" s="9"/>
      <c r="M262" s="10"/>
      <c r="N262" s="9"/>
      <c r="O262" s="10"/>
      <c r="P262" s="11"/>
      <c r="Q262" s="11"/>
      <c r="R262" s="11"/>
      <c r="S262" s="11"/>
      <c r="T262" s="9"/>
      <c r="U262" s="9"/>
      <c r="V262" s="9"/>
      <c r="W262" s="9"/>
      <c r="X262" s="9"/>
      <c r="Y262" s="10"/>
      <c r="Z262" s="11"/>
      <c r="AA262" s="11"/>
      <c r="AB262" s="11"/>
      <c r="AC262" s="11"/>
      <c r="AD262" s="11"/>
      <c r="AE262" s="11"/>
      <c r="AF262" s="11"/>
      <c r="AG262" s="11"/>
      <c r="AH262" s="11"/>
      <c r="AI262" s="12"/>
      <c r="AJ262" s="11"/>
      <c r="AK262" s="11"/>
      <c r="AL262" s="11"/>
      <c r="AM262" s="11"/>
      <c r="AN262" s="9"/>
      <c r="AO262" s="9"/>
      <c r="AP262" s="9"/>
      <c r="AQ262" s="9"/>
      <c r="AR262" s="9"/>
      <c r="AS262" s="9"/>
      <c r="AT262" s="9"/>
      <c r="AU262" s="9"/>
      <c r="AV262" s="9"/>
      <c r="AW262" s="9"/>
      <c r="AX262" s="13"/>
    </row>
    <row r="263" spans="1:50" s="14" customFormat="1" x14ac:dyDescent="0.25">
      <c r="A263" s="11"/>
      <c r="B263" s="11"/>
      <c r="C263" s="11"/>
      <c r="D263" s="11"/>
      <c r="E263" s="11"/>
      <c r="F263" s="11"/>
      <c r="G263" s="11"/>
      <c r="H263" s="10"/>
      <c r="I263" s="11"/>
      <c r="J263" s="11"/>
      <c r="K263" s="11"/>
      <c r="L263" s="11"/>
      <c r="M263" s="10"/>
      <c r="N263" s="9"/>
      <c r="O263" s="10"/>
      <c r="P263" s="11"/>
      <c r="Q263" s="11"/>
      <c r="R263" s="11"/>
      <c r="S263" s="11"/>
      <c r="T263" s="9"/>
      <c r="U263" s="9"/>
      <c r="V263" s="9"/>
      <c r="W263" s="9"/>
      <c r="X263" s="9"/>
      <c r="Y263" s="10"/>
      <c r="Z263" s="11"/>
      <c r="AA263" s="11"/>
      <c r="AB263" s="11"/>
      <c r="AC263" s="11"/>
      <c r="AD263" s="11"/>
      <c r="AE263" s="11"/>
      <c r="AF263" s="11"/>
      <c r="AG263" s="11"/>
      <c r="AH263" s="11"/>
      <c r="AI263" s="12"/>
      <c r="AJ263" s="11"/>
      <c r="AK263" s="11"/>
      <c r="AL263" s="11"/>
      <c r="AM263" s="11"/>
      <c r="AN263" s="9"/>
      <c r="AO263" s="9"/>
      <c r="AP263" s="9"/>
      <c r="AQ263" s="9"/>
      <c r="AR263" s="9"/>
      <c r="AS263" s="9"/>
      <c r="AT263" s="9"/>
      <c r="AU263" s="9"/>
      <c r="AV263" s="9"/>
      <c r="AW263" s="9"/>
      <c r="AX263" s="13"/>
    </row>
    <row r="264" spans="1:50" s="14" customFormat="1" x14ac:dyDescent="0.25">
      <c r="A264" s="9"/>
      <c r="B264" s="9"/>
      <c r="C264" s="9"/>
      <c r="D264" s="9"/>
      <c r="E264" s="9"/>
      <c r="F264" s="9"/>
      <c r="G264" s="9"/>
      <c r="H264" s="10"/>
      <c r="I264" s="9"/>
      <c r="J264" s="9"/>
      <c r="K264" s="9"/>
      <c r="L264" s="9"/>
      <c r="M264" s="10"/>
      <c r="N264" s="9"/>
      <c r="O264" s="10"/>
      <c r="P264" s="9"/>
      <c r="Q264" s="9"/>
      <c r="R264" s="9"/>
      <c r="S264" s="9"/>
      <c r="T264" s="9"/>
      <c r="U264" s="9"/>
      <c r="V264" s="9"/>
      <c r="W264" s="9"/>
      <c r="X264" s="9"/>
      <c r="Y264" s="10"/>
      <c r="Z264" s="9"/>
      <c r="AA264" s="9"/>
      <c r="AB264" s="9"/>
      <c r="AC264" s="9"/>
      <c r="AD264" s="9"/>
      <c r="AE264" s="9"/>
      <c r="AF264" s="9"/>
      <c r="AG264" s="9"/>
      <c r="AH264" s="9"/>
      <c r="AI264" s="10"/>
      <c r="AJ264" s="9"/>
      <c r="AK264" s="9"/>
      <c r="AL264" s="9"/>
      <c r="AM264" s="9"/>
      <c r="AN264" s="9"/>
      <c r="AO264" s="9"/>
      <c r="AP264" s="9"/>
      <c r="AQ264" s="9"/>
      <c r="AR264" s="9"/>
      <c r="AS264" s="9"/>
      <c r="AT264" s="9"/>
      <c r="AU264" s="9"/>
      <c r="AV264" s="9"/>
      <c r="AW264" s="9"/>
      <c r="AX264" s="9"/>
    </row>
    <row r="265" spans="1:50" s="14" customFormat="1" x14ac:dyDescent="0.25">
      <c r="A265" s="9"/>
      <c r="B265" s="9"/>
      <c r="C265" s="9"/>
      <c r="D265" s="9"/>
      <c r="E265" s="9"/>
      <c r="F265" s="9"/>
      <c r="G265" s="9"/>
      <c r="H265" s="10"/>
      <c r="I265" s="9"/>
      <c r="J265" s="9"/>
      <c r="K265" s="9"/>
      <c r="L265" s="9"/>
      <c r="M265" s="10"/>
      <c r="N265" s="9"/>
      <c r="O265" s="10"/>
      <c r="P265" s="9"/>
      <c r="Q265" s="9"/>
      <c r="R265" s="9"/>
      <c r="S265" s="9"/>
      <c r="T265" s="9"/>
      <c r="U265" s="9"/>
      <c r="V265" s="9"/>
      <c r="W265" s="9"/>
      <c r="X265" s="9"/>
      <c r="Y265" s="10"/>
      <c r="Z265" s="9"/>
      <c r="AA265" s="9"/>
      <c r="AB265" s="9"/>
      <c r="AC265" s="9"/>
      <c r="AD265" s="9"/>
      <c r="AE265" s="9"/>
      <c r="AF265" s="9"/>
      <c r="AG265" s="9"/>
      <c r="AH265" s="9"/>
      <c r="AI265" s="10"/>
      <c r="AJ265" s="9"/>
      <c r="AK265" s="9"/>
      <c r="AL265" s="9"/>
      <c r="AM265" s="9"/>
      <c r="AN265" s="9"/>
      <c r="AO265" s="9"/>
      <c r="AP265" s="9"/>
      <c r="AQ265" s="9"/>
      <c r="AR265" s="9"/>
      <c r="AS265" s="9"/>
      <c r="AT265" s="9"/>
      <c r="AU265" s="9"/>
      <c r="AV265" s="9"/>
      <c r="AW265" s="9"/>
      <c r="AX265" s="9"/>
    </row>
    <row r="266" spans="1:50" s="14" customFormat="1" x14ac:dyDescent="0.25">
      <c r="A266" s="9"/>
      <c r="B266" s="9"/>
      <c r="C266" s="9"/>
      <c r="D266" s="9"/>
      <c r="E266" s="9"/>
      <c r="F266" s="9"/>
      <c r="G266" s="9"/>
      <c r="H266" s="10"/>
      <c r="I266" s="9"/>
      <c r="J266" s="9"/>
      <c r="K266" s="9"/>
      <c r="L266" s="9"/>
      <c r="M266" s="10"/>
      <c r="N266" s="9"/>
      <c r="O266" s="10"/>
      <c r="P266" s="9"/>
      <c r="Q266" s="9"/>
      <c r="R266" s="9"/>
      <c r="S266" s="9"/>
      <c r="T266" s="9"/>
      <c r="U266" s="9"/>
      <c r="V266" s="9"/>
      <c r="W266" s="9"/>
      <c r="X266" s="9"/>
      <c r="Y266" s="10"/>
      <c r="Z266" s="9"/>
      <c r="AA266" s="9"/>
      <c r="AB266" s="9"/>
      <c r="AC266" s="9"/>
      <c r="AD266" s="9"/>
      <c r="AE266" s="9"/>
      <c r="AF266" s="9"/>
      <c r="AG266" s="9"/>
      <c r="AH266" s="9"/>
      <c r="AI266" s="10"/>
      <c r="AJ266" s="9"/>
      <c r="AK266" s="9"/>
      <c r="AL266" s="9"/>
      <c r="AM266" s="9"/>
      <c r="AN266" s="9"/>
      <c r="AO266" s="9"/>
      <c r="AP266" s="9"/>
      <c r="AQ266" s="9"/>
      <c r="AR266" s="9"/>
      <c r="AS266" s="9"/>
      <c r="AT266" s="9"/>
      <c r="AU266" s="9"/>
      <c r="AV266" s="9"/>
      <c r="AW266" s="9"/>
      <c r="AX266" s="9"/>
    </row>
    <row r="267" spans="1:50" s="14" customFormat="1" x14ac:dyDescent="0.25">
      <c r="A267" s="9"/>
      <c r="B267" s="9"/>
      <c r="C267" s="9"/>
      <c r="D267" s="9"/>
      <c r="E267" s="9"/>
      <c r="F267" s="9"/>
      <c r="G267" s="9"/>
      <c r="H267" s="10"/>
      <c r="I267" s="9"/>
      <c r="J267" s="9"/>
      <c r="K267" s="9"/>
      <c r="L267" s="9"/>
      <c r="M267" s="10"/>
      <c r="N267" s="9"/>
      <c r="O267" s="10"/>
      <c r="P267" s="9"/>
      <c r="Q267" s="9"/>
      <c r="R267" s="9"/>
      <c r="S267" s="9"/>
      <c r="T267" s="9"/>
      <c r="U267" s="9"/>
      <c r="V267" s="9"/>
      <c r="W267" s="9"/>
      <c r="X267" s="9"/>
      <c r="Y267" s="10"/>
      <c r="Z267" s="9"/>
      <c r="AA267" s="9"/>
      <c r="AB267" s="9"/>
      <c r="AC267" s="9"/>
      <c r="AD267" s="9"/>
      <c r="AE267" s="9"/>
      <c r="AF267" s="9"/>
      <c r="AG267" s="9"/>
      <c r="AH267" s="9"/>
      <c r="AI267" s="10"/>
      <c r="AJ267" s="9"/>
      <c r="AK267" s="9"/>
      <c r="AL267" s="9"/>
      <c r="AM267" s="9"/>
      <c r="AN267" s="9"/>
      <c r="AO267" s="9"/>
      <c r="AP267" s="9"/>
      <c r="AQ267" s="9"/>
      <c r="AR267" s="9"/>
      <c r="AS267" s="9"/>
      <c r="AT267" s="9"/>
      <c r="AU267" s="9"/>
      <c r="AV267" s="9"/>
      <c r="AW267" s="9"/>
      <c r="AX267" s="9"/>
    </row>
    <row r="268" spans="1:50" s="14" customFormat="1" x14ac:dyDescent="0.25">
      <c r="A268" s="9"/>
      <c r="B268" s="9"/>
      <c r="C268" s="9"/>
      <c r="D268" s="9"/>
      <c r="E268" s="9"/>
      <c r="F268" s="9"/>
      <c r="G268" s="9"/>
      <c r="H268" s="10"/>
      <c r="I268" s="9"/>
      <c r="J268" s="9"/>
      <c r="K268" s="9"/>
      <c r="L268" s="9"/>
      <c r="M268" s="10"/>
      <c r="N268" s="9"/>
      <c r="O268" s="10"/>
      <c r="P268" s="9"/>
      <c r="Q268" s="9"/>
      <c r="R268" s="9"/>
      <c r="S268" s="9"/>
      <c r="T268" s="9"/>
      <c r="U268" s="9"/>
      <c r="V268" s="9"/>
      <c r="W268" s="9"/>
      <c r="X268" s="9"/>
      <c r="Y268" s="10"/>
      <c r="Z268" s="9"/>
      <c r="AA268" s="9"/>
      <c r="AB268" s="9"/>
      <c r="AC268" s="9"/>
      <c r="AD268" s="9"/>
      <c r="AE268" s="9"/>
      <c r="AF268" s="9"/>
      <c r="AG268" s="9"/>
      <c r="AH268" s="9"/>
      <c r="AI268" s="10"/>
      <c r="AJ268" s="9"/>
      <c r="AK268" s="9"/>
      <c r="AL268" s="9"/>
      <c r="AM268" s="9"/>
      <c r="AN268" s="9"/>
      <c r="AO268" s="9"/>
      <c r="AP268" s="9"/>
      <c r="AQ268" s="9"/>
      <c r="AR268" s="9"/>
      <c r="AS268" s="9"/>
      <c r="AT268" s="9"/>
      <c r="AU268" s="9"/>
      <c r="AV268" s="9"/>
      <c r="AW268" s="9"/>
      <c r="AX268" s="9"/>
    </row>
    <row r="269" spans="1:50" s="14" customFormat="1" x14ac:dyDescent="0.25">
      <c r="A269" s="9"/>
      <c r="B269" s="9"/>
      <c r="C269" s="9"/>
      <c r="D269" s="9"/>
      <c r="E269" s="9"/>
      <c r="F269" s="9"/>
      <c r="G269" s="9"/>
      <c r="H269" s="10"/>
      <c r="I269" s="9"/>
      <c r="J269" s="9"/>
      <c r="K269" s="9"/>
      <c r="L269" s="9"/>
      <c r="M269" s="10"/>
      <c r="N269" s="9"/>
      <c r="O269" s="10"/>
      <c r="P269" s="9"/>
      <c r="Q269" s="9"/>
      <c r="R269" s="9"/>
      <c r="S269" s="9"/>
      <c r="T269" s="9"/>
      <c r="U269" s="9"/>
      <c r="V269" s="9"/>
      <c r="W269" s="9"/>
      <c r="X269" s="9"/>
      <c r="Y269" s="10"/>
      <c r="Z269" s="9"/>
      <c r="AA269" s="9"/>
      <c r="AB269" s="9"/>
      <c r="AC269" s="9"/>
      <c r="AD269" s="9"/>
      <c r="AE269" s="9"/>
      <c r="AF269" s="9"/>
      <c r="AG269" s="9"/>
      <c r="AH269" s="9"/>
      <c r="AI269" s="10"/>
      <c r="AJ269" s="9"/>
      <c r="AK269" s="9"/>
      <c r="AL269" s="9"/>
      <c r="AM269" s="9"/>
      <c r="AN269" s="9"/>
      <c r="AO269" s="9"/>
      <c r="AP269" s="9"/>
      <c r="AQ269" s="9"/>
      <c r="AR269" s="9"/>
      <c r="AS269" s="9"/>
      <c r="AT269" s="9"/>
      <c r="AU269" s="9"/>
      <c r="AV269" s="9"/>
      <c r="AW269" s="9"/>
      <c r="AX269" s="9"/>
    </row>
    <row r="270" spans="1:50" s="14" customFormat="1" x14ac:dyDescent="0.25">
      <c r="A270" s="9"/>
      <c r="B270" s="9"/>
      <c r="C270" s="9"/>
      <c r="D270" s="9"/>
      <c r="E270" s="9"/>
      <c r="F270" s="9"/>
      <c r="G270" s="9"/>
      <c r="H270" s="10"/>
      <c r="I270" s="9"/>
      <c r="J270" s="9"/>
      <c r="K270" s="9"/>
      <c r="L270" s="9"/>
      <c r="M270" s="10"/>
      <c r="N270" s="9"/>
      <c r="O270" s="10"/>
      <c r="P270" s="9"/>
      <c r="Q270" s="9"/>
      <c r="R270" s="9"/>
      <c r="S270" s="9"/>
      <c r="T270" s="9"/>
      <c r="U270" s="9"/>
      <c r="V270" s="9"/>
      <c r="W270" s="9"/>
      <c r="X270" s="9"/>
      <c r="Y270" s="10"/>
      <c r="Z270" s="9"/>
      <c r="AA270" s="9"/>
      <c r="AB270" s="9"/>
      <c r="AC270" s="9"/>
      <c r="AD270" s="9"/>
      <c r="AE270" s="9"/>
      <c r="AF270" s="9"/>
      <c r="AG270" s="9"/>
      <c r="AH270" s="9"/>
      <c r="AI270" s="10"/>
      <c r="AJ270" s="9"/>
      <c r="AK270" s="9"/>
      <c r="AL270" s="9"/>
      <c r="AM270" s="9"/>
      <c r="AN270" s="9"/>
      <c r="AO270" s="9"/>
      <c r="AP270" s="9"/>
      <c r="AQ270" s="9"/>
      <c r="AR270" s="9"/>
      <c r="AS270" s="9"/>
      <c r="AT270" s="9"/>
      <c r="AU270" s="9"/>
      <c r="AV270" s="9"/>
      <c r="AW270" s="9"/>
      <c r="AX270" s="9"/>
    </row>
    <row r="271" spans="1:50" s="14" customFormat="1" x14ac:dyDescent="0.25">
      <c r="A271" s="9"/>
      <c r="B271" s="9"/>
      <c r="C271" s="9"/>
      <c r="D271" s="9"/>
      <c r="E271" s="9"/>
      <c r="F271" s="9"/>
      <c r="G271" s="9"/>
      <c r="H271" s="10"/>
      <c r="I271" s="9"/>
      <c r="J271" s="9"/>
      <c r="K271" s="9"/>
      <c r="L271" s="9"/>
      <c r="M271" s="10"/>
      <c r="N271" s="9"/>
      <c r="O271" s="10"/>
      <c r="P271" s="9"/>
      <c r="Q271" s="9"/>
      <c r="R271" s="9"/>
      <c r="S271" s="9"/>
      <c r="T271" s="9"/>
      <c r="U271" s="9"/>
      <c r="V271" s="9"/>
      <c r="W271" s="9"/>
      <c r="X271" s="9"/>
      <c r="Y271" s="10"/>
      <c r="Z271" s="9"/>
      <c r="AA271" s="9"/>
      <c r="AB271" s="9"/>
      <c r="AC271" s="9"/>
      <c r="AD271" s="9"/>
      <c r="AE271" s="9"/>
      <c r="AF271" s="9"/>
      <c r="AG271" s="9"/>
      <c r="AH271" s="9"/>
      <c r="AI271" s="10"/>
      <c r="AJ271" s="9"/>
      <c r="AK271" s="9"/>
      <c r="AL271" s="9"/>
      <c r="AM271" s="9"/>
      <c r="AN271" s="9"/>
      <c r="AO271" s="9"/>
      <c r="AP271" s="9"/>
      <c r="AQ271" s="9"/>
      <c r="AR271" s="9"/>
      <c r="AS271" s="9"/>
      <c r="AT271" s="9"/>
      <c r="AU271" s="9"/>
      <c r="AV271" s="9"/>
      <c r="AW271" s="9"/>
      <c r="AX271" s="9"/>
    </row>
    <row r="272" spans="1:50" s="14" customFormat="1" x14ac:dyDescent="0.25">
      <c r="A272" s="9"/>
      <c r="B272" s="9"/>
      <c r="C272" s="9"/>
      <c r="D272" s="9"/>
      <c r="E272" s="9"/>
      <c r="F272" s="9"/>
      <c r="G272" s="9"/>
      <c r="H272" s="10"/>
      <c r="I272" s="9"/>
      <c r="J272" s="9"/>
      <c r="K272" s="9"/>
      <c r="L272" s="9"/>
      <c r="M272" s="10"/>
      <c r="N272" s="9"/>
      <c r="O272" s="10"/>
      <c r="P272" s="9"/>
      <c r="Q272" s="9"/>
      <c r="R272" s="9"/>
      <c r="S272" s="9"/>
      <c r="T272" s="9"/>
      <c r="U272" s="9"/>
      <c r="V272" s="9"/>
      <c r="W272" s="9"/>
      <c r="X272" s="9"/>
      <c r="Y272" s="10"/>
      <c r="Z272" s="9"/>
      <c r="AA272" s="9"/>
      <c r="AB272" s="9"/>
      <c r="AC272" s="9"/>
      <c r="AD272" s="9"/>
      <c r="AE272" s="9"/>
      <c r="AF272" s="9"/>
      <c r="AG272" s="9"/>
      <c r="AH272" s="9"/>
      <c r="AI272" s="10"/>
      <c r="AJ272" s="9"/>
      <c r="AK272" s="9"/>
      <c r="AL272" s="9"/>
      <c r="AM272" s="9"/>
      <c r="AN272" s="9"/>
      <c r="AO272" s="9"/>
      <c r="AP272" s="9"/>
      <c r="AQ272" s="9"/>
      <c r="AR272" s="9"/>
      <c r="AS272" s="9"/>
      <c r="AT272" s="9"/>
      <c r="AU272" s="9"/>
      <c r="AV272" s="9"/>
      <c r="AW272" s="9"/>
      <c r="AX272" s="9"/>
    </row>
    <row r="273" spans="1:50" s="14" customFormat="1" x14ac:dyDescent="0.25">
      <c r="A273" s="9"/>
      <c r="B273" s="9"/>
      <c r="C273" s="9"/>
      <c r="D273" s="9"/>
      <c r="E273" s="9"/>
      <c r="F273" s="9"/>
      <c r="G273" s="9"/>
      <c r="H273" s="10"/>
      <c r="I273" s="9"/>
      <c r="J273" s="9"/>
      <c r="K273" s="9"/>
      <c r="L273" s="9"/>
      <c r="M273" s="10"/>
      <c r="N273" s="9"/>
      <c r="O273" s="10"/>
      <c r="P273" s="9"/>
      <c r="Q273" s="9"/>
      <c r="R273" s="9"/>
      <c r="S273" s="9"/>
      <c r="T273" s="9"/>
      <c r="U273" s="9"/>
      <c r="V273" s="9"/>
      <c r="W273" s="9"/>
      <c r="X273" s="9"/>
      <c r="Y273" s="10"/>
      <c r="Z273" s="9"/>
      <c r="AA273" s="9"/>
      <c r="AB273" s="9"/>
      <c r="AC273" s="9"/>
      <c r="AD273" s="9"/>
      <c r="AE273" s="9"/>
      <c r="AF273" s="9"/>
      <c r="AG273" s="9"/>
      <c r="AH273" s="9"/>
      <c r="AI273" s="10"/>
      <c r="AJ273" s="9"/>
      <c r="AK273" s="9"/>
      <c r="AL273" s="9"/>
      <c r="AM273" s="9"/>
      <c r="AN273" s="9"/>
      <c r="AO273" s="9"/>
      <c r="AP273" s="9"/>
      <c r="AQ273" s="9"/>
      <c r="AR273" s="9"/>
      <c r="AS273" s="9"/>
      <c r="AT273" s="9"/>
      <c r="AU273" s="9"/>
      <c r="AV273" s="9"/>
      <c r="AW273" s="9"/>
      <c r="AX273" s="9"/>
    </row>
    <row r="274" spans="1:50" s="14" customFormat="1" x14ac:dyDescent="0.25">
      <c r="A274" s="9"/>
      <c r="B274" s="9"/>
      <c r="C274" s="9"/>
      <c r="D274" s="9"/>
      <c r="E274" s="9"/>
      <c r="F274" s="9"/>
      <c r="G274" s="9"/>
      <c r="H274" s="10"/>
      <c r="I274" s="9"/>
      <c r="J274" s="9"/>
      <c r="K274" s="9"/>
      <c r="L274" s="9"/>
      <c r="M274" s="10"/>
      <c r="N274" s="9"/>
      <c r="O274" s="10"/>
      <c r="P274" s="9"/>
      <c r="Q274" s="9"/>
      <c r="R274" s="9"/>
      <c r="S274" s="9"/>
      <c r="T274" s="9"/>
      <c r="U274" s="9"/>
      <c r="V274" s="9"/>
      <c r="W274" s="9"/>
      <c r="X274" s="9"/>
      <c r="Y274" s="10"/>
      <c r="Z274" s="9"/>
      <c r="AA274" s="9"/>
      <c r="AB274" s="9"/>
      <c r="AC274" s="9"/>
      <c r="AD274" s="9"/>
      <c r="AE274" s="9"/>
      <c r="AF274" s="9"/>
      <c r="AG274" s="9"/>
      <c r="AH274" s="9"/>
      <c r="AI274" s="10"/>
      <c r="AJ274" s="9"/>
      <c r="AK274" s="9"/>
      <c r="AL274" s="9"/>
      <c r="AM274" s="9"/>
      <c r="AN274" s="9"/>
      <c r="AO274" s="9"/>
      <c r="AP274" s="9"/>
      <c r="AQ274" s="9"/>
      <c r="AR274" s="9"/>
      <c r="AS274" s="9"/>
      <c r="AT274" s="9"/>
      <c r="AU274" s="9"/>
      <c r="AV274" s="9"/>
      <c r="AW274" s="9"/>
      <c r="AX274" s="9"/>
    </row>
    <row r="275" spans="1:50" s="14" customFormat="1" x14ac:dyDescent="0.25">
      <c r="A275" s="9"/>
      <c r="B275" s="9"/>
      <c r="C275" s="9"/>
      <c r="D275" s="9"/>
      <c r="E275" s="9"/>
      <c r="F275" s="9"/>
      <c r="G275" s="9"/>
      <c r="H275" s="10"/>
      <c r="I275" s="9"/>
      <c r="J275" s="9"/>
      <c r="K275" s="9"/>
      <c r="L275" s="9"/>
      <c r="M275" s="10"/>
      <c r="N275" s="9"/>
      <c r="O275" s="10"/>
      <c r="P275" s="9"/>
      <c r="Q275" s="9"/>
      <c r="R275" s="9"/>
      <c r="S275" s="9"/>
      <c r="T275" s="9"/>
      <c r="U275" s="9"/>
      <c r="V275" s="9"/>
      <c r="W275" s="9"/>
      <c r="X275" s="9"/>
      <c r="Y275" s="10"/>
      <c r="Z275" s="9"/>
      <c r="AA275" s="9"/>
      <c r="AB275" s="9"/>
      <c r="AC275" s="9"/>
      <c r="AD275" s="9"/>
      <c r="AE275" s="9"/>
      <c r="AF275" s="9"/>
      <c r="AG275" s="9"/>
      <c r="AH275" s="9"/>
      <c r="AI275" s="10"/>
      <c r="AJ275" s="9"/>
      <c r="AK275" s="9"/>
      <c r="AL275" s="9"/>
      <c r="AM275" s="9"/>
      <c r="AN275" s="9"/>
      <c r="AO275" s="9"/>
      <c r="AP275" s="9"/>
      <c r="AQ275" s="9"/>
      <c r="AR275" s="9"/>
      <c r="AS275" s="9"/>
      <c r="AT275" s="9"/>
      <c r="AU275" s="9"/>
      <c r="AV275" s="9"/>
      <c r="AW275" s="9"/>
      <c r="AX275" s="9"/>
    </row>
    <row r="276" spans="1:50" s="14" customFormat="1" x14ac:dyDescent="0.25">
      <c r="A276" s="9"/>
      <c r="B276" s="9"/>
      <c r="C276" s="9"/>
      <c r="D276" s="9"/>
      <c r="E276" s="9"/>
      <c r="F276" s="9"/>
      <c r="G276" s="9"/>
      <c r="H276" s="10"/>
      <c r="I276" s="9"/>
      <c r="J276" s="9"/>
      <c r="K276" s="9"/>
      <c r="L276" s="9"/>
      <c r="M276" s="10"/>
      <c r="N276" s="9"/>
      <c r="O276" s="10"/>
      <c r="P276" s="9"/>
      <c r="Q276" s="9"/>
      <c r="R276" s="9"/>
      <c r="S276" s="9"/>
      <c r="T276" s="9"/>
      <c r="U276" s="9"/>
      <c r="V276" s="9"/>
      <c r="W276" s="9"/>
      <c r="X276" s="9"/>
      <c r="Y276" s="10"/>
      <c r="Z276" s="9"/>
      <c r="AA276" s="9"/>
      <c r="AB276" s="9"/>
      <c r="AC276" s="9"/>
      <c r="AD276" s="9"/>
      <c r="AE276" s="9"/>
      <c r="AF276" s="9"/>
      <c r="AG276" s="9"/>
      <c r="AH276" s="9"/>
      <c r="AI276" s="10"/>
      <c r="AJ276" s="9"/>
      <c r="AK276" s="9"/>
      <c r="AL276" s="9"/>
      <c r="AM276" s="9"/>
      <c r="AN276" s="9"/>
      <c r="AO276" s="9"/>
      <c r="AP276" s="9"/>
      <c r="AQ276" s="9"/>
      <c r="AR276" s="9"/>
      <c r="AS276" s="9"/>
      <c r="AT276" s="9"/>
      <c r="AU276" s="9"/>
      <c r="AV276" s="9"/>
      <c r="AW276" s="9"/>
      <c r="AX276" s="9"/>
    </row>
    <row r="277" spans="1:50" s="14" customFormat="1" x14ac:dyDescent="0.25">
      <c r="A277" s="9"/>
      <c r="B277" s="9"/>
      <c r="C277" s="9"/>
      <c r="D277" s="9"/>
      <c r="E277" s="9"/>
      <c r="F277" s="9"/>
      <c r="G277" s="9"/>
      <c r="H277" s="10"/>
      <c r="I277" s="9"/>
      <c r="J277" s="9"/>
      <c r="K277" s="9"/>
      <c r="L277" s="9"/>
      <c r="M277" s="10"/>
      <c r="N277" s="9"/>
      <c r="O277" s="10"/>
      <c r="P277" s="9"/>
      <c r="Q277" s="9"/>
      <c r="R277" s="9"/>
      <c r="S277" s="9"/>
      <c r="T277" s="9"/>
      <c r="U277" s="9"/>
      <c r="V277" s="9"/>
      <c r="W277" s="9"/>
      <c r="X277" s="9"/>
      <c r="Y277" s="10"/>
      <c r="Z277" s="9"/>
      <c r="AA277" s="9"/>
      <c r="AB277" s="9"/>
      <c r="AC277" s="9"/>
      <c r="AD277" s="9"/>
      <c r="AE277" s="9"/>
      <c r="AF277" s="9"/>
      <c r="AG277" s="9"/>
      <c r="AH277" s="9"/>
      <c r="AI277" s="10"/>
      <c r="AJ277" s="9"/>
      <c r="AK277" s="9"/>
      <c r="AL277" s="9"/>
      <c r="AM277" s="9"/>
      <c r="AN277" s="9"/>
      <c r="AO277" s="9"/>
      <c r="AP277" s="9"/>
      <c r="AQ277" s="9"/>
      <c r="AR277" s="9"/>
      <c r="AS277" s="9"/>
      <c r="AT277" s="9"/>
      <c r="AU277" s="9"/>
      <c r="AV277" s="9"/>
      <c r="AW277" s="9"/>
      <c r="AX277" s="9"/>
    </row>
    <row r="278" spans="1:50" s="14" customFormat="1" x14ac:dyDescent="0.25">
      <c r="A278" s="9"/>
      <c r="B278" s="9"/>
      <c r="C278" s="9"/>
      <c r="D278" s="9"/>
      <c r="E278" s="9"/>
      <c r="F278" s="9"/>
      <c r="G278" s="9"/>
      <c r="H278" s="10"/>
      <c r="I278" s="9"/>
      <c r="J278" s="9"/>
      <c r="K278" s="9"/>
      <c r="L278" s="9"/>
      <c r="M278" s="10"/>
      <c r="N278" s="9"/>
      <c r="O278" s="10"/>
      <c r="P278" s="9"/>
      <c r="Q278" s="9"/>
      <c r="R278" s="9"/>
      <c r="S278" s="9"/>
      <c r="T278" s="9"/>
      <c r="U278" s="9"/>
      <c r="V278" s="9"/>
      <c r="W278" s="9"/>
      <c r="X278" s="9"/>
      <c r="Y278" s="10"/>
      <c r="Z278" s="9"/>
      <c r="AA278" s="9"/>
      <c r="AB278" s="9"/>
      <c r="AC278" s="9"/>
      <c r="AD278" s="9"/>
      <c r="AE278" s="9"/>
      <c r="AF278" s="9"/>
      <c r="AG278" s="9"/>
      <c r="AH278" s="9"/>
      <c r="AI278" s="10"/>
      <c r="AJ278" s="9"/>
      <c r="AK278" s="9"/>
      <c r="AL278" s="9"/>
      <c r="AM278" s="9"/>
      <c r="AN278" s="9"/>
      <c r="AO278" s="9"/>
      <c r="AP278" s="9"/>
      <c r="AQ278" s="9"/>
      <c r="AR278" s="9"/>
      <c r="AS278" s="9"/>
      <c r="AT278" s="9"/>
      <c r="AU278" s="9"/>
      <c r="AV278" s="9"/>
      <c r="AW278" s="9"/>
      <c r="AX278" s="9"/>
    </row>
    <row r="279" spans="1:50" s="14" customFormat="1" x14ac:dyDescent="0.25">
      <c r="A279" s="9"/>
      <c r="B279" s="9"/>
      <c r="C279" s="9"/>
      <c r="D279" s="9"/>
      <c r="E279" s="9"/>
      <c r="F279" s="9"/>
      <c r="G279" s="9"/>
      <c r="H279" s="10"/>
      <c r="I279" s="9"/>
      <c r="J279" s="9"/>
      <c r="K279" s="9"/>
      <c r="L279" s="9"/>
      <c r="M279" s="10"/>
      <c r="N279" s="9"/>
      <c r="O279" s="10"/>
      <c r="P279" s="9"/>
      <c r="Q279" s="9"/>
      <c r="R279" s="9"/>
      <c r="S279" s="9"/>
      <c r="T279" s="9"/>
      <c r="U279" s="9"/>
      <c r="V279" s="9"/>
      <c r="W279" s="9"/>
      <c r="X279" s="9"/>
      <c r="Y279" s="10"/>
      <c r="Z279" s="9"/>
      <c r="AA279" s="9"/>
      <c r="AB279" s="9"/>
      <c r="AC279" s="9"/>
      <c r="AD279" s="9"/>
      <c r="AE279" s="9"/>
      <c r="AF279" s="9"/>
      <c r="AG279" s="9"/>
      <c r="AH279" s="9"/>
      <c r="AI279" s="10"/>
      <c r="AJ279" s="9"/>
      <c r="AK279" s="9"/>
      <c r="AL279" s="9"/>
      <c r="AM279" s="9"/>
      <c r="AN279" s="9"/>
      <c r="AO279" s="9"/>
      <c r="AP279" s="9"/>
      <c r="AQ279" s="9"/>
      <c r="AR279" s="9"/>
      <c r="AS279" s="9"/>
      <c r="AT279" s="9"/>
      <c r="AU279" s="9"/>
      <c r="AV279" s="9"/>
      <c r="AW279" s="9"/>
      <c r="AX279" s="9"/>
    </row>
    <row r="280" spans="1:50" s="14" customFormat="1" x14ac:dyDescent="0.25">
      <c r="A280" s="9"/>
      <c r="B280" s="9"/>
      <c r="C280" s="9"/>
      <c r="D280" s="9"/>
      <c r="E280" s="9"/>
      <c r="F280" s="9"/>
      <c r="G280" s="9"/>
      <c r="H280" s="10"/>
      <c r="I280" s="9"/>
      <c r="J280" s="9"/>
      <c r="K280" s="9"/>
      <c r="L280" s="9"/>
      <c r="M280" s="10"/>
      <c r="N280" s="9"/>
      <c r="O280" s="10"/>
      <c r="P280" s="9"/>
      <c r="Q280" s="9"/>
      <c r="R280" s="9"/>
      <c r="S280" s="9"/>
      <c r="T280" s="9"/>
      <c r="U280" s="9"/>
      <c r="V280" s="9"/>
      <c r="W280" s="9"/>
      <c r="X280" s="9"/>
      <c r="Y280" s="10"/>
      <c r="Z280" s="9"/>
      <c r="AA280" s="9"/>
      <c r="AB280" s="9"/>
      <c r="AC280" s="9"/>
      <c r="AD280" s="9"/>
      <c r="AE280" s="9"/>
      <c r="AF280" s="9"/>
      <c r="AG280" s="9"/>
      <c r="AH280" s="9"/>
      <c r="AI280" s="10"/>
      <c r="AJ280" s="9"/>
      <c r="AK280" s="9"/>
      <c r="AL280" s="9"/>
      <c r="AM280" s="9"/>
      <c r="AN280" s="9"/>
      <c r="AO280" s="9"/>
      <c r="AP280" s="9"/>
      <c r="AQ280" s="9"/>
      <c r="AR280" s="9"/>
      <c r="AS280" s="9"/>
      <c r="AT280" s="9"/>
      <c r="AU280" s="9"/>
      <c r="AV280" s="9"/>
      <c r="AW280" s="9"/>
      <c r="AX280" s="9"/>
    </row>
    <row r="281" spans="1:50" s="14" customFormat="1" x14ac:dyDescent="0.25">
      <c r="A281" s="9"/>
      <c r="B281" s="9"/>
      <c r="C281" s="9"/>
      <c r="D281" s="9"/>
      <c r="E281" s="9"/>
      <c r="F281" s="9"/>
      <c r="G281" s="9"/>
      <c r="H281" s="10"/>
      <c r="I281" s="9"/>
      <c r="J281" s="9"/>
      <c r="K281" s="9"/>
      <c r="L281" s="9"/>
      <c r="M281" s="10"/>
      <c r="N281" s="9"/>
      <c r="O281" s="10"/>
      <c r="P281" s="9"/>
      <c r="Q281" s="9"/>
      <c r="R281" s="9"/>
      <c r="S281" s="9"/>
      <c r="T281" s="9"/>
      <c r="U281" s="9"/>
      <c r="V281" s="9"/>
      <c r="W281" s="9"/>
      <c r="X281" s="9"/>
      <c r="Y281" s="10"/>
      <c r="Z281" s="9"/>
      <c r="AA281" s="9"/>
      <c r="AB281" s="9"/>
      <c r="AC281" s="9"/>
      <c r="AD281" s="9"/>
      <c r="AE281" s="9"/>
      <c r="AF281" s="9"/>
      <c r="AG281" s="9"/>
      <c r="AH281" s="9"/>
      <c r="AI281" s="10"/>
      <c r="AJ281" s="9"/>
      <c r="AK281" s="9"/>
      <c r="AL281" s="9"/>
      <c r="AM281" s="9"/>
      <c r="AN281" s="9"/>
      <c r="AO281" s="9"/>
      <c r="AP281" s="9"/>
      <c r="AQ281" s="9"/>
      <c r="AR281" s="9"/>
      <c r="AS281" s="9"/>
      <c r="AT281" s="9"/>
      <c r="AU281" s="9"/>
      <c r="AV281" s="9"/>
      <c r="AW281" s="9"/>
      <c r="AX281" s="9"/>
    </row>
    <row r="282" spans="1:50" s="14" customFormat="1" x14ac:dyDescent="0.25">
      <c r="A282" s="9"/>
      <c r="B282" s="9"/>
      <c r="C282" s="9"/>
      <c r="D282" s="9"/>
      <c r="E282" s="9"/>
      <c r="F282" s="9"/>
      <c r="G282" s="9"/>
      <c r="H282" s="10"/>
      <c r="I282" s="9"/>
      <c r="J282" s="9"/>
      <c r="K282" s="9"/>
      <c r="L282" s="9"/>
      <c r="M282" s="10"/>
      <c r="N282" s="9"/>
      <c r="O282" s="10"/>
      <c r="P282" s="9"/>
      <c r="Q282" s="9"/>
      <c r="R282" s="9"/>
      <c r="S282" s="9"/>
      <c r="T282" s="9"/>
      <c r="U282" s="9"/>
      <c r="V282" s="9"/>
      <c r="W282" s="9"/>
      <c r="X282" s="9"/>
      <c r="Y282" s="10"/>
      <c r="Z282" s="9"/>
      <c r="AA282" s="9"/>
      <c r="AB282" s="9"/>
      <c r="AC282" s="9"/>
      <c r="AD282" s="9"/>
      <c r="AE282" s="9"/>
      <c r="AF282" s="9"/>
      <c r="AG282" s="9"/>
      <c r="AH282" s="9"/>
      <c r="AI282" s="10"/>
      <c r="AJ282" s="9"/>
      <c r="AK282" s="9"/>
      <c r="AL282" s="9"/>
      <c r="AM282" s="9"/>
      <c r="AN282" s="9"/>
      <c r="AO282" s="9"/>
      <c r="AP282" s="9"/>
      <c r="AQ282" s="9"/>
      <c r="AR282" s="9"/>
      <c r="AS282" s="9"/>
      <c r="AT282" s="9"/>
      <c r="AU282" s="9"/>
      <c r="AV282" s="9"/>
      <c r="AW282" s="9"/>
      <c r="AX282" s="9"/>
    </row>
    <row r="283" spans="1:50" s="14" customFormat="1" x14ac:dyDescent="0.25">
      <c r="A283" s="9"/>
      <c r="B283" s="9"/>
      <c r="C283" s="9"/>
      <c r="D283" s="9"/>
      <c r="E283" s="9"/>
      <c r="F283" s="9"/>
      <c r="G283" s="9"/>
      <c r="H283" s="10"/>
      <c r="I283" s="9"/>
      <c r="J283" s="9"/>
      <c r="K283" s="9"/>
      <c r="L283" s="9"/>
      <c r="M283" s="10"/>
      <c r="N283" s="9"/>
      <c r="O283" s="10"/>
      <c r="P283" s="9"/>
      <c r="Q283" s="9"/>
      <c r="R283" s="9"/>
      <c r="S283" s="9"/>
      <c r="T283" s="9"/>
      <c r="U283" s="9"/>
      <c r="V283" s="9"/>
      <c r="W283" s="9"/>
      <c r="X283" s="9"/>
      <c r="Y283" s="10"/>
      <c r="Z283" s="9"/>
      <c r="AA283" s="9"/>
      <c r="AB283" s="9"/>
      <c r="AC283" s="9"/>
      <c r="AD283" s="9"/>
      <c r="AE283" s="9"/>
      <c r="AF283" s="9"/>
      <c r="AG283" s="9"/>
      <c r="AH283" s="9"/>
      <c r="AI283" s="10"/>
      <c r="AJ283" s="9"/>
      <c r="AK283" s="9"/>
      <c r="AL283" s="9"/>
      <c r="AM283" s="9"/>
      <c r="AN283" s="9"/>
      <c r="AO283" s="9"/>
      <c r="AP283" s="9"/>
      <c r="AQ283" s="9"/>
      <c r="AR283" s="9"/>
      <c r="AS283" s="9"/>
      <c r="AT283" s="9"/>
      <c r="AU283" s="9"/>
      <c r="AV283" s="9"/>
      <c r="AW283" s="9"/>
      <c r="AX283" s="9"/>
    </row>
    <row r="284" spans="1:50" s="14" customFormat="1" x14ac:dyDescent="0.25">
      <c r="A284" s="9"/>
      <c r="B284" s="9"/>
      <c r="C284" s="9"/>
      <c r="D284" s="9"/>
      <c r="E284" s="9"/>
      <c r="F284" s="9"/>
      <c r="G284" s="9"/>
      <c r="H284" s="10"/>
      <c r="I284" s="9"/>
      <c r="J284" s="9"/>
      <c r="K284" s="9"/>
      <c r="L284" s="9"/>
      <c r="M284" s="10"/>
      <c r="N284" s="9"/>
      <c r="O284" s="10"/>
      <c r="P284" s="9"/>
      <c r="Q284" s="9"/>
      <c r="R284" s="9"/>
      <c r="S284" s="9"/>
      <c r="T284" s="9"/>
      <c r="U284" s="9"/>
      <c r="V284" s="9"/>
      <c r="W284" s="9"/>
      <c r="X284" s="9"/>
      <c r="Y284" s="10"/>
      <c r="Z284" s="9"/>
      <c r="AA284" s="9"/>
      <c r="AB284" s="9"/>
      <c r="AC284" s="9"/>
      <c r="AD284" s="9"/>
      <c r="AE284" s="9"/>
      <c r="AF284" s="9"/>
      <c r="AG284" s="9"/>
      <c r="AH284" s="9"/>
      <c r="AI284" s="10"/>
      <c r="AJ284" s="9"/>
      <c r="AK284" s="9"/>
      <c r="AL284" s="9"/>
      <c r="AM284" s="9"/>
      <c r="AN284" s="9"/>
      <c r="AO284" s="9"/>
      <c r="AP284" s="9"/>
      <c r="AQ284" s="9"/>
      <c r="AR284" s="9"/>
      <c r="AS284" s="9"/>
      <c r="AT284" s="9"/>
      <c r="AU284" s="9"/>
      <c r="AV284" s="9"/>
      <c r="AW284" s="9"/>
      <c r="AX284" s="9"/>
    </row>
    <row r="285" spans="1:50" s="14" customFormat="1" x14ac:dyDescent="0.25">
      <c r="A285" s="9"/>
      <c r="B285" s="9"/>
      <c r="C285" s="9"/>
      <c r="D285" s="9"/>
      <c r="E285" s="9"/>
      <c r="F285" s="9"/>
      <c r="G285" s="9"/>
      <c r="H285" s="10"/>
      <c r="I285" s="9"/>
      <c r="J285" s="9"/>
      <c r="K285" s="9"/>
      <c r="L285" s="9"/>
      <c r="M285" s="10"/>
      <c r="N285" s="9"/>
      <c r="O285" s="10"/>
      <c r="P285" s="9"/>
      <c r="Q285" s="9"/>
      <c r="R285" s="9"/>
      <c r="S285" s="9"/>
      <c r="T285" s="9"/>
      <c r="U285" s="9"/>
      <c r="V285" s="9"/>
      <c r="W285" s="9"/>
      <c r="X285" s="9"/>
      <c r="Y285" s="10"/>
      <c r="Z285" s="9"/>
      <c r="AA285" s="9"/>
      <c r="AB285" s="9"/>
      <c r="AC285" s="9"/>
      <c r="AD285" s="9"/>
      <c r="AE285" s="9"/>
      <c r="AF285" s="9"/>
      <c r="AG285" s="9"/>
      <c r="AH285" s="9"/>
      <c r="AI285" s="10"/>
      <c r="AJ285" s="9"/>
      <c r="AK285" s="9"/>
      <c r="AL285" s="9"/>
      <c r="AM285" s="9"/>
      <c r="AN285" s="9"/>
      <c r="AO285" s="9"/>
      <c r="AP285" s="9"/>
      <c r="AQ285" s="9"/>
      <c r="AR285" s="9"/>
      <c r="AS285" s="9"/>
      <c r="AT285" s="9"/>
      <c r="AU285" s="9"/>
      <c r="AV285" s="9"/>
      <c r="AW285" s="9"/>
      <c r="AX285" s="9"/>
    </row>
    <row r="286" spans="1:50" s="14" customFormat="1" x14ac:dyDescent="0.25">
      <c r="A286" s="9"/>
      <c r="B286" s="9"/>
      <c r="C286" s="9"/>
      <c r="D286" s="9"/>
      <c r="E286" s="9"/>
      <c r="F286" s="9"/>
      <c r="G286" s="9"/>
      <c r="H286" s="10"/>
      <c r="I286" s="9"/>
      <c r="J286" s="9"/>
      <c r="K286" s="9"/>
      <c r="L286" s="9"/>
      <c r="M286" s="10"/>
      <c r="N286" s="9"/>
      <c r="O286" s="10"/>
      <c r="P286" s="9"/>
      <c r="Q286" s="9"/>
      <c r="R286" s="9"/>
      <c r="S286" s="9"/>
      <c r="T286" s="9"/>
      <c r="U286" s="9"/>
      <c r="V286" s="9"/>
      <c r="W286" s="9"/>
      <c r="X286" s="9"/>
      <c r="Y286" s="10"/>
      <c r="Z286" s="9"/>
      <c r="AA286" s="9"/>
      <c r="AB286" s="9"/>
      <c r="AC286" s="9"/>
      <c r="AD286" s="9"/>
      <c r="AE286" s="9"/>
      <c r="AF286" s="9"/>
      <c r="AG286" s="9"/>
      <c r="AH286" s="9"/>
      <c r="AI286" s="10"/>
      <c r="AJ286" s="9"/>
      <c r="AK286" s="9"/>
      <c r="AL286" s="9"/>
      <c r="AM286" s="9"/>
      <c r="AN286" s="9"/>
      <c r="AO286" s="9"/>
      <c r="AP286" s="9"/>
      <c r="AQ286" s="9"/>
      <c r="AR286" s="9"/>
      <c r="AS286" s="9"/>
      <c r="AT286" s="9"/>
      <c r="AU286" s="9"/>
      <c r="AV286" s="9"/>
      <c r="AW286" s="9"/>
      <c r="AX286" s="9"/>
    </row>
    <row r="287" spans="1:50" s="14" customFormat="1" x14ac:dyDescent="0.25">
      <c r="A287" s="9"/>
      <c r="B287" s="9"/>
      <c r="C287" s="9"/>
      <c r="D287" s="9"/>
      <c r="E287" s="9"/>
      <c r="F287" s="9"/>
      <c r="G287" s="9"/>
      <c r="H287" s="10"/>
      <c r="I287" s="9"/>
      <c r="J287" s="9"/>
      <c r="K287" s="9"/>
      <c r="L287" s="9"/>
      <c r="M287" s="10"/>
      <c r="N287" s="9"/>
      <c r="O287" s="10"/>
      <c r="P287" s="9"/>
      <c r="Q287" s="9"/>
      <c r="R287" s="9"/>
      <c r="S287" s="9"/>
      <c r="T287" s="9"/>
      <c r="U287" s="9"/>
      <c r="V287" s="9"/>
      <c r="W287" s="9"/>
      <c r="X287" s="9"/>
      <c r="Y287" s="10"/>
      <c r="Z287" s="9"/>
      <c r="AA287" s="9"/>
      <c r="AB287" s="9"/>
      <c r="AC287" s="9"/>
      <c r="AD287" s="9"/>
      <c r="AE287" s="9"/>
      <c r="AF287" s="9"/>
      <c r="AG287" s="9"/>
      <c r="AH287" s="9"/>
      <c r="AI287" s="10"/>
      <c r="AJ287" s="9"/>
      <c r="AK287" s="9"/>
      <c r="AL287" s="9"/>
      <c r="AM287" s="9"/>
      <c r="AN287" s="9"/>
      <c r="AO287" s="9"/>
      <c r="AP287" s="9"/>
      <c r="AQ287" s="9"/>
      <c r="AR287" s="9"/>
      <c r="AS287" s="9"/>
      <c r="AT287" s="9"/>
      <c r="AU287" s="9"/>
      <c r="AV287" s="9"/>
      <c r="AW287" s="9"/>
      <c r="AX287" s="9"/>
    </row>
    <row r="288" spans="1:50" s="14" customFormat="1" x14ac:dyDescent="0.25">
      <c r="A288" s="9"/>
      <c r="B288" s="9"/>
      <c r="C288" s="9"/>
      <c r="D288" s="9"/>
      <c r="E288" s="9"/>
      <c r="F288" s="9"/>
      <c r="G288" s="9"/>
      <c r="H288" s="10"/>
      <c r="I288" s="9"/>
      <c r="J288" s="9"/>
      <c r="K288" s="9"/>
      <c r="L288" s="9"/>
      <c r="M288" s="10"/>
      <c r="N288" s="9"/>
      <c r="O288" s="10"/>
      <c r="P288" s="9"/>
      <c r="Q288" s="9"/>
      <c r="R288" s="9"/>
      <c r="S288" s="9"/>
      <c r="T288" s="9"/>
      <c r="U288" s="9"/>
      <c r="V288" s="9"/>
      <c r="W288" s="9"/>
      <c r="X288" s="9"/>
      <c r="Y288" s="10"/>
      <c r="Z288" s="9"/>
      <c r="AA288" s="9"/>
      <c r="AB288" s="9"/>
      <c r="AC288" s="9"/>
      <c r="AD288" s="9"/>
      <c r="AE288" s="9"/>
      <c r="AF288" s="9"/>
      <c r="AG288" s="9"/>
      <c r="AH288" s="9"/>
      <c r="AI288" s="10"/>
      <c r="AJ288" s="9"/>
      <c r="AK288" s="9"/>
      <c r="AL288" s="9"/>
      <c r="AM288" s="9"/>
      <c r="AN288" s="9"/>
      <c r="AO288" s="9"/>
      <c r="AP288" s="9"/>
      <c r="AQ288" s="9"/>
      <c r="AR288" s="9"/>
      <c r="AS288" s="9"/>
      <c r="AT288" s="9"/>
      <c r="AU288" s="9"/>
      <c r="AV288" s="9"/>
      <c r="AW288" s="9"/>
      <c r="AX288" s="9"/>
    </row>
  </sheetData>
  <mergeCells count="1">
    <mergeCell ref="A6:H15"/>
  </mergeCells>
  <printOptions horizontalCentered="1"/>
  <pageMargins left="0.7" right="0.7" top="0.75" bottom="0.75" header="0.3" footer="0.3"/>
  <pageSetup paperSize="17" fitToHeight="0" orientation="landscape" r:id="rId1"/>
  <headerFooter alignWithMargins="0">
    <oddFooter>&amp;L&amp;F&amp;C&amp;KFF0000Ratings provided are for N-0 ONLY&amp;K000000
Emergency ratings for T-lines can be used for a duration of 30 minutes
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6:BN288"/>
  <sheetViews>
    <sheetView zoomScaleNormal="100" zoomScaleSheetLayoutView="115" workbookViewId="0"/>
  </sheetViews>
  <sheetFormatPr defaultColWidth="9.453125" defaultRowHeight="12.5" x14ac:dyDescent="0.25"/>
  <cols>
    <col min="1" max="7" width="9.453125" style="9" customWidth="1"/>
    <col min="8" max="8" width="9.453125" style="10" customWidth="1"/>
    <col min="9" max="12" width="9.453125" style="9" customWidth="1"/>
    <col min="13" max="13" width="9.453125" style="10" customWidth="1"/>
    <col min="14" max="14" width="9.453125" style="9" customWidth="1"/>
    <col min="15" max="15" width="9.453125" style="10" customWidth="1"/>
    <col min="16" max="24" width="9.453125" style="9" customWidth="1"/>
    <col min="25" max="25" width="9.453125" style="10" customWidth="1"/>
    <col min="26" max="34" width="9.453125" style="9" customWidth="1"/>
    <col min="35" max="35" width="9.453125" style="10" customWidth="1"/>
    <col min="36" max="50" width="9.453125" style="9" customWidth="1"/>
    <col min="51" max="256" width="9.453125" style="8"/>
    <col min="257" max="306" width="9.453125" style="8" customWidth="1"/>
    <col min="307" max="512" width="9.453125" style="8"/>
    <col min="513" max="562" width="9.453125" style="8" customWidth="1"/>
    <col min="563" max="768" width="9.453125" style="8"/>
    <col min="769" max="818" width="9.453125" style="8" customWidth="1"/>
    <col min="819" max="1024" width="9.453125" style="8"/>
    <col min="1025" max="1074" width="9.453125" style="8" customWidth="1"/>
    <col min="1075" max="1280" width="9.453125" style="8"/>
    <col min="1281" max="1330" width="9.453125" style="8" customWidth="1"/>
    <col min="1331" max="1536" width="9.453125" style="8"/>
    <col min="1537" max="1586" width="9.453125" style="8" customWidth="1"/>
    <col min="1587" max="1792" width="9.453125" style="8"/>
    <col min="1793" max="1842" width="9.453125" style="8" customWidth="1"/>
    <col min="1843" max="2048" width="9.453125" style="8"/>
    <col min="2049" max="2098" width="9.453125" style="8" customWidth="1"/>
    <col min="2099" max="2304" width="9.453125" style="8"/>
    <col min="2305" max="2354" width="9.453125" style="8" customWidth="1"/>
    <col min="2355" max="2560" width="9.453125" style="8"/>
    <col min="2561" max="2610" width="9.453125" style="8" customWidth="1"/>
    <col min="2611" max="2816" width="9.453125" style="8"/>
    <col min="2817" max="2866" width="9.453125" style="8" customWidth="1"/>
    <col min="2867" max="3072" width="9.453125" style="8"/>
    <col min="3073" max="3122" width="9.453125" style="8" customWidth="1"/>
    <col min="3123" max="3328" width="9.453125" style="8"/>
    <col min="3329" max="3378" width="9.453125" style="8" customWidth="1"/>
    <col min="3379" max="3584" width="9.453125" style="8"/>
    <col min="3585" max="3634" width="9.453125" style="8" customWidth="1"/>
    <col min="3635" max="3840" width="9.453125" style="8"/>
    <col min="3841" max="3890" width="9.453125" style="8" customWidth="1"/>
    <col min="3891" max="4096" width="9.453125" style="8"/>
    <col min="4097" max="4146" width="9.453125" style="8" customWidth="1"/>
    <col min="4147" max="4352" width="9.453125" style="8"/>
    <col min="4353" max="4402" width="9.453125" style="8" customWidth="1"/>
    <col min="4403" max="4608" width="9.453125" style="8"/>
    <col min="4609" max="4658" width="9.453125" style="8" customWidth="1"/>
    <col min="4659" max="4864" width="9.453125" style="8"/>
    <col min="4865" max="4914" width="9.453125" style="8" customWidth="1"/>
    <col min="4915" max="5120" width="9.453125" style="8"/>
    <col min="5121" max="5170" width="9.453125" style="8" customWidth="1"/>
    <col min="5171" max="5376" width="9.453125" style="8"/>
    <col min="5377" max="5426" width="9.453125" style="8" customWidth="1"/>
    <col min="5427" max="5632" width="9.453125" style="8"/>
    <col min="5633" max="5682" width="9.453125" style="8" customWidth="1"/>
    <col min="5683" max="5888" width="9.453125" style="8"/>
    <col min="5889" max="5938" width="9.453125" style="8" customWidth="1"/>
    <col min="5939" max="6144" width="9.453125" style="8"/>
    <col min="6145" max="6194" width="9.453125" style="8" customWidth="1"/>
    <col min="6195" max="6400" width="9.453125" style="8"/>
    <col min="6401" max="6450" width="9.453125" style="8" customWidth="1"/>
    <col min="6451" max="6656" width="9.453125" style="8"/>
    <col min="6657" max="6706" width="9.453125" style="8" customWidth="1"/>
    <col min="6707" max="6912" width="9.453125" style="8"/>
    <col min="6913" max="6962" width="9.453125" style="8" customWidth="1"/>
    <col min="6963" max="7168" width="9.453125" style="8"/>
    <col min="7169" max="7218" width="9.453125" style="8" customWidth="1"/>
    <col min="7219" max="7424" width="9.453125" style="8"/>
    <col min="7425" max="7474" width="9.453125" style="8" customWidth="1"/>
    <col min="7475" max="7680" width="9.453125" style="8"/>
    <col min="7681" max="7730" width="9.453125" style="8" customWidth="1"/>
    <col min="7731" max="7936" width="9.453125" style="8"/>
    <col min="7937" max="7986" width="9.453125" style="8" customWidth="1"/>
    <col min="7987" max="8192" width="9.453125" style="8"/>
    <col min="8193" max="8242" width="9.453125" style="8" customWidth="1"/>
    <col min="8243" max="8448" width="9.453125" style="8"/>
    <col min="8449" max="8498" width="9.453125" style="8" customWidth="1"/>
    <col min="8499" max="8704" width="9.453125" style="8"/>
    <col min="8705" max="8754" width="9.453125" style="8" customWidth="1"/>
    <col min="8755" max="8960" width="9.453125" style="8"/>
    <col min="8961" max="9010" width="9.453125" style="8" customWidth="1"/>
    <col min="9011" max="9216" width="9.453125" style="8"/>
    <col min="9217" max="9266" width="9.453125" style="8" customWidth="1"/>
    <col min="9267" max="9472" width="9.453125" style="8"/>
    <col min="9473" max="9522" width="9.453125" style="8" customWidth="1"/>
    <col min="9523" max="9728" width="9.453125" style="8"/>
    <col min="9729" max="9778" width="9.453125" style="8" customWidth="1"/>
    <col min="9779" max="9984" width="9.453125" style="8"/>
    <col min="9985" max="10034" width="9.453125" style="8" customWidth="1"/>
    <col min="10035" max="10240" width="9.453125" style="8"/>
    <col min="10241" max="10290" width="9.453125" style="8" customWidth="1"/>
    <col min="10291" max="10496" width="9.453125" style="8"/>
    <col min="10497" max="10546" width="9.453125" style="8" customWidth="1"/>
    <col min="10547" max="10752" width="9.453125" style="8"/>
    <col min="10753" max="10802" width="9.453125" style="8" customWidth="1"/>
    <col min="10803" max="11008" width="9.453125" style="8"/>
    <col min="11009" max="11058" width="9.453125" style="8" customWidth="1"/>
    <col min="11059" max="11264" width="9.453125" style="8"/>
    <col min="11265" max="11314" width="9.453125" style="8" customWidth="1"/>
    <col min="11315" max="11520" width="9.453125" style="8"/>
    <col min="11521" max="11570" width="9.453125" style="8" customWidth="1"/>
    <col min="11571" max="11776" width="9.453125" style="8"/>
    <col min="11777" max="11826" width="9.453125" style="8" customWidth="1"/>
    <col min="11827" max="12032" width="9.453125" style="8"/>
    <col min="12033" max="12082" width="9.453125" style="8" customWidth="1"/>
    <col min="12083" max="12288" width="9.453125" style="8"/>
    <col min="12289" max="12338" width="9.453125" style="8" customWidth="1"/>
    <col min="12339" max="12544" width="9.453125" style="8"/>
    <col min="12545" max="12594" width="9.453125" style="8" customWidth="1"/>
    <col min="12595" max="12800" width="9.453125" style="8"/>
    <col min="12801" max="12850" width="9.453125" style="8" customWidth="1"/>
    <col min="12851" max="13056" width="9.453125" style="8"/>
    <col min="13057" max="13106" width="9.453125" style="8" customWidth="1"/>
    <col min="13107" max="13312" width="9.453125" style="8"/>
    <col min="13313" max="13362" width="9.453125" style="8" customWidth="1"/>
    <col min="13363" max="13568" width="9.453125" style="8"/>
    <col min="13569" max="13618" width="9.453125" style="8" customWidth="1"/>
    <col min="13619" max="13824" width="9.453125" style="8"/>
    <col min="13825" max="13874" width="9.453125" style="8" customWidth="1"/>
    <col min="13875" max="14080" width="9.453125" style="8"/>
    <col min="14081" max="14130" width="9.453125" style="8" customWidth="1"/>
    <col min="14131" max="14336" width="9.453125" style="8"/>
    <col min="14337" max="14386" width="9.453125" style="8" customWidth="1"/>
    <col min="14387" max="14592" width="9.453125" style="8"/>
    <col min="14593" max="14642" width="9.453125" style="8" customWidth="1"/>
    <col min="14643" max="14848" width="9.453125" style="8"/>
    <col min="14849" max="14898" width="9.453125" style="8" customWidth="1"/>
    <col min="14899" max="15104" width="9.453125" style="8"/>
    <col min="15105" max="15154" width="9.453125" style="8" customWidth="1"/>
    <col min="15155" max="15360" width="9.453125" style="8"/>
    <col min="15361" max="15410" width="9.453125" style="8" customWidth="1"/>
    <col min="15411" max="15616" width="9.453125" style="8"/>
    <col min="15617" max="15666" width="9.453125" style="8" customWidth="1"/>
    <col min="15667" max="15872" width="9.453125" style="8"/>
    <col min="15873" max="15922" width="9.453125" style="8" customWidth="1"/>
    <col min="15923" max="16128" width="9.453125" style="8"/>
    <col min="16129" max="16178" width="9.453125" style="8" customWidth="1"/>
    <col min="16179" max="16384" width="9.453125" style="8"/>
  </cols>
  <sheetData>
    <row r="6" spans="1:66" s="14" customFormat="1" ht="12.75" customHeight="1" x14ac:dyDescent="0.25">
      <c r="A6" s="23"/>
      <c r="B6" s="23"/>
      <c r="C6" s="23"/>
      <c r="D6" s="23"/>
      <c r="E6" s="23"/>
      <c r="F6" s="23"/>
      <c r="G6" s="23"/>
      <c r="H6" s="23"/>
      <c r="I6" s="8"/>
      <c r="J6" s="8"/>
      <c r="K6" s="9"/>
      <c r="L6" s="9"/>
      <c r="M6" s="10"/>
      <c r="N6" s="9"/>
      <c r="O6" s="10"/>
      <c r="P6" s="11"/>
      <c r="Q6" s="11"/>
      <c r="R6" s="11"/>
      <c r="S6" s="11"/>
      <c r="T6" s="9"/>
      <c r="U6" s="9"/>
      <c r="V6" s="9"/>
      <c r="W6" s="9"/>
      <c r="X6" s="9"/>
      <c r="Y6" s="10"/>
      <c r="Z6" s="11"/>
      <c r="AA6" s="11"/>
      <c r="AB6" s="11"/>
      <c r="AC6" s="11"/>
      <c r="AD6" s="11"/>
      <c r="AE6" s="11"/>
      <c r="AF6" s="11"/>
      <c r="AG6" s="11"/>
      <c r="AH6" s="11"/>
      <c r="AI6" s="12"/>
      <c r="AJ6" s="11"/>
      <c r="AK6" s="11"/>
      <c r="AL6" s="11"/>
      <c r="AM6" s="11"/>
      <c r="AN6" s="9"/>
      <c r="AO6" s="9"/>
      <c r="AP6" s="9"/>
      <c r="AQ6" s="9"/>
      <c r="AR6" s="9"/>
      <c r="AS6" s="9"/>
      <c r="AT6" s="9"/>
      <c r="AU6" s="9"/>
      <c r="AV6" s="9"/>
      <c r="AW6" s="9"/>
      <c r="AX6" s="13"/>
    </row>
    <row r="7" spans="1:66" s="14" customFormat="1" ht="15" customHeight="1" x14ac:dyDescent="0.25">
      <c r="A7" s="23"/>
      <c r="B7" s="23"/>
      <c r="C7" s="23"/>
      <c r="D7" s="23"/>
      <c r="E7" s="23"/>
      <c r="F7" s="23"/>
      <c r="G7" s="23"/>
      <c r="H7" s="23"/>
      <c r="I7" s="8"/>
      <c r="J7" s="8"/>
      <c r="K7" s="11"/>
      <c r="L7" s="11"/>
      <c r="M7" s="10"/>
      <c r="N7" s="9"/>
      <c r="O7" s="10"/>
      <c r="P7" s="11"/>
      <c r="Q7" s="11"/>
      <c r="R7" s="11"/>
      <c r="S7" s="11"/>
      <c r="T7" s="9"/>
      <c r="U7" s="9"/>
      <c r="V7" s="9"/>
      <c r="W7" s="9"/>
      <c r="X7" s="9"/>
      <c r="Y7" s="10"/>
      <c r="Z7" s="11"/>
      <c r="AA7" s="11"/>
      <c r="AB7" s="11"/>
      <c r="AC7" s="11"/>
      <c r="AD7" s="11"/>
      <c r="AE7" s="11"/>
      <c r="AF7" s="11"/>
      <c r="AG7" s="11"/>
      <c r="AH7" s="11"/>
      <c r="AI7" s="12"/>
      <c r="AJ7" s="11"/>
      <c r="AK7" s="11"/>
      <c r="AL7" s="11"/>
      <c r="AM7" s="11"/>
      <c r="AN7" s="9"/>
      <c r="AO7" s="9"/>
      <c r="AP7" s="9"/>
      <c r="AQ7" s="9"/>
      <c r="AR7" s="9"/>
      <c r="AS7" s="9"/>
      <c r="AT7" s="9"/>
      <c r="AU7" s="9"/>
      <c r="AV7" s="9"/>
      <c r="AW7" s="9"/>
      <c r="AX7" s="13"/>
    </row>
    <row r="8" spans="1:66" s="14" customFormat="1" ht="15" customHeight="1" x14ac:dyDescent="0.25">
      <c r="A8" s="23"/>
      <c r="B8" s="23"/>
      <c r="C8" s="23"/>
      <c r="D8" s="23"/>
      <c r="E8" s="23"/>
      <c r="F8" s="23"/>
      <c r="G8" s="23"/>
      <c r="H8" s="23"/>
      <c r="I8" s="8"/>
      <c r="J8" s="8"/>
      <c r="K8" s="11"/>
      <c r="L8" s="11"/>
      <c r="M8" s="10"/>
      <c r="N8" s="9"/>
      <c r="O8" s="10"/>
      <c r="P8" s="11"/>
      <c r="Q8" s="11"/>
      <c r="R8" s="11"/>
      <c r="S8" s="11"/>
      <c r="T8" s="9"/>
      <c r="U8" s="9"/>
      <c r="V8" s="9"/>
      <c r="W8" s="9"/>
      <c r="X8" s="9"/>
      <c r="Y8" s="10"/>
      <c r="Z8" s="11"/>
      <c r="AA8" s="11"/>
      <c r="AB8" s="11"/>
      <c r="AC8" s="11"/>
      <c r="AD8" s="11"/>
      <c r="AE8" s="11"/>
      <c r="AF8" s="11"/>
      <c r="AG8" s="11"/>
      <c r="AH8" s="11"/>
      <c r="AI8" s="12"/>
      <c r="AJ8" s="11"/>
      <c r="AK8" s="11"/>
      <c r="AL8" s="11"/>
      <c r="AM8" s="11"/>
      <c r="AN8" s="9"/>
      <c r="AO8" s="9"/>
      <c r="AP8" s="9"/>
      <c r="AQ8" s="9"/>
      <c r="AR8" s="9"/>
      <c r="AS8" s="9"/>
      <c r="AT8" s="9"/>
      <c r="AU8" s="9"/>
      <c r="AV8" s="9"/>
      <c r="AW8" s="9"/>
      <c r="AX8" s="13"/>
    </row>
    <row r="9" spans="1:66" s="14" customFormat="1" ht="15" customHeight="1" x14ac:dyDescent="0.25">
      <c r="A9" s="23"/>
      <c r="B9" s="23"/>
      <c r="C9" s="23"/>
      <c r="D9" s="23"/>
      <c r="E9" s="23"/>
      <c r="F9" s="23"/>
      <c r="G9" s="23"/>
      <c r="H9" s="23"/>
      <c r="I9" s="8"/>
      <c r="J9" s="8"/>
      <c r="K9" s="11"/>
      <c r="L9" s="11"/>
      <c r="M9" s="10"/>
      <c r="N9" s="9"/>
      <c r="O9" s="10"/>
      <c r="P9" s="11"/>
      <c r="Q9" s="11"/>
      <c r="R9" s="11"/>
      <c r="S9" s="11"/>
      <c r="T9" s="9"/>
      <c r="U9" s="9"/>
      <c r="V9" s="9"/>
      <c r="W9" s="9"/>
      <c r="X9" s="9"/>
      <c r="Y9" s="10"/>
      <c r="Z9" s="11"/>
      <c r="AA9" s="11"/>
      <c r="AB9" s="11"/>
      <c r="AC9" s="11"/>
      <c r="AD9" s="11"/>
      <c r="AE9" s="11"/>
      <c r="AF9" s="11"/>
      <c r="AG9" s="11"/>
      <c r="AH9" s="11"/>
      <c r="AI9" s="12"/>
      <c r="AJ9" s="11"/>
      <c r="AK9" s="11"/>
      <c r="AL9" s="11"/>
      <c r="AM9" s="11"/>
      <c r="AN9" s="9"/>
      <c r="AO9" s="9"/>
      <c r="AP9" s="9"/>
      <c r="AQ9" s="9"/>
      <c r="AR9" s="9"/>
      <c r="AS9" s="9"/>
      <c r="AT9" s="9"/>
      <c r="AU9" s="9"/>
      <c r="AV9" s="9"/>
      <c r="AW9" s="9"/>
      <c r="AX9" s="13"/>
      <c r="BN9" s="14" t="s">
        <v>1409</v>
      </c>
    </row>
    <row r="10" spans="1:66" s="14" customFormat="1" ht="15" customHeight="1" x14ac:dyDescent="0.25">
      <c r="A10" s="23"/>
      <c r="B10" s="23"/>
      <c r="C10" s="23"/>
      <c r="D10" s="23"/>
      <c r="E10" s="23"/>
      <c r="F10" s="23"/>
      <c r="G10" s="23"/>
      <c r="H10" s="23"/>
      <c r="I10" s="8"/>
      <c r="J10" s="8"/>
      <c r="K10" s="9"/>
      <c r="L10" s="9"/>
      <c r="M10" s="10"/>
      <c r="N10" s="9"/>
      <c r="O10" s="10"/>
      <c r="P10" s="11"/>
      <c r="Q10" s="11"/>
      <c r="R10" s="11"/>
      <c r="S10" s="11"/>
      <c r="T10" s="9"/>
      <c r="U10" s="9"/>
      <c r="V10" s="9"/>
      <c r="W10" s="9"/>
      <c r="X10" s="9"/>
      <c r="Y10" s="10"/>
      <c r="Z10" s="11"/>
      <c r="AA10" s="11"/>
      <c r="AB10" s="11"/>
      <c r="AC10" s="11"/>
      <c r="AD10" s="11"/>
      <c r="AE10" s="11"/>
      <c r="AF10" s="11"/>
      <c r="AG10" s="11"/>
      <c r="AH10" s="11"/>
      <c r="AI10" s="12"/>
      <c r="AJ10" s="11"/>
      <c r="AK10" s="11"/>
      <c r="AL10" s="11"/>
      <c r="AM10" s="11"/>
      <c r="AN10" s="9"/>
      <c r="AO10" s="9"/>
      <c r="AP10" s="9"/>
      <c r="AQ10" s="9"/>
      <c r="AR10" s="9"/>
      <c r="AS10" s="9"/>
      <c r="AT10" s="9"/>
      <c r="AU10" s="9"/>
      <c r="AV10" s="9"/>
      <c r="AW10" s="9"/>
      <c r="AX10" s="13"/>
    </row>
    <row r="11" spans="1:66" s="14" customFormat="1" ht="15" customHeight="1" x14ac:dyDescent="0.25">
      <c r="A11" s="23"/>
      <c r="B11" s="23"/>
      <c r="C11" s="23"/>
      <c r="D11" s="23"/>
      <c r="E11" s="23"/>
      <c r="F11" s="23"/>
      <c r="G11" s="23"/>
      <c r="H11" s="23"/>
      <c r="I11" s="8"/>
      <c r="J11" s="8"/>
      <c r="K11" s="9"/>
      <c r="L11" s="9"/>
      <c r="M11" s="10"/>
      <c r="N11" s="9"/>
      <c r="O11" s="10"/>
      <c r="P11" s="11"/>
      <c r="Q11" s="11"/>
      <c r="R11" s="11"/>
      <c r="S11" s="11"/>
      <c r="T11" s="9"/>
      <c r="U11" s="9"/>
      <c r="V11" s="9"/>
      <c r="W11" s="9"/>
      <c r="X11" s="9"/>
      <c r="Y11" s="10"/>
      <c r="Z11" s="11"/>
      <c r="AA11" s="11"/>
      <c r="AB11" s="11"/>
      <c r="AC11" s="11"/>
      <c r="AD11" s="11"/>
      <c r="AE11" s="11"/>
      <c r="AF11" s="11"/>
      <c r="AG11" s="11"/>
      <c r="AH11" s="11"/>
      <c r="AI11" s="12"/>
      <c r="AJ11" s="11"/>
      <c r="AK11" s="11"/>
      <c r="AL11" s="11"/>
      <c r="AM11" s="11"/>
      <c r="AN11" s="9"/>
      <c r="AO11" s="9"/>
      <c r="AP11" s="9"/>
      <c r="AQ11" s="9"/>
      <c r="AR11" s="9"/>
      <c r="AS11" s="9"/>
      <c r="AT11" s="9"/>
      <c r="AU11" s="9"/>
      <c r="AV11" s="9"/>
      <c r="AW11" s="9"/>
      <c r="AX11" s="13"/>
    </row>
    <row r="12" spans="1:66" s="14" customFormat="1" ht="15" customHeight="1" x14ac:dyDescent="0.25">
      <c r="A12" s="23"/>
      <c r="B12" s="23"/>
      <c r="C12" s="23"/>
      <c r="D12" s="23"/>
      <c r="E12" s="23"/>
      <c r="F12" s="23"/>
      <c r="G12" s="23"/>
      <c r="H12" s="23"/>
      <c r="I12" s="8"/>
      <c r="J12" s="8"/>
      <c r="K12" s="11"/>
      <c r="L12" s="11"/>
      <c r="M12" s="10"/>
      <c r="N12" s="9"/>
      <c r="O12" s="10"/>
      <c r="P12" s="11"/>
      <c r="Q12" s="11"/>
      <c r="R12" s="11"/>
      <c r="S12" s="11"/>
      <c r="T12" s="9"/>
      <c r="U12" s="9"/>
      <c r="V12" s="9"/>
      <c r="W12" s="9"/>
      <c r="X12" s="9"/>
      <c r="Y12" s="10"/>
      <c r="Z12" s="11"/>
      <c r="AA12" s="11"/>
      <c r="AB12" s="11"/>
      <c r="AC12" s="11"/>
      <c r="AD12" s="11"/>
      <c r="AE12" s="11"/>
      <c r="AF12" s="11"/>
      <c r="AG12" s="11"/>
      <c r="AH12" s="11"/>
      <c r="AI12" s="12"/>
      <c r="AJ12" s="11"/>
      <c r="AK12" s="11"/>
      <c r="AL12" s="11"/>
      <c r="AM12" s="11"/>
      <c r="AN12" s="9"/>
      <c r="AO12" s="9"/>
      <c r="AP12" s="9"/>
      <c r="AQ12" s="9"/>
      <c r="AR12" s="9"/>
      <c r="AS12" s="9"/>
      <c r="AT12" s="9"/>
      <c r="AU12" s="9"/>
      <c r="AV12" s="9"/>
      <c r="AW12" s="9"/>
      <c r="AX12" s="13"/>
    </row>
    <row r="13" spans="1:66" s="14" customFormat="1" ht="15" customHeight="1" x14ac:dyDescent="0.25">
      <c r="A13" s="23"/>
      <c r="B13" s="23"/>
      <c r="C13" s="23"/>
      <c r="D13" s="23"/>
      <c r="E13" s="23"/>
      <c r="F13" s="23"/>
      <c r="G13" s="23"/>
      <c r="H13" s="23"/>
      <c r="I13" s="8"/>
      <c r="J13" s="8"/>
      <c r="K13" s="11"/>
      <c r="L13" s="11"/>
      <c r="M13" s="10"/>
      <c r="N13" s="9"/>
      <c r="O13" s="10"/>
      <c r="P13" s="11"/>
      <c r="Q13" s="11"/>
      <c r="R13" s="11"/>
      <c r="S13" s="11"/>
      <c r="T13" s="9"/>
      <c r="U13" s="9"/>
      <c r="V13" s="9"/>
      <c r="W13" s="9"/>
      <c r="X13" s="9"/>
      <c r="Y13" s="10"/>
      <c r="Z13" s="11"/>
      <c r="AA13" s="11"/>
      <c r="AB13" s="11"/>
      <c r="AC13" s="11"/>
      <c r="AD13" s="11"/>
      <c r="AE13" s="11"/>
      <c r="AF13" s="11"/>
      <c r="AG13" s="11"/>
      <c r="AH13" s="11"/>
      <c r="AI13" s="12"/>
      <c r="AJ13" s="11"/>
      <c r="AK13" s="11"/>
      <c r="AL13" s="11"/>
      <c r="AM13" s="11"/>
      <c r="AN13" s="9"/>
      <c r="AO13" s="9"/>
      <c r="AP13" s="9"/>
      <c r="AQ13" s="9"/>
      <c r="AR13" s="9"/>
      <c r="AS13" s="9"/>
      <c r="AT13" s="9"/>
      <c r="AU13" s="9"/>
      <c r="AV13" s="9"/>
      <c r="AW13" s="9"/>
      <c r="AX13" s="13"/>
    </row>
    <row r="14" spans="1:66" s="14" customFormat="1" ht="15" customHeight="1" x14ac:dyDescent="0.25">
      <c r="A14" s="23"/>
      <c r="B14" s="23"/>
      <c r="C14" s="23"/>
      <c r="D14" s="23"/>
      <c r="E14" s="23"/>
      <c r="F14" s="23"/>
      <c r="G14" s="23"/>
      <c r="H14" s="23"/>
      <c r="I14" s="8"/>
      <c r="J14" s="8"/>
      <c r="K14" s="11"/>
      <c r="L14" s="11"/>
      <c r="M14" s="10"/>
      <c r="N14" s="9"/>
      <c r="O14" s="15"/>
      <c r="P14" s="11"/>
      <c r="Q14" s="11"/>
      <c r="R14" s="11"/>
      <c r="S14" s="11"/>
      <c r="T14" s="9"/>
      <c r="U14" s="9"/>
      <c r="V14" s="9"/>
      <c r="W14" s="9"/>
      <c r="X14" s="9"/>
      <c r="Y14" s="10"/>
      <c r="Z14" s="11"/>
      <c r="AA14" s="11"/>
      <c r="AB14" s="11"/>
      <c r="AC14" s="11"/>
      <c r="AD14" s="11"/>
      <c r="AE14" s="11"/>
      <c r="AF14" s="11"/>
      <c r="AG14" s="11"/>
      <c r="AH14" s="11"/>
      <c r="AI14" s="12"/>
      <c r="AJ14" s="11"/>
      <c r="AK14" s="11"/>
      <c r="AL14" s="11"/>
      <c r="AM14" s="11"/>
      <c r="AN14" s="9"/>
      <c r="AO14" s="9"/>
      <c r="AP14" s="9"/>
      <c r="AQ14" s="9"/>
      <c r="AR14" s="9"/>
      <c r="AS14" s="9"/>
      <c r="AT14" s="9"/>
      <c r="AU14" s="9"/>
      <c r="AV14" s="9"/>
      <c r="AW14" s="9"/>
      <c r="AX14" s="13"/>
    </row>
    <row r="15" spans="1:66" s="14" customFormat="1" ht="15" customHeight="1" x14ac:dyDescent="0.25">
      <c r="A15" s="23"/>
      <c r="B15" s="23"/>
      <c r="C15" s="23"/>
      <c r="D15" s="23"/>
      <c r="E15" s="23"/>
      <c r="F15" s="23"/>
      <c r="G15" s="23"/>
      <c r="H15" s="23"/>
      <c r="I15" s="8"/>
      <c r="J15" s="8"/>
      <c r="K15" s="9"/>
      <c r="L15" s="9"/>
      <c r="M15" s="10"/>
      <c r="N15" s="9"/>
      <c r="O15" s="10"/>
      <c r="P15" s="11"/>
      <c r="Q15" s="11"/>
      <c r="R15" s="11"/>
      <c r="S15" s="11"/>
      <c r="T15" s="9"/>
      <c r="U15" s="9"/>
      <c r="V15" s="9"/>
      <c r="W15" s="9"/>
      <c r="X15" s="9"/>
      <c r="Y15" s="10"/>
      <c r="Z15" s="11"/>
      <c r="AA15" s="11"/>
      <c r="AB15" s="11"/>
      <c r="AC15" s="11"/>
      <c r="AD15" s="11"/>
      <c r="AE15" s="11"/>
      <c r="AF15" s="11"/>
      <c r="AG15" s="11"/>
      <c r="AH15" s="11"/>
      <c r="AI15" s="12"/>
      <c r="AJ15" s="11"/>
      <c r="AK15" s="11"/>
      <c r="AL15" s="11"/>
      <c r="AM15" s="11"/>
      <c r="AN15" s="9"/>
      <c r="AO15" s="9"/>
      <c r="AP15" s="9"/>
      <c r="AQ15" s="9"/>
      <c r="AR15" s="9"/>
      <c r="AS15" s="9"/>
      <c r="AT15" s="9"/>
      <c r="AU15" s="9"/>
      <c r="AV15" s="9"/>
      <c r="AW15" s="9"/>
      <c r="AX15" s="13"/>
    </row>
    <row r="16" spans="1:66" s="14" customFormat="1" ht="15" customHeight="1" x14ac:dyDescent="0.25">
      <c r="A16" s="8" t="s">
        <v>1410</v>
      </c>
      <c r="B16" s="8"/>
      <c r="C16" s="8"/>
      <c r="D16" s="8"/>
      <c r="E16" s="8"/>
      <c r="F16" s="8"/>
      <c r="G16" s="8"/>
      <c r="H16" s="8"/>
      <c r="I16" s="8"/>
      <c r="J16" s="8"/>
      <c r="K16" s="11"/>
      <c r="L16" s="11"/>
      <c r="M16" s="10"/>
      <c r="N16" s="9"/>
      <c r="O16" s="10"/>
      <c r="P16" s="11"/>
      <c r="Q16" s="11"/>
      <c r="R16" s="11"/>
      <c r="S16" s="11"/>
      <c r="T16" s="9"/>
      <c r="U16" s="9"/>
      <c r="V16" s="9"/>
      <c r="W16" s="9"/>
      <c r="X16" s="9"/>
      <c r="Y16" s="10"/>
      <c r="Z16" s="11"/>
      <c r="AA16" s="11"/>
      <c r="AB16" s="11"/>
      <c r="AC16" s="11"/>
      <c r="AD16" s="11"/>
      <c r="AE16" s="11"/>
      <c r="AF16" s="11"/>
      <c r="AG16" s="11"/>
      <c r="AH16" s="11"/>
      <c r="AI16" s="12"/>
      <c r="AJ16" s="11"/>
      <c r="AK16" s="11"/>
      <c r="AL16" s="11"/>
      <c r="AM16" s="11"/>
      <c r="AN16" s="9"/>
      <c r="AO16" s="9"/>
      <c r="AP16" s="9"/>
      <c r="AQ16" s="9"/>
      <c r="AR16" s="9"/>
      <c r="AS16" s="9"/>
      <c r="AT16" s="9"/>
      <c r="AU16" s="9"/>
      <c r="AV16" s="9"/>
      <c r="AW16" s="9"/>
      <c r="AX16" s="13"/>
    </row>
    <row r="17" spans="1:50" s="14" customFormat="1" ht="15" customHeight="1" x14ac:dyDescent="0.25">
      <c r="A17" s="8"/>
      <c r="B17" s="8"/>
      <c r="C17" s="8"/>
      <c r="D17" s="8"/>
      <c r="E17" s="8"/>
      <c r="F17" s="8"/>
      <c r="G17" s="8"/>
      <c r="H17" s="8"/>
      <c r="I17" s="8"/>
      <c r="J17" s="8"/>
      <c r="K17" s="11"/>
      <c r="L17" s="11"/>
      <c r="M17" s="10"/>
      <c r="N17" s="9"/>
      <c r="O17" s="10"/>
      <c r="P17" s="11"/>
      <c r="Q17" s="11"/>
      <c r="R17" s="11"/>
      <c r="S17" s="11"/>
      <c r="T17" s="9"/>
      <c r="U17" s="9"/>
      <c r="V17" s="9"/>
      <c r="W17" s="9"/>
      <c r="X17" s="9"/>
      <c r="Y17" s="10"/>
      <c r="Z17" s="11"/>
      <c r="AA17" s="11"/>
      <c r="AB17" s="11"/>
      <c r="AC17" s="11"/>
      <c r="AD17" s="11"/>
      <c r="AE17" s="11"/>
      <c r="AF17" s="11"/>
      <c r="AG17" s="11"/>
      <c r="AH17" s="11"/>
      <c r="AI17" s="12"/>
      <c r="AJ17" s="11"/>
      <c r="AK17" s="11"/>
      <c r="AL17" s="11"/>
      <c r="AM17" s="11"/>
      <c r="AN17" s="9"/>
      <c r="AO17" s="9"/>
      <c r="AP17" s="9"/>
      <c r="AQ17" s="9"/>
      <c r="AR17" s="9"/>
      <c r="AS17" s="9"/>
      <c r="AT17" s="9"/>
      <c r="AU17" s="9"/>
      <c r="AV17" s="9"/>
      <c r="AW17" s="9"/>
      <c r="AX17" s="13"/>
    </row>
    <row r="18" spans="1:50" s="14" customFormat="1" ht="15" customHeight="1" x14ac:dyDescent="0.25">
      <c r="A18" s="11"/>
      <c r="B18" s="11"/>
      <c r="C18" s="11"/>
      <c r="D18" s="11"/>
      <c r="E18" s="11"/>
      <c r="F18" s="11"/>
      <c r="G18" s="11"/>
      <c r="H18" s="10"/>
      <c r="I18" s="11"/>
      <c r="J18" s="11"/>
      <c r="K18" s="11"/>
      <c r="L18" s="11"/>
      <c r="M18" s="10"/>
      <c r="N18" s="9"/>
      <c r="O18" s="10"/>
      <c r="P18" s="11"/>
      <c r="Q18" s="11"/>
      <c r="R18" s="11"/>
      <c r="S18" s="11"/>
      <c r="T18" s="9"/>
      <c r="U18" s="9"/>
      <c r="V18" s="9"/>
      <c r="W18" s="9"/>
      <c r="X18" s="9"/>
      <c r="Y18" s="10"/>
      <c r="Z18" s="11"/>
      <c r="AA18" s="11"/>
      <c r="AB18" s="11"/>
      <c r="AC18" s="11"/>
      <c r="AD18" s="11"/>
      <c r="AE18" s="11"/>
      <c r="AF18" s="11"/>
      <c r="AG18" s="11"/>
      <c r="AH18" s="11"/>
      <c r="AI18" s="12"/>
      <c r="AJ18" s="11"/>
      <c r="AK18" s="11"/>
      <c r="AL18" s="11"/>
      <c r="AM18" s="11"/>
      <c r="AN18" s="9"/>
      <c r="AO18" s="9"/>
      <c r="AP18" s="9"/>
      <c r="AQ18" s="9"/>
      <c r="AR18" s="9"/>
      <c r="AS18" s="9"/>
      <c r="AT18" s="9"/>
      <c r="AU18" s="9"/>
      <c r="AV18" s="9"/>
      <c r="AW18" s="9"/>
      <c r="AX18" s="13"/>
    </row>
    <row r="19" spans="1:50" s="14" customFormat="1" ht="15" customHeight="1" x14ac:dyDescent="0.25">
      <c r="A19" s="11"/>
      <c r="B19" s="11"/>
      <c r="C19" s="11"/>
      <c r="D19" s="11"/>
      <c r="E19" s="9"/>
      <c r="F19" s="9"/>
      <c r="G19" s="9"/>
      <c r="H19" s="10"/>
      <c r="I19" s="11"/>
      <c r="J19" s="9"/>
      <c r="K19" s="9"/>
      <c r="L19" s="9"/>
      <c r="M19" s="10"/>
      <c r="N19" s="9"/>
      <c r="O19" s="10"/>
      <c r="P19" s="11"/>
      <c r="Q19" s="11"/>
      <c r="R19" s="11"/>
      <c r="S19" s="11"/>
      <c r="T19" s="9"/>
      <c r="U19" s="9"/>
      <c r="V19" s="9"/>
      <c r="W19" s="9"/>
      <c r="X19" s="9"/>
      <c r="Y19" s="10"/>
      <c r="Z19" s="11"/>
      <c r="AA19" s="11"/>
      <c r="AB19" s="11"/>
      <c r="AC19" s="11"/>
      <c r="AD19" s="11"/>
      <c r="AE19" s="11"/>
      <c r="AF19" s="11"/>
      <c r="AG19" s="11"/>
      <c r="AH19" s="11"/>
      <c r="AI19" s="12"/>
      <c r="AJ19" s="11"/>
      <c r="AK19" s="11"/>
      <c r="AL19" s="11"/>
      <c r="AM19" s="11"/>
      <c r="AN19" s="9"/>
      <c r="AO19" s="9"/>
      <c r="AP19" s="9"/>
      <c r="AQ19" s="9"/>
      <c r="AR19" s="9"/>
      <c r="AS19" s="9"/>
      <c r="AT19" s="9"/>
      <c r="AU19" s="9"/>
      <c r="AV19" s="9"/>
      <c r="AW19" s="9"/>
      <c r="AX19" s="13"/>
    </row>
    <row r="20" spans="1:50" s="14" customFormat="1" ht="15" customHeight="1" x14ac:dyDescent="0.25">
      <c r="A20" s="11"/>
      <c r="B20" s="11"/>
      <c r="C20" s="11"/>
      <c r="D20" s="9"/>
      <c r="E20" s="9"/>
      <c r="F20" s="9"/>
      <c r="G20" s="9"/>
      <c r="H20" s="10"/>
      <c r="I20" s="9"/>
      <c r="J20" s="9"/>
      <c r="K20" s="9"/>
      <c r="L20" s="9"/>
      <c r="M20" s="10"/>
      <c r="N20" s="9"/>
      <c r="O20" s="10"/>
      <c r="P20" s="11"/>
      <c r="Q20" s="11"/>
      <c r="R20" s="11"/>
      <c r="S20" s="11"/>
      <c r="T20" s="9"/>
      <c r="U20" s="9"/>
      <c r="V20" s="9"/>
      <c r="W20" s="9"/>
      <c r="X20" s="9"/>
      <c r="Y20" s="10"/>
      <c r="Z20" s="11"/>
      <c r="AA20" s="11"/>
      <c r="AB20" s="11"/>
      <c r="AC20" s="11"/>
      <c r="AD20" s="11"/>
      <c r="AE20" s="11"/>
      <c r="AF20" s="11"/>
      <c r="AG20" s="11"/>
      <c r="AH20" s="11"/>
      <c r="AI20" s="12"/>
      <c r="AJ20" s="11"/>
      <c r="AK20" s="11"/>
      <c r="AL20" s="11"/>
      <c r="AM20" s="11"/>
      <c r="AN20" s="9"/>
      <c r="AO20" s="9"/>
      <c r="AP20" s="9"/>
      <c r="AQ20" s="9"/>
      <c r="AR20" s="9"/>
      <c r="AS20" s="9"/>
      <c r="AT20" s="9"/>
      <c r="AU20" s="9"/>
      <c r="AV20" s="9"/>
      <c r="AW20" s="9"/>
      <c r="AX20" s="13"/>
    </row>
    <row r="21" spans="1:50" s="14" customFormat="1" ht="15" customHeight="1" x14ac:dyDescent="0.25">
      <c r="A21" s="11"/>
      <c r="B21" s="11"/>
      <c r="C21" s="11"/>
      <c r="D21" s="11"/>
      <c r="E21" s="11"/>
      <c r="F21" s="11"/>
      <c r="G21" s="11"/>
      <c r="H21" s="10"/>
      <c r="I21" s="11"/>
      <c r="J21" s="11"/>
      <c r="K21" s="11"/>
      <c r="L21" s="11"/>
      <c r="M21" s="10"/>
      <c r="N21" s="9"/>
      <c r="O21" s="10"/>
      <c r="P21" s="11"/>
      <c r="Q21" s="11"/>
      <c r="R21" s="11"/>
      <c r="S21" s="11"/>
      <c r="T21" s="9"/>
      <c r="U21" s="9"/>
      <c r="V21" s="9"/>
      <c r="W21" s="9"/>
      <c r="X21" s="9"/>
      <c r="Y21" s="10"/>
      <c r="Z21" s="11"/>
      <c r="AA21" s="11"/>
      <c r="AB21" s="11"/>
      <c r="AC21" s="11"/>
      <c r="AD21" s="11"/>
      <c r="AE21" s="11"/>
      <c r="AF21" s="11"/>
      <c r="AG21" s="11"/>
      <c r="AH21" s="11"/>
      <c r="AI21" s="12"/>
      <c r="AJ21" s="11"/>
      <c r="AK21" s="11"/>
      <c r="AL21" s="11"/>
      <c r="AM21" s="11"/>
      <c r="AN21" s="9"/>
      <c r="AO21" s="9"/>
      <c r="AP21" s="9"/>
      <c r="AQ21" s="9"/>
      <c r="AR21" s="9"/>
      <c r="AS21" s="9"/>
      <c r="AT21" s="9"/>
      <c r="AU21" s="9"/>
      <c r="AV21" s="9"/>
      <c r="AW21" s="9"/>
      <c r="AX21" s="13"/>
    </row>
    <row r="22" spans="1:50" s="14" customFormat="1" ht="15" customHeight="1" x14ac:dyDescent="0.25">
      <c r="A22" s="11"/>
      <c r="B22" s="11"/>
      <c r="C22" s="11"/>
      <c r="D22" s="11"/>
      <c r="E22" s="11"/>
      <c r="F22" s="11"/>
      <c r="G22" s="11"/>
      <c r="H22" s="10"/>
      <c r="I22" s="11"/>
      <c r="J22" s="11"/>
      <c r="K22" s="11"/>
      <c r="L22" s="11"/>
      <c r="M22" s="10"/>
      <c r="N22" s="9"/>
      <c r="O22" s="10"/>
      <c r="P22" s="11"/>
      <c r="Q22" s="11"/>
      <c r="R22" s="11"/>
      <c r="S22" s="11"/>
      <c r="T22" s="9"/>
      <c r="U22" s="9"/>
      <c r="V22" s="9"/>
      <c r="W22" s="9"/>
      <c r="X22" s="9"/>
      <c r="Y22" s="10"/>
      <c r="Z22" s="11"/>
      <c r="AA22" s="11"/>
      <c r="AB22" s="11"/>
      <c r="AC22" s="11"/>
      <c r="AD22" s="11"/>
      <c r="AE22" s="11"/>
      <c r="AF22" s="11"/>
      <c r="AG22" s="11"/>
      <c r="AH22" s="11"/>
      <c r="AI22" s="12"/>
      <c r="AJ22" s="11"/>
      <c r="AK22" s="11"/>
      <c r="AL22" s="11"/>
      <c r="AM22" s="11"/>
      <c r="AN22" s="9"/>
      <c r="AO22" s="9"/>
      <c r="AP22" s="9"/>
      <c r="AQ22" s="9"/>
      <c r="AR22" s="9"/>
      <c r="AS22" s="9"/>
      <c r="AT22" s="9"/>
      <c r="AU22" s="9"/>
      <c r="AV22" s="9"/>
      <c r="AW22" s="9"/>
      <c r="AX22" s="13"/>
    </row>
    <row r="23" spans="1:50" s="14" customFormat="1" x14ac:dyDescent="0.25">
      <c r="A23" s="11"/>
      <c r="B23" s="11"/>
      <c r="C23" s="11"/>
      <c r="D23" s="11"/>
      <c r="E23" s="9"/>
      <c r="F23" s="9"/>
      <c r="G23" s="9"/>
      <c r="H23" s="10"/>
      <c r="I23" s="11"/>
      <c r="J23" s="9"/>
      <c r="K23" s="9"/>
      <c r="L23" s="9"/>
      <c r="M23" s="10"/>
      <c r="N23" s="9"/>
      <c r="O23" s="10"/>
      <c r="P23" s="11"/>
      <c r="Q23" s="11"/>
      <c r="R23" s="11"/>
      <c r="S23" s="11"/>
      <c r="T23" s="9"/>
      <c r="U23" s="9"/>
      <c r="V23" s="9"/>
      <c r="W23" s="9"/>
      <c r="X23" s="9"/>
      <c r="Y23" s="10"/>
      <c r="Z23" s="11"/>
      <c r="AA23" s="11"/>
      <c r="AB23" s="11"/>
      <c r="AC23" s="11"/>
      <c r="AD23" s="11"/>
      <c r="AE23" s="11"/>
      <c r="AF23" s="11"/>
      <c r="AG23" s="11"/>
      <c r="AH23" s="11"/>
      <c r="AI23" s="12"/>
      <c r="AJ23" s="11"/>
      <c r="AK23" s="11"/>
      <c r="AL23" s="11"/>
      <c r="AM23" s="11"/>
      <c r="AN23" s="9"/>
      <c r="AO23" s="9"/>
      <c r="AP23" s="9"/>
      <c r="AQ23" s="9"/>
      <c r="AR23" s="9"/>
      <c r="AS23" s="9"/>
      <c r="AT23" s="9"/>
      <c r="AU23" s="9"/>
      <c r="AV23" s="9"/>
      <c r="AW23" s="9"/>
      <c r="AX23" s="13"/>
    </row>
    <row r="24" spans="1:50" s="14" customFormat="1" x14ac:dyDescent="0.25">
      <c r="A24" s="11"/>
      <c r="B24" s="11"/>
      <c r="C24" s="11"/>
      <c r="D24" s="11"/>
      <c r="E24" s="11"/>
      <c r="F24" s="11"/>
      <c r="G24" s="11"/>
      <c r="H24" s="10"/>
      <c r="I24" s="11"/>
      <c r="J24" s="11"/>
      <c r="K24" s="11"/>
      <c r="L24" s="11"/>
      <c r="M24" s="10"/>
      <c r="N24" s="9"/>
      <c r="O24" s="10"/>
      <c r="P24" s="11"/>
      <c r="Q24" s="11"/>
      <c r="R24" s="11"/>
      <c r="S24" s="11"/>
      <c r="T24" s="9"/>
      <c r="U24" s="9"/>
      <c r="V24" s="9"/>
      <c r="W24" s="9"/>
      <c r="X24" s="9"/>
      <c r="Y24" s="10"/>
      <c r="Z24" s="11"/>
      <c r="AA24" s="11"/>
      <c r="AB24" s="11"/>
      <c r="AC24" s="11"/>
      <c r="AD24" s="11"/>
      <c r="AE24" s="11"/>
      <c r="AF24" s="11"/>
      <c r="AG24" s="11"/>
      <c r="AH24" s="11"/>
      <c r="AI24" s="12"/>
      <c r="AJ24" s="11"/>
      <c r="AK24" s="11"/>
      <c r="AL24" s="11"/>
      <c r="AM24" s="11"/>
      <c r="AN24" s="9"/>
      <c r="AO24" s="9"/>
      <c r="AP24" s="9"/>
      <c r="AQ24" s="9"/>
      <c r="AR24" s="9"/>
      <c r="AS24" s="9"/>
      <c r="AT24" s="9"/>
      <c r="AU24" s="9"/>
      <c r="AV24" s="9"/>
      <c r="AW24" s="9"/>
      <c r="AX24" s="13"/>
    </row>
    <row r="25" spans="1:50" s="14" customFormat="1" x14ac:dyDescent="0.25">
      <c r="A25" s="11"/>
      <c r="B25" s="11"/>
      <c r="C25" s="11"/>
      <c r="D25" s="9"/>
      <c r="E25" s="9"/>
      <c r="F25" s="9"/>
      <c r="G25" s="9"/>
      <c r="H25" s="10"/>
      <c r="I25" s="9"/>
      <c r="J25" s="9"/>
      <c r="K25" s="9"/>
      <c r="L25" s="9"/>
      <c r="M25" s="10"/>
      <c r="N25" s="9"/>
      <c r="O25" s="10"/>
      <c r="P25" s="11"/>
      <c r="Q25" s="11"/>
      <c r="R25" s="11"/>
      <c r="S25" s="11"/>
      <c r="T25" s="9"/>
      <c r="U25" s="9"/>
      <c r="V25" s="9"/>
      <c r="W25" s="9"/>
      <c r="X25" s="9"/>
      <c r="Y25" s="10"/>
      <c r="Z25" s="11"/>
      <c r="AA25" s="11"/>
      <c r="AB25" s="11"/>
      <c r="AC25" s="11"/>
      <c r="AD25" s="11"/>
      <c r="AE25" s="11"/>
      <c r="AF25" s="11"/>
      <c r="AG25" s="11"/>
      <c r="AH25" s="11"/>
      <c r="AI25" s="12"/>
      <c r="AJ25" s="11"/>
      <c r="AK25" s="11"/>
      <c r="AL25" s="11"/>
      <c r="AM25" s="11"/>
      <c r="AN25" s="9"/>
      <c r="AO25" s="9"/>
      <c r="AP25" s="9"/>
      <c r="AQ25" s="9"/>
      <c r="AR25" s="9"/>
      <c r="AS25" s="9"/>
      <c r="AT25" s="9"/>
      <c r="AU25" s="9"/>
      <c r="AV25" s="9"/>
      <c r="AW25" s="9"/>
      <c r="AX25" s="13"/>
    </row>
    <row r="26" spans="1:50" s="14" customFormat="1" x14ac:dyDescent="0.25">
      <c r="A26" s="11"/>
      <c r="B26" s="11"/>
      <c r="C26" s="11"/>
      <c r="D26" s="11"/>
      <c r="E26" s="9"/>
      <c r="F26" s="9"/>
      <c r="G26" s="9"/>
      <c r="H26" s="10"/>
      <c r="I26" s="11"/>
      <c r="J26" s="9"/>
      <c r="K26" s="9"/>
      <c r="L26" s="9"/>
      <c r="M26" s="10"/>
      <c r="N26" s="9"/>
      <c r="O26" s="10"/>
      <c r="P26" s="11"/>
      <c r="Q26" s="11"/>
      <c r="R26" s="11"/>
      <c r="S26" s="11"/>
      <c r="T26" s="9"/>
      <c r="U26" s="9"/>
      <c r="V26" s="9"/>
      <c r="W26" s="9"/>
      <c r="X26" s="9"/>
      <c r="Y26" s="10"/>
      <c r="Z26" s="11"/>
      <c r="AA26" s="11"/>
      <c r="AB26" s="11"/>
      <c r="AC26" s="11"/>
      <c r="AD26" s="11"/>
      <c r="AE26" s="11"/>
      <c r="AF26" s="11"/>
      <c r="AG26" s="11"/>
      <c r="AH26" s="11"/>
      <c r="AI26" s="12"/>
      <c r="AJ26" s="11"/>
      <c r="AK26" s="11"/>
      <c r="AL26" s="11"/>
      <c r="AM26" s="11"/>
      <c r="AN26" s="9"/>
      <c r="AO26" s="9"/>
      <c r="AP26" s="9"/>
      <c r="AQ26" s="9"/>
      <c r="AR26" s="9"/>
      <c r="AS26" s="9"/>
      <c r="AT26" s="9"/>
      <c r="AU26" s="9"/>
      <c r="AV26" s="9"/>
      <c r="AW26" s="9"/>
      <c r="AX26" s="13"/>
    </row>
    <row r="27" spans="1:50" s="14" customFormat="1" x14ac:dyDescent="0.25">
      <c r="A27" s="11"/>
      <c r="B27" s="11"/>
      <c r="C27" s="11"/>
      <c r="D27" s="11"/>
      <c r="E27" s="9"/>
      <c r="F27" s="9"/>
      <c r="G27" s="9"/>
      <c r="H27" s="10"/>
      <c r="I27" s="11"/>
      <c r="J27" s="9"/>
      <c r="K27" s="9"/>
      <c r="L27" s="9"/>
      <c r="M27" s="10"/>
      <c r="N27" s="9"/>
      <c r="O27" s="10"/>
      <c r="P27" s="11"/>
      <c r="Q27" s="11"/>
      <c r="R27" s="11"/>
      <c r="S27" s="11"/>
      <c r="T27" s="9"/>
      <c r="U27" s="9"/>
      <c r="V27" s="9"/>
      <c r="W27" s="9"/>
      <c r="X27" s="9"/>
      <c r="Y27" s="10"/>
      <c r="Z27" s="11"/>
      <c r="AA27" s="11"/>
      <c r="AB27" s="11"/>
      <c r="AC27" s="11"/>
      <c r="AD27" s="11"/>
      <c r="AE27" s="11"/>
      <c r="AF27" s="11"/>
      <c r="AG27" s="11"/>
      <c r="AH27" s="11"/>
      <c r="AI27" s="12"/>
      <c r="AJ27" s="11"/>
      <c r="AK27" s="11"/>
      <c r="AL27" s="11"/>
      <c r="AM27" s="11"/>
      <c r="AN27" s="9"/>
      <c r="AO27" s="9"/>
      <c r="AP27" s="9"/>
      <c r="AQ27" s="9"/>
      <c r="AR27" s="9"/>
      <c r="AS27" s="9"/>
      <c r="AT27" s="9"/>
      <c r="AU27" s="9"/>
      <c r="AV27" s="9"/>
      <c r="AW27" s="9"/>
      <c r="AX27" s="13"/>
    </row>
    <row r="28" spans="1:50" s="14" customFormat="1" x14ac:dyDescent="0.25">
      <c r="A28" s="11"/>
      <c r="B28" s="11"/>
      <c r="C28" s="11"/>
      <c r="D28" s="11"/>
      <c r="E28" s="11"/>
      <c r="F28" s="11"/>
      <c r="G28" s="11"/>
      <c r="H28" s="10"/>
      <c r="I28" s="11"/>
      <c r="J28" s="11"/>
      <c r="K28" s="11"/>
      <c r="L28" s="11"/>
      <c r="M28" s="10"/>
      <c r="N28" s="9"/>
      <c r="O28" s="10"/>
      <c r="P28" s="11"/>
      <c r="Q28" s="11"/>
      <c r="R28" s="11"/>
      <c r="S28" s="11"/>
      <c r="T28" s="9"/>
      <c r="U28" s="9"/>
      <c r="V28" s="9"/>
      <c r="W28" s="9"/>
      <c r="X28" s="9"/>
      <c r="Y28" s="10"/>
      <c r="Z28" s="11"/>
      <c r="AA28" s="11"/>
      <c r="AB28" s="11"/>
      <c r="AC28" s="11"/>
      <c r="AD28" s="11"/>
      <c r="AE28" s="11"/>
      <c r="AF28" s="11"/>
      <c r="AG28" s="11"/>
      <c r="AH28" s="11"/>
      <c r="AI28" s="12"/>
      <c r="AJ28" s="11"/>
      <c r="AK28" s="11"/>
      <c r="AL28" s="11"/>
      <c r="AM28" s="11"/>
      <c r="AN28" s="9"/>
      <c r="AO28" s="9"/>
      <c r="AP28" s="9"/>
      <c r="AQ28" s="9"/>
      <c r="AR28" s="9"/>
      <c r="AS28" s="9"/>
      <c r="AT28" s="9"/>
      <c r="AU28" s="9"/>
      <c r="AV28" s="9"/>
      <c r="AW28" s="9"/>
      <c r="AX28" s="13"/>
    </row>
    <row r="29" spans="1:50" s="14" customFormat="1" x14ac:dyDescent="0.25">
      <c r="A29" s="11"/>
      <c r="B29" s="11"/>
      <c r="C29" s="11"/>
      <c r="D29" s="11"/>
      <c r="E29" s="11"/>
      <c r="F29" s="11"/>
      <c r="G29" s="11"/>
      <c r="H29" s="10"/>
      <c r="I29" s="11"/>
      <c r="J29" s="11"/>
      <c r="K29" s="11"/>
      <c r="L29" s="11"/>
      <c r="M29" s="10"/>
      <c r="N29" s="9"/>
      <c r="O29" s="10"/>
      <c r="P29" s="11"/>
      <c r="Q29" s="11"/>
      <c r="R29" s="11"/>
      <c r="S29" s="11"/>
      <c r="T29" s="9"/>
      <c r="U29" s="9"/>
      <c r="V29" s="9"/>
      <c r="W29" s="9"/>
      <c r="X29" s="9"/>
      <c r="Y29" s="10"/>
      <c r="Z29" s="11"/>
      <c r="AA29" s="11"/>
      <c r="AB29" s="11"/>
      <c r="AC29" s="11"/>
      <c r="AD29" s="11"/>
      <c r="AE29" s="11"/>
      <c r="AF29" s="11"/>
      <c r="AG29" s="11"/>
      <c r="AH29" s="11"/>
      <c r="AI29" s="12"/>
      <c r="AJ29" s="11"/>
      <c r="AK29" s="11"/>
      <c r="AL29" s="11"/>
      <c r="AM29" s="11"/>
      <c r="AN29" s="9"/>
      <c r="AO29" s="9"/>
      <c r="AP29" s="9"/>
      <c r="AQ29" s="9"/>
      <c r="AR29" s="9"/>
      <c r="AS29" s="9"/>
      <c r="AT29" s="9"/>
      <c r="AU29" s="9"/>
      <c r="AV29" s="9"/>
      <c r="AW29" s="9"/>
      <c r="AX29" s="13"/>
    </row>
    <row r="30" spans="1:50" s="14" customFormat="1" x14ac:dyDescent="0.25">
      <c r="A30" s="11"/>
      <c r="B30" s="11"/>
      <c r="C30" s="11"/>
      <c r="D30" s="11"/>
      <c r="E30" s="9"/>
      <c r="F30" s="9"/>
      <c r="G30" s="9"/>
      <c r="H30" s="10"/>
      <c r="I30" s="11"/>
      <c r="J30" s="9"/>
      <c r="K30" s="9"/>
      <c r="L30" s="9"/>
      <c r="M30" s="10"/>
      <c r="N30" s="9"/>
      <c r="O30" s="10"/>
      <c r="P30" s="11"/>
      <c r="Q30" s="11"/>
      <c r="R30" s="11"/>
      <c r="S30" s="11"/>
      <c r="T30" s="9"/>
      <c r="U30" s="9"/>
      <c r="V30" s="9"/>
      <c r="W30" s="9"/>
      <c r="X30" s="9"/>
      <c r="Y30" s="10"/>
      <c r="Z30" s="11"/>
      <c r="AA30" s="11"/>
      <c r="AB30" s="11"/>
      <c r="AC30" s="11"/>
      <c r="AD30" s="11"/>
      <c r="AE30" s="11"/>
      <c r="AF30" s="11"/>
      <c r="AG30" s="11"/>
      <c r="AH30" s="11"/>
      <c r="AI30" s="12"/>
      <c r="AJ30" s="11"/>
      <c r="AK30" s="11"/>
      <c r="AL30" s="11"/>
      <c r="AM30" s="11"/>
      <c r="AN30" s="9"/>
      <c r="AO30" s="9"/>
      <c r="AP30" s="9"/>
      <c r="AQ30" s="9"/>
      <c r="AR30" s="9"/>
      <c r="AS30" s="9"/>
      <c r="AT30" s="9"/>
      <c r="AU30" s="9"/>
      <c r="AV30" s="9"/>
      <c r="AW30" s="9"/>
      <c r="AX30" s="13"/>
    </row>
    <row r="31" spans="1:50" s="14" customFormat="1" x14ac:dyDescent="0.25">
      <c r="A31" s="11"/>
      <c r="B31" s="11"/>
      <c r="C31" s="11"/>
      <c r="D31" s="11"/>
      <c r="E31" s="9"/>
      <c r="F31" s="9"/>
      <c r="G31" s="9"/>
      <c r="H31" s="10"/>
      <c r="I31" s="11"/>
      <c r="J31" s="9"/>
      <c r="K31" s="9"/>
      <c r="L31" s="9"/>
      <c r="M31" s="10"/>
      <c r="N31" s="9"/>
      <c r="O31" s="10"/>
      <c r="P31" s="11"/>
      <c r="Q31" s="11"/>
      <c r="R31" s="11"/>
      <c r="S31" s="11"/>
      <c r="T31" s="9"/>
      <c r="U31" s="9"/>
      <c r="V31" s="9"/>
      <c r="W31" s="9"/>
      <c r="X31" s="9"/>
      <c r="Y31" s="10"/>
      <c r="Z31" s="11"/>
      <c r="AA31" s="11"/>
      <c r="AB31" s="11"/>
      <c r="AC31" s="11"/>
      <c r="AD31" s="11"/>
      <c r="AE31" s="11"/>
      <c r="AF31" s="11"/>
      <c r="AG31" s="11"/>
      <c r="AH31" s="11"/>
      <c r="AI31" s="12"/>
      <c r="AJ31" s="11"/>
      <c r="AK31" s="11"/>
      <c r="AL31" s="11"/>
      <c r="AM31" s="11"/>
      <c r="AN31" s="9"/>
      <c r="AO31" s="9"/>
      <c r="AP31" s="9"/>
      <c r="AQ31" s="9"/>
      <c r="AR31" s="9"/>
      <c r="AS31" s="9"/>
      <c r="AT31" s="9"/>
      <c r="AU31" s="9"/>
      <c r="AV31" s="9"/>
      <c r="AW31" s="9"/>
      <c r="AX31" s="13"/>
    </row>
    <row r="32" spans="1:50" s="14" customFormat="1" x14ac:dyDescent="0.25">
      <c r="A32" s="11"/>
      <c r="B32" s="11"/>
      <c r="C32" s="11"/>
      <c r="D32" s="11"/>
      <c r="E32" s="11"/>
      <c r="F32" s="11"/>
      <c r="G32" s="11"/>
      <c r="H32" s="10"/>
      <c r="I32" s="11"/>
      <c r="J32" s="11"/>
      <c r="K32" s="11"/>
      <c r="L32" s="11"/>
      <c r="M32" s="10"/>
      <c r="N32" s="9"/>
      <c r="O32" s="10"/>
      <c r="P32" s="11"/>
      <c r="Q32" s="11"/>
      <c r="R32" s="11"/>
      <c r="S32" s="11"/>
      <c r="T32" s="9"/>
      <c r="U32" s="9"/>
      <c r="V32" s="9"/>
      <c r="W32" s="9"/>
      <c r="X32" s="9"/>
      <c r="Y32" s="10"/>
      <c r="Z32" s="11"/>
      <c r="AA32" s="11"/>
      <c r="AB32" s="11"/>
      <c r="AC32" s="11"/>
      <c r="AD32" s="11"/>
      <c r="AE32" s="11"/>
      <c r="AF32" s="11"/>
      <c r="AG32" s="11"/>
      <c r="AH32" s="11"/>
      <c r="AI32" s="12"/>
      <c r="AJ32" s="11"/>
      <c r="AK32" s="11"/>
      <c r="AL32" s="11"/>
      <c r="AM32" s="11"/>
      <c r="AN32" s="9"/>
      <c r="AO32" s="9"/>
      <c r="AP32" s="9"/>
      <c r="AQ32" s="9"/>
      <c r="AR32" s="9"/>
      <c r="AS32" s="9"/>
      <c r="AT32" s="9"/>
      <c r="AU32" s="9"/>
      <c r="AV32" s="9"/>
      <c r="AW32" s="9"/>
      <c r="AX32" s="13"/>
    </row>
    <row r="33" spans="1:50" s="14" customFormat="1" x14ac:dyDescent="0.25">
      <c r="A33" s="11"/>
      <c r="B33" s="11"/>
      <c r="C33" s="11"/>
      <c r="D33" s="11"/>
      <c r="E33" s="9"/>
      <c r="F33" s="9"/>
      <c r="G33" s="9"/>
      <c r="H33" s="10"/>
      <c r="I33" s="11"/>
      <c r="J33" s="9"/>
      <c r="K33" s="9"/>
      <c r="L33" s="9"/>
      <c r="M33" s="10"/>
      <c r="N33" s="9"/>
      <c r="O33" s="10"/>
      <c r="P33" s="11"/>
      <c r="Q33" s="11"/>
      <c r="R33" s="11"/>
      <c r="S33" s="11"/>
      <c r="T33" s="9"/>
      <c r="U33" s="9"/>
      <c r="V33" s="9"/>
      <c r="W33" s="9"/>
      <c r="X33" s="9"/>
      <c r="Y33" s="10"/>
      <c r="Z33" s="11"/>
      <c r="AA33" s="11"/>
      <c r="AB33" s="11"/>
      <c r="AC33" s="11"/>
      <c r="AD33" s="11"/>
      <c r="AE33" s="11"/>
      <c r="AF33" s="11"/>
      <c r="AG33" s="11"/>
      <c r="AH33" s="11"/>
      <c r="AI33" s="12"/>
      <c r="AJ33" s="11"/>
      <c r="AK33" s="11"/>
      <c r="AL33" s="11"/>
      <c r="AM33" s="11"/>
      <c r="AN33" s="9"/>
      <c r="AO33" s="9"/>
      <c r="AP33" s="9"/>
      <c r="AQ33" s="9"/>
      <c r="AR33" s="9"/>
      <c r="AS33" s="9"/>
      <c r="AT33" s="9"/>
      <c r="AU33" s="9"/>
      <c r="AV33" s="9"/>
      <c r="AW33" s="9"/>
      <c r="AX33" s="13"/>
    </row>
    <row r="34" spans="1:50" s="14" customFormat="1" x14ac:dyDescent="0.25">
      <c r="A34" s="11"/>
      <c r="B34" s="11"/>
      <c r="C34" s="11"/>
      <c r="D34" s="11"/>
      <c r="E34" s="9"/>
      <c r="F34" s="9"/>
      <c r="G34" s="9"/>
      <c r="H34" s="10"/>
      <c r="I34" s="11"/>
      <c r="J34" s="9"/>
      <c r="K34" s="9"/>
      <c r="L34" s="9"/>
      <c r="M34" s="10"/>
      <c r="N34" s="9"/>
      <c r="O34" s="10"/>
      <c r="P34" s="11"/>
      <c r="Q34" s="11"/>
      <c r="R34" s="11"/>
      <c r="S34" s="11"/>
      <c r="T34" s="9"/>
      <c r="U34" s="9"/>
      <c r="V34" s="9"/>
      <c r="W34" s="9"/>
      <c r="X34" s="9"/>
      <c r="Y34" s="10"/>
      <c r="Z34" s="11"/>
      <c r="AA34" s="11"/>
      <c r="AB34" s="11"/>
      <c r="AC34" s="11"/>
      <c r="AD34" s="11"/>
      <c r="AE34" s="11"/>
      <c r="AF34" s="11"/>
      <c r="AG34" s="11"/>
      <c r="AH34" s="11"/>
      <c r="AI34" s="12"/>
      <c r="AJ34" s="11"/>
      <c r="AK34" s="11"/>
      <c r="AL34" s="11"/>
      <c r="AM34" s="11"/>
      <c r="AN34" s="9"/>
      <c r="AO34" s="9"/>
      <c r="AP34" s="9"/>
      <c r="AQ34" s="9"/>
      <c r="AR34" s="9"/>
      <c r="AS34" s="9"/>
      <c r="AT34" s="9"/>
      <c r="AU34" s="9"/>
      <c r="AV34" s="9"/>
      <c r="AW34" s="9"/>
      <c r="AX34" s="13"/>
    </row>
    <row r="35" spans="1:50" s="14" customFormat="1" x14ac:dyDescent="0.25">
      <c r="A35" s="11"/>
      <c r="B35" s="11"/>
      <c r="C35" s="11"/>
      <c r="D35" s="9"/>
      <c r="E35" s="9"/>
      <c r="F35" s="9"/>
      <c r="G35" s="9"/>
      <c r="H35" s="10"/>
      <c r="I35" s="9"/>
      <c r="J35" s="9"/>
      <c r="K35" s="9"/>
      <c r="L35" s="9"/>
      <c r="M35" s="10"/>
      <c r="N35" s="9"/>
      <c r="O35" s="10"/>
      <c r="P35" s="11"/>
      <c r="Q35" s="11"/>
      <c r="R35" s="11"/>
      <c r="S35" s="11"/>
      <c r="T35" s="9"/>
      <c r="U35" s="9"/>
      <c r="V35" s="9"/>
      <c r="W35" s="9"/>
      <c r="X35" s="9"/>
      <c r="Y35" s="10"/>
      <c r="Z35" s="11"/>
      <c r="AA35" s="11"/>
      <c r="AB35" s="11"/>
      <c r="AC35" s="11"/>
      <c r="AD35" s="11"/>
      <c r="AE35" s="11"/>
      <c r="AF35" s="11"/>
      <c r="AG35" s="11"/>
      <c r="AH35" s="11"/>
      <c r="AI35" s="12"/>
      <c r="AJ35" s="11"/>
      <c r="AK35" s="11"/>
      <c r="AL35" s="11"/>
      <c r="AM35" s="11"/>
      <c r="AN35" s="9"/>
      <c r="AO35" s="9"/>
      <c r="AP35" s="9"/>
      <c r="AQ35" s="9"/>
      <c r="AR35" s="9"/>
      <c r="AS35" s="9"/>
      <c r="AT35" s="9"/>
      <c r="AU35" s="9"/>
      <c r="AV35" s="9"/>
      <c r="AW35" s="9"/>
      <c r="AX35" s="13"/>
    </row>
    <row r="36" spans="1:50" s="14" customFormat="1" x14ac:dyDescent="0.25">
      <c r="A36" s="11"/>
      <c r="B36" s="11"/>
      <c r="C36" s="11"/>
      <c r="D36" s="11"/>
      <c r="E36" s="9"/>
      <c r="F36" s="9"/>
      <c r="G36" s="9"/>
      <c r="H36" s="10"/>
      <c r="I36" s="11"/>
      <c r="J36" s="9"/>
      <c r="K36" s="9"/>
      <c r="L36" s="9"/>
      <c r="M36" s="10"/>
      <c r="N36" s="9"/>
      <c r="O36" s="10"/>
      <c r="P36" s="11"/>
      <c r="Q36" s="11"/>
      <c r="R36" s="11"/>
      <c r="S36" s="11"/>
      <c r="T36" s="9"/>
      <c r="U36" s="9"/>
      <c r="V36" s="9"/>
      <c r="W36" s="9"/>
      <c r="X36" s="9"/>
      <c r="Y36" s="10"/>
      <c r="Z36" s="11"/>
      <c r="AA36" s="11"/>
      <c r="AB36" s="11"/>
      <c r="AC36" s="11"/>
      <c r="AD36" s="11"/>
      <c r="AE36" s="11"/>
      <c r="AF36" s="11"/>
      <c r="AG36" s="11"/>
      <c r="AH36" s="11"/>
      <c r="AI36" s="12"/>
      <c r="AJ36" s="11"/>
      <c r="AK36" s="11"/>
      <c r="AL36" s="11"/>
      <c r="AM36" s="11"/>
      <c r="AN36" s="9"/>
      <c r="AO36" s="9"/>
      <c r="AP36" s="9"/>
      <c r="AQ36" s="9"/>
      <c r="AR36" s="9"/>
      <c r="AS36" s="9"/>
      <c r="AT36" s="9"/>
      <c r="AU36" s="9"/>
      <c r="AV36" s="9"/>
      <c r="AW36" s="9"/>
      <c r="AX36" s="13"/>
    </row>
    <row r="37" spans="1:50" s="14" customFormat="1" x14ac:dyDescent="0.25">
      <c r="A37" s="11"/>
      <c r="B37" s="11"/>
      <c r="C37" s="11"/>
      <c r="D37" s="11"/>
      <c r="E37" s="11"/>
      <c r="F37" s="11"/>
      <c r="G37" s="11"/>
      <c r="H37" s="10"/>
      <c r="I37" s="11"/>
      <c r="J37" s="11"/>
      <c r="K37" s="11"/>
      <c r="L37" s="11"/>
      <c r="M37" s="10"/>
      <c r="N37" s="9"/>
      <c r="O37" s="10"/>
      <c r="P37" s="11"/>
      <c r="Q37" s="11"/>
      <c r="R37" s="11"/>
      <c r="S37" s="11"/>
      <c r="T37" s="9"/>
      <c r="U37" s="9"/>
      <c r="V37" s="9"/>
      <c r="W37" s="9"/>
      <c r="X37" s="9"/>
      <c r="Y37" s="10"/>
      <c r="Z37" s="11"/>
      <c r="AA37" s="11"/>
      <c r="AB37" s="11"/>
      <c r="AC37" s="11"/>
      <c r="AD37" s="11"/>
      <c r="AE37" s="11"/>
      <c r="AF37" s="11"/>
      <c r="AG37" s="11"/>
      <c r="AH37" s="11"/>
      <c r="AI37" s="12"/>
      <c r="AJ37" s="11"/>
      <c r="AK37" s="11"/>
      <c r="AL37" s="11"/>
      <c r="AM37" s="11"/>
      <c r="AN37" s="9"/>
      <c r="AO37" s="9"/>
      <c r="AP37" s="9"/>
      <c r="AQ37" s="9"/>
      <c r="AR37" s="9"/>
      <c r="AS37" s="9"/>
      <c r="AT37" s="9"/>
      <c r="AU37" s="9"/>
      <c r="AV37" s="9"/>
      <c r="AW37" s="9"/>
      <c r="AX37" s="13"/>
    </row>
    <row r="38" spans="1:50" s="14" customFormat="1" x14ac:dyDescent="0.25">
      <c r="A38" s="11"/>
      <c r="B38" s="11"/>
      <c r="C38" s="11"/>
      <c r="D38" s="11"/>
      <c r="E38" s="9"/>
      <c r="F38" s="9"/>
      <c r="G38" s="9"/>
      <c r="H38" s="10"/>
      <c r="I38" s="11"/>
      <c r="J38" s="9"/>
      <c r="K38" s="9"/>
      <c r="L38" s="9"/>
      <c r="M38" s="10"/>
      <c r="N38" s="9"/>
      <c r="O38" s="10"/>
      <c r="P38" s="11"/>
      <c r="Q38" s="11"/>
      <c r="R38" s="11"/>
      <c r="S38" s="11"/>
      <c r="T38" s="9"/>
      <c r="U38" s="9"/>
      <c r="V38" s="9"/>
      <c r="W38" s="9"/>
      <c r="X38" s="9"/>
      <c r="Y38" s="10"/>
      <c r="Z38" s="11"/>
      <c r="AA38" s="11"/>
      <c r="AB38" s="11"/>
      <c r="AC38" s="11"/>
      <c r="AD38" s="11"/>
      <c r="AE38" s="11"/>
      <c r="AF38" s="11"/>
      <c r="AG38" s="11"/>
      <c r="AH38" s="11"/>
      <c r="AI38" s="12"/>
      <c r="AJ38" s="11"/>
      <c r="AK38" s="11"/>
      <c r="AL38" s="11"/>
      <c r="AM38" s="11"/>
      <c r="AN38" s="9"/>
      <c r="AO38" s="9"/>
      <c r="AP38" s="9"/>
      <c r="AQ38" s="9"/>
      <c r="AR38" s="9"/>
      <c r="AS38" s="9"/>
      <c r="AT38" s="9"/>
      <c r="AU38" s="9"/>
      <c r="AV38" s="9"/>
      <c r="AW38" s="9"/>
      <c r="AX38" s="13"/>
    </row>
    <row r="39" spans="1:50" s="14" customFormat="1" x14ac:dyDescent="0.25">
      <c r="A39" s="11"/>
      <c r="B39" s="11"/>
      <c r="C39" s="11"/>
      <c r="D39" s="11"/>
      <c r="E39" s="11"/>
      <c r="F39" s="11"/>
      <c r="G39" s="11"/>
      <c r="H39" s="10"/>
      <c r="I39" s="11"/>
      <c r="J39" s="11"/>
      <c r="K39" s="11"/>
      <c r="L39" s="11"/>
      <c r="M39" s="10"/>
      <c r="N39" s="9"/>
      <c r="O39" s="10"/>
      <c r="P39" s="11"/>
      <c r="Q39" s="11"/>
      <c r="R39" s="11"/>
      <c r="S39" s="11"/>
      <c r="T39" s="9"/>
      <c r="U39" s="9"/>
      <c r="V39" s="9"/>
      <c r="W39" s="9"/>
      <c r="X39" s="9"/>
      <c r="Y39" s="10"/>
      <c r="Z39" s="11"/>
      <c r="AA39" s="11"/>
      <c r="AB39" s="11"/>
      <c r="AC39" s="11"/>
      <c r="AD39" s="11"/>
      <c r="AE39" s="11"/>
      <c r="AF39" s="11"/>
      <c r="AG39" s="11"/>
      <c r="AH39" s="11"/>
      <c r="AI39" s="12"/>
      <c r="AJ39" s="11"/>
      <c r="AK39" s="11"/>
      <c r="AL39" s="11"/>
      <c r="AM39" s="11"/>
      <c r="AN39" s="9"/>
      <c r="AO39" s="9"/>
      <c r="AP39" s="9"/>
      <c r="AQ39" s="9"/>
      <c r="AR39" s="9"/>
      <c r="AS39" s="9"/>
      <c r="AT39" s="9"/>
      <c r="AU39" s="9"/>
      <c r="AV39" s="9"/>
      <c r="AW39" s="9"/>
      <c r="AX39" s="13"/>
    </row>
    <row r="40" spans="1:50" s="14" customFormat="1" x14ac:dyDescent="0.25">
      <c r="A40" s="11"/>
      <c r="B40" s="11"/>
      <c r="C40" s="11"/>
      <c r="D40" s="11"/>
      <c r="E40" s="11"/>
      <c r="F40" s="11"/>
      <c r="G40" s="11"/>
      <c r="H40" s="10"/>
      <c r="I40" s="11"/>
      <c r="J40" s="11"/>
      <c r="K40" s="11"/>
      <c r="L40" s="11"/>
      <c r="M40" s="10"/>
      <c r="N40" s="9"/>
      <c r="O40" s="10"/>
      <c r="P40" s="11"/>
      <c r="Q40" s="11"/>
      <c r="R40" s="11"/>
      <c r="S40" s="11"/>
      <c r="T40" s="9"/>
      <c r="U40" s="9"/>
      <c r="V40" s="9"/>
      <c r="W40" s="9"/>
      <c r="X40" s="9"/>
      <c r="Y40" s="10"/>
      <c r="Z40" s="11"/>
      <c r="AA40" s="11"/>
      <c r="AB40" s="11"/>
      <c r="AC40" s="11"/>
      <c r="AD40" s="11"/>
      <c r="AE40" s="11"/>
      <c r="AF40" s="11"/>
      <c r="AG40" s="11"/>
      <c r="AH40" s="11"/>
      <c r="AI40" s="12"/>
      <c r="AJ40" s="11"/>
      <c r="AK40" s="11"/>
      <c r="AL40" s="11"/>
      <c r="AM40" s="11"/>
      <c r="AN40" s="9"/>
      <c r="AO40" s="9"/>
      <c r="AP40" s="9"/>
      <c r="AQ40" s="9"/>
      <c r="AR40" s="9"/>
      <c r="AS40" s="9"/>
      <c r="AT40" s="9"/>
      <c r="AU40" s="9"/>
      <c r="AV40" s="9"/>
      <c r="AW40" s="9"/>
      <c r="AX40" s="13"/>
    </row>
    <row r="41" spans="1:50" s="14" customFormat="1" x14ac:dyDescent="0.25">
      <c r="A41" s="11"/>
      <c r="B41" s="11"/>
      <c r="C41" s="11"/>
      <c r="D41" s="11"/>
      <c r="E41" s="9"/>
      <c r="F41" s="9"/>
      <c r="G41" s="9"/>
      <c r="H41" s="10"/>
      <c r="I41" s="11"/>
      <c r="J41" s="9"/>
      <c r="K41" s="9"/>
      <c r="L41" s="9"/>
      <c r="M41" s="10"/>
      <c r="N41" s="9"/>
      <c r="O41" s="10"/>
      <c r="P41" s="11"/>
      <c r="Q41" s="11"/>
      <c r="R41" s="11"/>
      <c r="S41" s="11"/>
      <c r="T41" s="9"/>
      <c r="U41" s="9"/>
      <c r="V41" s="9"/>
      <c r="W41" s="9"/>
      <c r="X41" s="9"/>
      <c r="Y41" s="10"/>
      <c r="Z41" s="11"/>
      <c r="AA41" s="11"/>
      <c r="AB41" s="11"/>
      <c r="AC41" s="11"/>
      <c r="AD41" s="11"/>
      <c r="AE41" s="11"/>
      <c r="AF41" s="11"/>
      <c r="AG41" s="11"/>
      <c r="AH41" s="11"/>
      <c r="AI41" s="12"/>
      <c r="AJ41" s="11"/>
      <c r="AK41" s="11"/>
      <c r="AL41" s="11"/>
      <c r="AM41" s="11"/>
      <c r="AN41" s="9"/>
      <c r="AO41" s="9"/>
      <c r="AP41" s="9"/>
      <c r="AQ41" s="9"/>
      <c r="AR41" s="9"/>
      <c r="AS41" s="9"/>
      <c r="AT41" s="9"/>
      <c r="AU41" s="9"/>
      <c r="AV41" s="9"/>
      <c r="AW41" s="9"/>
      <c r="AX41" s="13"/>
    </row>
    <row r="42" spans="1:50" s="14" customFormat="1" x14ac:dyDescent="0.25">
      <c r="A42" s="11"/>
      <c r="B42" s="11"/>
      <c r="C42" s="11"/>
      <c r="D42" s="11"/>
      <c r="E42" s="9"/>
      <c r="F42" s="9"/>
      <c r="G42" s="9"/>
      <c r="H42" s="10"/>
      <c r="I42" s="11"/>
      <c r="J42" s="9"/>
      <c r="K42" s="9"/>
      <c r="L42" s="9"/>
      <c r="M42" s="10"/>
      <c r="N42" s="9"/>
      <c r="O42" s="10"/>
      <c r="P42" s="11"/>
      <c r="Q42" s="11"/>
      <c r="R42" s="11"/>
      <c r="S42" s="11"/>
      <c r="T42" s="9"/>
      <c r="U42" s="9"/>
      <c r="V42" s="9"/>
      <c r="W42" s="9"/>
      <c r="X42" s="9"/>
      <c r="Y42" s="10"/>
      <c r="Z42" s="11"/>
      <c r="AA42" s="11"/>
      <c r="AB42" s="11"/>
      <c r="AC42" s="11"/>
      <c r="AD42" s="11"/>
      <c r="AE42" s="11"/>
      <c r="AF42" s="11"/>
      <c r="AG42" s="11"/>
      <c r="AH42" s="11"/>
      <c r="AI42" s="12"/>
      <c r="AJ42" s="11"/>
      <c r="AK42" s="11"/>
      <c r="AL42" s="11"/>
      <c r="AM42" s="11"/>
      <c r="AN42" s="9"/>
      <c r="AO42" s="9"/>
      <c r="AP42" s="9"/>
      <c r="AQ42" s="9"/>
      <c r="AR42" s="9"/>
      <c r="AS42" s="9"/>
      <c r="AT42" s="9"/>
      <c r="AU42" s="9"/>
      <c r="AV42" s="9"/>
      <c r="AW42" s="9"/>
      <c r="AX42" s="13"/>
    </row>
    <row r="43" spans="1:50" s="14" customFormat="1" x14ac:dyDescent="0.25">
      <c r="A43" s="11"/>
      <c r="B43" s="11"/>
      <c r="C43" s="11"/>
      <c r="D43" s="11"/>
      <c r="E43" s="11"/>
      <c r="F43" s="11"/>
      <c r="G43" s="11"/>
      <c r="H43" s="10"/>
      <c r="I43" s="11"/>
      <c r="J43" s="11"/>
      <c r="K43" s="11"/>
      <c r="L43" s="11"/>
      <c r="M43" s="10"/>
      <c r="N43" s="9"/>
      <c r="O43" s="10"/>
      <c r="P43" s="11"/>
      <c r="Q43" s="11"/>
      <c r="R43" s="11"/>
      <c r="S43" s="11"/>
      <c r="T43" s="9"/>
      <c r="U43" s="9"/>
      <c r="V43" s="9"/>
      <c r="W43" s="9"/>
      <c r="X43" s="9"/>
      <c r="Y43" s="10"/>
      <c r="Z43" s="11"/>
      <c r="AA43" s="11"/>
      <c r="AB43" s="11"/>
      <c r="AC43" s="11"/>
      <c r="AD43" s="11"/>
      <c r="AE43" s="11"/>
      <c r="AF43" s="11"/>
      <c r="AG43" s="11"/>
      <c r="AH43" s="11"/>
      <c r="AI43" s="12"/>
      <c r="AJ43" s="11"/>
      <c r="AK43" s="11"/>
      <c r="AL43" s="11"/>
      <c r="AM43" s="11"/>
      <c r="AN43" s="9"/>
      <c r="AO43" s="9"/>
      <c r="AP43" s="9"/>
      <c r="AQ43" s="9"/>
      <c r="AR43" s="9"/>
      <c r="AS43" s="9"/>
      <c r="AT43" s="9"/>
      <c r="AU43" s="9"/>
      <c r="AV43" s="9"/>
      <c r="AW43" s="9"/>
      <c r="AX43" s="13"/>
    </row>
    <row r="44" spans="1:50" s="14" customFormat="1" x14ac:dyDescent="0.25">
      <c r="A44" s="11"/>
      <c r="B44" s="11"/>
      <c r="C44" s="11"/>
      <c r="D44" s="11"/>
      <c r="E44" s="9"/>
      <c r="F44" s="9"/>
      <c r="G44" s="9"/>
      <c r="H44" s="10"/>
      <c r="I44" s="11"/>
      <c r="J44" s="9"/>
      <c r="K44" s="9"/>
      <c r="L44" s="9"/>
      <c r="M44" s="10"/>
      <c r="N44" s="9"/>
      <c r="O44" s="10"/>
      <c r="P44" s="11"/>
      <c r="Q44" s="11"/>
      <c r="R44" s="11"/>
      <c r="S44" s="11"/>
      <c r="T44" s="9"/>
      <c r="U44" s="9"/>
      <c r="V44" s="9"/>
      <c r="W44" s="9"/>
      <c r="X44" s="9"/>
      <c r="Y44" s="10"/>
      <c r="Z44" s="11"/>
      <c r="AA44" s="11"/>
      <c r="AB44" s="11"/>
      <c r="AC44" s="11"/>
      <c r="AD44" s="11"/>
      <c r="AE44" s="11"/>
      <c r="AF44" s="11"/>
      <c r="AG44" s="11"/>
      <c r="AH44" s="11"/>
      <c r="AI44" s="12"/>
      <c r="AJ44" s="11"/>
      <c r="AK44" s="11"/>
      <c r="AL44" s="11"/>
      <c r="AM44" s="11"/>
      <c r="AN44" s="9"/>
      <c r="AO44" s="9"/>
      <c r="AP44" s="9"/>
      <c r="AQ44" s="9"/>
      <c r="AR44" s="9"/>
      <c r="AS44" s="9"/>
      <c r="AT44" s="9"/>
      <c r="AU44" s="9"/>
      <c r="AV44" s="9"/>
      <c r="AW44" s="9"/>
      <c r="AX44" s="13"/>
    </row>
    <row r="45" spans="1:50" s="14" customFormat="1" x14ac:dyDescent="0.25">
      <c r="A45" s="11"/>
      <c r="B45" s="11"/>
      <c r="C45" s="11"/>
      <c r="D45" s="11"/>
      <c r="E45" s="11"/>
      <c r="F45" s="11"/>
      <c r="G45" s="11"/>
      <c r="H45" s="10"/>
      <c r="I45" s="11"/>
      <c r="J45" s="11"/>
      <c r="K45" s="11"/>
      <c r="L45" s="11"/>
      <c r="M45" s="10"/>
      <c r="N45" s="9"/>
      <c r="O45" s="10"/>
      <c r="P45" s="11"/>
      <c r="Q45" s="11"/>
      <c r="R45" s="11"/>
      <c r="S45" s="11"/>
      <c r="T45" s="9"/>
      <c r="U45" s="9"/>
      <c r="V45" s="9"/>
      <c r="W45" s="9"/>
      <c r="X45" s="9"/>
      <c r="Y45" s="10"/>
      <c r="Z45" s="11"/>
      <c r="AA45" s="11"/>
      <c r="AB45" s="11"/>
      <c r="AC45" s="11"/>
      <c r="AD45" s="11"/>
      <c r="AE45" s="11"/>
      <c r="AF45" s="11"/>
      <c r="AG45" s="11"/>
      <c r="AH45" s="11"/>
      <c r="AI45" s="12"/>
      <c r="AJ45" s="11"/>
      <c r="AK45" s="11"/>
      <c r="AL45" s="11"/>
      <c r="AM45" s="11"/>
      <c r="AN45" s="9"/>
      <c r="AO45" s="9"/>
      <c r="AP45" s="9"/>
      <c r="AQ45" s="9"/>
      <c r="AR45" s="9"/>
      <c r="AS45" s="9"/>
      <c r="AT45" s="9"/>
      <c r="AU45" s="9"/>
      <c r="AV45" s="9"/>
      <c r="AW45" s="9"/>
      <c r="AX45" s="13"/>
    </row>
    <row r="46" spans="1:50" s="14" customFormat="1" x14ac:dyDescent="0.25">
      <c r="A46" s="11"/>
      <c r="B46" s="11"/>
      <c r="C46" s="11"/>
      <c r="D46" s="9"/>
      <c r="E46" s="9"/>
      <c r="F46" s="9"/>
      <c r="G46" s="9"/>
      <c r="H46" s="10"/>
      <c r="I46" s="9"/>
      <c r="J46" s="9"/>
      <c r="K46" s="9"/>
      <c r="L46" s="9"/>
      <c r="M46" s="10"/>
      <c r="N46" s="9"/>
      <c r="O46" s="10"/>
      <c r="P46" s="11"/>
      <c r="Q46" s="11"/>
      <c r="R46" s="11"/>
      <c r="S46" s="11"/>
      <c r="T46" s="9"/>
      <c r="U46" s="9"/>
      <c r="V46" s="9"/>
      <c r="W46" s="9"/>
      <c r="X46" s="9"/>
      <c r="Y46" s="10"/>
      <c r="Z46" s="11"/>
      <c r="AA46" s="11"/>
      <c r="AB46" s="11"/>
      <c r="AC46" s="11"/>
      <c r="AD46" s="11"/>
      <c r="AE46" s="11"/>
      <c r="AF46" s="11"/>
      <c r="AG46" s="11"/>
      <c r="AH46" s="11"/>
      <c r="AI46" s="12"/>
      <c r="AJ46" s="11"/>
      <c r="AK46" s="11"/>
      <c r="AL46" s="11"/>
      <c r="AM46" s="11"/>
      <c r="AN46" s="9"/>
      <c r="AO46" s="9"/>
      <c r="AP46" s="9"/>
      <c r="AQ46" s="9"/>
      <c r="AR46" s="9"/>
      <c r="AS46" s="9"/>
      <c r="AT46" s="9"/>
      <c r="AU46" s="9"/>
      <c r="AV46" s="9"/>
      <c r="AW46" s="9"/>
      <c r="AX46" s="13"/>
    </row>
    <row r="47" spans="1:50" s="14" customFormat="1" x14ac:dyDescent="0.25">
      <c r="A47" s="11"/>
      <c r="B47" s="11"/>
      <c r="C47" s="11"/>
      <c r="D47" s="9"/>
      <c r="E47" s="16"/>
      <c r="F47" s="9"/>
      <c r="G47" s="9"/>
      <c r="H47" s="10"/>
      <c r="I47" s="9"/>
      <c r="J47" s="9"/>
      <c r="K47" s="9" t="s">
        <v>1410</v>
      </c>
      <c r="L47" s="9"/>
      <c r="M47" s="10"/>
      <c r="N47" s="9"/>
      <c r="O47" s="10"/>
      <c r="P47" s="11"/>
      <c r="Q47" s="11"/>
      <c r="R47" s="11"/>
      <c r="S47" s="11"/>
      <c r="T47" s="9"/>
      <c r="U47" s="9"/>
      <c r="V47" s="9"/>
      <c r="W47" s="9"/>
      <c r="X47" s="9"/>
      <c r="Y47" s="10"/>
      <c r="Z47" s="11"/>
      <c r="AA47" s="11"/>
      <c r="AB47" s="11"/>
      <c r="AC47" s="11"/>
      <c r="AD47" s="11"/>
      <c r="AE47" s="11"/>
      <c r="AF47" s="11"/>
      <c r="AG47" s="11"/>
      <c r="AH47" s="11"/>
      <c r="AI47" s="12"/>
      <c r="AJ47" s="11"/>
      <c r="AK47" s="11"/>
      <c r="AL47" s="11"/>
      <c r="AM47" s="11"/>
      <c r="AN47" s="9"/>
      <c r="AO47" s="9"/>
      <c r="AP47" s="9"/>
      <c r="AQ47" s="9"/>
      <c r="AR47" s="9"/>
      <c r="AS47" s="9"/>
      <c r="AT47" s="9"/>
      <c r="AU47" s="9"/>
      <c r="AV47" s="9"/>
      <c r="AW47" s="9"/>
      <c r="AX47" s="13"/>
    </row>
    <row r="48" spans="1:50" s="14" customFormat="1" x14ac:dyDescent="0.25">
      <c r="A48" s="11"/>
      <c r="B48" s="11"/>
      <c r="C48" s="11"/>
      <c r="D48" s="9"/>
      <c r="E48" s="9"/>
      <c r="F48" s="9"/>
      <c r="G48" s="9"/>
      <c r="H48" s="10"/>
      <c r="I48" s="9"/>
      <c r="J48" s="9"/>
      <c r="K48" s="9"/>
      <c r="L48" s="9"/>
      <c r="M48" s="10"/>
      <c r="N48" s="9"/>
      <c r="O48" s="10"/>
      <c r="P48" s="11"/>
      <c r="Q48" s="11"/>
      <c r="R48" s="11"/>
      <c r="S48" s="11"/>
      <c r="T48" s="9"/>
      <c r="U48" s="9"/>
      <c r="V48" s="9"/>
      <c r="W48" s="9"/>
      <c r="X48" s="9"/>
      <c r="Y48" s="10"/>
      <c r="Z48" s="11"/>
      <c r="AA48" s="11"/>
      <c r="AB48" s="11"/>
      <c r="AC48" s="11"/>
      <c r="AD48" s="11"/>
      <c r="AE48" s="11"/>
      <c r="AF48" s="11"/>
      <c r="AG48" s="11"/>
      <c r="AH48" s="11"/>
      <c r="AI48" s="12"/>
      <c r="AJ48" s="11"/>
      <c r="AK48" s="11"/>
      <c r="AL48" s="11"/>
      <c r="AM48" s="11"/>
      <c r="AN48" s="9"/>
      <c r="AO48" s="9"/>
      <c r="AP48" s="9"/>
      <c r="AQ48" s="9"/>
      <c r="AR48" s="9"/>
      <c r="AS48" s="9"/>
      <c r="AT48" s="9"/>
      <c r="AU48" s="9"/>
      <c r="AV48" s="9"/>
      <c r="AW48" s="9"/>
      <c r="AX48" s="13"/>
    </row>
    <row r="49" spans="1:50" s="14" customFormat="1" x14ac:dyDescent="0.25">
      <c r="A49" s="11"/>
      <c r="B49" s="11"/>
      <c r="C49" s="11"/>
      <c r="D49" s="9"/>
      <c r="E49" s="9"/>
      <c r="F49" s="9"/>
      <c r="G49" s="9"/>
      <c r="H49" s="10"/>
      <c r="I49" s="9"/>
      <c r="J49" s="9"/>
      <c r="K49" s="9"/>
      <c r="L49" s="9"/>
      <c r="M49" s="10"/>
      <c r="N49" s="9"/>
      <c r="O49" s="10"/>
      <c r="P49" s="11"/>
      <c r="Q49" s="11"/>
      <c r="R49" s="11"/>
      <c r="S49" s="11"/>
      <c r="T49" s="9"/>
      <c r="U49" s="9"/>
      <c r="V49" s="9"/>
      <c r="W49" s="9"/>
      <c r="X49" s="9"/>
      <c r="Y49" s="10"/>
      <c r="Z49" s="11"/>
      <c r="AA49" s="11"/>
      <c r="AB49" s="11"/>
      <c r="AC49" s="11"/>
      <c r="AD49" s="11"/>
      <c r="AE49" s="11"/>
      <c r="AF49" s="11"/>
      <c r="AG49" s="11"/>
      <c r="AH49" s="11"/>
      <c r="AI49" s="12"/>
      <c r="AJ49" s="11"/>
      <c r="AK49" s="11"/>
      <c r="AL49" s="11"/>
      <c r="AM49" s="11"/>
      <c r="AN49" s="9"/>
      <c r="AO49" s="9"/>
      <c r="AP49" s="9"/>
      <c r="AQ49" s="9"/>
      <c r="AR49" s="9"/>
      <c r="AS49" s="9"/>
      <c r="AT49" s="9"/>
      <c r="AU49" s="9"/>
      <c r="AV49" s="9"/>
      <c r="AW49" s="9"/>
      <c r="AX49" s="13"/>
    </row>
    <row r="50" spans="1:50" s="14" customFormat="1" x14ac:dyDescent="0.25">
      <c r="A50" s="11"/>
      <c r="B50" s="11"/>
      <c r="C50" s="11"/>
      <c r="D50" s="11"/>
      <c r="E50" s="9"/>
      <c r="F50" s="9"/>
      <c r="G50" s="9"/>
      <c r="H50" s="10"/>
      <c r="I50" s="11"/>
      <c r="J50" s="9"/>
      <c r="K50" s="9"/>
      <c r="L50" s="9"/>
      <c r="M50" s="10"/>
      <c r="N50" s="9"/>
      <c r="O50" s="10"/>
      <c r="P50" s="11"/>
      <c r="Q50" s="11"/>
      <c r="R50" s="11"/>
      <c r="S50" s="11"/>
      <c r="T50" s="9"/>
      <c r="U50" s="9"/>
      <c r="V50" s="9"/>
      <c r="W50" s="9"/>
      <c r="X50" s="9"/>
      <c r="Y50" s="10"/>
      <c r="Z50" s="11"/>
      <c r="AA50" s="11"/>
      <c r="AB50" s="11"/>
      <c r="AC50" s="11"/>
      <c r="AD50" s="11"/>
      <c r="AE50" s="11"/>
      <c r="AF50" s="11"/>
      <c r="AG50" s="11"/>
      <c r="AH50" s="11"/>
      <c r="AI50" s="12"/>
      <c r="AJ50" s="11"/>
      <c r="AK50" s="11"/>
      <c r="AL50" s="11"/>
      <c r="AM50" s="11"/>
      <c r="AN50" s="9"/>
      <c r="AO50" s="9"/>
      <c r="AP50" s="9"/>
      <c r="AQ50" s="9"/>
      <c r="AR50" s="9"/>
      <c r="AS50" s="9"/>
      <c r="AT50" s="9"/>
      <c r="AU50" s="9"/>
      <c r="AV50" s="9"/>
      <c r="AW50" s="9"/>
      <c r="AX50" s="13"/>
    </row>
    <row r="51" spans="1:50" s="14" customFormat="1" x14ac:dyDescent="0.25">
      <c r="A51" s="11"/>
      <c r="B51" s="11"/>
      <c r="C51" s="11"/>
      <c r="D51" s="11"/>
      <c r="E51" s="11"/>
      <c r="F51" s="11"/>
      <c r="G51" s="11"/>
      <c r="H51" s="10"/>
      <c r="I51" s="11"/>
      <c r="J51" s="11"/>
      <c r="K51" s="11"/>
      <c r="L51" s="11"/>
      <c r="M51" s="10"/>
      <c r="N51" s="9"/>
      <c r="O51" s="10"/>
      <c r="P51" s="11"/>
      <c r="Q51" s="11"/>
      <c r="R51" s="11"/>
      <c r="S51" s="11"/>
      <c r="T51" s="9"/>
      <c r="U51" s="9"/>
      <c r="V51" s="9"/>
      <c r="W51" s="9"/>
      <c r="X51" s="9"/>
      <c r="Y51" s="10"/>
      <c r="Z51" s="11"/>
      <c r="AA51" s="11"/>
      <c r="AB51" s="11"/>
      <c r="AC51" s="11"/>
      <c r="AD51" s="11"/>
      <c r="AE51" s="11"/>
      <c r="AF51" s="11"/>
      <c r="AG51" s="11"/>
      <c r="AH51" s="11"/>
      <c r="AI51" s="12"/>
      <c r="AJ51" s="11"/>
      <c r="AK51" s="11"/>
      <c r="AL51" s="11"/>
      <c r="AM51" s="11"/>
      <c r="AN51" s="9"/>
      <c r="AO51" s="9"/>
      <c r="AP51" s="9"/>
      <c r="AQ51" s="9"/>
      <c r="AR51" s="9"/>
      <c r="AS51" s="9"/>
      <c r="AT51" s="9"/>
      <c r="AU51" s="9"/>
      <c r="AV51" s="9"/>
      <c r="AW51" s="9"/>
      <c r="AX51" s="13"/>
    </row>
    <row r="52" spans="1:50" s="14" customFormat="1" x14ac:dyDescent="0.25">
      <c r="A52" s="11"/>
      <c r="B52" s="11"/>
      <c r="C52" s="11"/>
      <c r="D52" s="11"/>
      <c r="E52" s="9"/>
      <c r="F52" s="9"/>
      <c r="G52" s="9"/>
      <c r="H52" s="10"/>
      <c r="I52" s="11"/>
      <c r="J52" s="9"/>
      <c r="K52" s="9" t="s">
        <v>1411</v>
      </c>
      <c r="L52" s="9"/>
      <c r="M52" s="10"/>
      <c r="N52" s="9"/>
      <c r="O52" s="10"/>
      <c r="P52" s="11"/>
      <c r="Q52" s="11"/>
      <c r="R52" s="11"/>
      <c r="S52" s="11"/>
      <c r="T52" s="9"/>
      <c r="U52" s="9"/>
      <c r="V52" s="9"/>
      <c r="W52" s="9"/>
      <c r="X52" s="9"/>
      <c r="Y52" s="10"/>
      <c r="Z52" s="11"/>
      <c r="AA52" s="11"/>
      <c r="AB52" s="11"/>
      <c r="AC52" s="11"/>
      <c r="AD52" s="11"/>
      <c r="AE52" s="11"/>
      <c r="AF52" s="11"/>
      <c r="AG52" s="11"/>
      <c r="AH52" s="11"/>
      <c r="AI52" s="12"/>
      <c r="AJ52" s="11"/>
      <c r="AK52" s="11"/>
      <c r="AL52" s="11"/>
      <c r="AM52" s="11"/>
      <c r="AN52" s="9"/>
      <c r="AO52" s="9"/>
      <c r="AP52" s="9"/>
      <c r="AQ52" s="9"/>
      <c r="AR52" s="9"/>
      <c r="AS52" s="9"/>
      <c r="AT52" s="9"/>
      <c r="AU52" s="9"/>
      <c r="AV52" s="9"/>
      <c r="AW52" s="9"/>
      <c r="AX52" s="13"/>
    </row>
    <row r="53" spans="1:50" s="14" customFormat="1" x14ac:dyDescent="0.25">
      <c r="A53" s="11"/>
      <c r="B53" s="11"/>
      <c r="C53" s="11"/>
      <c r="D53" s="11"/>
      <c r="E53" s="9"/>
      <c r="F53" s="9"/>
      <c r="G53" s="9"/>
      <c r="H53" s="10"/>
      <c r="I53" s="11"/>
      <c r="J53" s="9"/>
      <c r="K53" s="9"/>
      <c r="L53" s="9"/>
      <c r="M53" s="10"/>
      <c r="N53" s="9"/>
      <c r="O53" s="10"/>
      <c r="P53" s="11"/>
      <c r="Q53" s="11"/>
      <c r="R53" s="11"/>
      <c r="S53" s="11"/>
      <c r="T53" s="9"/>
      <c r="U53" s="9"/>
      <c r="V53" s="9"/>
      <c r="W53" s="9"/>
      <c r="X53" s="9"/>
      <c r="Y53" s="10"/>
      <c r="Z53" s="11"/>
      <c r="AA53" s="11"/>
      <c r="AB53" s="11"/>
      <c r="AC53" s="11"/>
      <c r="AD53" s="11"/>
      <c r="AE53" s="11"/>
      <c r="AF53" s="11"/>
      <c r="AG53" s="11"/>
      <c r="AH53" s="11"/>
      <c r="AI53" s="12"/>
      <c r="AJ53" s="11"/>
      <c r="AK53" s="11"/>
      <c r="AL53" s="11"/>
      <c r="AM53" s="11"/>
      <c r="AN53" s="9"/>
      <c r="AO53" s="9"/>
      <c r="AP53" s="9"/>
      <c r="AQ53" s="9"/>
      <c r="AR53" s="9"/>
      <c r="AS53" s="9"/>
      <c r="AT53" s="9"/>
      <c r="AU53" s="9"/>
      <c r="AV53" s="9"/>
      <c r="AW53" s="9"/>
      <c r="AX53" s="13"/>
    </row>
    <row r="54" spans="1:50" s="14" customFormat="1" x14ac:dyDescent="0.25">
      <c r="A54" s="11"/>
      <c r="B54" s="11"/>
      <c r="C54" s="11"/>
      <c r="D54" s="11"/>
      <c r="E54" s="9"/>
      <c r="F54" s="9"/>
      <c r="G54" s="9"/>
      <c r="H54" s="10"/>
      <c r="I54" s="11"/>
      <c r="J54" s="9"/>
      <c r="K54" s="9"/>
      <c r="L54" s="9"/>
      <c r="M54" s="10"/>
      <c r="N54" s="9"/>
      <c r="O54" s="10"/>
      <c r="P54" s="11"/>
      <c r="Q54" s="11"/>
      <c r="R54" s="11"/>
      <c r="S54" s="11"/>
      <c r="T54" s="9"/>
      <c r="U54" s="9"/>
      <c r="V54" s="9"/>
      <c r="W54" s="9"/>
      <c r="X54" s="9"/>
      <c r="Y54" s="10"/>
      <c r="Z54" s="11"/>
      <c r="AA54" s="11"/>
      <c r="AB54" s="11"/>
      <c r="AC54" s="11"/>
      <c r="AD54" s="11"/>
      <c r="AE54" s="11"/>
      <c r="AF54" s="11"/>
      <c r="AG54" s="11"/>
      <c r="AH54" s="11"/>
      <c r="AI54" s="12"/>
      <c r="AJ54" s="11"/>
      <c r="AK54" s="11"/>
      <c r="AL54" s="11"/>
      <c r="AM54" s="11"/>
      <c r="AN54" s="9"/>
      <c r="AO54" s="9"/>
      <c r="AP54" s="9"/>
      <c r="AQ54" s="9"/>
      <c r="AR54" s="9"/>
      <c r="AS54" s="9"/>
      <c r="AT54" s="9"/>
      <c r="AU54" s="9"/>
      <c r="AV54" s="9"/>
      <c r="AW54" s="9"/>
      <c r="AX54" s="13"/>
    </row>
    <row r="55" spans="1:50" s="14" customFormat="1" x14ac:dyDescent="0.25">
      <c r="A55" s="11"/>
      <c r="B55" s="11"/>
      <c r="C55" s="11"/>
      <c r="D55" s="11"/>
      <c r="E55" s="11"/>
      <c r="F55" s="9"/>
      <c r="G55" s="9"/>
      <c r="H55" s="10"/>
      <c r="I55" s="11"/>
      <c r="J55" s="11"/>
      <c r="K55" s="9"/>
      <c r="L55" s="9"/>
      <c r="M55" s="10"/>
      <c r="N55" s="9"/>
      <c r="O55" s="10"/>
      <c r="P55" s="11"/>
      <c r="Q55" s="11"/>
      <c r="R55" s="11"/>
      <c r="S55" s="11"/>
      <c r="T55" s="9"/>
      <c r="U55" s="9"/>
      <c r="V55" s="9"/>
      <c r="W55" s="9"/>
      <c r="X55" s="9"/>
      <c r="Y55" s="10"/>
      <c r="Z55" s="11"/>
      <c r="AA55" s="11"/>
      <c r="AB55" s="11"/>
      <c r="AC55" s="11"/>
      <c r="AD55" s="11"/>
      <c r="AE55" s="11"/>
      <c r="AF55" s="11"/>
      <c r="AG55" s="11"/>
      <c r="AH55" s="11"/>
      <c r="AI55" s="12"/>
      <c r="AJ55" s="11"/>
      <c r="AK55" s="11"/>
      <c r="AL55" s="11"/>
      <c r="AM55" s="11"/>
      <c r="AN55" s="9"/>
      <c r="AO55" s="9"/>
      <c r="AP55" s="9"/>
      <c r="AQ55" s="9"/>
      <c r="AR55" s="9"/>
      <c r="AS55" s="9"/>
      <c r="AT55" s="9"/>
      <c r="AU55" s="9"/>
      <c r="AV55" s="9"/>
      <c r="AW55" s="9"/>
      <c r="AX55" s="13"/>
    </row>
    <row r="56" spans="1:50" s="14" customFormat="1" x14ac:dyDescent="0.25">
      <c r="A56" s="11"/>
      <c r="B56" s="11"/>
      <c r="C56" s="11"/>
      <c r="D56" s="11"/>
      <c r="E56" s="11"/>
      <c r="F56" s="11"/>
      <c r="G56" s="11"/>
      <c r="H56" s="10"/>
      <c r="I56" s="11"/>
      <c r="J56" s="11"/>
      <c r="K56" s="11"/>
      <c r="L56" s="11"/>
      <c r="M56" s="10"/>
      <c r="N56" s="9"/>
      <c r="O56" s="10"/>
      <c r="P56" s="11"/>
      <c r="Q56" s="11"/>
      <c r="R56" s="11"/>
      <c r="S56" s="11"/>
      <c r="T56" s="9"/>
      <c r="U56" s="9"/>
      <c r="V56" s="9"/>
      <c r="W56" s="9"/>
      <c r="X56" s="9"/>
      <c r="Y56" s="10"/>
      <c r="Z56" s="11"/>
      <c r="AA56" s="11"/>
      <c r="AB56" s="11"/>
      <c r="AC56" s="11"/>
      <c r="AD56" s="11"/>
      <c r="AE56" s="11"/>
      <c r="AF56" s="11"/>
      <c r="AG56" s="11"/>
      <c r="AH56" s="11"/>
      <c r="AI56" s="12"/>
      <c r="AJ56" s="11"/>
      <c r="AK56" s="11"/>
      <c r="AL56" s="11"/>
      <c r="AM56" s="11"/>
      <c r="AN56" s="9"/>
      <c r="AO56" s="9"/>
      <c r="AP56" s="9"/>
      <c r="AQ56" s="9"/>
      <c r="AR56" s="9"/>
      <c r="AS56" s="9"/>
      <c r="AT56" s="9"/>
      <c r="AU56" s="9"/>
      <c r="AV56" s="9"/>
      <c r="AW56" s="9"/>
      <c r="AX56" s="13"/>
    </row>
    <row r="57" spans="1:50" s="14" customFormat="1" x14ac:dyDescent="0.25">
      <c r="A57" s="11"/>
      <c r="B57" s="11"/>
      <c r="C57" s="11"/>
      <c r="D57" s="11"/>
      <c r="E57" s="11"/>
      <c r="F57" s="11"/>
      <c r="G57" s="11"/>
      <c r="H57" s="10"/>
      <c r="I57" s="11"/>
      <c r="J57" s="11"/>
      <c r="K57" s="11"/>
      <c r="L57" s="11"/>
      <c r="M57" s="10"/>
      <c r="N57" s="9"/>
      <c r="O57" s="10"/>
      <c r="P57" s="11"/>
      <c r="Q57" s="11"/>
      <c r="R57" s="11"/>
      <c r="S57" s="11"/>
      <c r="T57" s="9"/>
      <c r="U57" s="9"/>
      <c r="V57" s="9"/>
      <c r="W57" s="9"/>
      <c r="X57" s="9"/>
      <c r="Y57" s="10"/>
      <c r="Z57" s="11"/>
      <c r="AA57" s="11"/>
      <c r="AB57" s="11"/>
      <c r="AC57" s="11"/>
      <c r="AD57" s="11"/>
      <c r="AE57" s="11"/>
      <c r="AF57" s="11"/>
      <c r="AG57" s="11"/>
      <c r="AH57" s="11"/>
      <c r="AI57" s="12"/>
      <c r="AJ57" s="11"/>
      <c r="AK57" s="11"/>
      <c r="AL57" s="11"/>
      <c r="AM57" s="11"/>
      <c r="AN57" s="9"/>
      <c r="AO57" s="9"/>
      <c r="AP57" s="9"/>
      <c r="AQ57" s="9"/>
      <c r="AR57" s="9"/>
      <c r="AS57" s="9"/>
      <c r="AT57" s="9"/>
      <c r="AU57" s="9"/>
      <c r="AV57" s="9"/>
      <c r="AW57" s="9"/>
      <c r="AX57" s="13"/>
    </row>
    <row r="58" spans="1:50" s="14" customFormat="1" x14ac:dyDescent="0.25">
      <c r="A58" s="11"/>
      <c r="B58" s="11"/>
      <c r="C58" s="11"/>
      <c r="D58" s="11"/>
      <c r="E58" s="11"/>
      <c r="F58" s="9"/>
      <c r="G58" s="9"/>
      <c r="H58" s="10"/>
      <c r="I58" s="11"/>
      <c r="J58" s="11"/>
      <c r="K58" s="9"/>
      <c r="L58" s="9"/>
      <c r="M58" s="10"/>
      <c r="N58" s="9"/>
      <c r="O58" s="10"/>
      <c r="P58" s="11"/>
      <c r="Q58" s="11"/>
      <c r="R58" s="11"/>
      <c r="S58" s="11"/>
      <c r="T58" s="9"/>
      <c r="U58" s="9"/>
      <c r="V58" s="9"/>
      <c r="W58" s="9"/>
      <c r="X58" s="9"/>
      <c r="Y58" s="10"/>
      <c r="Z58" s="11"/>
      <c r="AA58" s="11"/>
      <c r="AB58" s="11"/>
      <c r="AC58" s="11"/>
      <c r="AD58" s="11"/>
      <c r="AE58" s="11"/>
      <c r="AF58" s="11"/>
      <c r="AG58" s="11"/>
      <c r="AH58" s="11"/>
      <c r="AI58" s="12"/>
      <c r="AJ58" s="11"/>
      <c r="AK58" s="11"/>
      <c r="AL58" s="11"/>
      <c r="AM58" s="11"/>
      <c r="AN58" s="9"/>
      <c r="AO58" s="9"/>
      <c r="AP58" s="9"/>
      <c r="AQ58" s="9"/>
      <c r="AR58" s="9"/>
      <c r="AS58" s="9"/>
      <c r="AT58" s="9"/>
      <c r="AU58" s="9"/>
      <c r="AV58" s="9"/>
      <c r="AW58" s="9"/>
      <c r="AX58" s="13"/>
    </row>
    <row r="59" spans="1:50" s="14" customFormat="1" x14ac:dyDescent="0.25">
      <c r="A59" s="11"/>
      <c r="B59" s="11"/>
      <c r="C59" s="11"/>
      <c r="D59" s="11"/>
      <c r="E59" s="9"/>
      <c r="F59" s="9"/>
      <c r="G59" s="9"/>
      <c r="H59" s="10"/>
      <c r="I59" s="11"/>
      <c r="J59" s="9"/>
      <c r="K59" s="9"/>
      <c r="L59" s="9"/>
      <c r="M59" s="10"/>
      <c r="N59" s="9"/>
      <c r="O59" s="10"/>
      <c r="P59" s="11"/>
      <c r="Q59" s="11"/>
      <c r="R59" s="11"/>
      <c r="S59" s="11"/>
      <c r="T59" s="9"/>
      <c r="U59" s="9"/>
      <c r="V59" s="9"/>
      <c r="W59" s="9"/>
      <c r="X59" s="9"/>
      <c r="Y59" s="10"/>
      <c r="Z59" s="11"/>
      <c r="AA59" s="11"/>
      <c r="AB59" s="11"/>
      <c r="AC59" s="11"/>
      <c r="AD59" s="11"/>
      <c r="AE59" s="11"/>
      <c r="AF59" s="11"/>
      <c r="AG59" s="11"/>
      <c r="AH59" s="11"/>
      <c r="AI59" s="12"/>
      <c r="AJ59" s="11"/>
      <c r="AK59" s="11"/>
      <c r="AL59" s="11"/>
      <c r="AM59" s="11"/>
      <c r="AN59" s="9"/>
      <c r="AO59" s="9"/>
      <c r="AP59" s="9"/>
      <c r="AQ59" s="9"/>
      <c r="AR59" s="9"/>
      <c r="AS59" s="9"/>
      <c r="AT59" s="9"/>
      <c r="AU59" s="9"/>
      <c r="AV59" s="9"/>
      <c r="AW59" s="9"/>
      <c r="AX59" s="13"/>
    </row>
    <row r="60" spans="1:50" s="14" customFormat="1" x14ac:dyDescent="0.25">
      <c r="A60" s="11"/>
      <c r="B60" s="11"/>
      <c r="C60" s="11"/>
      <c r="D60" s="11"/>
      <c r="E60" s="11"/>
      <c r="F60" s="11"/>
      <c r="G60" s="11"/>
      <c r="H60" s="10"/>
      <c r="I60" s="11"/>
      <c r="J60" s="11"/>
      <c r="K60" s="11"/>
      <c r="L60" s="11"/>
      <c r="M60" s="10"/>
      <c r="N60" s="9"/>
      <c r="O60" s="10"/>
      <c r="P60" s="11"/>
      <c r="Q60" s="11"/>
      <c r="R60" s="11"/>
      <c r="S60" s="11"/>
      <c r="T60" s="9"/>
      <c r="U60" s="9"/>
      <c r="V60" s="9"/>
      <c r="W60" s="9"/>
      <c r="X60" s="9"/>
      <c r="Y60" s="10"/>
      <c r="Z60" s="11"/>
      <c r="AA60" s="11"/>
      <c r="AB60" s="11"/>
      <c r="AC60" s="11"/>
      <c r="AD60" s="11"/>
      <c r="AE60" s="11"/>
      <c r="AF60" s="11"/>
      <c r="AG60" s="11"/>
      <c r="AH60" s="11"/>
      <c r="AI60" s="12"/>
      <c r="AJ60" s="11"/>
      <c r="AK60" s="11"/>
      <c r="AL60" s="11"/>
      <c r="AM60" s="11"/>
      <c r="AN60" s="9"/>
      <c r="AO60" s="9"/>
      <c r="AP60" s="9"/>
      <c r="AQ60" s="9"/>
      <c r="AR60" s="9"/>
      <c r="AS60" s="9"/>
      <c r="AT60" s="9"/>
      <c r="AU60" s="9"/>
      <c r="AV60" s="9"/>
      <c r="AW60" s="9"/>
      <c r="AX60" s="13"/>
    </row>
    <row r="61" spans="1:50" s="14" customFormat="1" x14ac:dyDescent="0.25">
      <c r="A61" s="11"/>
      <c r="B61" s="11"/>
      <c r="C61" s="11"/>
      <c r="D61" s="11"/>
      <c r="E61" s="11"/>
      <c r="F61" s="11"/>
      <c r="G61" s="11"/>
      <c r="H61" s="10"/>
      <c r="I61" s="11"/>
      <c r="J61" s="11"/>
      <c r="K61" s="11"/>
      <c r="L61" s="11"/>
      <c r="M61" s="10"/>
      <c r="N61" s="9"/>
      <c r="O61" s="10"/>
      <c r="P61" s="11"/>
      <c r="Q61" s="11"/>
      <c r="R61" s="11"/>
      <c r="S61" s="11"/>
      <c r="T61" s="9"/>
      <c r="U61" s="9"/>
      <c r="V61" s="9"/>
      <c r="W61" s="9"/>
      <c r="X61" s="9"/>
      <c r="Y61" s="10"/>
      <c r="Z61" s="11"/>
      <c r="AA61" s="11"/>
      <c r="AB61" s="11"/>
      <c r="AC61" s="11"/>
      <c r="AD61" s="11"/>
      <c r="AE61" s="11"/>
      <c r="AF61" s="11"/>
      <c r="AG61" s="11"/>
      <c r="AH61" s="11"/>
      <c r="AI61" s="12"/>
      <c r="AJ61" s="11"/>
      <c r="AK61" s="11"/>
      <c r="AL61" s="11"/>
      <c r="AM61" s="11"/>
      <c r="AN61" s="9"/>
      <c r="AO61" s="9"/>
      <c r="AP61" s="9"/>
      <c r="AQ61" s="9"/>
      <c r="AR61" s="9"/>
      <c r="AS61" s="9"/>
      <c r="AT61" s="9"/>
      <c r="AU61" s="9"/>
      <c r="AV61" s="9"/>
      <c r="AW61" s="9"/>
      <c r="AX61" s="13"/>
    </row>
    <row r="62" spans="1:50" s="14" customFormat="1" x14ac:dyDescent="0.25">
      <c r="A62" s="11"/>
      <c r="B62" s="11"/>
      <c r="C62" s="11"/>
      <c r="D62" s="11"/>
      <c r="E62" s="9"/>
      <c r="F62" s="9"/>
      <c r="G62" s="9"/>
      <c r="H62" s="10"/>
      <c r="I62" s="11"/>
      <c r="J62" s="9"/>
      <c r="K62" s="9"/>
      <c r="L62" s="9"/>
      <c r="M62" s="10"/>
      <c r="N62" s="9"/>
      <c r="O62" s="10"/>
      <c r="P62" s="11"/>
      <c r="Q62" s="11"/>
      <c r="R62" s="11"/>
      <c r="S62" s="11"/>
      <c r="T62" s="9"/>
      <c r="U62" s="9"/>
      <c r="V62" s="9"/>
      <c r="W62" s="9"/>
      <c r="X62" s="9"/>
      <c r="Y62" s="10"/>
      <c r="Z62" s="11"/>
      <c r="AA62" s="11"/>
      <c r="AB62" s="11"/>
      <c r="AC62" s="11"/>
      <c r="AD62" s="11"/>
      <c r="AE62" s="11"/>
      <c r="AF62" s="11"/>
      <c r="AG62" s="11"/>
      <c r="AH62" s="11"/>
      <c r="AI62" s="12"/>
      <c r="AJ62" s="11"/>
      <c r="AK62" s="11"/>
      <c r="AL62" s="11"/>
      <c r="AM62" s="11"/>
      <c r="AN62" s="9"/>
      <c r="AO62" s="9"/>
      <c r="AP62" s="9"/>
      <c r="AQ62" s="9"/>
      <c r="AR62" s="9"/>
      <c r="AS62" s="9"/>
      <c r="AT62" s="9"/>
      <c r="AU62" s="9"/>
      <c r="AV62" s="9"/>
      <c r="AW62" s="9"/>
      <c r="AX62" s="13"/>
    </row>
    <row r="63" spans="1:50" s="14" customFormat="1" x14ac:dyDescent="0.25">
      <c r="A63" s="11"/>
      <c r="B63" s="11"/>
      <c r="C63" s="11"/>
      <c r="D63" s="11"/>
      <c r="E63" s="9"/>
      <c r="F63" s="9"/>
      <c r="G63" s="9"/>
      <c r="H63" s="10"/>
      <c r="I63" s="11"/>
      <c r="J63" s="9"/>
      <c r="K63" s="9"/>
      <c r="L63" s="9"/>
      <c r="M63" s="10"/>
      <c r="N63" s="9"/>
      <c r="O63" s="10"/>
      <c r="P63" s="11"/>
      <c r="Q63" s="11"/>
      <c r="R63" s="11"/>
      <c r="S63" s="11"/>
      <c r="T63" s="9"/>
      <c r="U63" s="9"/>
      <c r="V63" s="9"/>
      <c r="W63" s="9"/>
      <c r="X63" s="9"/>
      <c r="Y63" s="10"/>
      <c r="Z63" s="11"/>
      <c r="AA63" s="11"/>
      <c r="AB63" s="11"/>
      <c r="AC63" s="11"/>
      <c r="AD63" s="11"/>
      <c r="AE63" s="11"/>
      <c r="AF63" s="11"/>
      <c r="AG63" s="11"/>
      <c r="AH63" s="11"/>
      <c r="AI63" s="12"/>
      <c r="AJ63" s="11"/>
      <c r="AK63" s="11"/>
      <c r="AL63" s="11"/>
      <c r="AM63" s="11"/>
      <c r="AN63" s="9"/>
      <c r="AO63" s="9"/>
      <c r="AP63" s="9"/>
      <c r="AQ63" s="9"/>
      <c r="AR63" s="9"/>
      <c r="AS63" s="9"/>
      <c r="AT63" s="9"/>
      <c r="AU63" s="9"/>
      <c r="AV63" s="9"/>
      <c r="AW63" s="9"/>
      <c r="AX63" s="13"/>
    </row>
    <row r="64" spans="1:50" s="14" customFormat="1" x14ac:dyDescent="0.25">
      <c r="A64" s="11"/>
      <c r="B64" s="11"/>
      <c r="C64" s="11"/>
      <c r="D64" s="11"/>
      <c r="E64" s="11"/>
      <c r="F64" s="11"/>
      <c r="G64" s="11"/>
      <c r="H64" s="10"/>
      <c r="I64" s="11"/>
      <c r="J64" s="11"/>
      <c r="K64" s="11"/>
      <c r="L64" s="11"/>
      <c r="M64" s="10"/>
      <c r="N64" s="9"/>
      <c r="O64" s="10"/>
      <c r="P64" s="11"/>
      <c r="Q64" s="11"/>
      <c r="R64" s="11"/>
      <c r="S64" s="11"/>
      <c r="T64" s="9"/>
      <c r="U64" s="9"/>
      <c r="V64" s="9"/>
      <c r="W64" s="9"/>
      <c r="X64" s="9"/>
      <c r="Y64" s="10"/>
      <c r="Z64" s="11"/>
      <c r="AA64" s="11"/>
      <c r="AB64" s="11"/>
      <c r="AC64" s="11"/>
      <c r="AD64" s="11"/>
      <c r="AE64" s="11"/>
      <c r="AF64" s="11"/>
      <c r="AG64" s="11"/>
      <c r="AH64" s="11"/>
      <c r="AI64" s="12"/>
      <c r="AJ64" s="11"/>
      <c r="AK64" s="11"/>
      <c r="AL64" s="11"/>
      <c r="AM64" s="11"/>
      <c r="AN64" s="9"/>
      <c r="AO64" s="9"/>
      <c r="AP64" s="9"/>
      <c r="AQ64" s="9"/>
      <c r="AR64" s="9"/>
      <c r="AS64" s="9"/>
      <c r="AT64" s="9"/>
      <c r="AU64" s="9"/>
      <c r="AV64" s="9"/>
      <c r="AW64" s="9"/>
      <c r="AX64" s="13"/>
    </row>
    <row r="65" spans="1:50" s="14" customFormat="1" x14ac:dyDescent="0.25">
      <c r="A65" s="11"/>
      <c r="B65" s="11"/>
      <c r="C65" s="11"/>
      <c r="D65" s="11"/>
      <c r="E65" s="11"/>
      <c r="F65" s="11"/>
      <c r="G65" s="11"/>
      <c r="H65" s="10"/>
      <c r="I65" s="11"/>
      <c r="J65" s="11"/>
      <c r="K65" s="11"/>
      <c r="L65" s="11"/>
      <c r="M65" s="10"/>
      <c r="N65" s="9"/>
      <c r="O65" s="10"/>
      <c r="P65" s="11"/>
      <c r="Q65" s="11"/>
      <c r="R65" s="11"/>
      <c r="S65" s="11"/>
      <c r="T65" s="9"/>
      <c r="U65" s="9"/>
      <c r="V65" s="9"/>
      <c r="W65" s="9"/>
      <c r="X65" s="9"/>
      <c r="Y65" s="10"/>
      <c r="Z65" s="11"/>
      <c r="AA65" s="11"/>
      <c r="AB65" s="11"/>
      <c r="AC65" s="11"/>
      <c r="AD65" s="11"/>
      <c r="AE65" s="11"/>
      <c r="AF65" s="11"/>
      <c r="AG65" s="11"/>
      <c r="AH65" s="11"/>
      <c r="AI65" s="12"/>
      <c r="AJ65" s="11"/>
      <c r="AK65" s="11"/>
      <c r="AL65" s="11"/>
      <c r="AM65" s="11"/>
      <c r="AN65" s="9"/>
      <c r="AO65" s="9"/>
      <c r="AP65" s="9"/>
      <c r="AQ65" s="9"/>
      <c r="AR65" s="9"/>
      <c r="AS65" s="9"/>
      <c r="AT65" s="9"/>
      <c r="AU65" s="9"/>
      <c r="AV65" s="9"/>
      <c r="AW65" s="9"/>
      <c r="AX65" s="13"/>
    </row>
    <row r="66" spans="1:50" s="14" customFormat="1" x14ac:dyDescent="0.25">
      <c r="A66" s="11"/>
      <c r="B66" s="11"/>
      <c r="C66" s="11"/>
      <c r="D66" s="11"/>
      <c r="E66" s="9"/>
      <c r="F66" s="9"/>
      <c r="G66" s="9"/>
      <c r="H66" s="10"/>
      <c r="I66" s="11"/>
      <c r="J66" s="9"/>
      <c r="K66" s="9"/>
      <c r="L66" s="9"/>
      <c r="M66" s="10"/>
      <c r="N66" s="9"/>
      <c r="O66" s="10"/>
      <c r="P66" s="11"/>
      <c r="Q66" s="11"/>
      <c r="R66" s="11"/>
      <c r="S66" s="11"/>
      <c r="T66" s="9"/>
      <c r="U66" s="9"/>
      <c r="V66" s="9"/>
      <c r="W66" s="9"/>
      <c r="X66" s="9"/>
      <c r="Y66" s="10"/>
      <c r="Z66" s="11"/>
      <c r="AA66" s="11"/>
      <c r="AB66" s="11"/>
      <c r="AC66" s="11"/>
      <c r="AD66" s="11"/>
      <c r="AE66" s="11"/>
      <c r="AF66" s="11"/>
      <c r="AG66" s="11"/>
      <c r="AH66" s="11"/>
      <c r="AI66" s="12"/>
      <c r="AJ66" s="11"/>
      <c r="AK66" s="11"/>
      <c r="AL66" s="11"/>
      <c r="AM66" s="11"/>
      <c r="AN66" s="9"/>
      <c r="AO66" s="9"/>
      <c r="AP66" s="9"/>
      <c r="AQ66" s="9"/>
      <c r="AR66" s="9"/>
      <c r="AS66" s="9"/>
      <c r="AT66" s="9"/>
      <c r="AU66" s="9"/>
      <c r="AV66" s="9"/>
      <c r="AW66" s="9"/>
      <c r="AX66" s="13"/>
    </row>
    <row r="67" spans="1:50" s="14" customFormat="1" x14ac:dyDescent="0.25">
      <c r="A67" s="11"/>
      <c r="B67" s="11"/>
      <c r="C67" s="11"/>
      <c r="D67" s="11"/>
      <c r="E67" s="11"/>
      <c r="F67" s="11"/>
      <c r="G67" s="11"/>
      <c r="H67" s="10"/>
      <c r="I67" s="11"/>
      <c r="J67" s="11"/>
      <c r="K67" s="11"/>
      <c r="L67" s="11"/>
      <c r="M67" s="10"/>
      <c r="N67" s="9"/>
      <c r="O67" s="10"/>
      <c r="P67" s="11"/>
      <c r="Q67" s="11"/>
      <c r="R67" s="11"/>
      <c r="S67" s="11"/>
      <c r="T67" s="9"/>
      <c r="U67" s="9"/>
      <c r="V67" s="9"/>
      <c r="W67" s="9"/>
      <c r="X67" s="9"/>
      <c r="Y67" s="10"/>
      <c r="Z67" s="11"/>
      <c r="AA67" s="11"/>
      <c r="AB67" s="11"/>
      <c r="AC67" s="11"/>
      <c r="AD67" s="11"/>
      <c r="AE67" s="11"/>
      <c r="AF67" s="11"/>
      <c r="AG67" s="11"/>
      <c r="AH67" s="11"/>
      <c r="AI67" s="12"/>
      <c r="AJ67" s="11"/>
      <c r="AK67" s="11"/>
      <c r="AL67" s="11"/>
      <c r="AM67" s="11"/>
      <c r="AN67" s="9"/>
      <c r="AO67" s="9"/>
      <c r="AP67" s="9"/>
      <c r="AQ67" s="9"/>
      <c r="AR67" s="9"/>
      <c r="AS67" s="9"/>
      <c r="AT67" s="9"/>
      <c r="AU67" s="9"/>
      <c r="AV67" s="9"/>
      <c r="AW67" s="9"/>
      <c r="AX67" s="13"/>
    </row>
    <row r="68" spans="1:50" s="14" customFormat="1" x14ac:dyDescent="0.25">
      <c r="A68" s="11"/>
      <c r="B68" s="11"/>
      <c r="C68" s="11"/>
      <c r="D68" s="11"/>
      <c r="E68" s="11"/>
      <c r="F68" s="11"/>
      <c r="G68" s="11"/>
      <c r="H68" s="10"/>
      <c r="I68" s="11"/>
      <c r="J68" s="11"/>
      <c r="K68" s="11"/>
      <c r="L68" s="11"/>
      <c r="M68" s="10"/>
      <c r="N68" s="9"/>
      <c r="O68" s="10"/>
      <c r="P68" s="11"/>
      <c r="Q68" s="11"/>
      <c r="R68" s="11"/>
      <c r="S68" s="11"/>
      <c r="T68" s="9"/>
      <c r="U68" s="9"/>
      <c r="V68" s="9"/>
      <c r="W68" s="9"/>
      <c r="X68" s="9"/>
      <c r="Y68" s="10"/>
      <c r="Z68" s="11"/>
      <c r="AA68" s="11"/>
      <c r="AB68" s="11"/>
      <c r="AC68" s="11"/>
      <c r="AD68" s="11"/>
      <c r="AE68" s="11"/>
      <c r="AF68" s="11"/>
      <c r="AG68" s="11"/>
      <c r="AH68" s="11"/>
      <c r="AI68" s="12"/>
      <c r="AJ68" s="11"/>
      <c r="AK68" s="11"/>
      <c r="AL68" s="11"/>
      <c r="AM68" s="11"/>
      <c r="AN68" s="9"/>
      <c r="AO68" s="9"/>
      <c r="AP68" s="9"/>
      <c r="AQ68" s="9"/>
      <c r="AR68" s="9"/>
      <c r="AS68" s="9"/>
      <c r="AT68" s="9"/>
      <c r="AU68" s="9"/>
      <c r="AV68" s="9"/>
      <c r="AW68" s="9"/>
      <c r="AX68" s="13"/>
    </row>
    <row r="69" spans="1:50" s="14" customFormat="1" x14ac:dyDescent="0.25">
      <c r="A69" s="11"/>
      <c r="B69" s="11"/>
      <c r="C69" s="11"/>
      <c r="D69" s="11"/>
      <c r="E69" s="11"/>
      <c r="F69" s="11"/>
      <c r="G69" s="11"/>
      <c r="H69" s="10"/>
      <c r="I69" s="11"/>
      <c r="J69" s="11"/>
      <c r="K69" s="11"/>
      <c r="L69" s="11"/>
      <c r="M69" s="10"/>
      <c r="N69" s="9"/>
      <c r="O69" s="10"/>
      <c r="P69" s="11"/>
      <c r="Q69" s="11"/>
      <c r="R69" s="11"/>
      <c r="S69" s="11"/>
      <c r="T69" s="9"/>
      <c r="U69" s="9"/>
      <c r="V69" s="9"/>
      <c r="W69" s="9"/>
      <c r="X69" s="9"/>
      <c r="Y69" s="10"/>
      <c r="Z69" s="11"/>
      <c r="AA69" s="11"/>
      <c r="AB69" s="11"/>
      <c r="AC69" s="11"/>
      <c r="AD69" s="9"/>
      <c r="AE69" s="9"/>
      <c r="AF69" s="9"/>
      <c r="AG69" s="9"/>
      <c r="AH69" s="11"/>
      <c r="AI69" s="12"/>
      <c r="AJ69" s="11"/>
      <c r="AK69" s="11"/>
      <c r="AL69" s="11"/>
      <c r="AM69" s="11"/>
      <c r="AN69" s="9"/>
      <c r="AO69" s="9"/>
      <c r="AP69" s="9"/>
      <c r="AQ69" s="9"/>
      <c r="AR69" s="9"/>
      <c r="AS69" s="9"/>
      <c r="AT69" s="9"/>
      <c r="AU69" s="9"/>
      <c r="AV69" s="9"/>
      <c r="AW69" s="9"/>
      <c r="AX69" s="13"/>
    </row>
    <row r="70" spans="1:50" s="14" customFormat="1" x14ac:dyDescent="0.25">
      <c r="A70" s="11"/>
      <c r="B70" s="11"/>
      <c r="C70" s="11"/>
      <c r="D70" s="11"/>
      <c r="E70" s="11"/>
      <c r="F70" s="11"/>
      <c r="G70" s="11"/>
      <c r="H70" s="10"/>
      <c r="I70" s="11"/>
      <c r="J70" s="11"/>
      <c r="K70" s="11"/>
      <c r="L70" s="11"/>
      <c r="M70" s="10"/>
      <c r="N70" s="9"/>
      <c r="O70" s="10"/>
      <c r="P70" s="11"/>
      <c r="Q70" s="11"/>
      <c r="R70" s="11"/>
      <c r="S70" s="11"/>
      <c r="T70" s="9"/>
      <c r="U70" s="9"/>
      <c r="V70" s="9"/>
      <c r="W70" s="9"/>
      <c r="X70" s="9"/>
      <c r="Y70" s="10"/>
      <c r="Z70" s="11"/>
      <c r="AA70" s="11"/>
      <c r="AB70" s="11"/>
      <c r="AC70" s="11"/>
      <c r="AD70" s="11"/>
      <c r="AE70" s="11"/>
      <c r="AF70" s="11"/>
      <c r="AG70" s="11"/>
      <c r="AH70" s="11"/>
      <c r="AI70" s="12"/>
      <c r="AJ70" s="11"/>
      <c r="AK70" s="11"/>
      <c r="AL70" s="11"/>
      <c r="AM70" s="11"/>
      <c r="AN70" s="9"/>
      <c r="AO70" s="9"/>
      <c r="AP70" s="9"/>
      <c r="AQ70" s="9"/>
      <c r="AR70" s="9"/>
      <c r="AS70" s="9"/>
      <c r="AT70" s="9"/>
      <c r="AU70" s="9"/>
      <c r="AV70" s="9"/>
      <c r="AW70" s="9"/>
      <c r="AX70" s="13"/>
    </row>
    <row r="71" spans="1:50" s="14" customFormat="1" x14ac:dyDescent="0.25">
      <c r="A71" s="11"/>
      <c r="B71" s="11"/>
      <c r="C71" s="11"/>
      <c r="D71" s="11"/>
      <c r="E71" s="11"/>
      <c r="F71" s="11"/>
      <c r="G71" s="11"/>
      <c r="H71" s="10"/>
      <c r="I71" s="11"/>
      <c r="J71" s="11"/>
      <c r="K71" s="11"/>
      <c r="L71" s="11"/>
      <c r="M71" s="10"/>
      <c r="N71" s="9"/>
      <c r="O71" s="10"/>
      <c r="P71" s="11"/>
      <c r="Q71" s="11"/>
      <c r="R71" s="11"/>
      <c r="S71" s="11"/>
      <c r="T71" s="9"/>
      <c r="U71" s="9"/>
      <c r="V71" s="9"/>
      <c r="W71" s="9"/>
      <c r="X71" s="9"/>
      <c r="Y71" s="10"/>
      <c r="Z71" s="11"/>
      <c r="AA71" s="11"/>
      <c r="AB71" s="11"/>
      <c r="AC71" s="11"/>
      <c r="AD71" s="11"/>
      <c r="AE71" s="11"/>
      <c r="AF71" s="11"/>
      <c r="AG71" s="11"/>
      <c r="AH71" s="11"/>
      <c r="AI71" s="12"/>
      <c r="AJ71" s="11"/>
      <c r="AK71" s="11"/>
      <c r="AL71" s="11"/>
      <c r="AM71" s="11"/>
      <c r="AN71" s="9"/>
      <c r="AO71" s="9"/>
      <c r="AP71" s="9"/>
      <c r="AQ71" s="9"/>
      <c r="AR71" s="9"/>
      <c r="AS71" s="9"/>
      <c r="AT71" s="9"/>
      <c r="AU71" s="9"/>
      <c r="AV71" s="9"/>
      <c r="AW71" s="9"/>
      <c r="AX71" s="13"/>
    </row>
    <row r="72" spans="1:50" s="14" customFormat="1" x14ac:dyDescent="0.25">
      <c r="A72" s="11"/>
      <c r="B72" s="11"/>
      <c r="C72" s="11"/>
      <c r="D72" s="11"/>
      <c r="E72" s="9"/>
      <c r="F72" s="9"/>
      <c r="G72" s="9"/>
      <c r="H72" s="10"/>
      <c r="I72" s="11"/>
      <c r="J72" s="9"/>
      <c r="K72" s="9"/>
      <c r="L72" s="9"/>
      <c r="M72" s="10"/>
      <c r="N72" s="9"/>
      <c r="O72" s="10"/>
      <c r="P72" s="11"/>
      <c r="Q72" s="11"/>
      <c r="R72" s="11"/>
      <c r="S72" s="11"/>
      <c r="T72" s="9"/>
      <c r="U72" s="9"/>
      <c r="V72" s="9"/>
      <c r="W72" s="9"/>
      <c r="X72" s="9"/>
      <c r="Y72" s="10"/>
      <c r="Z72" s="11"/>
      <c r="AA72" s="11"/>
      <c r="AB72" s="11"/>
      <c r="AC72" s="11"/>
      <c r="AD72" s="11"/>
      <c r="AE72" s="11"/>
      <c r="AF72" s="11"/>
      <c r="AG72" s="11"/>
      <c r="AH72" s="11"/>
      <c r="AI72" s="12"/>
      <c r="AJ72" s="11"/>
      <c r="AK72" s="11"/>
      <c r="AL72" s="11"/>
      <c r="AM72" s="11"/>
      <c r="AN72" s="9"/>
      <c r="AO72" s="9"/>
      <c r="AP72" s="9"/>
      <c r="AQ72" s="9"/>
      <c r="AR72" s="9"/>
      <c r="AS72" s="9"/>
      <c r="AT72" s="9"/>
      <c r="AU72" s="9"/>
      <c r="AV72" s="9"/>
      <c r="AW72" s="9"/>
      <c r="AX72" s="13"/>
    </row>
    <row r="73" spans="1:50" s="14" customFormat="1" x14ac:dyDescent="0.25">
      <c r="A73" s="11"/>
      <c r="B73" s="11"/>
      <c r="C73" s="11"/>
      <c r="D73" s="9"/>
      <c r="E73" s="9"/>
      <c r="F73" s="9"/>
      <c r="G73" s="9"/>
      <c r="H73" s="10"/>
      <c r="I73" s="9"/>
      <c r="J73" s="9"/>
      <c r="K73" s="9"/>
      <c r="L73" s="9"/>
      <c r="M73" s="10"/>
      <c r="N73" s="9"/>
      <c r="O73" s="10"/>
      <c r="P73" s="11"/>
      <c r="Q73" s="11"/>
      <c r="R73" s="11"/>
      <c r="S73" s="11"/>
      <c r="T73" s="9"/>
      <c r="U73" s="9"/>
      <c r="V73" s="9"/>
      <c r="W73" s="9"/>
      <c r="X73" s="9"/>
      <c r="Y73" s="10"/>
      <c r="Z73" s="11"/>
      <c r="AA73" s="11"/>
      <c r="AB73" s="11"/>
      <c r="AC73" s="11"/>
      <c r="AD73" s="11"/>
      <c r="AE73" s="11"/>
      <c r="AF73" s="11"/>
      <c r="AG73" s="11"/>
      <c r="AH73" s="11"/>
      <c r="AI73" s="12"/>
      <c r="AJ73" s="11"/>
      <c r="AK73" s="11"/>
      <c r="AL73" s="11"/>
      <c r="AM73" s="11"/>
      <c r="AN73" s="9"/>
      <c r="AO73" s="9"/>
      <c r="AP73" s="9"/>
      <c r="AQ73" s="9"/>
      <c r="AR73" s="9"/>
      <c r="AS73" s="9"/>
      <c r="AT73" s="9"/>
      <c r="AU73" s="9"/>
      <c r="AV73" s="9"/>
      <c r="AW73" s="9"/>
      <c r="AX73" s="13"/>
    </row>
    <row r="74" spans="1:50" s="14" customFormat="1" x14ac:dyDescent="0.25">
      <c r="A74" s="11"/>
      <c r="B74" s="11"/>
      <c r="C74" s="11"/>
      <c r="D74" s="9"/>
      <c r="E74" s="9"/>
      <c r="F74" s="9"/>
      <c r="G74" s="9"/>
      <c r="H74" s="10"/>
      <c r="I74" s="9"/>
      <c r="J74" s="9"/>
      <c r="K74" s="9"/>
      <c r="L74" s="9"/>
      <c r="M74" s="10"/>
      <c r="N74" s="9"/>
      <c r="O74" s="10"/>
      <c r="P74" s="11"/>
      <c r="Q74" s="11"/>
      <c r="R74" s="11"/>
      <c r="S74" s="11"/>
      <c r="T74" s="9"/>
      <c r="U74" s="9"/>
      <c r="V74" s="9"/>
      <c r="W74" s="9"/>
      <c r="X74" s="9"/>
      <c r="Y74" s="10"/>
      <c r="Z74" s="11"/>
      <c r="AA74" s="11"/>
      <c r="AB74" s="11"/>
      <c r="AC74" s="11"/>
      <c r="AD74" s="11"/>
      <c r="AE74" s="11"/>
      <c r="AF74" s="11"/>
      <c r="AG74" s="11"/>
      <c r="AH74" s="11"/>
      <c r="AI74" s="12"/>
      <c r="AJ74" s="11"/>
      <c r="AK74" s="11"/>
      <c r="AL74" s="11"/>
      <c r="AM74" s="11"/>
      <c r="AN74" s="9"/>
      <c r="AO74" s="9"/>
      <c r="AP74" s="9"/>
      <c r="AQ74" s="9"/>
      <c r="AR74" s="9"/>
      <c r="AS74" s="9"/>
      <c r="AT74" s="9"/>
      <c r="AU74" s="9"/>
      <c r="AV74" s="9"/>
      <c r="AW74" s="9"/>
      <c r="AX74" s="13"/>
    </row>
    <row r="75" spans="1:50" s="14" customFormat="1" x14ac:dyDescent="0.25">
      <c r="A75" s="11"/>
      <c r="B75" s="11"/>
      <c r="C75" s="11"/>
      <c r="D75" s="11"/>
      <c r="E75" s="9"/>
      <c r="F75" s="9"/>
      <c r="G75" s="9"/>
      <c r="H75" s="10"/>
      <c r="I75" s="11"/>
      <c r="J75" s="9"/>
      <c r="K75" s="9"/>
      <c r="L75" s="9"/>
      <c r="M75" s="10"/>
      <c r="N75" s="9"/>
      <c r="O75" s="10"/>
      <c r="P75" s="11"/>
      <c r="Q75" s="11"/>
      <c r="R75" s="11"/>
      <c r="S75" s="11"/>
      <c r="T75" s="9"/>
      <c r="U75" s="9"/>
      <c r="V75" s="9"/>
      <c r="W75" s="9"/>
      <c r="X75" s="9"/>
      <c r="Y75" s="10"/>
      <c r="Z75" s="11"/>
      <c r="AA75" s="11"/>
      <c r="AB75" s="11"/>
      <c r="AC75" s="11"/>
      <c r="AD75" s="11"/>
      <c r="AE75" s="11"/>
      <c r="AF75" s="11"/>
      <c r="AG75" s="11"/>
      <c r="AH75" s="11"/>
      <c r="AI75" s="12"/>
      <c r="AJ75" s="11"/>
      <c r="AK75" s="11"/>
      <c r="AL75" s="11"/>
      <c r="AM75" s="11"/>
      <c r="AN75" s="9"/>
      <c r="AO75" s="9"/>
      <c r="AP75" s="9"/>
      <c r="AQ75" s="9"/>
      <c r="AR75" s="9"/>
      <c r="AS75" s="9"/>
      <c r="AT75" s="9"/>
      <c r="AU75" s="9"/>
      <c r="AV75" s="9"/>
      <c r="AW75" s="9"/>
      <c r="AX75" s="13"/>
    </row>
    <row r="76" spans="1:50" s="14" customFormat="1" x14ac:dyDescent="0.25">
      <c r="A76" s="11"/>
      <c r="B76" s="11"/>
      <c r="C76" s="11"/>
      <c r="D76" s="11"/>
      <c r="E76" s="9"/>
      <c r="F76" s="9"/>
      <c r="G76" s="9"/>
      <c r="H76" s="10"/>
      <c r="I76" s="11"/>
      <c r="J76" s="9"/>
      <c r="K76" s="9"/>
      <c r="L76" s="9"/>
      <c r="M76" s="10"/>
      <c r="N76" s="9"/>
      <c r="O76" s="10"/>
      <c r="P76" s="11"/>
      <c r="Q76" s="11"/>
      <c r="R76" s="11"/>
      <c r="S76" s="11"/>
      <c r="T76" s="9"/>
      <c r="U76" s="9"/>
      <c r="V76" s="9"/>
      <c r="W76" s="9"/>
      <c r="X76" s="9"/>
      <c r="Y76" s="10"/>
      <c r="Z76" s="11"/>
      <c r="AA76" s="11"/>
      <c r="AB76" s="11"/>
      <c r="AC76" s="11"/>
      <c r="AD76" s="11"/>
      <c r="AE76" s="11"/>
      <c r="AF76" s="11"/>
      <c r="AG76" s="11"/>
      <c r="AH76" s="11"/>
      <c r="AI76" s="12"/>
      <c r="AJ76" s="11"/>
      <c r="AK76" s="11"/>
      <c r="AL76" s="11"/>
      <c r="AM76" s="11"/>
      <c r="AN76" s="9"/>
      <c r="AO76" s="9"/>
      <c r="AP76" s="9"/>
      <c r="AQ76" s="9"/>
      <c r="AR76" s="9"/>
      <c r="AS76" s="9"/>
      <c r="AT76" s="9"/>
      <c r="AU76" s="9"/>
      <c r="AV76" s="9"/>
      <c r="AW76" s="9"/>
      <c r="AX76" s="13"/>
    </row>
    <row r="77" spans="1:50" s="14" customFormat="1" x14ac:dyDescent="0.25">
      <c r="A77" s="11"/>
      <c r="B77" s="11"/>
      <c r="C77" s="11"/>
      <c r="D77" s="11"/>
      <c r="E77" s="9"/>
      <c r="F77" s="9"/>
      <c r="G77" s="9"/>
      <c r="H77" s="10"/>
      <c r="I77" s="11"/>
      <c r="J77" s="9"/>
      <c r="K77" s="9"/>
      <c r="L77" s="9"/>
      <c r="M77" s="10"/>
      <c r="N77" s="9"/>
      <c r="O77" s="10"/>
      <c r="P77" s="11"/>
      <c r="Q77" s="11"/>
      <c r="R77" s="11"/>
      <c r="S77" s="11"/>
      <c r="T77" s="9"/>
      <c r="U77" s="9"/>
      <c r="V77" s="9"/>
      <c r="W77" s="9"/>
      <c r="X77" s="9"/>
      <c r="Y77" s="10"/>
      <c r="Z77" s="11"/>
      <c r="AA77" s="11"/>
      <c r="AB77" s="11"/>
      <c r="AC77" s="11"/>
      <c r="AD77" s="11"/>
      <c r="AE77" s="11"/>
      <c r="AF77" s="11"/>
      <c r="AG77" s="11"/>
      <c r="AH77" s="11"/>
      <c r="AI77" s="12"/>
      <c r="AJ77" s="11"/>
      <c r="AK77" s="11"/>
      <c r="AL77" s="11"/>
      <c r="AM77" s="11"/>
      <c r="AN77" s="9"/>
      <c r="AO77" s="9"/>
      <c r="AP77" s="9"/>
      <c r="AQ77" s="9"/>
      <c r="AR77" s="9"/>
      <c r="AS77" s="9"/>
      <c r="AT77" s="9"/>
      <c r="AU77" s="9"/>
      <c r="AV77" s="9"/>
      <c r="AW77" s="9"/>
      <c r="AX77" s="13"/>
    </row>
    <row r="78" spans="1:50" s="14" customFormat="1" x14ac:dyDescent="0.25">
      <c r="A78" s="11"/>
      <c r="B78" s="11"/>
      <c r="C78" s="11"/>
      <c r="D78" s="11"/>
      <c r="E78" s="11"/>
      <c r="F78" s="11"/>
      <c r="G78" s="11"/>
      <c r="H78" s="10"/>
      <c r="I78" s="11"/>
      <c r="J78" s="11"/>
      <c r="K78" s="11"/>
      <c r="L78" s="11"/>
      <c r="M78" s="10"/>
      <c r="N78" s="9"/>
      <c r="O78" s="10"/>
      <c r="P78" s="11"/>
      <c r="Q78" s="11"/>
      <c r="R78" s="11"/>
      <c r="S78" s="11"/>
      <c r="T78" s="9"/>
      <c r="U78" s="9"/>
      <c r="V78" s="9"/>
      <c r="W78" s="9"/>
      <c r="X78" s="9"/>
      <c r="Y78" s="10"/>
      <c r="Z78" s="11"/>
      <c r="AA78" s="11"/>
      <c r="AB78" s="11"/>
      <c r="AC78" s="11"/>
      <c r="AD78" s="11"/>
      <c r="AE78" s="11"/>
      <c r="AF78" s="11"/>
      <c r="AG78" s="11"/>
      <c r="AH78" s="11"/>
      <c r="AI78" s="12"/>
      <c r="AJ78" s="11"/>
      <c r="AK78" s="11"/>
      <c r="AL78" s="11"/>
      <c r="AM78" s="11"/>
      <c r="AN78" s="9"/>
      <c r="AO78" s="9"/>
      <c r="AP78" s="9"/>
      <c r="AQ78" s="9"/>
      <c r="AR78" s="9"/>
      <c r="AS78" s="9"/>
      <c r="AT78" s="9"/>
      <c r="AU78" s="9"/>
      <c r="AV78" s="9"/>
      <c r="AW78" s="9"/>
      <c r="AX78" s="13"/>
    </row>
    <row r="79" spans="1:50" s="14" customFormat="1" x14ac:dyDescent="0.25">
      <c r="A79" s="11"/>
      <c r="B79" s="11"/>
      <c r="C79" s="11"/>
      <c r="D79" s="11"/>
      <c r="E79" s="9"/>
      <c r="F79" s="9"/>
      <c r="G79" s="9"/>
      <c r="H79" s="10"/>
      <c r="I79" s="11"/>
      <c r="J79" s="9"/>
      <c r="K79" s="9"/>
      <c r="L79" s="9"/>
      <c r="M79" s="10"/>
      <c r="N79" s="9"/>
      <c r="O79" s="10"/>
      <c r="P79" s="11"/>
      <c r="Q79" s="11"/>
      <c r="R79" s="11"/>
      <c r="S79" s="11"/>
      <c r="T79" s="9"/>
      <c r="U79" s="9"/>
      <c r="V79" s="9"/>
      <c r="W79" s="9"/>
      <c r="X79" s="9"/>
      <c r="Y79" s="10"/>
      <c r="Z79" s="11"/>
      <c r="AA79" s="11"/>
      <c r="AB79" s="11"/>
      <c r="AC79" s="11"/>
      <c r="AD79" s="11"/>
      <c r="AE79" s="11"/>
      <c r="AF79" s="11"/>
      <c r="AG79" s="11"/>
      <c r="AH79" s="11"/>
      <c r="AI79" s="12"/>
      <c r="AJ79" s="11"/>
      <c r="AK79" s="11"/>
      <c r="AL79" s="11"/>
      <c r="AM79" s="11"/>
      <c r="AN79" s="9"/>
      <c r="AO79" s="9"/>
      <c r="AP79" s="9"/>
      <c r="AQ79" s="9"/>
      <c r="AR79" s="9"/>
      <c r="AS79" s="9"/>
      <c r="AT79" s="9"/>
      <c r="AU79" s="9"/>
      <c r="AV79" s="9"/>
      <c r="AW79" s="9"/>
      <c r="AX79" s="13"/>
    </row>
    <row r="80" spans="1:50" s="14" customFormat="1" x14ac:dyDescent="0.25">
      <c r="A80" s="11"/>
      <c r="B80" s="11"/>
      <c r="C80" s="11"/>
      <c r="D80" s="11"/>
      <c r="E80" s="11"/>
      <c r="F80" s="11"/>
      <c r="G80" s="11"/>
      <c r="H80" s="10"/>
      <c r="I80" s="11"/>
      <c r="J80" s="11"/>
      <c r="K80" s="11"/>
      <c r="L80" s="11"/>
      <c r="M80" s="10"/>
      <c r="N80" s="9"/>
      <c r="O80" s="10"/>
      <c r="P80" s="11"/>
      <c r="Q80" s="11"/>
      <c r="R80" s="11"/>
      <c r="S80" s="11"/>
      <c r="T80" s="9"/>
      <c r="U80" s="9"/>
      <c r="V80" s="9"/>
      <c r="W80" s="9"/>
      <c r="X80" s="9"/>
      <c r="Y80" s="10"/>
      <c r="Z80" s="11"/>
      <c r="AA80" s="11"/>
      <c r="AB80" s="11"/>
      <c r="AC80" s="11"/>
      <c r="AD80" s="11"/>
      <c r="AE80" s="11"/>
      <c r="AF80" s="11"/>
      <c r="AG80" s="11"/>
      <c r="AH80" s="11"/>
      <c r="AI80" s="12"/>
      <c r="AJ80" s="11"/>
      <c r="AK80" s="11"/>
      <c r="AL80" s="11"/>
      <c r="AM80" s="11"/>
      <c r="AN80" s="9"/>
      <c r="AO80" s="9"/>
      <c r="AP80" s="9"/>
      <c r="AQ80" s="9"/>
      <c r="AR80" s="9"/>
      <c r="AS80" s="9"/>
      <c r="AT80" s="9"/>
      <c r="AU80" s="9"/>
      <c r="AV80" s="9"/>
      <c r="AW80" s="9"/>
      <c r="AX80" s="13"/>
    </row>
    <row r="81" spans="1:50" s="14" customFormat="1" x14ac:dyDescent="0.25">
      <c r="A81" s="11"/>
      <c r="B81" s="11"/>
      <c r="C81" s="11"/>
      <c r="D81" s="11"/>
      <c r="E81" s="11"/>
      <c r="F81" s="11"/>
      <c r="G81" s="11"/>
      <c r="H81" s="10"/>
      <c r="I81" s="11"/>
      <c r="J81" s="11"/>
      <c r="K81" s="11"/>
      <c r="L81" s="11"/>
      <c r="M81" s="10"/>
      <c r="N81" s="9"/>
      <c r="O81" s="10"/>
      <c r="P81" s="11"/>
      <c r="Q81" s="11"/>
      <c r="R81" s="11"/>
      <c r="S81" s="11"/>
      <c r="T81" s="9"/>
      <c r="U81" s="9"/>
      <c r="V81" s="9"/>
      <c r="W81" s="9"/>
      <c r="X81" s="9"/>
      <c r="Y81" s="10"/>
      <c r="Z81" s="11"/>
      <c r="AA81" s="11"/>
      <c r="AB81" s="11"/>
      <c r="AC81" s="11"/>
      <c r="AD81" s="11"/>
      <c r="AE81" s="11"/>
      <c r="AF81" s="11"/>
      <c r="AG81" s="11"/>
      <c r="AH81" s="11"/>
      <c r="AI81" s="12"/>
      <c r="AJ81" s="11"/>
      <c r="AK81" s="11"/>
      <c r="AL81" s="11"/>
      <c r="AM81" s="11"/>
      <c r="AN81" s="9"/>
      <c r="AO81" s="9"/>
      <c r="AP81" s="9"/>
      <c r="AQ81" s="9"/>
      <c r="AR81" s="9"/>
      <c r="AS81" s="9"/>
      <c r="AT81" s="9"/>
      <c r="AU81" s="9"/>
      <c r="AV81" s="9"/>
      <c r="AW81" s="9"/>
      <c r="AX81" s="13"/>
    </row>
    <row r="82" spans="1:50" s="14" customFormat="1" x14ac:dyDescent="0.25">
      <c r="A82" s="11"/>
      <c r="B82" s="11"/>
      <c r="C82" s="11"/>
      <c r="D82" s="11"/>
      <c r="E82" s="11"/>
      <c r="F82" s="11"/>
      <c r="G82" s="11"/>
      <c r="H82" s="10"/>
      <c r="I82" s="11"/>
      <c r="J82" s="11"/>
      <c r="K82" s="11"/>
      <c r="L82" s="11"/>
      <c r="M82" s="10"/>
      <c r="N82" s="9"/>
      <c r="O82" s="10"/>
      <c r="P82" s="11"/>
      <c r="Q82" s="11"/>
      <c r="R82" s="11"/>
      <c r="S82" s="11"/>
      <c r="T82" s="9"/>
      <c r="U82" s="9"/>
      <c r="V82" s="9"/>
      <c r="W82" s="9"/>
      <c r="X82" s="9"/>
      <c r="Y82" s="10"/>
      <c r="Z82" s="11"/>
      <c r="AA82" s="11"/>
      <c r="AB82" s="11"/>
      <c r="AC82" s="11"/>
      <c r="AD82" s="11"/>
      <c r="AE82" s="11"/>
      <c r="AF82" s="11"/>
      <c r="AG82" s="11"/>
      <c r="AH82" s="11"/>
      <c r="AI82" s="12"/>
      <c r="AJ82" s="11"/>
      <c r="AK82" s="11"/>
      <c r="AL82" s="11"/>
      <c r="AM82" s="11"/>
      <c r="AN82" s="9"/>
      <c r="AO82" s="9"/>
      <c r="AP82" s="9"/>
      <c r="AQ82" s="9"/>
      <c r="AR82" s="9"/>
      <c r="AS82" s="9"/>
      <c r="AT82" s="9"/>
      <c r="AU82" s="9"/>
      <c r="AV82" s="9"/>
      <c r="AW82" s="9"/>
      <c r="AX82" s="13"/>
    </row>
    <row r="83" spans="1:50" s="14" customFormat="1" x14ac:dyDescent="0.25">
      <c r="A83" s="11"/>
      <c r="B83" s="11"/>
      <c r="C83" s="11"/>
      <c r="D83" s="11"/>
      <c r="E83" s="11"/>
      <c r="F83" s="11"/>
      <c r="G83" s="11"/>
      <c r="H83" s="10"/>
      <c r="I83" s="11"/>
      <c r="J83" s="11"/>
      <c r="K83" s="11"/>
      <c r="L83" s="11"/>
      <c r="M83" s="10"/>
      <c r="N83" s="9"/>
      <c r="O83" s="10"/>
      <c r="P83" s="11"/>
      <c r="Q83" s="11"/>
      <c r="R83" s="11"/>
      <c r="S83" s="11"/>
      <c r="T83" s="9"/>
      <c r="U83" s="9"/>
      <c r="V83" s="9"/>
      <c r="W83" s="9"/>
      <c r="X83" s="9"/>
      <c r="Y83" s="10"/>
      <c r="Z83" s="11"/>
      <c r="AA83" s="11"/>
      <c r="AB83" s="11"/>
      <c r="AC83" s="11"/>
      <c r="AD83" s="11"/>
      <c r="AE83" s="11"/>
      <c r="AF83" s="11"/>
      <c r="AG83" s="11"/>
      <c r="AH83" s="11"/>
      <c r="AI83" s="12"/>
      <c r="AJ83" s="11"/>
      <c r="AK83" s="11"/>
      <c r="AL83" s="11"/>
      <c r="AM83" s="11"/>
      <c r="AN83" s="9"/>
      <c r="AO83" s="9"/>
      <c r="AP83" s="9"/>
      <c r="AQ83" s="9"/>
      <c r="AR83" s="9"/>
      <c r="AS83" s="9"/>
      <c r="AT83" s="9"/>
      <c r="AU83" s="9"/>
      <c r="AV83" s="9"/>
      <c r="AW83" s="9"/>
      <c r="AX83" s="13"/>
    </row>
    <row r="84" spans="1:50" s="14" customFormat="1" x14ac:dyDescent="0.25">
      <c r="A84" s="11"/>
      <c r="B84" s="11"/>
      <c r="C84" s="11"/>
      <c r="D84" s="11"/>
      <c r="E84" s="9"/>
      <c r="F84" s="9"/>
      <c r="G84" s="9"/>
      <c r="H84" s="10"/>
      <c r="I84" s="11"/>
      <c r="J84" s="9"/>
      <c r="K84" s="9"/>
      <c r="L84" s="9"/>
      <c r="M84" s="10"/>
      <c r="N84" s="9"/>
      <c r="O84" s="10"/>
      <c r="P84" s="11"/>
      <c r="Q84" s="11"/>
      <c r="R84" s="11"/>
      <c r="S84" s="11"/>
      <c r="T84" s="9"/>
      <c r="U84" s="9"/>
      <c r="V84" s="9"/>
      <c r="W84" s="9"/>
      <c r="X84" s="9"/>
      <c r="Y84" s="10"/>
      <c r="Z84" s="11"/>
      <c r="AA84" s="11"/>
      <c r="AB84" s="11"/>
      <c r="AC84" s="11"/>
      <c r="AD84" s="11"/>
      <c r="AE84" s="11"/>
      <c r="AF84" s="11"/>
      <c r="AG84" s="11"/>
      <c r="AH84" s="11"/>
      <c r="AI84" s="12"/>
      <c r="AJ84" s="11"/>
      <c r="AK84" s="11"/>
      <c r="AL84" s="11"/>
      <c r="AM84" s="11"/>
      <c r="AN84" s="9"/>
      <c r="AO84" s="9"/>
      <c r="AP84" s="9"/>
      <c r="AQ84" s="9"/>
      <c r="AR84" s="9"/>
      <c r="AS84" s="9"/>
      <c r="AT84" s="9"/>
      <c r="AU84" s="9"/>
      <c r="AV84" s="9"/>
      <c r="AW84" s="9"/>
      <c r="AX84" s="13"/>
    </row>
    <row r="85" spans="1:50" s="14" customFormat="1" x14ac:dyDescent="0.25">
      <c r="A85" s="11"/>
      <c r="B85" s="11"/>
      <c r="C85" s="11"/>
      <c r="D85" s="11"/>
      <c r="E85" s="11"/>
      <c r="F85" s="11"/>
      <c r="G85" s="11"/>
      <c r="H85" s="10"/>
      <c r="I85" s="11"/>
      <c r="J85" s="11"/>
      <c r="K85" s="11"/>
      <c r="L85" s="11"/>
      <c r="M85" s="10"/>
      <c r="N85" s="9"/>
      <c r="O85" s="10"/>
      <c r="P85" s="11"/>
      <c r="Q85" s="11"/>
      <c r="R85" s="11"/>
      <c r="S85" s="11"/>
      <c r="T85" s="9"/>
      <c r="U85" s="9"/>
      <c r="V85" s="9"/>
      <c r="W85" s="9"/>
      <c r="X85" s="9"/>
      <c r="Y85" s="10"/>
      <c r="Z85" s="11"/>
      <c r="AA85" s="11"/>
      <c r="AB85" s="11"/>
      <c r="AC85" s="11"/>
      <c r="AD85" s="11"/>
      <c r="AE85" s="11"/>
      <c r="AF85" s="11"/>
      <c r="AG85" s="11"/>
      <c r="AH85" s="11"/>
      <c r="AI85" s="12"/>
      <c r="AJ85" s="11"/>
      <c r="AK85" s="11"/>
      <c r="AL85" s="11"/>
      <c r="AM85" s="11"/>
      <c r="AN85" s="9"/>
      <c r="AO85" s="9"/>
      <c r="AP85" s="9"/>
      <c r="AQ85" s="9"/>
      <c r="AR85" s="9"/>
      <c r="AS85" s="9"/>
      <c r="AT85" s="9"/>
      <c r="AU85" s="9"/>
      <c r="AV85" s="9"/>
      <c r="AW85" s="9"/>
      <c r="AX85" s="13"/>
    </row>
    <row r="86" spans="1:50" s="14" customFormat="1" x14ac:dyDescent="0.25">
      <c r="A86" s="11"/>
      <c r="B86" s="11"/>
      <c r="C86" s="11"/>
      <c r="D86" s="9"/>
      <c r="E86" s="9"/>
      <c r="F86" s="9"/>
      <c r="G86" s="9"/>
      <c r="H86" s="10"/>
      <c r="I86" s="9"/>
      <c r="J86" s="9"/>
      <c r="K86" s="9"/>
      <c r="L86" s="9"/>
      <c r="M86" s="10"/>
      <c r="N86" s="9"/>
      <c r="O86" s="10"/>
      <c r="P86" s="11"/>
      <c r="Q86" s="11"/>
      <c r="R86" s="11"/>
      <c r="S86" s="11"/>
      <c r="T86" s="9"/>
      <c r="U86" s="9"/>
      <c r="V86" s="9"/>
      <c r="W86" s="9"/>
      <c r="X86" s="9"/>
      <c r="Y86" s="10"/>
      <c r="Z86" s="11"/>
      <c r="AA86" s="11"/>
      <c r="AB86" s="11"/>
      <c r="AC86" s="11"/>
      <c r="AD86" s="11"/>
      <c r="AE86" s="11"/>
      <c r="AF86" s="11"/>
      <c r="AG86" s="11"/>
      <c r="AH86" s="11"/>
      <c r="AI86" s="12"/>
      <c r="AJ86" s="11"/>
      <c r="AK86" s="11"/>
      <c r="AL86" s="11"/>
      <c r="AM86" s="11"/>
      <c r="AN86" s="9"/>
      <c r="AO86" s="9"/>
      <c r="AP86" s="9"/>
      <c r="AQ86" s="9"/>
      <c r="AR86" s="9"/>
      <c r="AS86" s="9"/>
      <c r="AT86" s="9"/>
      <c r="AU86" s="9"/>
      <c r="AV86" s="9"/>
      <c r="AW86" s="9"/>
      <c r="AX86" s="13"/>
    </row>
    <row r="87" spans="1:50" s="14" customFormat="1" x14ac:dyDescent="0.25">
      <c r="A87" s="11"/>
      <c r="B87" s="11"/>
      <c r="C87" s="11"/>
      <c r="D87" s="11"/>
      <c r="E87" s="11"/>
      <c r="F87" s="11"/>
      <c r="G87" s="11"/>
      <c r="H87" s="10"/>
      <c r="I87" s="11"/>
      <c r="J87" s="11"/>
      <c r="K87" s="11"/>
      <c r="L87" s="11"/>
      <c r="M87" s="10"/>
      <c r="N87" s="9"/>
      <c r="O87" s="10"/>
      <c r="P87" s="11"/>
      <c r="Q87" s="11"/>
      <c r="R87" s="11"/>
      <c r="S87" s="11"/>
      <c r="T87" s="9"/>
      <c r="U87" s="9"/>
      <c r="V87" s="9"/>
      <c r="W87" s="9"/>
      <c r="X87" s="9"/>
      <c r="Y87" s="10"/>
      <c r="Z87" s="11"/>
      <c r="AA87" s="11"/>
      <c r="AB87" s="11"/>
      <c r="AC87" s="11"/>
      <c r="AD87" s="11"/>
      <c r="AE87" s="11"/>
      <c r="AF87" s="11"/>
      <c r="AG87" s="11"/>
      <c r="AH87" s="11"/>
      <c r="AI87" s="12"/>
      <c r="AJ87" s="11"/>
      <c r="AK87" s="11"/>
      <c r="AL87" s="11"/>
      <c r="AM87" s="11"/>
      <c r="AN87" s="9"/>
      <c r="AO87" s="9"/>
      <c r="AP87" s="9"/>
      <c r="AQ87" s="9"/>
      <c r="AR87" s="9"/>
      <c r="AS87" s="9"/>
      <c r="AT87" s="9"/>
      <c r="AU87" s="9"/>
      <c r="AV87" s="9"/>
      <c r="AW87" s="9"/>
      <c r="AX87" s="13"/>
    </row>
    <row r="88" spans="1:50" s="14" customFormat="1" x14ac:dyDescent="0.25">
      <c r="A88" s="11"/>
      <c r="B88" s="11"/>
      <c r="C88" s="11"/>
      <c r="D88" s="11"/>
      <c r="E88" s="11"/>
      <c r="F88" s="11"/>
      <c r="G88" s="11"/>
      <c r="H88" s="10"/>
      <c r="I88" s="11"/>
      <c r="J88" s="11"/>
      <c r="K88" s="11"/>
      <c r="L88" s="11"/>
      <c r="M88" s="10"/>
      <c r="N88" s="9"/>
      <c r="O88" s="10"/>
      <c r="P88" s="11"/>
      <c r="Q88" s="11"/>
      <c r="R88" s="11"/>
      <c r="S88" s="11"/>
      <c r="T88" s="9"/>
      <c r="U88" s="9"/>
      <c r="V88" s="9"/>
      <c r="W88" s="9"/>
      <c r="X88" s="9"/>
      <c r="Y88" s="10"/>
      <c r="Z88" s="11"/>
      <c r="AA88" s="11"/>
      <c r="AB88" s="11"/>
      <c r="AC88" s="11"/>
      <c r="AD88" s="11"/>
      <c r="AE88" s="11"/>
      <c r="AF88" s="11"/>
      <c r="AG88" s="11"/>
      <c r="AH88" s="11"/>
      <c r="AI88" s="12"/>
      <c r="AJ88" s="11"/>
      <c r="AK88" s="11"/>
      <c r="AL88" s="11"/>
      <c r="AM88" s="11"/>
      <c r="AN88" s="9"/>
      <c r="AO88" s="9"/>
      <c r="AP88" s="9"/>
      <c r="AQ88" s="9"/>
      <c r="AR88" s="9"/>
      <c r="AS88" s="9"/>
      <c r="AT88" s="9"/>
      <c r="AU88" s="9"/>
      <c r="AV88" s="9"/>
      <c r="AW88" s="9"/>
      <c r="AX88" s="13"/>
    </row>
    <row r="89" spans="1:50" s="14" customFormat="1" x14ac:dyDescent="0.25">
      <c r="A89" s="11"/>
      <c r="B89" s="11"/>
      <c r="C89" s="11"/>
      <c r="D89" s="11"/>
      <c r="E89" s="11"/>
      <c r="F89" s="11"/>
      <c r="G89" s="11"/>
      <c r="H89" s="10"/>
      <c r="I89" s="11"/>
      <c r="J89" s="11"/>
      <c r="K89" s="11"/>
      <c r="L89" s="11"/>
      <c r="M89" s="10"/>
      <c r="N89" s="9"/>
      <c r="O89" s="10"/>
      <c r="P89" s="11"/>
      <c r="Q89" s="11"/>
      <c r="R89" s="11"/>
      <c r="S89" s="11"/>
      <c r="T89" s="9"/>
      <c r="U89" s="9"/>
      <c r="V89" s="9"/>
      <c r="W89" s="9"/>
      <c r="X89" s="9"/>
      <c r="Y89" s="10"/>
      <c r="Z89" s="11"/>
      <c r="AA89" s="11"/>
      <c r="AB89" s="11"/>
      <c r="AC89" s="11"/>
      <c r="AD89" s="11"/>
      <c r="AE89" s="11"/>
      <c r="AF89" s="11"/>
      <c r="AG89" s="11"/>
      <c r="AH89" s="11"/>
      <c r="AI89" s="12"/>
      <c r="AJ89" s="11"/>
      <c r="AK89" s="11"/>
      <c r="AL89" s="11"/>
      <c r="AM89" s="11"/>
      <c r="AN89" s="9"/>
      <c r="AO89" s="9"/>
      <c r="AP89" s="9"/>
      <c r="AQ89" s="9"/>
      <c r="AR89" s="9"/>
      <c r="AS89" s="9"/>
      <c r="AT89" s="9"/>
      <c r="AU89" s="9"/>
      <c r="AV89" s="9"/>
      <c r="AW89" s="9"/>
      <c r="AX89" s="13"/>
    </row>
    <row r="90" spans="1:50" s="14" customFormat="1" x14ac:dyDescent="0.25">
      <c r="A90" s="11"/>
      <c r="B90" s="11"/>
      <c r="C90" s="11"/>
      <c r="D90" s="11"/>
      <c r="E90" s="9"/>
      <c r="F90" s="9"/>
      <c r="G90" s="9"/>
      <c r="H90" s="10"/>
      <c r="I90" s="11"/>
      <c r="J90" s="9"/>
      <c r="K90" s="9"/>
      <c r="L90" s="9"/>
      <c r="M90" s="10"/>
      <c r="N90" s="9"/>
      <c r="O90" s="10"/>
      <c r="P90" s="11"/>
      <c r="Q90" s="11"/>
      <c r="R90" s="11"/>
      <c r="S90" s="11"/>
      <c r="T90" s="9"/>
      <c r="U90" s="9"/>
      <c r="V90" s="9"/>
      <c r="W90" s="9"/>
      <c r="X90" s="9"/>
      <c r="Y90" s="10"/>
      <c r="Z90" s="11"/>
      <c r="AA90" s="11"/>
      <c r="AB90" s="11"/>
      <c r="AC90" s="11"/>
      <c r="AD90" s="11"/>
      <c r="AE90" s="11"/>
      <c r="AF90" s="11"/>
      <c r="AG90" s="11"/>
      <c r="AH90" s="11"/>
      <c r="AI90" s="12"/>
      <c r="AJ90" s="11"/>
      <c r="AK90" s="11"/>
      <c r="AL90" s="11"/>
      <c r="AM90" s="11"/>
      <c r="AN90" s="9"/>
      <c r="AO90" s="9"/>
      <c r="AP90" s="9"/>
      <c r="AQ90" s="9"/>
      <c r="AR90" s="9"/>
      <c r="AS90" s="9"/>
      <c r="AT90" s="9"/>
      <c r="AU90" s="9"/>
      <c r="AV90" s="9"/>
      <c r="AW90" s="9"/>
      <c r="AX90" s="13"/>
    </row>
    <row r="91" spans="1:50" s="14" customFormat="1" x14ac:dyDescent="0.25">
      <c r="A91" s="11"/>
      <c r="B91" s="11"/>
      <c r="C91" s="11"/>
      <c r="D91" s="11"/>
      <c r="E91" s="11"/>
      <c r="F91" s="11"/>
      <c r="G91" s="11"/>
      <c r="H91" s="10"/>
      <c r="I91" s="11"/>
      <c r="J91" s="11"/>
      <c r="K91" s="11"/>
      <c r="L91" s="11"/>
      <c r="M91" s="10"/>
      <c r="N91" s="9"/>
      <c r="O91" s="10"/>
      <c r="P91" s="11"/>
      <c r="Q91" s="11"/>
      <c r="R91" s="11"/>
      <c r="S91" s="11"/>
      <c r="T91" s="9"/>
      <c r="U91" s="9"/>
      <c r="V91" s="9"/>
      <c r="W91" s="9"/>
      <c r="X91" s="9"/>
      <c r="Y91" s="10"/>
      <c r="Z91" s="11"/>
      <c r="AA91" s="11"/>
      <c r="AB91" s="11"/>
      <c r="AC91" s="11"/>
      <c r="AD91" s="11"/>
      <c r="AE91" s="11"/>
      <c r="AF91" s="11"/>
      <c r="AG91" s="11"/>
      <c r="AH91" s="11"/>
      <c r="AI91" s="12"/>
      <c r="AJ91" s="11"/>
      <c r="AK91" s="11"/>
      <c r="AL91" s="11"/>
      <c r="AM91" s="11"/>
      <c r="AN91" s="9"/>
      <c r="AO91" s="9"/>
      <c r="AP91" s="9"/>
      <c r="AQ91" s="9"/>
      <c r="AR91" s="9"/>
      <c r="AS91" s="9"/>
      <c r="AT91" s="9"/>
      <c r="AU91" s="9"/>
      <c r="AV91" s="9"/>
      <c r="AW91" s="9"/>
      <c r="AX91" s="13"/>
    </row>
    <row r="92" spans="1:50" s="14" customFormat="1" x14ac:dyDescent="0.25">
      <c r="A92" s="11"/>
      <c r="B92" s="11"/>
      <c r="C92" s="11"/>
      <c r="D92" s="11"/>
      <c r="E92" s="9"/>
      <c r="F92" s="9"/>
      <c r="G92" s="9"/>
      <c r="H92" s="10"/>
      <c r="I92" s="11"/>
      <c r="J92" s="9"/>
      <c r="K92" s="9"/>
      <c r="L92" s="9"/>
      <c r="M92" s="10"/>
      <c r="N92" s="9"/>
      <c r="O92" s="10"/>
      <c r="P92" s="11"/>
      <c r="Q92" s="11"/>
      <c r="R92" s="11"/>
      <c r="S92" s="11"/>
      <c r="T92" s="9"/>
      <c r="U92" s="9"/>
      <c r="V92" s="9"/>
      <c r="W92" s="9"/>
      <c r="X92" s="9"/>
      <c r="Y92" s="10"/>
      <c r="Z92" s="11"/>
      <c r="AA92" s="11"/>
      <c r="AB92" s="11"/>
      <c r="AC92" s="11"/>
      <c r="AD92" s="11"/>
      <c r="AE92" s="11"/>
      <c r="AF92" s="11"/>
      <c r="AG92" s="11"/>
      <c r="AH92" s="11"/>
      <c r="AI92" s="12"/>
      <c r="AJ92" s="11"/>
      <c r="AK92" s="11"/>
      <c r="AL92" s="11"/>
      <c r="AM92" s="11"/>
      <c r="AN92" s="9"/>
      <c r="AO92" s="9"/>
      <c r="AP92" s="9"/>
      <c r="AQ92" s="9"/>
      <c r="AR92" s="9"/>
      <c r="AS92" s="9"/>
      <c r="AT92" s="9"/>
      <c r="AU92" s="9"/>
      <c r="AV92" s="9"/>
      <c r="AW92" s="9"/>
      <c r="AX92" s="13"/>
    </row>
    <row r="93" spans="1:50" s="14" customFormat="1" x14ac:dyDescent="0.25">
      <c r="A93" s="11"/>
      <c r="B93" s="11"/>
      <c r="C93" s="11"/>
      <c r="D93" s="11"/>
      <c r="E93" s="9"/>
      <c r="F93" s="9"/>
      <c r="G93" s="9"/>
      <c r="H93" s="10"/>
      <c r="I93" s="11"/>
      <c r="J93" s="9"/>
      <c r="K93" s="9"/>
      <c r="L93" s="9"/>
      <c r="M93" s="10"/>
      <c r="N93" s="9"/>
      <c r="O93" s="10"/>
      <c r="P93" s="11"/>
      <c r="Q93" s="11"/>
      <c r="R93" s="11"/>
      <c r="S93" s="11"/>
      <c r="T93" s="9"/>
      <c r="U93" s="9"/>
      <c r="V93" s="9"/>
      <c r="W93" s="9"/>
      <c r="X93" s="9"/>
      <c r="Y93" s="10"/>
      <c r="Z93" s="11"/>
      <c r="AA93" s="11"/>
      <c r="AB93" s="11"/>
      <c r="AC93" s="11"/>
      <c r="AD93" s="11"/>
      <c r="AE93" s="11"/>
      <c r="AF93" s="11"/>
      <c r="AG93" s="11"/>
      <c r="AH93" s="11"/>
      <c r="AI93" s="12"/>
      <c r="AJ93" s="11"/>
      <c r="AK93" s="11"/>
      <c r="AL93" s="11"/>
      <c r="AM93" s="11"/>
      <c r="AN93" s="9"/>
      <c r="AO93" s="9"/>
      <c r="AP93" s="9"/>
      <c r="AQ93" s="9"/>
      <c r="AR93" s="9"/>
      <c r="AS93" s="9"/>
      <c r="AT93" s="9"/>
      <c r="AU93" s="9"/>
      <c r="AV93" s="9"/>
      <c r="AW93" s="9"/>
      <c r="AX93" s="13"/>
    </row>
    <row r="94" spans="1:50" s="14" customFormat="1" x14ac:dyDescent="0.25">
      <c r="A94" s="11"/>
      <c r="B94" s="11"/>
      <c r="C94" s="11"/>
      <c r="D94" s="11"/>
      <c r="E94" s="9"/>
      <c r="F94" s="9"/>
      <c r="G94" s="9"/>
      <c r="H94" s="10"/>
      <c r="I94" s="11"/>
      <c r="J94" s="9"/>
      <c r="K94" s="9"/>
      <c r="L94" s="9"/>
      <c r="M94" s="10"/>
      <c r="N94" s="9"/>
      <c r="O94" s="10"/>
      <c r="P94" s="11"/>
      <c r="Q94" s="11"/>
      <c r="R94" s="11"/>
      <c r="S94" s="11"/>
      <c r="T94" s="9"/>
      <c r="U94" s="9"/>
      <c r="V94" s="9"/>
      <c r="W94" s="9"/>
      <c r="X94" s="9"/>
      <c r="Y94" s="10"/>
      <c r="Z94" s="11"/>
      <c r="AA94" s="11"/>
      <c r="AB94" s="11"/>
      <c r="AC94" s="11"/>
      <c r="AD94" s="11"/>
      <c r="AE94" s="11"/>
      <c r="AF94" s="11"/>
      <c r="AG94" s="11"/>
      <c r="AH94" s="11"/>
      <c r="AI94" s="12"/>
      <c r="AJ94" s="11"/>
      <c r="AK94" s="11"/>
      <c r="AL94" s="11"/>
      <c r="AM94" s="11"/>
      <c r="AN94" s="9"/>
      <c r="AO94" s="9"/>
      <c r="AP94" s="9"/>
      <c r="AQ94" s="9"/>
      <c r="AR94" s="9"/>
      <c r="AS94" s="9"/>
      <c r="AT94" s="9"/>
      <c r="AU94" s="9"/>
      <c r="AV94" s="9"/>
      <c r="AW94" s="9"/>
      <c r="AX94" s="13"/>
    </row>
    <row r="95" spans="1:50" s="14" customFormat="1" x14ac:dyDescent="0.25">
      <c r="A95" s="11"/>
      <c r="B95" s="11"/>
      <c r="C95" s="11"/>
      <c r="D95" s="11"/>
      <c r="E95" s="9"/>
      <c r="F95" s="9"/>
      <c r="G95" s="9"/>
      <c r="H95" s="10"/>
      <c r="I95" s="11"/>
      <c r="J95" s="9"/>
      <c r="K95" s="9"/>
      <c r="L95" s="9"/>
      <c r="M95" s="10"/>
      <c r="N95" s="9"/>
      <c r="O95" s="10"/>
      <c r="P95" s="11"/>
      <c r="Q95" s="11"/>
      <c r="R95" s="11"/>
      <c r="S95" s="11"/>
      <c r="T95" s="9"/>
      <c r="U95" s="9"/>
      <c r="V95" s="9"/>
      <c r="W95" s="9"/>
      <c r="X95" s="9"/>
      <c r="Y95" s="10"/>
      <c r="Z95" s="11"/>
      <c r="AA95" s="11"/>
      <c r="AB95" s="11"/>
      <c r="AC95" s="11"/>
      <c r="AD95" s="11"/>
      <c r="AE95" s="11"/>
      <c r="AF95" s="11"/>
      <c r="AG95" s="11"/>
      <c r="AH95" s="11"/>
      <c r="AI95" s="12"/>
      <c r="AJ95" s="11"/>
      <c r="AK95" s="11"/>
      <c r="AL95" s="11"/>
      <c r="AM95" s="11"/>
      <c r="AN95" s="9"/>
      <c r="AO95" s="9"/>
      <c r="AP95" s="9"/>
      <c r="AQ95" s="9"/>
      <c r="AR95" s="9"/>
      <c r="AS95" s="9"/>
      <c r="AT95" s="9"/>
      <c r="AU95" s="9"/>
      <c r="AV95" s="9"/>
      <c r="AW95" s="9"/>
      <c r="AX95" s="13"/>
    </row>
    <row r="96" spans="1:50" s="14" customFormat="1" x14ac:dyDescent="0.25">
      <c r="A96" s="11"/>
      <c r="B96" s="11"/>
      <c r="C96" s="11"/>
      <c r="D96" s="11"/>
      <c r="E96" s="11"/>
      <c r="F96" s="11"/>
      <c r="G96" s="11"/>
      <c r="H96" s="10"/>
      <c r="I96" s="11"/>
      <c r="J96" s="11"/>
      <c r="K96" s="11"/>
      <c r="L96" s="11"/>
      <c r="M96" s="10"/>
      <c r="N96" s="9"/>
      <c r="O96" s="10"/>
      <c r="P96" s="11"/>
      <c r="Q96" s="11"/>
      <c r="R96" s="11"/>
      <c r="S96" s="11"/>
      <c r="T96" s="9"/>
      <c r="U96" s="9"/>
      <c r="V96" s="9"/>
      <c r="W96" s="9"/>
      <c r="X96" s="9"/>
      <c r="Y96" s="10"/>
      <c r="Z96" s="11"/>
      <c r="AA96" s="11"/>
      <c r="AB96" s="11"/>
      <c r="AC96" s="11"/>
      <c r="AD96" s="11"/>
      <c r="AE96" s="11"/>
      <c r="AF96" s="11"/>
      <c r="AG96" s="11"/>
      <c r="AH96" s="11"/>
      <c r="AI96" s="12"/>
      <c r="AJ96" s="11"/>
      <c r="AK96" s="11"/>
      <c r="AL96" s="11"/>
      <c r="AM96" s="11"/>
      <c r="AN96" s="9"/>
      <c r="AO96" s="9"/>
      <c r="AP96" s="9"/>
      <c r="AQ96" s="9"/>
      <c r="AR96" s="9"/>
      <c r="AS96" s="9"/>
      <c r="AT96" s="9"/>
      <c r="AU96" s="9"/>
      <c r="AV96" s="9"/>
      <c r="AW96" s="9"/>
      <c r="AX96" s="13"/>
    </row>
    <row r="97" spans="1:50" s="14" customFormat="1" x14ac:dyDescent="0.25">
      <c r="A97" s="11"/>
      <c r="B97" s="11"/>
      <c r="C97" s="11"/>
      <c r="D97" s="11"/>
      <c r="E97" s="9"/>
      <c r="F97" s="9"/>
      <c r="G97" s="9"/>
      <c r="H97" s="10"/>
      <c r="I97" s="11"/>
      <c r="J97" s="9"/>
      <c r="K97" s="9"/>
      <c r="L97" s="9"/>
      <c r="M97" s="10"/>
      <c r="N97" s="9"/>
      <c r="O97" s="10"/>
      <c r="P97" s="11"/>
      <c r="Q97" s="11"/>
      <c r="R97" s="11"/>
      <c r="S97" s="11"/>
      <c r="T97" s="9"/>
      <c r="U97" s="9"/>
      <c r="V97" s="9"/>
      <c r="W97" s="9"/>
      <c r="X97" s="9"/>
      <c r="Y97" s="10"/>
      <c r="Z97" s="11"/>
      <c r="AA97" s="11"/>
      <c r="AB97" s="11"/>
      <c r="AC97" s="11"/>
      <c r="AD97" s="11"/>
      <c r="AE97" s="11"/>
      <c r="AF97" s="11"/>
      <c r="AG97" s="11"/>
      <c r="AH97" s="11"/>
      <c r="AI97" s="12"/>
      <c r="AJ97" s="11"/>
      <c r="AK97" s="11"/>
      <c r="AL97" s="11"/>
      <c r="AM97" s="11"/>
      <c r="AN97" s="9"/>
      <c r="AO97" s="9"/>
      <c r="AP97" s="9"/>
      <c r="AQ97" s="9"/>
      <c r="AR97" s="9"/>
      <c r="AS97" s="9"/>
      <c r="AT97" s="9"/>
      <c r="AU97" s="9"/>
      <c r="AV97" s="9"/>
      <c r="AW97" s="9"/>
      <c r="AX97" s="13"/>
    </row>
    <row r="98" spans="1:50" s="14" customFormat="1" x14ac:dyDescent="0.25">
      <c r="A98" s="11"/>
      <c r="B98" s="11"/>
      <c r="C98" s="11"/>
      <c r="D98" s="11"/>
      <c r="E98" s="9"/>
      <c r="F98" s="9"/>
      <c r="G98" s="9"/>
      <c r="H98" s="10"/>
      <c r="I98" s="11"/>
      <c r="J98" s="9"/>
      <c r="K98" s="9"/>
      <c r="L98" s="9"/>
      <c r="M98" s="10"/>
      <c r="N98" s="9"/>
      <c r="O98" s="10"/>
      <c r="P98" s="11"/>
      <c r="Q98" s="11"/>
      <c r="R98" s="11"/>
      <c r="S98" s="11"/>
      <c r="T98" s="9"/>
      <c r="U98" s="9"/>
      <c r="V98" s="9"/>
      <c r="W98" s="9"/>
      <c r="X98" s="9"/>
      <c r="Y98" s="10"/>
      <c r="Z98" s="11"/>
      <c r="AA98" s="11"/>
      <c r="AB98" s="11"/>
      <c r="AC98" s="11"/>
      <c r="AD98" s="11"/>
      <c r="AE98" s="11"/>
      <c r="AF98" s="11"/>
      <c r="AG98" s="11"/>
      <c r="AH98" s="11"/>
      <c r="AI98" s="12"/>
      <c r="AJ98" s="11"/>
      <c r="AK98" s="11"/>
      <c r="AL98" s="11"/>
      <c r="AM98" s="11"/>
      <c r="AN98" s="9"/>
      <c r="AO98" s="9"/>
      <c r="AP98" s="9"/>
      <c r="AQ98" s="9"/>
      <c r="AR98" s="9"/>
      <c r="AS98" s="9"/>
      <c r="AT98" s="9"/>
      <c r="AU98" s="9"/>
      <c r="AV98" s="9"/>
      <c r="AW98" s="9"/>
      <c r="AX98" s="13"/>
    </row>
    <row r="99" spans="1:50" s="14" customFormat="1" x14ac:dyDescent="0.25">
      <c r="A99" s="11"/>
      <c r="B99" s="11"/>
      <c r="C99" s="11"/>
      <c r="D99" s="11"/>
      <c r="E99" s="9"/>
      <c r="F99" s="9"/>
      <c r="G99" s="9"/>
      <c r="H99" s="10"/>
      <c r="I99" s="11"/>
      <c r="J99" s="9"/>
      <c r="K99" s="9"/>
      <c r="L99" s="9"/>
      <c r="M99" s="10"/>
      <c r="N99" s="9"/>
      <c r="O99" s="10"/>
      <c r="P99" s="11"/>
      <c r="Q99" s="11"/>
      <c r="R99" s="11"/>
      <c r="S99" s="11"/>
      <c r="T99" s="11"/>
      <c r="U99" s="9"/>
      <c r="V99" s="9"/>
      <c r="W99" s="9"/>
      <c r="X99" s="9"/>
      <c r="Y99" s="10"/>
      <c r="Z99" s="11"/>
      <c r="AA99" s="11"/>
      <c r="AB99" s="11"/>
      <c r="AC99" s="11"/>
      <c r="AD99" s="11"/>
      <c r="AE99" s="11"/>
      <c r="AF99" s="11"/>
      <c r="AG99" s="11"/>
      <c r="AH99" s="11"/>
      <c r="AI99" s="12"/>
      <c r="AJ99" s="11"/>
      <c r="AK99" s="11"/>
      <c r="AL99" s="11"/>
      <c r="AM99" s="11"/>
      <c r="AN99" s="9"/>
      <c r="AO99" s="9"/>
      <c r="AP99" s="9"/>
      <c r="AQ99" s="9"/>
      <c r="AR99" s="9"/>
      <c r="AS99" s="9"/>
      <c r="AT99" s="9"/>
      <c r="AU99" s="9"/>
      <c r="AV99" s="9"/>
      <c r="AW99" s="9"/>
      <c r="AX99" s="13"/>
    </row>
    <row r="100" spans="1:50" s="14" customFormat="1" x14ac:dyDescent="0.25">
      <c r="A100" s="11"/>
      <c r="B100" s="11"/>
      <c r="C100" s="11"/>
      <c r="D100" s="11"/>
      <c r="E100" s="11"/>
      <c r="F100" s="11"/>
      <c r="G100" s="11"/>
      <c r="H100" s="10"/>
      <c r="I100" s="11"/>
      <c r="J100" s="11"/>
      <c r="K100" s="11"/>
      <c r="L100" s="11"/>
      <c r="M100" s="10"/>
      <c r="N100" s="9"/>
      <c r="O100" s="10"/>
      <c r="P100" s="11"/>
      <c r="Q100" s="11"/>
      <c r="R100" s="11"/>
      <c r="S100" s="11"/>
      <c r="T100" s="9"/>
      <c r="U100" s="9"/>
      <c r="V100" s="9"/>
      <c r="W100" s="9"/>
      <c r="X100" s="9"/>
      <c r="Y100" s="10"/>
      <c r="Z100" s="11"/>
      <c r="AA100" s="11"/>
      <c r="AB100" s="11"/>
      <c r="AC100" s="11"/>
      <c r="AD100" s="11"/>
      <c r="AE100" s="11"/>
      <c r="AF100" s="11"/>
      <c r="AG100" s="11"/>
      <c r="AH100" s="11"/>
      <c r="AI100" s="12"/>
      <c r="AJ100" s="11"/>
      <c r="AK100" s="11"/>
      <c r="AL100" s="11"/>
      <c r="AM100" s="11"/>
      <c r="AN100" s="9"/>
      <c r="AO100" s="9"/>
      <c r="AP100" s="9"/>
      <c r="AQ100" s="9"/>
      <c r="AR100" s="9"/>
      <c r="AS100" s="9"/>
      <c r="AT100" s="9"/>
      <c r="AU100" s="9"/>
      <c r="AV100" s="9"/>
      <c r="AW100" s="9"/>
      <c r="AX100" s="13"/>
    </row>
    <row r="101" spans="1:50" s="14" customFormat="1" x14ac:dyDescent="0.25">
      <c r="A101" s="11"/>
      <c r="B101" s="11"/>
      <c r="C101" s="11"/>
      <c r="D101" s="11"/>
      <c r="E101" s="11"/>
      <c r="F101" s="11"/>
      <c r="G101" s="11"/>
      <c r="H101" s="10"/>
      <c r="I101" s="11"/>
      <c r="J101" s="11"/>
      <c r="K101" s="11"/>
      <c r="L101" s="11"/>
      <c r="M101" s="10"/>
      <c r="N101" s="9"/>
      <c r="O101" s="10"/>
      <c r="P101" s="11"/>
      <c r="Q101" s="11"/>
      <c r="R101" s="11"/>
      <c r="S101" s="11"/>
      <c r="T101" s="9"/>
      <c r="U101" s="9"/>
      <c r="V101" s="9"/>
      <c r="W101" s="9"/>
      <c r="X101" s="9"/>
      <c r="Y101" s="10"/>
      <c r="Z101" s="11"/>
      <c r="AA101" s="11"/>
      <c r="AB101" s="11"/>
      <c r="AC101" s="11"/>
      <c r="AD101" s="11"/>
      <c r="AE101" s="11"/>
      <c r="AF101" s="11"/>
      <c r="AG101" s="11"/>
      <c r="AH101" s="11"/>
      <c r="AI101" s="12"/>
      <c r="AJ101" s="11"/>
      <c r="AK101" s="11"/>
      <c r="AL101" s="11"/>
      <c r="AM101" s="11"/>
      <c r="AN101" s="9"/>
      <c r="AO101" s="9"/>
      <c r="AP101" s="9"/>
      <c r="AQ101" s="9"/>
      <c r="AR101" s="9"/>
      <c r="AS101" s="9"/>
      <c r="AT101" s="9"/>
      <c r="AU101" s="9"/>
      <c r="AV101" s="9"/>
      <c r="AW101" s="9"/>
      <c r="AX101" s="13"/>
    </row>
    <row r="102" spans="1:50" s="14" customFormat="1" x14ac:dyDescent="0.25">
      <c r="A102" s="11"/>
      <c r="B102" s="11"/>
      <c r="C102" s="11"/>
      <c r="D102" s="11"/>
      <c r="E102" s="9"/>
      <c r="F102" s="9"/>
      <c r="G102" s="9"/>
      <c r="H102" s="10"/>
      <c r="I102" s="11"/>
      <c r="J102" s="9"/>
      <c r="K102" s="9"/>
      <c r="L102" s="9"/>
      <c r="M102" s="10"/>
      <c r="N102" s="9"/>
      <c r="O102" s="10"/>
      <c r="P102" s="11"/>
      <c r="Q102" s="11"/>
      <c r="R102" s="11"/>
      <c r="S102" s="11"/>
      <c r="T102" s="9"/>
      <c r="U102" s="9"/>
      <c r="V102" s="9"/>
      <c r="W102" s="9"/>
      <c r="X102" s="9"/>
      <c r="Y102" s="10"/>
      <c r="Z102" s="11"/>
      <c r="AA102" s="11"/>
      <c r="AB102" s="11"/>
      <c r="AC102" s="11"/>
      <c r="AD102" s="11"/>
      <c r="AE102" s="11"/>
      <c r="AF102" s="11"/>
      <c r="AG102" s="11"/>
      <c r="AH102" s="11"/>
      <c r="AI102" s="12"/>
      <c r="AJ102" s="11"/>
      <c r="AK102" s="11"/>
      <c r="AL102" s="11"/>
      <c r="AM102" s="11"/>
      <c r="AN102" s="9"/>
      <c r="AO102" s="9"/>
      <c r="AP102" s="9"/>
      <c r="AQ102" s="9"/>
      <c r="AR102" s="9"/>
      <c r="AS102" s="9"/>
      <c r="AT102" s="9"/>
      <c r="AU102" s="9"/>
      <c r="AV102" s="9"/>
      <c r="AW102" s="9"/>
      <c r="AX102" s="13"/>
    </row>
    <row r="103" spans="1:50" s="14" customFormat="1" x14ac:dyDescent="0.25">
      <c r="A103" s="11"/>
      <c r="B103" s="11"/>
      <c r="C103" s="11"/>
      <c r="D103" s="11"/>
      <c r="E103" s="11"/>
      <c r="F103" s="11"/>
      <c r="G103" s="11"/>
      <c r="H103" s="10"/>
      <c r="I103" s="11"/>
      <c r="J103" s="11"/>
      <c r="K103" s="11"/>
      <c r="L103" s="11"/>
      <c r="M103" s="10"/>
      <c r="N103" s="9"/>
      <c r="O103" s="10"/>
      <c r="P103" s="11"/>
      <c r="Q103" s="11"/>
      <c r="R103" s="11"/>
      <c r="S103" s="11"/>
      <c r="T103" s="9"/>
      <c r="U103" s="9"/>
      <c r="V103" s="9"/>
      <c r="W103" s="9"/>
      <c r="X103" s="9"/>
      <c r="Y103" s="10"/>
      <c r="Z103" s="11"/>
      <c r="AA103" s="11"/>
      <c r="AB103" s="11"/>
      <c r="AC103" s="11"/>
      <c r="AD103" s="11"/>
      <c r="AE103" s="11"/>
      <c r="AF103" s="11"/>
      <c r="AG103" s="11"/>
      <c r="AH103" s="11"/>
      <c r="AI103" s="12"/>
      <c r="AJ103" s="11"/>
      <c r="AK103" s="11"/>
      <c r="AL103" s="11"/>
      <c r="AM103" s="11"/>
      <c r="AN103" s="9"/>
      <c r="AO103" s="9"/>
      <c r="AP103" s="9"/>
      <c r="AQ103" s="9"/>
      <c r="AR103" s="9"/>
      <c r="AS103" s="9"/>
      <c r="AT103" s="9"/>
      <c r="AU103" s="9"/>
      <c r="AV103" s="9"/>
      <c r="AW103" s="9"/>
      <c r="AX103" s="13"/>
    </row>
    <row r="104" spans="1:50" s="14" customFormat="1" x14ac:dyDescent="0.25">
      <c r="A104" s="11"/>
      <c r="B104" s="11"/>
      <c r="C104" s="11"/>
      <c r="D104" s="9"/>
      <c r="E104" s="9"/>
      <c r="F104" s="9"/>
      <c r="G104" s="9"/>
      <c r="H104" s="10"/>
      <c r="I104" s="9"/>
      <c r="J104" s="9"/>
      <c r="K104" s="9"/>
      <c r="L104" s="9"/>
      <c r="M104" s="10"/>
      <c r="N104" s="9"/>
      <c r="O104" s="10"/>
      <c r="P104" s="11"/>
      <c r="Q104" s="11"/>
      <c r="R104" s="11"/>
      <c r="S104" s="11"/>
      <c r="T104" s="9"/>
      <c r="U104" s="9"/>
      <c r="V104" s="9"/>
      <c r="W104" s="9"/>
      <c r="X104" s="9"/>
      <c r="Y104" s="10"/>
      <c r="Z104" s="11"/>
      <c r="AA104" s="11"/>
      <c r="AB104" s="11"/>
      <c r="AC104" s="11"/>
      <c r="AD104" s="11"/>
      <c r="AE104" s="11"/>
      <c r="AF104" s="11"/>
      <c r="AG104" s="11"/>
      <c r="AH104" s="11"/>
      <c r="AI104" s="12"/>
      <c r="AJ104" s="11"/>
      <c r="AK104" s="11"/>
      <c r="AL104" s="11"/>
      <c r="AM104" s="11"/>
      <c r="AN104" s="9"/>
      <c r="AO104" s="9"/>
      <c r="AP104" s="9"/>
      <c r="AQ104" s="9"/>
      <c r="AR104" s="9"/>
      <c r="AS104" s="9"/>
      <c r="AT104" s="9"/>
      <c r="AU104" s="9"/>
      <c r="AV104" s="9"/>
      <c r="AW104" s="9"/>
      <c r="AX104" s="13"/>
    </row>
    <row r="105" spans="1:50" s="14" customFormat="1" x14ac:dyDescent="0.25">
      <c r="A105" s="11"/>
      <c r="B105" s="11"/>
      <c r="C105" s="11"/>
      <c r="D105" s="11"/>
      <c r="E105" s="9"/>
      <c r="F105" s="9"/>
      <c r="G105" s="9"/>
      <c r="H105" s="10"/>
      <c r="I105" s="11"/>
      <c r="J105" s="9"/>
      <c r="K105" s="9"/>
      <c r="L105" s="9"/>
      <c r="M105" s="10"/>
      <c r="N105" s="9"/>
      <c r="O105" s="10"/>
      <c r="P105" s="11"/>
      <c r="Q105" s="11"/>
      <c r="R105" s="11"/>
      <c r="S105" s="11"/>
      <c r="T105" s="9"/>
      <c r="U105" s="9"/>
      <c r="V105" s="9"/>
      <c r="W105" s="9"/>
      <c r="X105" s="9"/>
      <c r="Y105" s="10"/>
      <c r="Z105" s="11"/>
      <c r="AA105" s="11"/>
      <c r="AB105" s="11"/>
      <c r="AC105" s="11"/>
      <c r="AD105" s="11"/>
      <c r="AE105" s="11"/>
      <c r="AF105" s="11"/>
      <c r="AG105" s="11"/>
      <c r="AH105" s="11"/>
      <c r="AI105" s="12"/>
      <c r="AJ105" s="11"/>
      <c r="AK105" s="11"/>
      <c r="AL105" s="11"/>
      <c r="AM105" s="11"/>
      <c r="AN105" s="9"/>
      <c r="AO105" s="9"/>
      <c r="AP105" s="9"/>
      <c r="AQ105" s="9"/>
      <c r="AR105" s="9"/>
      <c r="AS105" s="9"/>
      <c r="AT105" s="9"/>
      <c r="AU105" s="9"/>
      <c r="AV105" s="9"/>
      <c r="AW105" s="9"/>
      <c r="AX105" s="13"/>
    </row>
    <row r="106" spans="1:50" s="14" customFormat="1" x14ac:dyDescent="0.25">
      <c r="A106" s="11"/>
      <c r="B106" s="11"/>
      <c r="C106" s="11"/>
      <c r="D106" s="11"/>
      <c r="E106" s="11"/>
      <c r="F106" s="11"/>
      <c r="G106" s="11"/>
      <c r="H106" s="10"/>
      <c r="I106" s="11"/>
      <c r="J106" s="11"/>
      <c r="K106" s="11"/>
      <c r="L106" s="11"/>
      <c r="M106" s="10"/>
      <c r="N106" s="9"/>
      <c r="O106" s="10"/>
      <c r="P106" s="11"/>
      <c r="Q106" s="11"/>
      <c r="R106" s="11"/>
      <c r="S106" s="11"/>
      <c r="T106" s="9"/>
      <c r="U106" s="9"/>
      <c r="V106" s="9"/>
      <c r="W106" s="9"/>
      <c r="X106" s="9"/>
      <c r="Y106" s="10"/>
      <c r="Z106" s="11"/>
      <c r="AA106" s="11"/>
      <c r="AB106" s="11"/>
      <c r="AC106" s="11"/>
      <c r="AD106" s="11"/>
      <c r="AE106" s="11"/>
      <c r="AF106" s="11"/>
      <c r="AG106" s="11"/>
      <c r="AH106" s="11"/>
      <c r="AI106" s="12"/>
      <c r="AJ106" s="11"/>
      <c r="AK106" s="11"/>
      <c r="AL106" s="11"/>
      <c r="AM106" s="11"/>
      <c r="AN106" s="9"/>
      <c r="AO106" s="9"/>
      <c r="AP106" s="9"/>
      <c r="AQ106" s="9"/>
      <c r="AR106" s="9"/>
      <c r="AS106" s="9"/>
      <c r="AT106" s="9"/>
      <c r="AU106" s="9"/>
      <c r="AV106" s="9"/>
      <c r="AW106" s="9"/>
      <c r="AX106" s="13"/>
    </row>
    <row r="107" spans="1:50" s="14" customFormat="1" x14ac:dyDescent="0.25">
      <c r="A107" s="11"/>
      <c r="B107" s="11"/>
      <c r="C107" s="11"/>
      <c r="D107" s="11"/>
      <c r="E107" s="11"/>
      <c r="F107" s="11"/>
      <c r="G107" s="11"/>
      <c r="H107" s="10"/>
      <c r="I107" s="11"/>
      <c r="J107" s="11"/>
      <c r="K107" s="11"/>
      <c r="L107" s="11"/>
      <c r="M107" s="10"/>
      <c r="N107" s="9"/>
      <c r="O107" s="10"/>
      <c r="P107" s="11"/>
      <c r="Q107" s="11"/>
      <c r="R107" s="11"/>
      <c r="S107" s="11"/>
      <c r="T107" s="9"/>
      <c r="U107" s="9"/>
      <c r="V107" s="9"/>
      <c r="W107" s="9"/>
      <c r="X107" s="9"/>
      <c r="Y107" s="10"/>
      <c r="Z107" s="11"/>
      <c r="AA107" s="11"/>
      <c r="AB107" s="11"/>
      <c r="AC107" s="11"/>
      <c r="AD107" s="11"/>
      <c r="AE107" s="11"/>
      <c r="AF107" s="11"/>
      <c r="AG107" s="11"/>
      <c r="AH107" s="11"/>
      <c r="AI107" s="12"/>
      <c r="AJ107" s="11"/>
      <c r="AK107" s="11"/>
      <c r="AL107" s="11"/>
      <c r="AM107" s="11"/>
      <c r="AN107" s="9"/>
      <c r="AO107" s="9"/>
      <c r="AP107" s="9"/>
      <c r="AQ107" s="9"/>
      <c r="AR107" s="9"/>
      <c r="AS107" s="9"/>
      <c r="AT107" s="9"/>
      <c r="AU107" s="9"/>
      <c r="AV107" s="9"/>
      <c r="AW107" s="9"/>
      <c r="AX107" s="13"/>
    </row>
    <row r="108" spans="1:50" s="14" customFormat="1" x14ac:dyDescent="0.25">
      <c r="A108" s="11"/>
      <c r="B108" s="11"/>
      <c r="C108" s="11"/>
      <c r="D108" s="11"/>
      <c r="E108" s="11"/>
      <c r="F108" s="11"/>
      <c r="G108" s="11"/>
      <c r="H108" s="10"/>
      <c r="I108" s="11"/>
      <c r="J108" s="11"/>
      <c r="K108" s="11"/>
      <c r="L108" s="11"/>
      <c r="M108" s="10"/>
      <c r="N108" s="9"/>
      <c r="O108" s="10"/>
      <c r="P108" s="11"/>
      <c r="Q108" s="11"/>
      <c r="R108" s="11"/>
      <c r="S108" s="11"/>
      <c r="T108" s="9"/>
      <c r="U108" s="9"/>
      <c r="V108" s="9"/>
      <c r="W108" s="9"/>
      <c r="X108" s="9"/>
      <c r="Y108" s="10"/>
      <c r="Z108" s="11"/>
      <c r="AA108" s="11"/>
      <c r="AB108" s="11"/>
      <c r="AC108" s="11"/>
      <c r="AD108" s="11"/>
      <c r="AE108" s="11"/>
      <c r="AF108" s="11"/>
      <c r="AG108" s="11"/>
      <c r="AH108" s="11"/>
      <c r="AI108" s="12"/>
      <c r="AJ108" s="11"/>
      <c r="AK108" s="11"/>
      <c r="AL108" s="11"/>
      <c r="AM108" s="11"/>
      <c r="AN108" s="9"/>
      <c r="AO108" s="9"/>
      <c r="AP108" s="9"/>
      <c r="AQ108" s="9"/>
      <c r="AR108" s="9"/>
      <c r="AS108" s="9"/>
      <c r="AT108" s="9"/>
      <c r="AU108" s="9"/>
      <c r="AV108" s="9"/>
      <c r="AW108" s="9"/>
      <c r="AX108" s="13"/>
    </row>
    <row r="109" spans="1:50" s="14" customFormat="1" x14ac:dyDescent="0.25">
      <c r="A109" s="11"/>
      <c r="B109" s="11"/>
      <c r="C109" s="11"/>
      <c r="D109" s="11"/>
      <c r="E109" s="9"/>
      <c r="F109" s="9"/>
      <c r="G109" s="9"/>
      <c r="H109" s="10"/>
      <c r="I109" s="11"/>
      <c r="J109" s="9"/>
      <c r="K109" s="9"/>
      <c r="L109" s="9"/>
      <c r="M109" s="10"/>
      <c r="N109" s="9"/>
      <c r="O109" s="10"/>
      <c r="P109" s="11"/>
      <c r="Q109" s="11"/>
      <c r="R109" s="11"/>
      <c r="S109" s="11"/>
      <c r="T109" s="9"/>
      <c r="U109" s="9"/>
      <c r="V109" s="9"/>
      <c r="W109" s="9"/>
      <c r="X109" s="9"/>
      <c r="Y109" s="10"/>
      <c r="Z109" s="11"/>
      <c r="AA109" s="11"/>
      <c r="AB109" s="11"/>
      <c r="AC109" s="11"/>
      <c r="AD109" s="11"/>
      <c r="AE109" s="11"/>
      <c r="AF109" s="11"/>
      <c r="AG109" s="11"/>
      <c r="AH109" s="11"/>
      <c r="AI109" s="12"/>
      <c r="AJ109" s="11"/>
      <c r="AK109" s="11"/>
      <c r="AL109" s="11"/>
      <c r="AM109" s="11"/>
      <c r="AN109" s="9"/>
      <c r="AO109" s="9"/>
      <c r="AP109" s="9"/>
      <c r="AQ109" s="9"/>
      <c r="AR109" s="9"/>
      <c r="AS109" s="9"/>
      <c r="AT109" s="9"/>
      <c r="AU109" s="9"/>
      <c r="AV109" s="9"/>
      <c r="AW109" s="9"/>
      <c r="AX109" s="13"/>
    </row>
    <row r="110" spans="1:50" s="14" customFormat="1" x14ac:dyDescent="0.25">
      <c r="A110" s="11"/>
      <c r="B110" s="11"/>
      <c r="C110" s="11"/>
      <c r="D110" s="11"/>
      <c r="E110" s="9"/>
      <c r="F110" s="9"/>
      <c r="G110" s="9"/>
      <c r="H110" s="10"/>
      <c r="I110" s="11"/>
      <c r="J110" s="9"/>
      <c r="K110" s="9"/>
      <c r="L110" s="9"/>
      <c r="M110" s="10"/>
      <c r="N110" s="9"/>
      <c r="O110" s="10"/>
      <c r="P110" s="11"/>
      <c r="Q110" s="11"/>
      <c r="R110" s="11"/>
      <c r="S110" s="11"/>
      <c r="T110" s="9"/>
      <c r="U110" s="9"/>
      <c r="V110" s="9"/>
      <c r="W110" s="9"/>
      <c r="X110" s="9"/>
      <c r="Y110" s="10"/>
      <c r="Z110" s="11"/>
      <c r="AA110" s="11"/>
      <c r="AB110" s="11"/>
      <c r="AC110" s="11"/>
      <c r="AD110" s="11"/>
      <c r="AE110" s="11"/>
      <c r="AF110" s="11"/>
      <c r="AG110" s="11"/>
      <c r="AH110" s="11"/>
      <c r="AI110" s="12"/>
      <c r="AJ110" s="11"/>
      <c r="AK110" s="11"/>
      <c r="AL110" s="11"/>
      <c r="AM110" s="11"/>
      <c r="AN110" s="9"/>
      <c r="AO110" s="9"/>
      <c r="AP110" s="9"/>
      <c r="AQ110" s="9"/>
      <c r="AR110" s="9"/>
      <c r="AS110" s="9"/>
      <c r="AT110" s="9"/>
      <c r="AU110" s="9"/>
      <c r="AV110" s="9"/>
      <c r="AW110" s="9"/>
      <c r="AX110" s="13"/>
    </row>
    <row r="111" spans="1:50" s="14" customFormat="1" x14ac:dyDescent="0.25">
      <c r="A111" s="11"/>
      <c r="B111" s="11"/>
      <c r="C111" s="11"/>
      <c r="D111" s="11"/>
      <c r="E111" s="9"/>
      <c r="F111" s="9"/>
      <c r="G111" s="9"/>
      <c r="H111" s="10"/>
      <c r="I111" s="11"/>
      <c r="J111" s="9"/>
      <c r="K111" s="9"/>
      <c r="L111" s="9"/>
      <c r="M111" s="10"/>
      <c r="N111" s="9"/>
      <c r="O111" s="10"/>
      <c r="P111" s="11"/>
      <c r="Q111" s="11"/>
      <c r="R111" s="11"/>
      <c r="S111" s="11"/>
      <c r="T111" s="9"/>
      <c r="U111" s="9"/>
      <c r="V111" s="9"/>
      <c r="W111" s="9"/>
      <c r="X111" s="9"/>
      <c r="Y111" s="10"/>
      <c r="Z111" s="11"/>
      <c r="AA111" s="11"/>
      <c r="AB111" s="11"/>
      <c r="AC111" s="11"/>
      <c r="AD111" s="11"/>
      <c r="AE111" s="11"/>
      <c r="AF111" s="11"/>
      <c r="AG111" s="11"/>
      <c r="AH111" s="11"/>
      <c r="AI111" s="12"/>
      <c r="AJ111" s="11"/>
      <c r="AK111" s="11"/>
      <c r="AL111" s="11"/>
      <c r="AM111" s="11"/>
      <c r="AN111" s="9"/>
      <c r="AO111" s="9"/>
      <c r="AP111" s="9"/>
      <c r="AQ111" s="9"/>
      <c r="AR111" s="9"/>
      <c r="AS111" s="9"/>
      <c r="AT111" s="9"/>
      <c r="AU111" s="9"/>
      <c r="AV111" s="9"/>
      <c r="AW111" s="9"/>
      <c r="AX111" s="13"/>
    </row>
    <row r="112" spans="1:50" s="14" customFormat="1" x14ac:dyDescent="0.25">
      <c r="A112" s="11"/>
      <c r="B112" s="11"/>
      <c r="C112" s="11"/>
      <c r="D112" s="11"/>
      <c r="E112" s="9"/>
      <c r="F112" s="9"/>
      <c r="G112" s="9"/>
      <c r="H112" s="10"/>
      <c r="I112" s="11"/>
      <c r="J112" s="9"/>
      <c r="K112" s="9"/>
      <c r="L112" s="9"/>
      <c r="M112" s="10"/>
      <c r="N112" s="9"/>
      <c r="O112" s="10"/>
      <c r="P112" s="11"/>
      <c r="Q112" s="11"/>
      <c r="R112" s="11"/>
      <c r="S112" s="11"/>
      <c r="T112" s="9"/>
      <c r="U112" s="9"/>
      <c r="V112" s="9"/>
      <c r="W112" s="9"/>
      <c r="X112" s="9"/>
      <c r="Y112" s="10"/>
      <c r="Z112" s="11"/>
      <c r="AA112" s="11"/>
      <c r="AB112" s="11"/>
      <c r="AC112" s="11"/>
      <c r="AD112" s="11"/>
      <c r="AE112" s="11"/>
      <c r="AF112" s="11"/>
      <c r="AG112" s="11"/>
      <c r="AH112" s="11"/>
      <c r="AI112" s="12"/>
      <c r="AJ112" s="11"/>
      <c r="AK112" s="11"/>
      <c r="AL112" s="11"/>
      <c r="AM112" s="11"/>
      <c r="AN112" s="9"/>
      <c r="AO112" s="9"/>
      <c r="AP112" s="9"/>
      <c r="AQ112" s="9"/>
      <c r="AR112" s="9"/>
      <c r="AS112" s="9"/>
      <c r="AT112" s="9"/>
      <c r="AU112" s="9"/>
      <c r="AV112" s="9"/>
      <c r="AW112" s="9"/>
      <c r="AX112" s="13"/>
    </row>
    <row r="113" spans="1:50" s="14" customFormat="1" x14ac:dyDescent="0.25">
      <c r="A113" s="11"/>
      <c r="B113" s="11"/>
      <c r="C113" s="11"/>
      <c r="D113" s="11"/>
      <c r="E113" s="9"/>
      <c r="F113" s="9"/>
      <c r="G113" s="9"/>
      <c r="H113" s="10"/>
      <c r="I113" s="11"/>
      <c r="J113" s="9"/>
      <c r="K113" s="9"/>
      <c r="L113" s="9"/>
      <c r="M113" s="10"/>
      <c r="N113" s="9"/>
      <c r="O113" s="10"/>
      <c r="P113" s="11"/>
      <c r="Q113" s="11"/>
      <c r="R113" s="11"/>
      <c r="S113" s="11"/>
      <c r="T113" s="9"/>
      <c r="U113" s="9"/>
      <c r="V113" s="9"/>
      <c r="W113" s="9"/>
      <c r="X113" s="9"/>
      <c r="Y113" s="10"/>
      <c r="Z113" s="11"/>
      <c r="AA113" s="11"/>
      <c r="AB113" s="11"/>
      <c r="AC113" s="11"/>
      <c r="AD113" s="11"/>
      <c r="AE113" s="11"/>
      <c r="AF113" s="11"/>
      <c r="AG113" s="11"/>
      <c r="AH113" s="11"/>
      <c r="AI113" s="12"/>
      <c r="AJ113" s="11"/>
      <c r="AK113" s="11"/>
      <c r="AL113" s="11"/>
      <c r="AM113" s="11"/>
      <c r="AN113" s="9"/>
      <c r="AO113" s="9"/>
      <c r="AP113" s="9"/>
      <c r="AQ113" s="9"/>
      <c r="AR113" s="9"/>
      <c r="AS113" s="9"/>
      <c r="AT113" s="9"/>
      <c r="AU113" s="9"/>
      <c r="AV113" s="9"/>
      <c r="AW113" s="9"/>
      <c r="AX113" s="13"/>
    </row>
    <row r="114" spans="1:50" s="14" customFormat="1" x14ac:dyDescent="0.25">
      <c r="A114" s="11"/>
      <c r="B114" s="11"/>
      <c r="C114" s="11"/>
      <c r="D114" s="11"/>
      <c r="E114" s="9"/>
      <c r="F114" s="9"/>
      <c r="G114" s="9"/>
      <c r="H114" s="10"/>
      <c r="I114" s="11"/>
      <c r="J114" s="9"/>
      <c r="K114" s="9"/>
      <c r="L114" s="9"/>
      <c r="M114" s="10"/>
      <c r="N114" s="9"/>
      <c r="O114" s="10"/>
      <c r="P114" s="11"/>
      <c r="Q114" s="11"/>
      <c r="R114" s="11"/>
      <c r="S114" s="11"/>
      <c r="T114" s="9"/>
      <c r="U114" s="9"/>
      <c r="V114" s="9"/>
      <c r="W114" s="9"/>
      <c r="X114" s="9"/>
      <c r="Y114" s="10"/>
      <c r="Z114" s="11"/>
      <c r="AA114" s="11"/>
      <c r="AB114" s="11"/>
      <c r="AC114" s="11"/>
      <c r="AD114" s="11"/>
      <c r="AE114" s="11"/>
      <c r="AF114" s="11"/>
      <c r="AG114" s="11"/>
      <c r="AH114" s="11"/>
      <c r="AI114" s="12"/>
      <c r="AJ114" s="11"/>
      <c r="AK114" s="11"/>
      <c r="AL114" s="11"/>
      <c r="AM114" s="11"/>
      <c r="AN114" s="9"/>
      <c r="AO114" s="9"/>
      <c r="AP114" s="9"/>
      <c r="AQ114" s="9"/>
      <c r="AR114" s="9"/>
      <c r="AS114" s="9"/>
      <c r="AT114" s="9"/>
      <c r="AU114" s="9"/>
      <c r="AV114" s="9"/>
      <c r="AW114" s="9"/>
      <c r="AX114" s="13"/>
    </row>
    <row r="115" spans="1:50" s="14" customFormat="1" x14ac:dyDescent="0.25">
      <c r="A115" s="11"/>
      <c r="B115" s="11"/>
      <c r="C115" s="11"/>
      <c r="D115" s="9"/>
      <c r="E115" s="9"/>
      <c r="F115" s="9"/>
      <c r="G115" s="9"/>
      <c r="H115" s="10"/>
      <c r="I115" s="9"/>
      <c r="J115" s="9"/>
      <c r="K115" s="9"/>
      <c r="L115" s="9"/>
      <c r="M115" s="10"/>
      <c r="N115" s="9"/>
      <c r="O115" s="10"/>
      <c r="P115" s="11"/>
      <c r="Q115" s="11"/>
      <c r="R115" s="11"/>
      <c r="S115" s="11"/>
      <c r="T115" s="9"/>
      <c r="U115" s="9"/>
      <c r="V115" s="9"/>
      <c r="W115" s="9"/>
      <c r="X115" s="9"/>
      <c r="Y115" s="10"/>
      <c r="Z115" s="11"/>
      <c r="AA115" s="11"/>
      <c r="AB115" s="11"/>
      <c r="AC115" s="11"/>
      <c r="AD115" s="11"/>
      <c r="AE115" s="11"/>
      <c r="AF115" s="11"/>
      <c r="AG115" s="11"/>
      <c r="AH115" s="11"/>
      <c r="AI115" s="12"/>
      <c r="AJ115" s="11"/>
      <c r="AK115" s="11"/>
      <c r="AL115" s="11"/>
      <c r="AM115" s="11"/>
      <c r="AN115" s="9"/>
      <c r="AO115" s="9"/>
      <c r="AP115" s="9"/>
      <c r="AQ115" s="9"/>
      <c r="AR115" s="9"/>
      <c r="AS115" s="9"/>
      <c r="AT115" s="9"/>
      <c r="AU115" s="9"/>
      <c r="AV115" s="9"/>
      <c r="AW115" s="9"/>
      <c r="AX115" s="13"/>
    </row>
    <row r="116" spans="1:50" s="14" customFormat="1" x14ac:dyDescent="0.25">
      <c r="A116" s="11"/>
      <c r="B116" s="11"/>
      <c r="C116" s="11"/>
      <c r="D116" s="11"/>
      <c r="E116" s="11"/>
      <c r="F116" s="11"/>
      <c r="G116" s="11"/>
      <c r="H116" s="10"/>
      <c r="I116" s="11"/>
      <c r="J116" s="11"/>
      <c r="K116" s="11"/>
      <c r="L116" s="11"/>
      <c r="M116" s="10"/>
      <c r="N116" s="9"/>
      <c r="O116" s="10"/>
      <c r="P116" s="11"/>
      <c r="Q116" s="11"/>
      <c r="R116" s="11"/>
      <c r="S116" s="11"/>
      <c r="T116" s="9"/>
      <c r="U116" s="9"/>
      <c r="V116" s="9"/>
      <c r="W116" s="9"/>
      <c r="X116" s="9"/>
      <c r="Y116" s="10"/>
      <c r="Z116" s="11"/>
      <c r="AA116" s="11"/>
      <c r="AB116" s="11"/>
      <c r="AC116" s="11"/>
      <c r="AD116" s="11"/>
      <c r="AE116" s="11"/>
      <c r="AF116" s="11"/>
      <c r="AG116" s="11"/>
      <c r="AH116" s="11"/>
      <c r="AI116" s="12"/>
      <c r="AJ116" s="11"/>
      <c r="AK116" s="11"/>
      <c r="AL116" s="11"/>
      <c r="AM116" s="11"/>
      <c r="AN116" s="9"/>
      <c r="AO116" s="9"/>
      <c r="AP116" s="9"/>
      <c r="AQ116" s="9"/>
      <c r="AR116" s="9"/>
      <c r="AS116" s="9"/>
      <c r="AT116" s="9"/>
      <c r="AU116" s="9"/>
      <c r="AV116" s="9"/>
      <c r="AW116" s="9"/>
      <c r="AX116" s="13"/>
    </row>
    <row r="117" spans="1:50" s="14" customFormat="1" x14ac:dyDescent="0.25">
      <c r="A117" s="11"/>
      <c r="B117" s="11"/>
      <c r="C117" s="11"/>
      <c r="D117" s="11"/>
      <c r="E117" s="11"/>
      <c r="F117" s="11"/>
      <c r="G117" s="11"/>
      <c r="H117" s="10"/>
      <c r="I117" s="11"/>
      <c r="J117" s="11"/>
      <c r="K117" s="11"/>
      <c r="L117" s="11"/>
      <c r="M117" s="10"/>
      <c r="N117" s="9"/>
      <c r="O117" s="10"/>
      <c r="P117" s="11"/>
      <c r="Q117" s="11"/>
      <c r="R117" s="11"/>
      <c r="S117" s="11"/>
      <c r="T117" s="9"/>
      <c r="U117" s="9"/>
      <c r="V117" s="9"/>
      <c r="W117" s="9"/>
      <c r="X117" s="9"/>
      <c r="Y117" s="10"/>
      <c r="Z117" s="11"/>
      <c r="AA117" s="11"/>
      <c r="AB117" s="11"/>
      <c r="AC117" s="11"/>
      <c r="AD117" s="11"/>
      <c r="AE117" s="11"/>
      <c r="AF117" s="11"/>
      <c r="AG117" s="11"/>
      <c r="AH117" s="11"/>
      <c r="AI117" s="12"/>
      <c r="AJ117" s="11"/>
      <c r="AK117" s="11"/>
      <c r="AL117" s="11"/>
      <c r="AM117" s="11"/>
      <c r="AN117" s="9"/>
      <c r="AO117" s="9"/>
      <c r="AP117" s="9"/>
      <c r="AQ117" s="9"/>
      <c r="AR117" s="9"/>
      <c r="AS117" s="9"/>
      <c r="AT117" s="9"/>
      <c r="AU117" s="9"/>
      <c r="AV117" s="9"/>
      <c r="AW117" s="9"/>
      <c r="AX117" s="13"/>
    </row>
    <row r="118" spans="1:50" s="14" customFormat="1" x14ac:dyDescent="0.25">
      <c r="A118" s="11"/>
      <c r="B118" s="11"/>
      <c r="C118" s="11"/>
      <c r="D118" s="11"/>
      <c r="E118" s="9"/>
      <c r="F118" s="9"/>
      <c r="G118" s="9"/>
      <c r="H118" s="10"/>
      <c r="I118" s="11"/>
      <c r="J118" s="9"/>
      <c r="K118" s="9"/>
      <c r="L118" s="9"/>
      <c r="M118" s="10"/>
      <c r="N118" s="9"/>
      <c r="O118" s="10"/>
      <c r="P118" s="11"/>
      <c r="Q118" s="11"/>
      <c r="R118" s="11"/>
      <c r="S118" s="11"/>
      <c r="T118" s="9"/>
      <c r="U118" s="9"/>
      <c r="V118" s="9"/>
      <c r="W118" s="9"/>
      <c r="X118" s="9"/>
      <c r="Y118" s="10"/>
      <c r="Z118" s="11"/>
      <c r="AA118" s="11"/>
      <c r="AB118" s="11"/>
      <c r="AC118" s="11"/>
      <c r="AD118" s="11"/>
      <c r="AE118" s="11"/>
      <c r="AF118" s="11"/>
      <c r="AG118" s="11"/>
      <c r="AH118" s="11"/>
      <c r="AI118" s="12"/>
      <c r="AJ118" s="11"/>
      <c r="AK118" s="11"/>
      <c r="AL118" s="11"/>
      <c r="AM118" s="11"/>
      <c r="AN118" s="9"/>
      <c r="AO118" s="9"/>
      <c r="AP118" s="9"/>
      <c r="AQ118" s="9"/>
      <c r="AR118" s="9"/>
      <c r="AS118" s="9"/>
      <c r="AT118" s="9"/>
      <c r="AU118" s="9"/>
      <c r="AV118" s="9"/>
      <c r="AW118" s="9"/>
      <c r="AX118" s="13"/>
    </row>
    <row r="119" spans="1:50" s="14" customFormat="1" x14ac:dyDescent="0.25">
      <c r="A119" s="11"/>
      <c r="B119" s="11"/>
      <c r="C119" s="11"/>
      <c r="D119" s="11"/>
      <c r="E119" s="11"/>
      <c r="F119" s="11"/>
      <c r="G119" s="11"/>
      <c r="H119" s="10"/>
      <c r="I119" s="11"/>
      <c r="J119" s="11"/>
      <c r="K119" s="11"/>
      <c r="L119" s="11"/>
      <c r="M119" s="10"/>
      <c r="N119" s="9"/>
      <c r="O119" s="10"/>
      <c r="P119" s="11"/>
      <c r="Q119" s="11"/>
      <c r="R119" s="11"/>
      <c r="S119" s="11"/>
      <c r="T119" s="9"/>
      <c r="U119" s="9"/>
      <c r="V119" s="9"/>
      <c r="W119" s="9"/>
      <c r="X119" s="9"/>
      <c r="Y119" s="10"/>
      <c r="Z119" s="11"/>
      <c r="AA119" s="11"/>
      <c r="AB119" s="11"/>
      <c r="AC119" s="11"/>
      <c r="AD119" s="11"/>
      <c r="AE119" s="11"/>
      <c r="AF119" s="11"/>
      <c r="AG119" s="11"/>
      <c r="AH119" s="11"/>
      <c r="AI119" s="12"/>
      <c r="AJ119" s="11"/>
      <c r="AK119" s="11"/>
      <c r="AL119" s="11"/>
      <c r="AM119" s="11"/>
      <c r="AN119" s="9"/>
      <c r="AO119" s="9"/>
      <c r="AP119" s="9"/>
      <c r="AQ119" s="9"/>
      <c r="AR119" s="9"/>
      <c r="AS119" s="9"/>
      <c r="AT119" s="9"/>
      <c r="AU119" s="9"/>
      <c r="AV119" s="9"/>
      <c r="AW119" s="9"/>
      <c r="AX119" s="13"/>
    </row>
    <row r="120" spans="1:50" s="14" customFormat="1" x14ac:dyDescent="0.25">
      <c r="A120" s="11"/>
      <c r="B120" s="11"/>
      <c r="C120" s="11"/>
      <c r="D120" s="9"/>
      <c r="E120" s="9"/>
      <c r="F120" s="9"/>
      <c r="G120" s="9"/>
      <c r="H120" s="10"/>
      <c r="I120" s="9"/>
      <c r="J120" s="9"/>
      <c r="K120" s="9"/>
      <c r="L120" s="9"/>
      <c r="M120" s="10"/>
      <c r="N120" s="9"/>
      <c r="O120" s="10"/>
      <c r="P120" s="11"/>
      <c r="Q120" s="11"/>
      <c r="R120" s="11"/>
      <c r="S120" s="11"/>
      <c r="T120" s="9"/>
      <c r="U120" s="9"/>
      <c r="V120" s="9"/>
      <c r="W120" s="9"/>
      <c r="X120" s="9"/>
      <c r="Y120" s="10"/>
      <c r="Z120" s="11"/>
      <c r="AA120" s="11"/>
      <c r="AB120" s="11"/>
      <c r="AC120" s="11"/>
      <c r="AD120" s="11"/>
      <c r="AE120" s="11"/>
      <c r="AF120" s="11"/>
      <c r="AG120" s="11"/>
      <c r="AH120" s="11"/>
      <c r="AI120" s="12"/>
      <c r="AJ120" s="11"/>
      <c r="AK120" s="11"/>
      <c r="AL120" s="11"/>
      <c r="AM120" s="11"/>
      <c r="AN120" s="9"/>
      <c r="AO120" s="9"/>
      <c r="AP120" s="9"/>
      <c r="AQ120" s="9"/>
      <c r="AR120" s="9"/>
      <c r="AS120" s="9"/>
      <c r="AT120" s="9"/>
      <c r="AU120" s="9"/>
      <c r="AV120" s="9"/>
      <c r="AW120" s="9"/>
      <c r="AX120" s="13"/>
    </row>
    <row r="121" spans="1:50" s="14" customFormat="1" x14ac:dyDescent="0.25">
      <c r="A121" s="11"/>
      <c r="B121" s="11"/>
      <c r="C121" s="11"/>
      <c r="D121" s="11"/>
      <c r="E121" s="11"/>
      <c r="F121" s="11"/>
      <c r="G121" s="11"/>
      <c r="H121" s="10"/>
      <c r="I121" s="11"/>
      <c r="J121" s="11"/>
      <c r="K121" s="11"/>
      <c r="L121" s="11"/>
      <c r="M121" s="10"/>
      <c r="N121" s="9"/>
      <c r="O121" s="10"/>
      <c r="P121" s="11"/>
      <c r="Q121" s="11"/>
      <c r="R121" s="11"/>
      <c r="S121" s="11"/>
      <c r="T121" s="9"/>
      <c r="U121" s="9"/>
      <c r="V121" s="9"/>
      <c r="W121" s="9"/>
      <c r="X121" s="9"/>
      <c r="Y121" s="10"/>
      <c r="Z121" s="11"/>
      <c r="AA121" s="11"/>
      <c r="AB121" s="11"/>
      <c r="AC121" s="11"/>
      <c r="AD121" s="11"/>
      <c r="AE121" s="11"/>
      <c r="AF121" s="11"/>
      <c r="AG121" s="11"/>
      <c r="AH121" s="11"/>
      <c r="AI121" s="12"/>
      <c r="AJ121" s="11"/>
      <c r="AK121" s="11"/>
      <c r="AL121" s="11"/>
      <c r="AM121" s="11"/>
      <c r="AN121" s="9"/>
      <c r="AO121" s="9"/>
      <c r="AP121" s="9"/>
      <c r="AQ121" s="9"/>
      <c r="AR121" s="9"/>
      <c r="AS121" s="9"/>
      <c r="AT121" s="9"/>
      <c r="AU121" s="9"/>
      <c r="AV121" s="9"/>
      <c r="AW121" s="9"/>
      <c r="AX121" s="13"/>
    </row>
    <row r="122" spans="1:50" s="14" customFormat="1" x14ac:dyDescent="0.25">
      <c r="A122" s="11"/>
      <c r="B122" s="11"/>
      <c r="C122" s="11"/>
      <c r="D122" s="9"/>
      <c r="E122" s="9"/>
      <c r="F122" s="9"/>
      <c r="G122" s="9"/>
      <c r="H122" s="10"/>
      <c r="I122" s="9"/>
      <c r="J122" s="9"/>
      <c r="K122" s="9"/>
      <c r="L122" s="9"/>
      <c r="M122" s="10"/>
      <c r="N122" s="9"/>
      <c r="O122" s="10"/>
      <c r="P122" s="11"/>
      <c r="Q122" s="11"/>
      <c r="R122" s="11"/>
      <c r="S122" s="11"/>
      <c r="T122" s="9"/>
      <c r="U122" s="9"/>
      <c r="V122" s="9"/>
      <c r="W122" s="9"/>
      <c r="X122" s="9"/>
      <c r="Y122" s="10"/>
      <c r="Z122" s="11"/>
      <c r="AA122" s="11"/>
      <c r="AB122" s="11"/>
      <c r="AC122" s="11"/>
      <c r="AD122" s="11"/>
      <c r="AE122" s="11"/>
      <c r="AF122" s="11"/>
      <c r="AG122" s="11"/>
      <c r="AH122" s="11"/>
      <c r="AI122" s="12"/>
      <c r="AJ122" s="11"/>
      <c r="AK122" s="11"/>
      <c r="AL122" s="11"/>
      <c r="AM122" s="11"/>
      <c r="AN122" s="9"/>
      <c r="AO122" s="9"/>
      <c r="AP122" s="9"/>
      <c r="AQ122" s="9"/>
      <c r="AR122" s="9"/>
      <c r="AS122" s="9"/>
      <c r="AT122" s="9"/>
      <c r="AU122" s="9"/>
      <c r="AV122" s="9"/>
      <c r="AW122" s="9"/>
      <c r="AX122" s="13"/>
    </row>
    <row r="123" spans="1:50" s="14" customFormat="1" x14ac:dyDescent="0.25">
      <c r="A123" s="11"/>
      <c r="B123" s="11"/>
      <c r="C123" s="11"/>
      <c r="D123" s="11"/>
      <c r="E123" s="11"/>
      <c r="F123" s="11"/>
      <c r="G123" s="11"/>
      <c r="H123" s="10"/>
      <c r="I123" s="11"/>
      <c r="J123" s="11"/>
      <c r="K123" s="11"/>
      <c r="L123" s="11"/>
      <c r="M123" s="10"/>
      <c r="N123" s="9"/>
      <c r="O123" s="10"/>
      <c r="P123" s="11"/>
      <c r="Q123" s="11"/>
      <c r="R123" s="11"/>
      <c r="S123" s="11"/>
      <c r="T123" s="9"/>
      <c r="U123" s="9"/>
      <c r="V123" s="9"/>
      <c r="W123" s="9"/>
      <c r="X123" s="9"/>
      <c r="Y123" s="10"/>
      <c r="Z123" s="11"/>
      <c r="AA123" s="11"/>
      <c r="AB123" s="11"/>
      <c r="AC123" s="11"/>
      <c r="AD123" s="11"/>
      <c r="AE123" s="11"/>
      <c r="AF123" s="11"/>
      <c r="AG123" s="11"/>
      <c r="AH123" s="11"/>
      <c r="AI123" s="12"/>
      <c r="AJ123" s="11"/>
      <c r="AK123" s="11"/>
      <c r="AL123" s="11"/>
      <c r="AM123" s="11"/>
      <c r="AN123" s="9"/>
      <c r="AO123" s="9"/>
      <c r="AP123" s="9"/>
      <c r="AQ123" s="9"/>
      <c r="AR123" s="9"/>
      <c r="AS123" s="9"/>
      <c r="AT123" s="9"/>
      <c r="AU123" s="9"/>
      <c r="AV123" s="9"/>
      <c r="AW123" s="9"/>
      <c r="AX123" s="13"/>
    </row>
    <row r="124" spans="1:50" s="14" customFormat="1" x14ac:dyDescent="0.25">
      <c r="A124" s="11"/>
      <c r="B124" s="11"/>
      <c r="C124" s="11"/>
      <c r="D124" s="11"/>
      <c r="E124" s="11"/>
      <c r="F124" s="11"/>
      <c r="G124" s="11"/>
      <c r="H124" s="10"/>
      <c r="I124" s="11"/>
      <c r="J124" s="11"/>
      <c r="K124" s="11"/>
      <c r="L124" s="11"/>
      <c r="M124" s="10"/>
      <c r="N124" s="9"/>
      <c r="O124" s="10"/>
      <c r="P124" s="11"/>
      <c r="Q124" s="11"/>
      <c r="R124" s="11"/>
      <c r="S124" s="11"/>
      <c r="T124" s="9"/>
      <c r="U124" s="9"/>
      <c r="V124" s="9"/>
      <c r="W124" s="9"/>
      <c r="X124" s="9"/>
      <c r="Y124" s="10"/>
      <c r="Z124" s="11"/>
      <c r="AA124" s="11"/>
      <c r="AB124" s="11"/>
      <c r="AC124" s="11"/>
      <c r="AD124" s="11"/>
      <c r="AE124" s="11"/>
      <c r="AF124" s="11"/>
      <c r="AG124" s="11"/>
      <c r="AH124" s="11"/>
      <c r="AI124" s="12"/>
      <c r="AJ124" s="11"/>
      <c r="AK124" s="11"/>
      <c r="AL124" s="11"/>
      <c r="AM124" s="11"/>
      <c r="AN124" s="9"/>
      <c r="AO124" s="9"/>
      <c r="AP124" s="9"/>
      <c r="AQ124" s="9"/>
      <c r="AR124" s="9"/>
      <c r="AS124" s="9"/>
      <c r="AT124" s="9"/>
      <c r="AU124" s="9"/>
      <c r="AV124" s="9"/>
      <c r="AW124" s="9"/>
      <c r="AX124" s="13"/>
    </row>
    <row r="125" spans="1:50" s="14" customFormat="1" x14ac:dyDescent="0.25">
      <c r="A125" s="11"/>
      <c r="B125" s="11"/>
      <c r="C125" s="11"/>
      <c r="D125" s="11"/>
      <c r="E125" s="11"/>
      <c r="F125" s="11"/>
      <c r="G125" s="11"/>
      <c r="H125" s="10"/>
      <c r="I125" s="11"/>
      <c r="J125" s="11"/>
      <c r="K125" s="11"/>
      <c r="L125" s="11"/>
      <c r="M125" s="10"/>
      <c r="N125" s="9"/>
      <c r="O125" s="10"/>
      <c r="P125" s="11"/>
      <c r="Q125" s="11"/>
      <c r="R125" s="11"/>
      <c r="S125" s="11"/>
      <c r="T125" s="9"/>
      <c r="U125" s="9"/>
      <c r="V125" s="9"/>
      <c r="W125" s="9"/>
      <c r="X125" s="9"/>
      <c r="Y125" s="10"/>
      <c r="Z125" s="11"/>
      <c r="AA125" s="11"/>
      <c r="AB125" s="11"/>
      <c r="AC125" s="11"/>
      <c r="AD125" s="11"/>
      <c r="AE125" s="11"/>
      <c r="AF125" s="11"/>
      <c r="AG125" s="11"/>
      <c r="AH125" s="11"/>
      <c r="AI125" s="12"/>
      <c r="AJ125" s="11"/>
      <c r="AK125" s="11"/>
      <c r="AL125" s="11"/>
      <c r="AM125" s="11"/>
      <c r="AN125" s="9"/>
      <c r="AO125" s="9"/>
      <c r="AP125" s="9"/>
      <c r="AQ125" s="9"/>
      <c r="AR125" s="9"/>
      <c r="AS125" s="9"/>
      <c r="AT125" s="9"/>
      <c r="AU125" s="9"/>
      <c r="AV125" s="9"/>
      <c r="AW125" s="9"/>
      <c r="AX125" s="13"/>
    </row>
    <row r="126" spans="1:50" s="14" customFormat="1" x14ac:dyDescent="0.25">
      <c r="A126" s="11"/>
      <c r="B126" s="11"/>
      <c r="C126" s="11"/>
      <c r="D126" s="11"/>
      <c r="E126" s="11"/>
      <c r="F126" s="11"/>
      <c r="G126" s="11"/>
      <c r="H126" s="10"/>
      <c r="I126" s="11"/>
      <c r="J126" s="11"/>
      <c r="K126" s="11"/>
      <c r="L126" s="11"/>
      <c r="M126" s="10"/>
      <c r="N126" s="9"/>
      <c r="O126" s="10"/>
      <c r="P126" s="11"/>
      <c r="Q126" s="11"/>
      <c r="R126" s="11"/>
      <c r="S126" s="11"/>
      <c r="T126" s="9"/>
      <c r="U126" s="9"/>
      <c r="V126" s="9"/>
      <c r="W126" s="9"/>
      <c r="X126" s="9"/>
      <c r="Y126" s="10"/>
      <c r="Z126" s="11"/>
      <c r="AA126" s="11"/>
      <c r="AB126" s="11"/>
      <c r="AC126" s="11"/>
      <c r="AD126" s="11"/>
      <c r="AE126" s="11"/>
      <c r="AF126" s="11"/>
      <c r="AG126" s="11"/>
      <c r="AH126" s="11"/>
      <c r="AI126" s="12"/>
      <c r="AJ126" s="11"/>
      <c r="AK126" s="11"/>
      <c r="AL126" s="11"/>
      <c r="AM126" s="11"/>
      <c r="AN126" s="9"/>
      <c r="AO126" s="9"/>
      <c r="AP126" s="9"/>
      <c r="AQ126" s="9"/>
      <c r="AR126" s="9"/>
      <c r="AS126" s="9"/>
      <c r="AT126" s="9"/>
      <c r="AU126" s="9"/>
      <c r="AV126" s="9"/>
      <c r="AW126" s="9"/>
      <c r="AX126" s="13"/>
    </row>
    <row r="127" spans="1:50" s="14" customFormat="1" x14ac:dyDescent="0.25">
      <c r="A127" s="11"/>
      <c r="B127" s="11"/>
      <c r="C127" s="11"/>
      <c r="D127" s="11"/>
      <c r="E127" s="11"/>
      <c r="F127" s="11"/>
      <c r="G127" s="11"/>
      <c r="H127" s="10"/>
      <c r="I127" s="11"/>
      <c r="J127" s="11"/>
      <c r="K127" s="11"/>
      <c r="L127" s="11"/>
      <c r="M127" s="10"/>
      <c r="N127" s="9"/>
      <c r="O127" s="10"/>
      <c r="P127" s="11"/>
      <c r="Q127" s="11"/>
      <c r="R127" s="11"/>
      <c r="S127" s="11"/>
      <c r="T127" s="9"/>
      <c r="U127" s="9"/>
      <c r="V127" s="9"/>
      <c r="W127" s="9"/>
      <c r="X127" s="9"/>
      <c r="Y127" s="10"/>
      <c r="Z127" s="11"/>
      <c r="AA127" s="11"/>
      <c r="AB127" s="11"/>
      <c r="AC127" s="11"/>
      <c r="AD127" s="11"/>
      <c r="AE127" s="11"/>
      <c r="AF127" s="11"/>
      <c r="AG127" s="11"/>
      <c r="AH127" s="11"/>
      <c r="AI127" s="12"/>
      <c r="AJ127" s="11"/>
      <c r="AK127" s="11"/>
      <c r="AL127" s="11"/>
      <c r="AM127" s="11"/>
      <c r="AN127" s="9"/>
      <c r="AO127" s="9"/>
      <c r="AP127" s="9"/>
      <c r="AQ127" s="9"/>
      <c r="AR127" s="9"/>
      <c r="AS127" s="9"/>
      <c r="AT127" s="9"/>
      <c r="AU127" s="9"/>
      <c r="AV127" s="9"/>
      <c r="AW127" s="9"/>
      <c r="AX127" s="13"/>
    </row>
    <row r="128" spans="1:50" s="14" customFormat="1" x14ac:dyDescent="0.25">
      <c r="A128" s="11"/>
      <c r="B128" s="11"/>
      <c r="C128" s="11"/>
      <c r="D128" s="11"/>
      <c r="E128" s="11"/>
      <c r="F128" s="11"/>
      <c r="G128" s="11"/>
      <c r="H128" s="10"/>
      <c r="I128" s="11"/>
      <c r="J128" s="11"/>
      <c r="K128" s="11"/>
      <c r="L128" s="11"/>
      <c r="M128" s="10"/>
      <c r="N128" s="9"/>
      <c r="O128" s="10"/>
      <c r="P128" s="11"/>
      <c r="Q128" s="11"/>
      <c r="R128" s="11"/>
      <c r="S128" s="11"/>
      <c r="T128" s="9"/>
      <c r="U128" s="9"/>
      <c r="V128" s="9"/>
      <c r="W128" s="9"/>
      <c r="X128" s="9"/>
      <c r="Y128" s="10"/>
      <c r="Z128" s="11"/>
      <c r="AA128" s="11"/>
      <c r="AB128" s="11"/>
      <c r="AC128" s="11"/>
      <c r="AD128" s="11"/>
      <c r="AE128" s="11"/>
      <c r="AF128" s="11"/>
      <c r="AG128" s="11"/>
      <c r="AH128" s="11"/>
      <c r="AI128" s="12"/>
      <c r="AJ128" s="11"/>
      <c r="AK128" s="11"/>
      <c r="AL128" s="11"/>
      <c r="AM128" s="11"/>
      <c r="AN128" s="9"/>
      <c r="AO128" s="9"/>
      <c r="AP128" s="9"/>
      <c r="AQ128" s="9"/>
      <c r="AR128" s="9"/>
      <c r="AS128" s="9"/>
      <c r="AT128" s="9"/>
      <c r="AU128" s="9"/>
      <c r="AV128" s="9"/>
      <c r="AW128" s="9"/>
      <c r="AX128" s="13"/>
    </row>
    <row r="129" spans="1:50" s="14" customFormat="1" x14ac:dyDescent="0.25">
      <c r="A129" s="11"/>
      <c r="B129" s="11"/>
      <c r="C129" s="11"/>
      <c r="D129" s="11"/>
      <c r="E129" s="11"/>
      <c r="F129" s="11"/>
      <c r="G129" s="11"/>
      <c r="H129" s="10"/>
      <c r="I129" s="11"/>
      <c r="J129" s="11"/>
      <c r="K129" s="11"/>
      <c r="L129" s="11"/>
      <c r="M129" s="10"/>
      <c r="N129" s="9"/>
      <c r="O129" s="10"/>
      <c r="P129" s="11"/>
      <c r="Q129" s="11"/>
      <c r="R129" s="11"/>
      <c r="S129" s="11"/>
      <c r="T129" s="9"/>
      <c r="U129" s="9"/>
      <c r="V129" s="9"/>
      <c r="W129" s="9"/>
      <c r="X129" s="9"/>
      <c r="Y129" s="10"/>
      <c r="Z129" s="11"/>
      <c r="AA129" s="11"/>
      <c r="AB129" s="11"/>
      <c r="AC129" s="11"/>
      <c r="AD129" s="11"/>
      <c r="AE129" s="11"/>
      <c r="AF129" s="11"/>
      <c r="AG129" s="11"/>
      <c r="AH129" s="11"/>
      <c r="AI129" s="12"/>
      <c r="AJ129" s="11"/>
      <c r="AK129" s="11"/>
      <c r="AL129" s="11"/>
      <c r="AM129" s="11"/>
      <c r="AN129" s="9"/>
      <c r="AO129" s="9"/>
      <c r="AP129" s="9"/>
      <c r="AQ129" s="9"/>
      <c r="AR129" s="9"/>
      <c r="AS129" s="9"/>
      <c r="AT129" s="9"/>
      <c r="AU129" s="9"/>
      <c r="AV129" s="9"/>
      <c r="AW129" s="9"/>
      <c r="AX129" s="13"/>
    </row>
    <row r="130" spans="1:50" s="14" customFormat="1" x14ac:dyDescent="0.25">
      <c r="A130" s="11"/>
      <c r="B130" s="11"/>
      <c r="C130" s="11"/>
      <c r="D130" s="11"/>
      <c r="E130" s="11"/>
      <c r="F130" s="11"/>
      <c r="G130" s="11"/>
      <c r="H130" s="10"/>
      <c r="I130" s="11"/>
      <c r="J130" s="11"/>
      <c r="K130" s="11"/>
      <c r="L130" s="11"/>
      <c r="M130" s="10"/>
      <c r="N130" s="9"/>
      <c r="O130" s="10"/>
      <c r="P130" s="11"/>
      <c r="Q130" s="11"/>
      <c r="R130" s="11"/>
      <c r="S130" s="11"/>
      <c r="T130" s="9"/>
      <c r="U130" s="9"/>
      <c r="V130" s="9"/>
      <c r="W130" s="9"/>
      <c r="X130" s="9"/>
      <c r="Y130" s="10"/>
      <c r="Z130" s="11"/>
      <c r="AA130" s="11"/>
      <c r="AB130" s="11"/>
      <c r="AC130" s="11"/>
      <c r="AD130" s="11"/>
      <c r="AE130" s="11"/>
      <c r="AF130" s="11"/>
      <c r="AG130" s="11"/>
      <c r="AH130" s="11"/>
      <c r="AI130" s="12"/>
      <c r="AJ130" s="11"/>
      <c r="AK130" s="11"/>
      <c r="AL130" s="11"/>
      <c r="AM130" s="11"/>
      <c r="AN130" s="9"/>
      <c r="AO130" s="9"/>
      <c r="AP130" s="9"/>
      <c r="AQ130" s="9"/>
      <c r="AR130" s="9"/>
      <c r="AS130" s="9"/>
      <c r="AT130" s="9"/>
      <c r="AU130" s="9"/>
      <c r="AV130" s="9"/>
      <c r="AW130" s="9"/>
      <c r="AX130" s="13"/>
    </row>
    <row r="131" spans="1:50" s="14" customFormat="1" x14ac:dyDescent="0.25">
      <c r="A131" s="11"/>
      <c r="B131" s="11"/>
      <c r="C131" s="11"/>
      <c r="D131" s="11"/>
      <c r="E131" s="11"/>
      <c r="F131" s="11"/>
      <c r="G131" s="11"/>
      <c r="H131" s="10"/>
      <c r="I131" s="11"/>
      <c r="J131" s="11"/>
      <c r="K131" s="11"/>
      <c r="L131" s="11"/>
      <c r="M131" s="10"/>
      <c r="N131" s="9"/>
      <c r="O131" s="10"/>
      <c r="P131" s="11"/>
      <c r="Q131" s="11"/>
      <c r="R131" s="11"/>
      <c r="S131" s="11"/>
      <c r="T131" s="9"/>
      <c r="U131" s="9"/>
      <c r="V131" s="9"/>
      <c r="W131" s="9"/>
      <c r="X131" s="9"/>
      <c r="Y131" s="10"/>
      <c r="Z131" s="11"/>
      <c r="AA131" s="11"/>
      <c r="AB131" s="11"/>
      <c r="AC131" s="11"/>
      <c r="AD131" s="11"/>
      <c r="AE131" s="11"/>
      <c r="AF131" s="11"/>
      <c r="AG131" s="11"/>
      <c r="AH131" s="11"/>
      <c r="AI131" s="12"/>
      <c r="AJ131" s="11"/>
      <c r="AK131" s="11"/>
      <c r="AL131" s="11"/>
      <c r="AM131" s="11"/>
      <c r="AN131" s="9"/>
      <c r="AO131" s="9"/>
      <c r="AP131" s="9"/>
      <c r="AQ131" s="9"/>
      <c r="AR131" s="9"/>
      <c r="AS131" s="9"/>
      <c r="AT131" s="9"/>
      <c r="AU131" s="9"/>
      <c r="AV131" s="9"/>
      <c r="AW131" s="9"/>
      <c r="AX131" s="13"/>
    </row>
    <row r="132" spans="1:50" s="14" customFormat="1" x14ac:dyDescent="0.25">
      <c r="A132" s="11"/>
      <c r="B132" s="11"/>
      <c r="C132" s="11"/>
      <c r="D132" s="11"/>
      <c r="E132" s="11"/>
      <c r="F132" s="11"/>
      <c r="G132" s="11"/>
      <c r="H132" s="10"/>
      <c r="I132" s="11"/>
      <c r="J132" s="11"/>
      <c r="K132" s="11"/>
      <c r="L132" s="11"/>
      <c r="M132" s="10"/>
      <c r="N132" s="9"/>
      <c r="O132" s="10"/>
      <c r="P132" s="11"/>
      <c r="Q132" s="11"/>
      <c r="R132" s="11"/>
      <c r="S132" s="11"/>
      <c r="T132" s="9"/>
      <c r="U132" s="9"/>
      <c r="V132" s="9"/>
      <c r="W132" s="9"/>
      <c r="X132" s="9"/>
      <c r="Y132" s="10"/>
      <c r="Z132" s="11"/>
      <c r="AA132" s="11"/>
      <c r="AB132" s="11"/>
      <c r="AC132" s="11"/>
      <c r="AD132" s="11"/>
      <c r="AE132" s="11"/>
      <c r="AF132" s="11"/>
      <c r="AG132" s="11"/>
      <c r="AH132" s="11"/>
      <c r="AI132" s="12"/>
      <c r="AJ132" s="11"/>
      <c r="AK132" s="11"/>
      <c r="AL132" s="11"/>
      <c r="AM132" s="11"/>
      <c r="AN132" s="9"/>
      <c r="AO132" s="9"/>
      <c r="AP132" s="9"/>
      <c r="AQ132" s="9"/>
      <c r="AR132" s="9"/>
      <c r="AS132" s="9"/>
      <c r="AT132" s="9"/>
      <c r="AU132" s="9"/>
      <c r="AV132" s="9"/>
      <c r="AW132" s="9"/>
      <c r="AX132" s="13"/>
    </row>
    <row r="133" spans="1:50" s="14" customFormat="1" x14ac:dyDescent="0.25">
      <c r="A133" s="11"/>
      <c r="B133" s="11"/>
      <c r="C133" s="11"/>
      <c r="D133" s="11"/>
      <c r="E133" s="9"/>
      <c r="F133" s="9"/>
      <c r="G133" s="9"/>
      <c r="H133" s="10"/>
      <c r="I133" s="11"/>
      <c r="J133" s="9"/>
      <c r="K133" s="9"/>
      <c r="L133" s="9"/>
      <c r="M133" s="10"/>
      <c r="N133" s="9"/>
      <c r="O133" s="10"/>
      <c r="P133" s="11"/>
      <c r="Q133" s="11"/>
      <c r="R133" s="11"/>
      <c r="S133" s="11"/>
      <c r="T133" s="9"/>
      <c r="U133" s="9"/>
      <c r="V133" s="9"/>
      <c r="W133" s="9"/>
      <c r="X133" s="9"/>
      <c r="Y133" s="10"/>
      <c r="Z133" s="11"/>
      <c r="AA133" s="11"/>
      <c r="AB133" s="11"/>
      <c r="AC133" s="11"/>
      <c r="AD133" s="11"/>
      <c r="AE133" s="11"/>
      <c r="AF133" s="11"/>
      <c r="AG133" s="11"/>
      <c r="AH133" s="11"/>
      <c r="AI133" s="12"/>
      <c r="AJ133" s="11"/>
      <c r="AK133" s="11"/>
      <c r="AL133" s="11"/>
      <c r="AM133" s="11"/>
      <c r="AN133" s="9"/>
      <c r="AO133" s="9"/>
      <c r="AP133" s="9"/>
      <c r="AQ133" s="9"/>
      <c r="AR133" s="9"/>
      <c r="AS133" s="9"/>
      <c r="AT133" s="9"/>
      <c r="AU133" s="9"/>
      <c r="AV133" s="9"/>
      <c r="AW133" s="9"/>
      <c r="AX133" s="13"/>
    </row>
    <row r="134" spans="1:50" s="14" customFormat="1" x14ac:dyDescent="0.25">
      <c r="A134" s="11"/>
      <c r="B134" s="11"/>
      <c r="C134" s="11"/>
      <c r="D134" s="11"/>
      <c r="E134" s="9"/>
      <c r="F134" s="9"/>
      <c r="G134" s="9"/>
      <c r="H134" s="10"/>
      <c r="I134" s="11"/>
      <c r="J134" s="9"/>
      <c r="K134" s="9"/>
      <c r="L134" s="9"/>
      <c r="M134" s="10"/>
      <c r="N134" s="9"/>
      <c r="O134" s="10"/>
      <c r="P134" s="11"/>
      <c r="Q134" s="11"/>
      <c r="R134" s="11"/>
      <c r="S134" s="11"/>
      <c r="T134" s="9"/>
      <c r="U134" s="9"/>
      <c r="V134" s="9"/>
      <c r="W134" s="9"/>
      <c r="X134" s="9"/>
      <c r="Y134" s="10"/>
      <c r="Z134" s="11"/>
      <c r="AA134" s="11"/>
      <c r="AB134" s="11"/>
      <c r="AC134" s="11"/>
      <c r="AD134" s="11"/>
      <c r="AE134" s="11"/>
      <c r="AF134" s="11"/>
      <c r="AG134" s="11"/>
      <c r="AH134" s="11"/>
      <c r="AI134" s="12"/>
      <c r="AJ134" s="11"/>
      <c r="AK134" s="11"/>
      <c r="AL134" s="11"/>
      <c r="AM134" s="11"/>
      <c r="AN134" s="9"/>
      <c r="AO134" s="9"/>
      <c r="AP134" s="9"/>
      <c r="AQ134" s="9"/>
      <c r="AR134" s="9"/>
      <c r="AS134" s="9"/>
      <c r="AT134" s="9"/>
      <c r="AU134" s="9"/>
      <c r="AV134" s="9"/>
      <c r="AW134" s="9"/>
      <c r="AX134" s="13"/>
    </row>
    <row r="135" spans="1:50" s="14" customFormat="1" x14ac:dyDescent="0.25">
      <c r="A135" s="11"/>
      <c r="B135" s="11"/>
      <c r="C135" s="11"/>
      <c r="D135" s="9"/>
      <c r="E135" s="9"/>
      <c r="F135" s="9"/>
      <c r="G135" s="9"/>
      <c r="H135" s="10"/>
      <c r="I135" s="9"/>
      <c r="J135" s="9"/>
      <c r="K135" s="9"/>
      <c r="L135" s="9"/>
      <c r="M135" s="10"/>
      <c r="N135" s="9"/>
      <c r="O135" s="10"/>
      <c r="P135" s="11"/>
      <c r="Q135" s="11"/>
      <c r="R135" s="11"/>
      <c r="S135" s="11"/>
      <c r="T135" s="9"/>
      <c r="U135" s="9"/>
      <c r="V135" s="9"/>
      <c r="W135" s="9"/>
      <c r="X135" s="9"/>
      <c r="Y135" s="10"/>
      <c r="Z135" s="11"/>
      <c r="AA135" s="11"/>
      <c r="AB135" s="11"/>
      <c r="AC135" s="11"/>
      <c r="AD135" s="11"/>
      <c r="AE135" s="11"/>
      <c r="AF135" s="11"/>
      <c r="AG135" s="11"/>
      <c r="AH135" s="11"/>
      <c r="AI135" s="12"/>
      <c r="AJ135" s="11"/>
      <c r="AK135" s="11"/>
      <c r="AL135" s="11"/>
      <c r="AM135" s="11"/>
      <c r="AN135" s="9"/>
      <c r="AO135" s="9"/>
      <c r="AP135" s="9"/>
      <c r="AQ135" s="9"/>
      <c r="AR135" s="9"/>
      <c r="AS135" s="9"/>
      <c r="AT135" s="9"/>
      <c r="AU135" s="9"/>
      <c r="AV135" s="9"/>
      <c r="AW135" s="9"/>
      <c r="AX135" s="13"/>
    </row>
    <row r="136" spans="1:50" s="14" customFormat="1" x14ac:dyDescent="0.25">
      <c r="A136" s="11"/>
      <c r="B136" s="11"/>
      <c r="C136" s="11"/>
      <c r="D136" s="9"/>
      <c r="E136" s="9"/>
      <c r="F136" s="9"/>
      <c r="G136" s="9"/>
      <c r="H136" s="10"/>
      <c r="I136" s="9"/>
      <c r="J136" s="9"/>
      <c r="K136" s="9"/>
      <c r="L136" s="9"/>
      <c r="M136" s="10"/>
      <c r="N136" s="9"/>
      <c r="O136" s="10"/>
      <c r="P136" s="11"/>
      <c r="Q136" s="11"/>
      <c r="R136" s="11"/>
      <c r="S136" s="11"/>
      <c r="T136" s="9"/>
      <c r="U136" s="9"/>
      <c r="V136" s="9"/>
      <c r="W136" s="9"/>
      <c r="X136" s="9"/>
      <c r="Y136" s="10"/>
      <c r="Z136" s="11"/>
      <c r="AA136" s="11"/>
      <c r="AB136" s="11"/>
      <c r="AC136" s="11"/>
      <c r="AD136" s="11"/>
      <c r="AE136" s="11"/>
      <c r="AF136" s="11"/>
      <c r="AG136" s="11"/>
      <c r="AH136" s="11"/>
      <c r="AI136" s="12"/>
      <c r="AJ136" s="11"/>
      <c r="AK136" s="11"/>
      <c r="AL136" s="11"/>
      <c r="AM136" s="11"/>
      <c r="AN136" s="9"/>
      <c r="AO136" s="9"/>
      <c r="AP136" s="9"/>
      <c r="AQ136" s="9"/>
      <c r="AR136" s="9"/>
      <c r="AS136" s="9"/>
      <c r="AT136" s="9"/>
      <c r="AU136" s="9"/>
      <c r="AV136" s="9"/>
      <c r="AW136" s="9"/>
      <c r="AX136" s="13"/>
    </row>
    <row r="137" spans="1:50" s="14" customFormat="1" x14ac:dyDescent="0.25">
      <c r="A137" s="11"/>
      <c r="B137" s="11"/>
      <c r="C137" s="11"/>
      <c r="D137" s="9"/>
      <c r="E137" s="9"/>
      <c r="F137" s="9"/>
      <c r="G137" s="9"/>
      <c r="H137" s="10"/>
      <c r="I137" s="9"/>
      <c r="J137" s="9"/>
      <c r="K137" s="9"/>
      <c r="L137" s="9"/>
      <c r="M137" s="10"/>
      <c r="N137" s="9"/>
      <c r="O137" s="10"/>
      <c r="P137" s="11"/>
      <c r="Q137" s="11"/>
      <c r="R137" s="11"/>
      <c r="S137" s="11"/>
      <c r="T137" s="9"/>
      <c r="U137" s="9"/>
      <c r="V137" s="9"/>
      <c r="W137" s="9"/>
      <c r="X137" s="9"/>
      <c r="Y137" s="10"/>
      <c r="Z137" s="11"/>
      <c r="AA137" s="11"/>
      <c r="AB137" s="11"/>
      <c r="AC137" s="11"/>
      <c r="AD137" s="11"/>
      <c r="AE137" s="11"/>
      <c r="AF137" s="11"/>
      <c r="AG137" s="11"/>
      <c r="AH137" s="11"/>
      <c r="AI137" s="12"/>
      <c r="AJ137" s="11"/>
      <c r="AK137" s="11"/>
      <c r="AL137" s="11"/>
      <c r="AM137" s="11"/>
      <c r="AN137" s="9"/>
      <c r="AO137" s="9"/>
      <c r="AP137" s="9"/>
      <c r="AQ137" s="9"/>
      <c r="AR137" s="9"/>
      <c r="AS137" s="9"/>
      <c r="AT137" s="9"/>
      <c r="AU137" s="9"/>
      <c r="AV137" s="9"/>
      <c r="AW137" s="9"/>
      <c r="AX137" s="13"/>
    </row>
    <row r="138" spans="1:50" s="14" customFormat="1" x14ac:dyDescent="0.25">
      <c r="A138" s="11"/>
      <c r="B138" s="11"/>
      <c r="C138" s="11"/>
      <c r="D138" s="9"/>
      <c r="E138" s="9"/>
      <c r="F138" s="9"/>
      <c r="G138" s="9"/>
      <c r="H138" s="10"/>
      <c r="I138" s="9"/>
      <c r="J138" s="9"/>
      <c r="K138" s="9"/>
      <c r="L138" s="9"/>
      <c r="M138" s="10"/>
      <c r="N138" s="9"/>
      <c r="O138" s="10"/>
      <c r="P138" s="11"/>
      <c r="Q138" s="11"/>
      <c r="R138" s="11"/>
      <c r="S138" s="11"/>
      <c r="T138" s="9"/>
      <c r="U138" s="9"/>
      <c r="V138" s="9"/>
      <c r="W138" s="9"/>
      <c r="X138" s="9"/>
      <c r="Y138" s="10"/>
      <c r="Z138" s="11"/>
      <c r="AA138" s="11"/>
      <c r="AB138" s="11"/>
      <c r="AC138" s="11"/>
      <c r="AD138" s="11"/>
      <c r="AE138" s="11"/>
      <c r="AF138" s="11"/>
      <c r="AG138" s="11"/>
      <c r="AH138" s="11"/>
      <c r="AI138" s="12"/>
      <c r="AJ138" s="11"/>
      <c r="AK138" s="11"/>
      <c r="AL138" s="11"/>
      <c r="AM138" s="11"/>
      <c r="AN138" s="9"/>
      <c r="AO138" s="9"/>
      <c r="AP138" s="9"/>
      <c r="AQ138" s="9"/>
      <c r="AR138" s="9"/>
      <c r="AS138" s="9"/>
      <c r="AT138" s="9"/>
      <c r="AU138" s="9"/>
      <c r="AV138" s="9"/>
      <c r="AW138" s="9"/>
      <c r="AX138" s="13"/>
    </row>
    <row r="139" spans="1:50" s="14" customFormat="1" x14ac:dyDescent="0.25">
      <c r="A139" s="11"/>
      <c r="B139" s="11"/>
      <c r="C139" s="11"/>
      <c r="D139" s="11"/>
      <c r="E139" s="9"/>
      <c r="F139" s="9"/>
      <c r="G139" s="9"/>
      <c r="H139" s="10"/>
      <c r="I139" s="11"/>
      <c r="J139" s="9"/>
      <c r="K139" s="9"/>
      <c r="L139" s="9"/>
      <c r="M139" s="10"/>
      <c r="N139" s="9"/>
      <c r="O139" s="10"/>
      <c r="P139" s="11"/>
      <c r="Q139" s="11"/>
      <c r="R139" s="11"/>
      <c r="S139" s="11"/>
      <c r="T139" s="9"/>
      <c r="U139" s="9"/>
      <c r="V139" s="9"/>
      <c r="W139" s="9"/>
      <c r="X139" s="9"/>
      <c r="Y139" s="10"/>
      <c r="Z139" s="11"/>
      <c r="AA139" s="11"/>
      <c r="AB139" s="11"/>
      <c r="AC139" s="11"/>
      <c r="AD139" s="11"/>
      <c r="AE139" s="11"/>
      <c r="AF139" s="11"/>
      <c r="AG139" s="11"/>
      <c r="AH139" s="11"/>
      <c r="AI139" s="12"/>
      <c r="AJ139" s="11"/>
      <c r="AK139" s="11"/>
      <c r="AL139" s="11"/>
      <c r="AM139" s="11"/>
      <c r="AN139" s="9"/>
      <c r="AO139" s="9"/>
      <c r="AP139" s="9"/>
      <c r="AQ139" s="9"/>
      <c r="AR139" s="9"/>
      <c r="AS139" s="9"/>
      <c r="AT139" s="9"/>
      <c r="AU139" s="9"/>
      <c r="AV139" s="9"/>
      <c r="AW139" s="9"/>
      <c r="AX139" s="13"/>
    </row>
    <row r="140" spans="1:50" s="14" customFormat="1" x14ac:dyDescent="0.25">
      <c r="A140" s="11"/>
      <c r="B140" s="11"/>
      <c r="C140" s="11"/>
      <c r="D140" s="11"/>
      <c r="E140" s="11"/>
      <c r="F140" s="11"/>
      <c r="G140" s="11"/>
      <c r="H140" s="10"/>
      <c r="I140" s="11"/>
      <c r="J140" s="11"/>
      <c r="K140" s="11"/>
      <c r="L140" s="11"/>
      <c r="M140" s="10"/>
      <c r="N140" s="9"/>
      <c r="O140" s="10"/>
      <c r="P140" s="11"/>
      <c r="Q140" s="11"/>
      <c r="R140" s="11"/>
      <c r="S140" s="11"/>
      <c r="T140" s="9"/>
      <c r="U140" s="9"/>
      <c r="V140" s="9"/>
      <c r="W140" s="9"/>
      <c r="X140" s="9"/>
      <c r="Y140" s="10"/>
      <c r="Z140" s="11"/>
      <c r="AA140" s="11"/>
      <c r="AB140" s="11"/>
      <c r="AC140" s="11"/>
      <c r="AD140" s="9"/>
      <c r="AE140" s="9"/>
      <c r="AF140" s="9"/>
      <c r="AG140" s="9"/>
      <c r="AH140" s="11"/>
      <c r="AI140" s="12"/>
      <c r="AJ140" s="11"/>
      <c r="AK140" s="11"/>
      <c r="AL140" s="11"/>
      <c r="AM140" s="11"/>
      <c r="AN140" s="9"/>
      <c r="AO140" s="9"/>
      <c r="AP140" s="9"/>
      <c r="AQ140" s="9"/>
      <c r="AR140" s="9"/>
      <c r="AS140" s="9"/>
      <c r="AT140" s="9"/>
      <c r="AU140" s="9"/>
      <c r="AV140" s="9"/>
      <c r="AW140" s="9"/>
      <c r="AX140" s="13"/>
    </row>
    <row r="141" spans="1:50" s="14" customFormat="1" x14ac:dyDescent="0.25">
      <c r="A141" s="11"/>
      <c r="B141" s="11"/>
      <c r="C141" s="11"/>
      <c r="D141" s="11"/>
      <c r="E141" s="11"/>
      <c r="F141" s="11"/>
      <c r="G141" s="11"/>
      <c r="H141" s="10"/>
      <c r="I141" s="11"/>
      <c r="J141" s="11"/>
      <c r="K141" s="11"/>
      <c r="L141" s="11"/>
      <c r="M141" s="10"/>
      <c r="N141" s="9"/>
      <c r="O141" s="10"/>
      <c r="P141" s="11"/>
      <c r="Q141" s="11"/>
      <c r="R141" s="11"/>
      <c r="S141" s="11"/>
      <c r="T141" s="9"/>
      <c r="U141" s="9"/>
      <c r="V141" s="9"/>
      <c r="W141" s="9"/>
      <c r="X141" s="9"/>
      <c r="Y141" s="10"/>
      <c r="Z141" s="11"/>
      <c r="AA141" s="11"/>
      <c r="AB141" s="11"/>
      <c r="AC141" s="11"/>
      <c r="AD141" s="11"/>
      <c r="AE141" s="9"/>
      <c r="AF141" s="9"/>
      <c r="AG141" s="9"/>
      <c r="AH141" s="11"/>
      <c r="AI141" s="12"/>
      <c r="AJ141" s="11"/>
      <c r="AK141" s="11"/>
      <c r="AL141" s="11"/>
      <c r="AM141" s="11"/>
      <c r="AN141" s="9"/>
      <c r="AO141" s="9"/>
      <c r="AP141" s="9"/>
      <c r="AQ141" s="9"/>
      <c r="AR141" s="9"/>
      <c r="AS141" s="9"/>
      <c r="AT141" s="9"/>
      <c r="AU141" s="9"/>
      <c r="AV141" s="9"/>
      <c r="AW141" s="9"/>
      <c r="AX141" s="13"/>
    </row>
    <row r="142" spans="1:50" s="14" customFormat="1" x14ac:dyDescent="0.25">
      <c r="A142" s="11"/>
      <c r="B142" s="11"/>
      <c r="C142" s="11"/>
      <c r="D142" s="11"/>
      <c r="E142" s="9"/>
      <c r="F142" s="9"/>
      <c r="G142" s="9"/>
      <c r="H142" s="10"/>
      <c r="I142" s="11"/>
      <c r="J142" s="9"/>
      <c r="K142" s="9"/>
      <c r="L142" s="9"/>
      <c r="M142" s="10"/>
      <c r="N142" s="9"/>
      <c r="O142" s="10"/>
      <c r="P142" s="11"/>
      <c r="Q142" s="11"/>
      <c r="R142" s="11"/>
      <c r="S142" s="11"/>
      <c r="T142" s="9"/>
      <c r="U142" s="9"/>
      <c r="V142" s="9"/>
      <c r="W142" s="9"/>
      <c r="X142" s="9"/>
      <c r="Y142" s="10"/>
      <c r="Z142" s="11"/>
      <c r="AA142" s="11"/>
      <c r="AB142" s="11"/>
      <c r="AC142" s="11"/>
      <c r="AD142" s="11"/>
      <c r="AE142" s="11"/>
      <c r="AF142" s="11"/>
      <c r="AG142" s="11"/>
      <c r="AH142" s="11"/>
      <c r="AI142" s="12"/>
      <c r="AJ142" s="11"/>
      <c r="AK142" s="11"/>
      <c r="AL142" s="11"/>
      <c r="AM142" s="11"/>
      <c r="AN142" s="9"/>
      <c r="AO142" s="9"/>
      <c r="AP142" s="9"/>
      <c r="AQ142" s="9"/>
      <c r="AR142" s="9"/>
      <c r="AS142" s="9"/>
      <c r="AT142" s="9"/>
      <c r="AU142" s="9"/>
      <c r="AV142" s="9"/>
      <c r="AW142" s="9"/>
      <c r="AX142" s="13"/>
    </row>
    <row r="143" spans="1:50" s="14" customFormat="1" x14ac:dyDescent="0.25">
      <c r="A143" s="11"/>
      <c r="B143" s="11"/>
      <c r="C143" s="11"/>
      <c r="D143" s="11"/>
      <c r="E143" s="9"/>
      <c r="F143" s="9"/>
      <c r="G143" s="9"/>
      <c r="H143" s="10"/>
      <c r="I143" s="11"/>
      <c r="J143" s="9"/>
      <c r="K143" s="9"/>
      <c r="L143" s="9"/>
      <c r="M143" s="10"/>
      <c r="N143" s="9"/>
      <c r="O143" s="10"/>
      <c r="P143" s="11"/>
      <c r="Q143" s="11"/>
      <c r="R143" s="11"/>
      <c r="S143" s="11"/>
      <c r="T143" s="9"/>
      <c r="U143" s="9"/>
      <c r="V143" s="9"/>
      <c r="W143" s="9"/>
      <c r="X143" s="9"/>
      <c r="Y143" s="10"/>
      <c r="Z143" s="11"/>
      <c r="AA143" s="11"/>
      <c r="AB143" s="11"/>
      <c r="AC143" s="11"/>
      <c r="AD143" s="11"/>
      <c r="AE143" s="11"/>
      <c r="AF143" s="11"/>
      <c r="AG143" s="11"/>
      <c r="AH143" s="11"/>
      <c r="AI143" s="12"/>
      <c r="AJ143" s="11"/>
      <c r="AK143" s="11"/>
      <c r="AL143" s="11"/>
      <c r="AM143" s="11"/>
      <c r="AN143" s="9"/>
      <c r="AO143" s="9"/>
      <c r="AP143" s="9"/>
      <c r="AQ143" s="9"/>
      <c r="AR143" s="9"/>
      <c r="AS143" s="9"/>
      <c r="AT143" s="9"/>
      <c r="AU143" s="9"/>
      <c r="AV143" s="9"/>
      <c r="AW143" s="9"/>
      <c r="AX143" s="13"/>
    </row>
    <row r="144" spans="1:50" s="14" customFormat="1" x14ac:dyDescent="0.25">
      <c r="A144" s="11"/>
      <c r="B144" s="11"/>
      <c r="C144" s="11"/>
      <c r="D144" s="11"/>
      <c r="E144" s="11"/>
      <c r="F144" s="11"/>
      <c r="G144" s="11"/>
      <c r="H144" s="10"/>
      <c r="I144" s="11"/>
      <c r="J144" s="11"/>
      <c r="K144" s="11"/>
      <c r="L144" s="11"/>
      <c r="M144" s="10"/>
      <c r="N144" s="9"/>
      <c r="O144" s="10"/>
      <c r="P144" s="11"/>
      <c r="Q144" s="11"/>
      <c r="R144" s="11"/>
      <c r="S144" s="11"/>
      <c r="T144" s="9"/>
      <c r="U144" s="9"/>
      <c r="V144" s="9"/>
      <c r="W144" s="9"/>
      <c r="X144" s="9"/>
      <c r="Y144" s="10"/>
      <c r="Z144" s="11"/>
      <c r="AA144" s="11"/>
      <c r="AB144" s="11"/>
      <c r="AC144" s="11"/>
      <c r="AD144" s="11"/>
      <c r="AE144" s="11"/>
      <c r="AF144" s="11"/>
      <c r="AG144" s="11"/>
      <c r="AH144" s="11"/>
      <c r="AI144" s="12"/>
      <c r="AJ144" s="11"/>
      <c r="AK144" s="11"/>
      <c r="AL144" s="11"/>
      <c r="AM144" s="11"/>
      <c r="AN144" s="9"/>
      <c r="AO144" s="9"/>
      <c r="AP144" s="9"/>
      <c r="AQ144" s="9"/>
      <c r="AR144" s="9"/>
      <c r="AS144" s="9"/>
      <c r="AT144" s="9"/>
      <c r="AU144" s="9"/>
      <c r="AV144" s="9"/>
      <c r="AW144" s="9"/>
      <c r="AX144" s="13"/>
    </row>
    <row r="145" spans="1:50" s="14" customFormat="1" x14ac:dyDescent="0.25">
      <c r="A145" s="11"/>
      <c r="B145" s="11"/>
      <c r="C145" s="11"/>
      <c r="D145" s="11"/>
      <c r="E145" s="11"/>
      <c r="F145" s="11"/>
      <c r="G145" s="11"/>
      <c r="H145" s="10"/>
      <c r="I145" s="11"/>
      <c r="J145" s="11"/>
      <c r="K145" s="11"/>
      <c r="L145" s="11"/>
      <c r="M145" s="10"/>
      <c r="N145" s="9"/>
      <c r="O145" s="10"/>
      <c r="P145" s="11"/>
      <c r="Q145" s="11"/>
      <c r="R145" s="11"/>
      <c r="S145" s="11"/>
      <c r="T145" s="9"/>
      <c r="U145" s="9"/>
      <c r="V145" s="9"/>
      <c r="W145" s="9"/>
      <c r="X145" s="9"/>
      <c r="Y145" s="10"/>
      <c r="Z145" s="11"/>
      <c r="AA145" s="11"/>
      <c r="AB145" s="11"/>
      <c r="AC145" s="11"/>
      <c r="AD145" s="11"/>
      <c r="AE145" s="11"/>
      <c r="AF145" s="11"/>
      <c r="AG145" s="11"/>
      <c r="AH145" s="11"/>
      <c r="AI145" s="12"/>
      <c r="AJ145" s="11"/>
      <c r="AK145" s="11"/>
      <c r="AL145" s="11"/>
      <c r="AM145" s="11"/>
      <c r="AN145" s="9"/>
      <c r="AO145" s="9"/>
      <c r="AP145" s="9"/>
      <c r="AQ145" s="9"/>
      <c r="AR145" s="9"/>
      <c r="AS145" s="9"/>
      <c r="AT145" s="9"/>
      <c r="AU145" s="9"/>
      <c r="AV145" s="9"/>
      <c r="AW145" s="9"/>
      <c r="AX145" s="13"/>
    </row>
    <row r="146" spans="1:50" s="14" customFormat="1" x14ac:dyDescent="0.25">
      <c r="A146" s="11"/>
      <c r="B146" s="11"/>
      <c r="C146" s="11"/>
      <c r="D146" s="11"/>
      <c r="E146" s="9"/>
      <c r="F146" s="9"/>
      <c r="G146" s="9"/>
      <c r="H146" s="10"/>
      <c r="I146" s="11"/>
      <c r="J146" s="9"/>
      <c r="K146" s="9"/>
      <c r="L146" s="9"/>
      <c r="M146" s="10"/>
      <c r="N146" s="9"/>
      <c r="O146" s="10"/>
      <c r="P146" s="11"/>
      <c r="Q146" s="11"/>
      <c r="R146" s="11"/>
      <c r="S146" s="11"/>
      <c r="T146" s="9"/>
      <c r="U146" s="9"/>
      <c r="V146" s="9"/>
      <c r="W146" s="9"/>
      <c r="X146" s="9"/>
      <c r="Y146" s="10"/>
      <c r="Z146" s="11"/>
      <c r="AA146" s="11"/>
      <c r="AB146" s="11"/>
      <c r="AC146" s="11"/>
      <c r="AD146" s="11"/>
      <c r="AE146" s="11"/>
      <c r="AF146" s="11"/>
      <c r="AG146" s="11"/>
      <c r="AH146" s="11"/>
      <c r="AI146" s="12"/>
      <c r="AJ146" s="11"/>
      <c r="AK146" s="11"/>
      <c r="AL146" s="11"/>
      <c r="AM146" s="11"/>
      <c r="AN146" s="9"/>
      <c r="AO146" s="9"/>
      <c r="AP146" s="9"/>
      <c r="AQ146" s="9"/>
      <c r="AR146" s="9"/>
      <c r="AS146" s="9"/>
      <c r="AT146" s="9"/>
      <c r="AU146" s="9"/>
      <c r="AV146" s="9"/>
      <c r="AW146" s="9"/>
      <c r="AX146" s="13"/>
    </row>
    <row r="147" spans="1:50" s="14" customFormat="1" x14ac:dyDescent="0.25">
      <c r="A147" s="11"/>
      <c r="B147" s="11"/>
      <c r="C147" s="11"/>
      <c r="D147" s="11"/>
      <c r="E147" s="11"/>
      <c r="F147" s="11"/>
      <c r="G147" s="11"/>
      <c r="H147" s="10"/>
      <c r="I147" s="11"/>
      <c r="J147" s="11"/>
      <c r="K147" s="11"/>
      <c r="L147" s="11"/>
      <c r="M147" s="10"/>
      <c r="N147" s="9"/>
      <c r="O147" s="10"/>
      <c r="P147" s="11"/>
      <c r="Q147" s="11"/>
      <c r="R147" s="11"/>
      <c r="S147" s="11"/>
      <c r="T147" s="9"/>
      <c r="U147" s="9"/>
      <c r="V147" s="9"/>
      <c r="W147" s="9"/>
      <c r="X147" s="9"/>
      <c r="Y147" s="10"/>
      <c r="Z147" s="11"/>
      <c r="AA147" s="11"/>
      <c r="AB147" s="11"/>
      <c r="AC147" s="11"/>
      <c r="AD147" s="11"/>
      <c r="AE147" s="11"/>
      <c r="AF147" s="11"/>
      <c r="AG147" s="11"/>
      <c r="AH147" s="11"/>
      <c r="AI147" s="12"/>
      <c r="AJ147" s="11"/>
      <c r="AK147" s="11"/>
      <c r="AL147" s="11"/>
      <c r="AM147" s="11"/>
      <c r="AN147" s="9"/>
      <c r="AO147" s="9"/>
      <c r="AP147" s="9"/>
      <c r="AQ147" s="9"/>
      <c r="AR147" s="9"/>
      <c r="AS147" s="9"/>
      <c r="AT147" s="9"/>
      <c r="AU147" s="9"/>
      <c r="AV147" s="9"/>
      <c r="AW147" s="9"/>
      <c r="AX147" s="13"/>
    </row>
    <row r="148" spans="1:50" s="14" customFormat="1" x14ac:dyDescent="0.25">
      <c r="A148" s="11"/>
      <c r="B148" s="11"/>
      <c r="C148" s="11"/>
      <c r="D148" s="11"/>
      <c r="E148" s="11"/>
      <c r="F148" s="11"/>
      <c r="G148" s="11"/>
      <c r="H148" s="10"/>
      <c r="I148" s="11"/>
      <c r="J148" s="11"/>
      <c r="K148" s="11"/>
      <c r="L148" s="11"/>
      <c r="M148" s="10"/>
      <c r="N148" s="9"/>
      <c r="O148" s="10"/>
      <c r="P148" s="11"/>
      <c r="Q148" s="11"/>
      <c r="R148" s="11"/>
      <c r="S148" s="11"/>
      <c r="T148" s="9"/>
      <c r="U148" s="9"/>
      <c r="V148" s="9"/>
      <c r="W148" s="9"/>
      <c r="X148" s="9"/>
      <c r="Y148" s="10"/>
      <c r="Z148" s="11"/>
      <c r="AA148" s="11"/>
      <c r="AB148" s="11"/>
      <c r="AC148" s="11"/>
      <c r="AD148" s="11"/>
      <c r="AE148" s="11"/>
      <c r="AF148" s="11"/>
      <c r="AG148" s="11"/>
      <c r="AH148" s="11"/>
      <c r="AI148" s="12"/>
      <c r="AJ148" s="11"/>
      <c r="AK148" s="11"/>
      <c r="AL148" s="11"/>
      <c r="AM148" s="11"/>
      <c r="AN148" s="9"/>
      <c r="AO148" s="9"/>
      <c r="AP148" s="9"/>
      <c r="AQ148" s="9"/>
      <c r="AR148" s="9"/>
      <c r="AS148" s="9"/>
      <c r="AT148" s="9"/>
      <c r="AU148" s="9"/>
      <c r="AV148" s="9"/>
      <c r="AW148" s="9"/>
      <c r="AX148" s="13"/>
    </row>
    <row r="149" spans="1:50" s="14" customFormat="1" x14ac:dyDescent="0.25">
      <c r="A149" s="11"/>
      <c r="B149" s="11"/>
      <c r="C149" s="11"/>
      <c r="D149" s="11"/>
      <c r="E149" s="11"/>
      <c r="F149" s="11"/>
      <c r="G149" s="11"/>
      <c r="H149" s="10"/>
      <c r="I149" s="11"/>
      <c r="J149" s="11"/>
      <c r="K149" s="11"/>
      <c r="L149" s="11"/>
      <c r="M149" s="10"/>
      <c r="N149" s="9"/>
      <c r="O149" s="10"/>
      <c r="P149" s="11"/>
      <c r="Q149" s="11"/>
      <c r="R149" s="11"/>
      <c r="S149" s="11"/>
      <c r="T149" s="9"/>
      <c r="U149" s="9"/>
      <c r="V149" s="9"/>
      <c r="W149" s="9"/>
      <c r="X149" s="9"/>
      <c r="Y149" s="10"/>
      <c r="Z149" s="11"/>
      <c r="AA149" s="11"/>
      <c r="AB149" s="11"/>
      <c r="AC149" s="11"/>
      <c r="AD149" s="9"/>
      <c r="AE149" s="9"/>
      <c r="AF149" s="9"/>
      <c r="AG149" s="9"/>
      <c r="AH149" s="11"/>
      <c r="AI149" s="10"/>
      <c r="AJ149" s="11"/>
      <c r="AK149" s="11"/>
      <c r="AL149" s="11"/>
      <c r="AM149" s="11"/>
      <c r="AN149" s="9"/>
      <c r="AO149" s="9"/>
      <c r="AP149" s="9"/>
      <c r="AQ149" s="9"/>
      <c r="AR149" s="9"/>
      <c r="AS149" s="9"/>
      <c r="AT149" s="9"/>
      <c r="AU149" s="9"/>
      <c r="AV149" s="9"/>
      <c r="AW149" s="9"/>
      <c r="AX149" s="13"/>
    </row>
    <row r="150" spans="1:50" s="14" customFormat="1" x14ac:dyDescent="0.25">
      <c r="A150" s="11"/>
      <c r="B150" s="11"/>
      <c r="C150" s="11"/>
      <c r="D150" s="11"/>
      <c r="E150" s="11"/>
      <c r="F150" s="11"/>
      <c r="G150" s="11"/>
      <c r="H150" s="10"/>
      <c r="I150" s="11"/>
      <c r="J150" s="11"/>
      <c r="K150" s="11"/>
      <c r="L150" s="11"/>
      <c r="M150" s="10"/>
      <c r="N150" s="9"/>
      <c r="O150" s="10"/>
      <c r="P150" s="11"/>
      <c r="Q150" s="11"/>
      <c r="R150" s="11"/>
      <c r="S150" s="11"/>
      <c r="T150" s="9"/>
      <c r="U150" s="9"/>
      <c r="V150" s="9"/>
      <c r="W150" s="9"/>
      <c r="X150" s="9"/>
      <c r="Y150" s="10"/>
      <c r="Z150" s="11"/>
      <c r="AA150" s="11"/>
      <c r="AB150" s="11"/>
      <c r="AC150" s="11"/>
      <c r="AD150" s="11"/>
      <c r="AE150" s="11"/>
      <c r="AF150" s="11"/>
      <c r="AG150" s="11"/>
      <c r="AH150" s="11"/>
      <c r="AI150" s="12"/>
      <c r="AJ150" s="11"/>
      <c r="AK150" s="11"/>
      <c r="AL150" s="11"/>
      <c r="AM150" s="11"/>
      <c r="AN150" s="9"/>
      <c r="AO150" s="9"/>
      <c r="AP150" s="9"/>
      <c r="AQ150" s="9"/>
      <c r="AR150" s="9"/>
      <c r="AS150" s="9"/>
      <c r="AT150" s="9"/>
      <c r="AU150" s="9"/>
      <c r="AV150" s="9"/>
      <c r="AW150" s="9"/>
      <c r="AX150" s="13"/>
    </row>
    <row r="151" spans="1:50" s="14" customFormat="1" x14ac:dyDescent="0.25">
      <c r="A151" s="11"/>
      <c r="B151" s="11"/>
      <c r="C151" s="11"/>
      <c r="D151" s="11"/>
      <c r="E151" s="11"/>
      <c r="F151" s="11"/>
      <c r="G151" s="11"/>
      <c r="H151" s="10"/>
      <c r="I151" s="11"/>
      <c r="J151" s="11"/>
      <c r="K151" s="11"/>
      <c r="L151" s="11"/>
      <c r="M151" s="10"/>
      <c r="N151" s="9"/>
      <c r="O151" s="10"/>
      <c r="P151" s="11"/>
      <c r="Q151" s="11"/>
      <c r="R151" s="11"/>
      <c r="S151" s="11"/>
      <c r="T151" s="9"/>
      <c r="U151" s="9"/>
      <c r="V151" s="9"/>
      <c r="W151" s="9"/>
      <c r="X151" s="9"/>
      <c r="Y151" s="10"/>
      <c r="Z151" s="11"/>
      <c r="AA151" s="11"/>
      <c r="AB151" s="11"/>
      <c r="AC151" s="11"/>
      <c r="AD151" s="11"/>
      <c r="AE151" s="11"/>
      <c r="AF151" s="11"/>
      <c r="AG151" s="11"/>
      <c r="AH151" s="11"/>
      <c r="AI151" s="12"/>
      <c r="AJ151" s="11"/>
      <c r="AK151" s="11"/>
      <c r="AL151" s="11"/>
      <c r="AM151" s="11"/>
      <c r="AN151" s="9"/>
      <c r="AO151" s="9"/>
      <c r="AP151" s="9"/>
      <c r="AQ151" s="9"/>
      <c r="AR151" s="9"/>
      <c r="AS151" s="9"/>
      <c r="AT151" s="9"/>
      <c r="AU151" s="9"/>
      <c r="AV151" s="9"/>
      <c r="AW151" s="9"/>
      <c r="AX151" s="13"/>
    </row>
    <row r="152" spans="1:50" s="14" customFormat="1" x14ac:dyDescent="0.25">
      <c r="A152" s="11"/>
      <c r="B152" s="11"/>
      <c r="C152" s="11"/>
      <c r="D152" s="11"/>
      <c r="E152" s="11"/>
      <c r="F152" s="11"/>
      <c r="G152" s="11"/>
      <c r="H152" s="10"/>
      <c r="I152" s="11"/>
      <c r="J152" s="11"/>
      <c r="K152" s="11"/>
      <c r="L152" s="11"/>
      <c r="M152" s="10"/>
      <c r="N152" s="9"/>
      <c r="O152" s="10"/>
      <c r="P152" s="11"/>
      <c r="Q152" s="11"/>
      <c r="R152" s="11"/>
      <c r="S152" s="11"/>
      <c r="T152" s="9"/>
      <c r="U152" s="9"/>
      <c r="V152" s="9"/>
      <c r="W152" s="9"/>
      <c r="X152" s="9"/>
      <c r="Y152" s="10"/>
      <c r="Z152" s="11"/>
      <c r="AA152" s="11"/>
      <c r="AB152" s="11"/>
      <c r="AC152" s="11"/>
      <c r="AD152" s="11"/>
      <c r="AE152" s="11"/>
      <c r="AF152" s="11"/>
      <c r="AG152" s="11"/>
      <c r="AH152" s="11"/>
      <c r="AI152" s="12"/>
      <c r="AJ152" s="11"/>
      <c r="AK152" s="11"/>
      <c r="AL152" s="11"/>
      <c r="AM152" s="11"/>
      <c r="AN152" s="9"/>
      <c r="AO152" s="9"/>
      <c r="AP152" s="9"/>
      <c r="AQ152" s="9"/>
      <c r="AR152" s="9"/>
      <c r="AS152" s="9"/>
      <c r="AT152" s="9"/>
      <c r="AU152" s="9"/>
      <c r="AV152" s="9"/>
      <c r="AW152" s="9"/>
      <c r="AX152" s="13"/>
    </row>
    <row r="153" spans="1:50" s="14" customFormat="1" x14ac:dyDescent="0.25">
      <c r="A153" s="11"/>
      <c r="B153" s="11"/>
      <c r="C153" s="11"/>
      <c r="D153" s="11"/>
      <c r="E153" s="11"/>
      <c r="F153" s="11"/>
      <c r="G153" s="11"/>
      <c r="H153" s="10"/>
      <c r="I153" s="11"/>
      <c r="J153" s="11"/>
      <c r="K153" s="11"/>
      <c r="L153" s="11"/>
      <c r="M153" s="10"/>
      <c r="N153" s="9"/>
      <c r="O153" s="10"/>
      <c r="P153" s="11"/>
      <c r="Q153" s="11"/>
      <c r="R153" s="11"/>
      <c r="S153" s="11"/>
      <c r="T153" s="9"/>
      <c r="U153" s="9"/>
      <c r="V153" s="9"/>
      <c r="W153" s="9"/>
      <c r="X153" s="9"/>
      <c r="Y153" s="10"/>
      <c r="Z153" s="11"/>
      <c r="AA153" s="11"/>
      <c r="AB153" s="11"/>
      <c r="AC153" s="11"/>
      <c r="AD153" s="11"/>
      <c r="AE153" s="11"/>
      <c r="AF153" s="11"/>
      <c r="AG153" s="11"/>
      <c r="AH153" s="11"/>
      <c r="AI153" s="12"/>
      <c r="AJ153" s="11"/>
      <c r="AK153" s="11"/>
      <c r="AL153" s="11"/>
      <c r="AM153" s="11"/>
      <c r="AN153" s="9"/>
      <c r="AO153" s="9"/>
      <c r="AP153" s="9"/>
      <c r="AQ153" s="9"/>
      <c r="AR153" s="9"/>
      <c r="AS153" s="9"/>
      <c r="AT153" s="9"/>
      <c r="AU153" s="9"/>
      <c r="AV153" s="9"/>
      <c r="AW153" s="9"/>
      <c r="AX153" s="13"/>
    </row>
    <row r="154" spans="1:50" s="14" customFormat="1" x14ac:dyDescent="0.25">
      <c r="A154" s="11"/>
      <c r="B154" s="11"/>
      <c r="C154" s="11"/>
      <c r="D154" s="11"/>
      <c r="E154" s="11"/>
      <c r="F154" s="11"/>
      <c r="G154" s="11"/>
      <c r="H154" s="10"/>
      <c r="I154" s="11"/>
      <c r="J154" s="11"/>
      <c r="K154" s="11"/>
      <c r="L154" s="11"/>
      <c r="M154" s="10"/>
      <c r="N154" s="9"/>
      <c r="O154" s="10"/>
      <c r="P154" s="11"/>
      <c r="Q154" s="11"/>
      <c r="R154" s="11"/>
      <c r="S154" s="11"/>
      <c r="T154" s="9"/>
      <c r="U154" s="9"/>
      <c r="V154" s="9"/>
      <c r="W154" s="9"/>
      <c r="X154" s="9"/>
      <c r="Y154" s="10"/>
      <c r="Z154" s="11"/>
      <c r="AA154" s="11"/>
      <c r="AB154" s="11"/>
      <c r="AC154" s="11"/>
      <c r="AD154" s="11"/>
      <c r="AE154" s="11"/>
      <c r="AF154" s="11"/>
      <c r="AG154" s="11"/>
      <c r="AH154" s="11"/>
      <c r="AI154" s="12"/>
      <c r="AJ154" s="11"/>
      <c r="AK154" s="11"/>
      <c r="AL154" s="11"/>
      <c r="AM154" s="11"/>
      <c r="AN154" s="9"/>
      <c r="AO154" s="9"/>
      <c r="AP154" s="9"/>
      <c r="AQ154" s="9"/>
      <c r="AR154" s="9"/>
      <c r="AS154" s="9"/>
      <c r="AT154" s="9"/>
      <c r="AU154" s="9"/>
      <c r="AV154" s="9"/>
      <c r="AW154" s="9"/>
      <c r="AX154" s="13"/>
    </row>
    <row r="155" spans="1:50" s="14" customFormat="1" x14ac:dyDescent="0.25">
      <c r="A155" s="11"/>
      <c r="B155" s="11"/>
      <c r="C155" s="11"/>
      <c r="D155" s="11"/>
      <c r="E155" s="11"/>
      <c r="F155" s="11"/>
      <c r="G155" s="11"/>
      <c r="H155" s="10"/>
      <c r="I155" s="11"/>
      <c r="J155" s="11"/>
      <c r="K155" s="11"/>
      <c r="L155" s="11"/>
      <c r="M155" s="10"/>
      <c r="N155" s="9"/>
      <c r="O155" s="10"/>
      <c r="P155" s="11"/>
      <c r="Q155" s="11"/>
      <c r="R155" s="11"/>
      <c r="S155" s="11"/>
      <c r="T155" s="9"/>
      <c r="U155" s="9"/>
      <c r="V155" s="9"/>
      <c r="W155" s="9"/>
      <c r="X155" s="9"/>
      <c r="Y155" s="10"/>
      <c r="Z155" s="11"/>
      <c r="AA155" s="11"/>
      <c r="AB155" s="11"/>
      <c r="AC155" s="11"/>
      <c r="AD155" s="11"/>
      <c r="AE155" s="11"/>
      <c r="AF155" s="11"/>
      <c r="AG155" s="11"/>
      <c r="AH155" s="11"/>
      <c r="AI155" s="12"/>
      <c r="AJ155" s="11"/>
      <c r="AK155" s="11"/>
      <c r="AL155" s="11"/>
      <c r="AM155" s="11"/>
      <c r="AN155" s="9"/>
      <c r="AO155" s="9"/>
      <c r="AP155" s="9"/>
      <c r="AQ155" s="9"/>
      <c r="AR155" s="9"/>
      <c r="AS155" s="9"/>
      <c r="AT155" s="9"/>
      <c r="AU155" s="9"/>
      <c r="AV155" s="9"/>
      <c r="AW155" s="9"/>
      <c r="AX155" s="13"/>
    </row>
    <row r="156" spans="1:50" s="14" customFormat="1" x14ac:dyDescent="0.25">
      <c r="A156" s="11"/>
      <c r="B156" s="11"/>
      <c r="C156" s="11"/>
      <c r="D156" s="9"/>
      <c r="E156" s="9"/>
      <c r="F156" s="9"/>
      <c r="G156" s="9"/>
      <c r="H156" s="10"/>
      <c r="I156" s="9"/>
      <c r="J156" s="9"/>
      <c r="K156" s="9"/>
      <c r="L156" s="9"/>
      <c r="M156" s="10"/>
      <c r="N156" s="9"/>
      <c r="O156" s="10"/>
      <c r="P156" s="11"/>
      <c r="Q156" s="11"/>
      <c r="R156" s="11"/>
      <c r="S156" s="11"/>
      <c r="T156" s="9"/>
      <c r="U156" s="9"/>
      <c r="V156" s="9"/>
      <c r="W156" s="9"/>
      <c r="X156" s="9"/>
      <c r="Y156" s="10"/>
      <c r="Z156" s="11"/>
      <c r="AA156" s="11"/>
      <c r="AB156" s="11"/>
      <c r="AC156" s="11"/>
      <c r="AD156" s="11"/>
      <c r="AE156" s="11"/>
      <c r="AF156" s="11"/>
      <c r="AG156" s="11"/>
      <c r="AH156" s="11"/>
      <c r="AI156" s="12"/>
      <c r="AJ156" s="11"/>
      <c r="AK156" s="11"/>
      <c r="AL156" s="11"/>
      <c r="AM156" s="11"/>
      <c r="AN156" s="9"/>
      <c r="AO156" s="9"/>
      <c r="AP156" s="9"/>
      <c r="AQ156" s="9"/>
      <c r="AR156" s="9"/>
      <c r="AS156" s="9"/>
      <c r="AT156" s="9"/>
      <c r="AU156" s="9"/>
      <c r="AV156" s="9"/>
      <c r="AW156" s="9"/>
      <c r="AX156" s="13"/>
    </row>
    <row r="157" spans="1:50" s="14" customFormat="1" x14ac:dyDescent="0.25">
      <c r="A157" s="11"/>
      <c r="B157" s="11"/>
      <c r="C157" s="11"/>
      <c r="D157" s="11"/>
      <c r="E157" s="11"/>
      <c r="F157" s="11"/>
      <c r="G157" s="11"/>
      <c r="H157" s="10"/>
      <c r="I157" s="11"/>
      <c r="J157" s="11"/>
      <c r="K157" s="11"/>
      <c r="L157" s="11"/>
      <c r="M157" s="10"/>
      <c r="N157" s="9"/>
      <c r="O157" s="10"/>
      <c r="P157" s="11"/>
      <c r="Q157" s="11"/>
      <c r="R157" s="11"/>
      <c r="S157" s="11"/>
      <c r="T157" s="9"/>
      <c r="U157" s="9"/>
      <c r="V157" s="9"/>
      <c r="W157" s="9"/>
      <c r="X157" s="9"/>
      <c r="Y157" s="10"/>
      <c r="Z157" s="11"/>
      <c r="AA157" s="11"/>
      <c r="AB157" s="11"/>
      <c r="AC157" s="11"/>
      <c r="AD157" s="9"/>
      <c r="AE157" s="9"/>
      <c r="AF157" s="9"/>
      <c r="AG157" s="9"/>
      <c r="AH157" s="11"/>
      <c r="AI157" s="10"/>
      <c r="AJ157" s="11"/>
      <c r="AK157" s="11"/>
      <c r="AL157" s="11"/>
      <c r="AM157" s="11"/>
      <c r="AN157" s="9"/>
      <c r="AO157" s="9"/>
      <c r="AP157" s="9"/>
      <c r="AQ157" s="9"/>
      <c r="AR157" s="9"/>
      <c r="AS157" s="9"/>
      <c r="AT157" s="9"/>
      <c r="AU157" s="9"/>
      <c r="AV157" s="9"/>
      <c r="AW157" s="9"/>
      <c r="AX157" s="13"/>
    </row>
    <row r="158" spans="1:50" s="14" customFormat="1" x14ac:dyDescent="0.25">
      <c r="A158" s="11"/>
      <c r="B158" s="11"/>
      <c r="C158" s="11"/>
      <c r="D158" s="9"/>
      <c r="E158" s="9"/>
      <c r="F158" s="9"/>
      <c r="G158" s="9"/>
      <c r="H158" s="10"/>
      <c r="I158" s="9"/>
      <c r="J158" s="9"/>
      <c r="K158" s="9"/>
      <c r="L158" s="9"/>
      <c r="M158" s="10"/>
      <c r="N158" s="9"/>
      <c r="O158" s="10"/>
      <c r="P158" s="11"/>
      <c r="Q158" s="11"/>
      <c r="R158" s="11"/>
      <c r="S158" s="11"/>
      <c r="T158" s="9"/>
      <c r="U158" s="9"/>
      <c r="V158" s="9"/>
      <c r="W158" s="9"/>
      <c r="X158" s="9"/>
      <c r="Y158" s="10"/>
      <c r="Z158" s="11"/>
      <c r="AA158" s="11"/>
      <c r="AB158" s="11"/>
      <c r="AC158" s="11"/>
      <c r="AD158" s="11"/>
      <c r="AE158" s="11"/>
      <c r="AF158" s="11"/>
      <c r="AG158" s="11"/>
      <c r="AH158" s="11"/>
      <c r="AI158" s="12"/>
      <c r="AJ158" s="11"/>
      <c r="AK158" s="11"/>
      <c r="AL158" s="11"/>
      <c r="AM158" s="11"/>
      <c r="AN158" s="9"/>
      <c r="AO158" s="9"/>
      <c r="AP158" s="9"/>
      <c r="AQ158" s="9"/>
      <c r="AR158" s="9"/>
      <c r="AS158" s="9"/>
      <c r="AT158" s="9"/>
      <c r="AU158" s="9"/>
      <c r="AV158" s="9"/>
      <c r="AW158" s="9"/>
      <c r="AX158" s="13"/>
    </row>
    <row r="159" spans="1:50" s="14" customFormat="1" x14ac:dyDescent="0.25">
      <c r="A159" s="11"/>
      <c r="B159" s="11"/>
      <c r="C159" s="11"/>
      <c r="D159" s="9"/>
      <c r="E159" s="9"/>
      <c r="F159" s="9"/>
      <c r="G159" s="9"/>
      <c r="H159" s="10"/>
      <c r="I159" s="9"/>
      <c r="J159" s="9"/>
      <c r="K159" s="9"/>
      <c r="L159" s="9"/>
      <c r="M159" s="10"/>
      <c r="N159" s="9"/>
      <c r="O159" s="10"/>
      <c r="P159" s="11"/>
      <c r="Q159" s="11"/>
      <c r="R159" s="11"/>
      <c r="S159" s="11"/>
      <c r="T159" s="9"/>
      <c r="U159" s="9"/>
      <c r="V159" s="9"/>
      <c r="W159" s="9"/>
      <c r="X159" s="9"/>
      <c r="Y159" s="10"/>
      <c r="Z159" s="11"/>
      <c r="AA159" s="11"/>
      <c r="AB159" s="11"/>
      <c r="AC159" s="11"/>
      <c r="AD159" s="11"/>
      <c r="AE159" s="11"/>
      <c r="AF159" s="11"/>
      <c r="AG159" s="11"/>
      <c r="AH159" s="11"/>
      <c r="AI159" s="12"/>
      <c r="AJ159" s="11"/>
      <c r="AK159" s="11"/>
      <c r="AL159" s="11"/>
      <c r="AM159" s="11"/>
      <c r="AN159" s="9"/>
      <c r="AO159" s="9"/>
      <c r="AP159" s="9"/>
      <c r="AQ159" s="9"/>
      <c r="AR159" s="9"/>
      <c r="AS159" s="9"/>
      <c r="AT159" s="9"/>
      <c r="AU159" s="9"/>
      <c r="AV159" s="9"/>
      <c r="AW159" s="9"/>
      <c r="AX159" s="13"/>
    </row>
    <row r="160" spans="1:50" s="14" customFormat="1" x14ac:dyDescent="0.25">
      <c r="A160" s="11"/>
      <c r="B160" s="11"/>
      <c r="C160" s="11"/>
      <c r="D160" s="11"/>
      <c r="E160" s="11"/>
      <c r="F160" s="11"/>
      <c r="G160" s="11"/>
      <c r="H160" s="10"/>
      <c r="I160" s="11"/>
      <c r="J160" s="11"/>
      <c r="K160" s="11"/>
      <c r="L160" s="11"/>
      <c r="M160" s="10"/>
      <c r="N160" s="9"/>
      <c r="O160" s="10"/>
      <c r="P160" s="11"/>
      <c r="Q160" s="11"/>
      <c r="R160" s="11"/>
      <c r="S160" s="11"/>
      <c r="T160" s="9"/>
      <c r="U160" s="9"/>
      <c r="V160" s="9"/>
      <c r="W160" s="9"/>
      <c r="X160" s="9"/>
      <c r="Y160" s="10"/>
      <c r="Z160" s="11"/>
      <c r="AA160" s="11"/>
      <c r="AB160" s="11"/>
      <c r="AC160" s="11"/>
      <c r="AD160" s="11"/>
      <c r="AE160" s="11"/>
      <c r="AF160" s="11"/>
      <c r="AG160" s="11"/>
      <c r="AH160" s="11"/>
      <c r="AI160" s="12"/>
      <c r="AJ160" s="11"/>
      <c r="AK160" s="11"/>
      <c r="AL160" s="11"/>
      <c r="AM160" s="11"/>
      <c r="AN160" s="9"/>
      <c r="AO160" s="9"/>
      <c r="AP160" s="9"/>
      <c r="AQ160" s="9"/>
      <c r="AR160" s="9"/>
      <c r="AS160" s="9"/>
      <c r="AT160" s="9"/>
      <c r="AU160" s="9"/>
      <c r="AV160" s="9"/>
      <c r="AW160" s="9"/>
      <c r="AX160" s="13"/>
    </row>
    <row r="161" spans="1:50" s="14" customFormat="1" x14ac:dyDescent="0.25">
      <c r="A161" s="11"/>
      <c r="B161" s="11"/>
      <c r="C161" s="11"/>
      <c r="D161" s="11"/>
      <c r="E161" s="11"/>
      <c r="F161" s="11"/>
      <c r="G161" s="11"/>
      <c r="H161" s="10"/>
      <c r="I161" s="11"/>
      <c r="J161" s="11"/>
      <c r="K161" s="11"/>
      <c r="L161" s="11"/>
      <c r="M161" s="10"/>
      <c r="N161" s="9"/>
      <c r="O161" s="10"/>
      <c r="P161" s="11"/>
      <c r="Q161" s="11"/>
      <c r="R161" s="11"/>
      <c r="S161" s="11"/>
      <c r="T161" s="9"/>
      <c r="U161" s="9"/>
      <c r="V161" s="9"/>
      <c r="W161" s="9"/>
      <c r="X161" s="9"/>
      <c r="Y161" s="10"/>
      <c r="Z161" s="11"/>
      <c r="AA161" s="11"/>
      <c r="AB161" s="11"/>
      <c r="AC161" s="11"/>
      <c r="AD161" s="11"/>
      <c r="AE161" s="11"/>
      <c r="AF161" s="11"/>
      <c r="AG161" s="11"/>
      <c r="AH161" s="11"/>
      <c r="AI161" s="12"/>
      <c r="AJ161" s="11"/>
      <c r="AK161" s="11"/>
      <c r="AL161" s="11"/>
      <c r="AM161" s="11"/>
      <c r="AN161" s="9"/>
      <c r="AO161" s="9"/>
      <c r="AP161" s="9"/>
      <c r="AQ161" s="9"/>
      <c r="AR161" s="9"/>
      <c r="AS161" s="9"/>
      <c r="AT161" s="9"/>
      <c r="AU161" s="9"/>
      <c r="AV161" s="9"/>
      <c r="AW161" s="9"/>
      <c r="AX161" s="13"/>
    </row>
    <row r="162" spans="1:50" s="14" customFormat="1" x14ac:dyDescent="0.25">
      <c r="A162" s="11"/>
      <c r="B162" s="11"/>
      <c r="C162" s="11"/>
      <c r="D162" s="11"/>
      <c r="E162" s="9"/>
      <c r="F162" s="9"/>
      <c r="G162" s="9"/>
      <c r="H162" s="10"/>
      <c r="I162" s="11"/>
      <c r="J162" s="9"/>
      <c r="K162" s="9"/>
      <c r="L162" s="9"/>
      <c r="M162" s="10"/>
      <c r="N162" s="9"/>
      <c r="O162" s="10"/>
      <c r="P162" s="11"/>
      <c r="Q162" s="11"/>
      <c r="R162" s="11"/>
      <c r="S162" s="11"/>
      <c r="T162" s="9"/>
      <c r="U162" s="9"/>
      <c r="V162" s="9"/>
      <c r="W162" s="9"/>
      <c r="X162" s="9"/>
      <c r="Y162" s="10"/>
      <c r="Z162" s="11"/>
      <c r="AA162" s="11"/>
      <c r="AB162" s="11"/>
      <c r="AC162" s="11"/>
      <c r="AD162" s="11"/>
      <c r="AE162" s="11"/>
      <c r="AF162" s="11"/>
      <c r="AG162" s="11"/>
      <c r="AH162" s="11"/>
      <c r="AI162" s="12"/>
      <c r="AJ162" s="11"/>
      <c r="AK162" s="11"/>
      <c r="AL162" s="11"/>
      <c r="AM162" s="11"/>
      <c r="AN162" s="9"/>
      <c r="AO162" s="9"/>
      <c r="AP162" s="9"/>
      <c r="AQ162" s="9"/>
      <c r="AR162" s="9"/>
      <c r="AS162" s="9"/>
      <c r="AT162" s="9"/>
      <c r="AU162" s="9"/>
      <c r="AV162" s="9"/>
      <c r="AW162" s="9"/>
      <c r="AX162" s="13"/>
    </row>
    <row r="163" spans="1:50" s="14" customFormat="1" x14ac:dyDescent="0.25">
      <c r="A163" s="11"/>
      <c r="B163" s="11"/>
      <c r="C163" s="11"/>
      <c r="D163" s="11"/>
      <c r="E163" s="11"/>
      <c r="F163" s="11"/>
      <c r="G163" s="11"/>
      <c r="H163" s="10"/>
      <c r="I163" s="11"/>
      <c r="J163" s="11"/>
      <c r="K163" s="11"/>
      <c r="L163" s="11"/>
      <c r="M163" s="10"/>
      <c r="N163" s="9"/>
      <c r="O163" s="10"/>
      <c r="P163" s="11"/>
      <c r="Q163" s="11"/>
      <c r="R163" s="11"/>
      <c r="S163" s="11"/>
      <c r="T163" s="9"/>
      <c r="U163" s="9"/>
      <c r="V163" s="9"/>
      <c r="W163" s="9"/>
      <c r="X163" s="9"/>
      <c r="Y163" s="10"/>
      <c r="Z163" s="11"/>
      <c r="AA163" s="11"/>
      <c r="AB163" s="11"/>
      <c r="AC163" s="11"/>
      <c r="AD163" s="11"/>
      <c r="AE163" s="11"/>
      <c r="AF163" s="11"/>
      <c r="AG163" s="11"/>
      <c r="AH163" s="11"/>
      <c r="AI163" s="12"/>
      <c r="AJ163" s="11"/>
      <c r="AK163" s="11"/>
      <c r="AL163" s="11"/>
      <c r="AM163" s="11"/>
      <c r="AN163" s="9"/>
      <c r="AO163" s="9"/>
      <c r="AP163" s="9"/>
      <c r="AQ163" s="9"/>
      <c r="AR163" s="9"/>
      <c r="AS163" s="9"/>
      <c r="AT163" s="9"/>
      <c r="AU163" s="9"/>
      <c r="AV163" s="9"/>
      <c r="AW163" s="9"/>
      <c r="AX163" s="13"/>
    </row>
    <row r="164" spans="1:50" s="14" customFormat="1" x14ac:dyDescent="0.25">
      <c r="A164" s="11"/>
      <c r="B164" s="11"/>
      <c r="C164" s="11"/>
      <c r="D164" s="11"/>
      <c r="E164" s="9"/>
      <c r="F164" s="9"/>
      <c r="G164" s="9"/>
      <c r="H164" s="10"/>
      <c r="I164" s="11"/>
      <c r="J164" s="9"/>
      <c r="K164" s="9"/>
      <c r="L164" s="9"/>
      <c r="M164" s="10"/>
      <c r="N164" s="9"/>
      <c r="O164" s="10"/>
      <c r="P164" s="11"/>
      <c r="Q164" s="11"/>
      <c r="R164" s="11"/>
      <c r="S164" s="11"/>
      <c r="T164" s="9"/>
      <c r="U164" s="9"/>
      <c r="V164" s="9"/>
      <c r="W164" s="9"/>
      <c r="X164" s="9"/>
      <c r="Y164" s="10"/>
      <c r="Z164" s="11"/>
      <c r="AA164" s="11"/>
      <c r="AB164" s="11"/>
      <c r="AC164" s="11"/>
      <c r="AD164" s="11"/>
      <c r="AE164" s="11"/>
      <c r="AF164" s="11"/>
      <c r="AG164" s="11"/>
      <c r="AH164" s="11"/>
      <c r="AI164" s="12"/>
      <c r="AJ164" s="11"/>
      <c r="AK164" s="11"/>
      <c r="AL164" s="11"/>
      <c r="AM164" s="11"/>
      <c r="AN164" s="9"/>
      <c r="AO164" s="9"/>
      <c r="AP164" s="9"/>
      <c r="AQ164" s="9"/>
      <c r="AR164" s="9"/>
      <c r="AS164" s="9"/>
      <c r="AT164" s="9"/>
      <c r="AU164" s="9"/>
      <c r="AV164" s="9"/>
      <c r="AW164" s="9"/>
      <c r="AX164" s="13"/>
    </row>
    <row r="165" spans="1:50" s="14" customFormat="1" x14ac:dyDescent="0.25">
      <c r="A165" s="11"/>
      <c r="B165" s="11"/>
      <c r="C165" s="11"/>
      <c r="D165" s="9"/>
      <c r="E165" s="9"/>
      <c r="F165" s="9"/>
      <c r="G165" s="9"/>
      <c r="H165" s="10"/>
      <c r="I165" s="9"/>
      <c r="J165" s="9"/>
      <c r="K165" s="9"/>
      <c r="L165" s="9"/>
      <c r="M165" s="10"/>
      <c r="N165" s="9"/>
      <c r="O165" s="10"/>
      <c r="P165" s="11"/>
      <c r="Q165" s="11"/>
      <c r="R165" s="11"/>
      <c r="S165" s="11"/>
      <c r="T165" s="9"/>
      <c r="U165" s="9"/>
      <c r="V165" s="9"/>
      <c r="W165" s="9"/>
      <c r="X165" s="9"/>
      <c r="Y165" s="10"/>
      <c r="Z165" s="11"/>
      <c r="AA165" s="11"/>
      <c r="AB165" s="11"/>
      <c r="AC165" s="11"/>
      <c r="AD165" s="11"/>
      <c r="AE165" s="11"/>
      <c r="AF165" s="11"/>
      <c r="AG165" s="11"/>
      <c r="AH165" s="11"/>
      <c r="AI165" s="12"/>
      <c r="AJ165" s="11"/>
      <c r="AK165" s="11"/>
      <c r="AL165" s="11"/>
      <c r="AM165" s="11"/>
      <c r="AN165" s="9"/>
      <c r="AO165" s="9"/>
      <c r="AP165" s="9"/>
      <c r="AQ165" s="9"/>
      <c r="AR165" s="9"/>
      <c r="AS165" s="9"/>
      <c r="AT165" s="9"/>
      <c r="AU165" s="9"/>
      <c r="AV165" s="9"/>
      <c r="AW165" s="9"/>
      <c r="AX165" s="13"/>
    </row>
    <row r="166" spans="1:50" s="14" customFormat="1" x14ac:dyDescent="0.25">
      <c r="A166" s="11"/>
      <c r="B166" s="11"/>
      <c r="C166" s="11"/>
      <c r="D166" s="11"/>
      <c r="E166" s="9"/>
      <c r="F166" s="9"/>
      <c r="G166" s="9"/>
      <c r="H166" s="10"/>
      <c r="I166" s="11"/>
      <c r="J166" s="9"/>
      <c r="K166" s="9"/>
      <c r="L166" s="9"/>
      <c r="M166" s="10"/>
      <c r="N166" s="9"/>
      <c r="O166" s="10"/>
      <c r="P166" s="11"/>
      <c r="Q166" s="11"/>
      <c r="R166" s="11"/>
      <c r="S166" s="11"/>
      <c r="T166" s="9"/>
      <c r="U166" s="9"/>
      <c r="V166" s="9"/>
      <c r="W166" s="9"/>
      <c r="X166" s="9"/>
      <c r="Y166" s="10"/>
      <c r="Z166" s="11"/>
      <c r="AA166" s="11"/>
      <c r="AB166" s="11"/>
      <c r="AC166" s="11"/>
      <c r="AD166" s="11"/>
      <c r="AE166" s="11"/>
      <c r="AF166" s="11"/>
      <c r="AG166" s="11"/>
      <c r="AH166" s="11"/>
      <c r="AI166" s="12"/>
      <c r="AJ166" s="11"/>
      <c r="AK166" s="11"/>
      <c r="AL166" s="11"/>
      <c r="AM166" s="11"/>
      <c r="AN166" s="9"/>
      <c r="AO166" s="9"/>
      <c r="AP166" s="9"/>
      <c r="AQ166" s="9"/>
      <c r="AR166" s="9"/>
      <c r="AS166" s="9"/>
      <c r="AT166" s="9"/>
      <c r="AU166" s="9"/>
      <c r="AV166" s="9"/>
      <c r="AW166" s="9"/>
      <c r="AX166" s="13"/>
    </row>
    <row r="167" spans="1:50" s="14" customFormat="1" x14ac:dyDescent="0.25">
      <c r="A167" s="11"/>
      <c r="B167" s="11"/>
      <c r="C167" s="11"/>
      <c r="D167" s="11"/>
      <c r="E167" s="9"/>
      <c r="F167" s="9"/>
      <c r="G167" s="9"/>
      <c r="H167" s="10"/>
      <c r="I167" s="11"/>
      <c r="J167" s="9"/>
      <c r="K167" s="9"/>
      <c r="L167" s="9"/>
      <c r="M167" s="10"/>
      <c r="N167" s="9"/>
      <c r="O167" s="10"/>
      <c r="P167" s="11"/>
      <c r="Q167" s="11"/>
      <c r="R167" s="11"/>
      <c r="S167" s="11"/>
      <c r="T167" s="9"/>
      <c r="U167" s="9"/>
      <c r="V167" s="9"/>
      <c r="W167" s="9"/>
      <c r="X167" s="9"/>
      <c r="Y167" s="10"/>
      <c r="Z167" s="11"/>
      <c r="AA167" s="11"/>
      <c r="AB167" s="11"/>
      <c r="AC167" s="11"/>
      <c r="AD167" s="11"/>
      <c r="AE167" s="11"/>
      <c r="AF167" s="11"/>
      <c r="AG167" s="11"/>
      <c r="AH167" s="11"/>
      <c r="AI167" s="12"/>
      <c r="AJ167" s="11"/>
      <c r="AK167" s="11"/>
      <c r="AL167" s="11"/>
      <c r="AM167" s="11"/>
      <c r="AN167" s="9"/>
      <c r="AO167" s="9"/>
      <c r="AP167" s="9"/>
      <c r="AQ167" s="9"/>
      <c r="AR167" s="9"/>
      <c r="AS167" s="9"/>
      <c r="AT167" s="9"/>
      <c r="AU167" s="9"/>
      <c r="AV167" s="9"/>
      <c r="AW167" s="9"/>
      <c r="AX167" s="13"/>
    </row>
    <row r="168" spans="1:50" s="14" customFormat="1" x14ac:dyDescent="0.25">
      <c r="A168" s="11"/>
      <c r="B168" s="11"/>
      <c r="C168" s="11"/>
      <c r="D168" s="11"/>
      <c r="E168" s="9"/>
      <c r="F168" s="9"/>
      <c r="G168" s="9"/>
      <c r="H168" s="10"/>
      <c r="I168" s="11"/>
      <c r="J168" s="9"/>
      <c r="K168" s="9"/>
      <c r="L168" s="9"/>
      <c r="M168" s="10"/>
      <c r="N168" s="9"/>
      <c r="O168" s="10"/>
      <c r="P168" s="11"/>
      <c r="Q168" s="11"/>
      <c r="R168" s="11"/>
      <c r="S168" s="11"/>
      <c r="T168" s="9"/>
      <c r="U168" s="9"/>
      <c r="V168" s="9"/>
      <c r="W168" s="9"/>
      <c r="X168" s="9"/>
      <c r="Y168" s="10"/>
      <c r="Z168" s="11"/>
      <c r="AA168" s="11"/>
      <c r="AB168" s="11"/>
      <c r="AC168" s="11"/>
      <c r="AD168" s="11"/>
      <c r="AE168" s="11"/>
      <c r="AF168" s="11"/>
      <c r="AG168" s="11"/>
      <c r="AH168" s="11"/>
      <c r="AI168" s="12"/>
      <c r="AJ168" s="11"/>
      <c r="AK168" s="11"/>
      <c r="AL168" s="11"/>
      <c r="AM168" s="11"/>
      <c r="AN168" s="9"/>
      <c r="AO168" s="9"/>
      <c r="AP168" s="9"/>
      <c r="AQ168" s="9"/>
      <c r="AR168" s="9"/>
      <c r="AS168" s="9"/>
      <c r="AT168" s="9"/>
      <c r="AU168" s="9"/>
      <c r="AV168" s="9"/>
      <c r="AW168" s="9"/>
      <c r="AX168" s="13"/>
    </row>
    <row r="169" spans="1:50" s="14" customFormat="1" x14ac:dyDescent="0.25">
      <c r="A169" s="11"/>
      <c r="B169" s="11"/>
      <c r="C169" s="11"/>
      <c r="D169" s="11"/>
      <c r="E169" s="11"/>
      <c r="F169" s="11"/>
      <c r="G169" s="11"/>
      <c r="H169" s="10"/>
      <c r="I169" s="11"/>
      <c r="J169" s="11"/>
      <c r="K169" s="11"/>
      <c r="L169" s="11"/>
      <c r="M169" s="10"/>
      <c r="N169" s="9"/>
      <c r="O169" s="10"/>
      <c r="P169" s="11"/>
      <c r="Q169" s="11"/>
      <c r="R169" s="11"/>
      <c r="S169" s="11"/>
      <c r="T169" s="9"/>
      <c r="U169" s="9"/>
      <c r="V169" s="9"/>
      <c r="W169" s="9"/>
      <c r="X169" s="9"/>
      <c r="Y169" s="10"/>
      <c r="Z169" s="11"/>
      <c r="AA169" s="11"/>
      <c r="AB169" s="11"/>
      <c r="AC169" s="11"/>
      <c r="AD169" s="11"/>
      <c r="AE169" s="11"/>
      <c r="AF169" s="11"/>
      <c r="AG169" s="11"/>
      <c r="AH169" s="11"/>
      <c r="AI169" s="12"/>
      <c r="AJ169" s="11"/>
      <c r="AK169" s="11"/>
      <c r="AL169" s="11"/>
      <c r="AM169" s="11"/>
      <c r="AN169" s="9"/>
      <c r="AO169" s="9"/>
      <c r="AP169" s="9"/>
      <c r="AQ169" s="9"/>
      <c r="AR169" s="9"/>
      <c r="AS169" s="9"/>
      <c r="AT169" s="9"/>
      <c r="AU169" s="9"/>
      <c r="AV169" s="9"/>
      <c r="AW169" s="9"/>
      <c r="AX169" s="13"/>
    </row>
    <row r="170" spans="1:50" s="14" customFormat="1" x14ac:dyDescent="0.25">
      <c r="A170" s="11"/>
      <c r="B170" s="11"/>
      <c r="C170" s="11"/>
      <c r="D170" s="11"/>
      <c r="E170" s="11"/>
      <c r="F170" s="11"/>
      <c r="G170" s="11"/>
      <c r="H170" s="10"/>
      <c r="I170" s="11"/>
      <c r="J170" s="11"/>
      <c r="K170" s="11"/>
      <c r="L170" s="11"/>
      <c r="M170" s="10"/>
      <c r="N170" s="9"/>
      <c r="O170" s="10"/>
      <c r="P170" s="11"/>
      <c r="Q170" s="11"/>
      <c r="R170" s="11"/>
      <c r="S170" s="11"/>
      <c r="T170" s="9"/>
      <c r="U170" s="9"/>
      <c r="V170" s="9"/>
      <c r="W170" s="9"/>
      <c r="X170" s="9"/>
      <c r="Y170" s="10"/>
      <c r="Z170" s="11"/>
      <c r="AA170" s="11"/>
      <c r="AB170" s="11"/>
      <c r="AC170" s="11"/>
      <c r="AD170" s="11"/>
      <c r="AE170" s="11"/>
      <c r="AF170" s="11"/>
      <c r="AG170" s="11"/>
      <c r="AH170" s="11"/>
      <c r="AI170" s="12"/>
      <c r="AJ170" s="11"/>
      <c r="AK170" s="11"/>
      <c r="AL170" s="11"/>
      <c r="AM170" s="11"/>
      <c r="AN170" s="9"/>
      <c r="AO170" s="9"/>
      <c r="AP170" s="9"/>
      <c r="AQ170" s="9"/>
      <c r="AR170" s="9"/>
      <c r="AS170" s="9"/>
      <c r="AT170" s="9"/>
      <c r="AU170" s="9"/>
      <c r="AV170" s="9"/>
      <c r="AW170" s="9"/>
      <c r="AX170" s="13"/>
    </row>
    <row r="171" spans="1:50" s="14" customFormat="1" x14ac:dyDescent="0.25">
      <c r="A171" s="11"/>
      <c r="B171" s="11"/>
      <c r="C171" s="11"/>
      <c r="D171" s="11"/>
      <c r="E171" s="11"/>
      <c r="F171" s="11"/>
      <c r="G171" s="11"/>
      <c r="H171" s="10"/>
      <c r="I171" s="11"/>
      <c r="J171" s="11"/>
      <c r="K171" s="11"/>
      <c r="L171" s="11"/>
      <c r="M171" s="10"/>
      <c r="N171" s="9"/>
      <c r="O171" s="10"/>
      <c r="P171" s="11"/>
      <c r="Q171" s="11"/>
      <c r="R171" s="11"/>
      <c r="S171" s="11"/>
      <c r="T171" s="9"/>
      <c r="U171" s="9"/>
      <c r="V171" s="9"/>
      <c r="W171" s="9"/>
      <c r="X171" s="9"/>
      <c r="Y171" s="10"/>
      <c r="Z171" s="11"/>
      <c r="AA171" s="11"/>
      <c r="AB171" s="11"/>
      <c r="AC171" s="11"/>
      <c r="AD171" s="11"/>
      <c r="AE171" s="11"/>
      <c r="AF171" s="11"/>
      <c r="AG171" s="11"/>
      <c r="AH171" s="11"/>
      <c r="AI171" s="12"/>
      <c r="AJ171" s="11"/>
      <c r="AK171" s="11"/>
      <c r="AL171" s="11"/>
      <c r="AM171" s="11"/>
      <c r="AN171" s="9"/>
      <c r="AO171" s="9"/>
      <c r="AP171" s="9"/>
      <c r="AQ171" s="9"/>
      <c r="AR171" s="9"/>
      <c r="AS171" s="9"/>
      <c r="AT171" s="9"/>
      <c r="AU171" s="9"/>
      <c r="AV171" s="9"/>
      <c r="AW171" s="9"/>
      <c r="AX171" s="13"/>
    </row>
    <row r="172" spans="1:50" s="14" customFormat="1" x14ac:dyDescent="0.25">
      <c r="A172" s="11"/>
      <c r="B172" s="11"/>
      <c r="C172" s="11"/>
      <c r="D172" s="11"/>
      <c r="E172" s="11"/>
      <c r="F172" s="11"/>
      <c r="G172" s="11"/>
      <c r="H172" s="10"/>
      <c r="I172" s="11"/>
      <c r="J172" s="11"/>
      <c r="K172" s="11"/>
      <c r="L172" s="11"/>
      <c r="M172" s="10"/>
      <c r="N172" s="9"/>
      <c r="O172" s="10"/>
      <c r="P172" s="11"/>
      <c r="Q172" s="11"/>
      <c r="R172" s="11"/>
      <c r="S172" s="11"/>
      <c r="T172" s="9"/>
      <c r="U172" s="9"/>
      <c r="V172" s="9"/>
      <c r="W172" s="9"/>
      <c r="X172" s="9"/>
      <c r="Y172" s="10"/>
      <c r="Z172" s="11"/>
      <c r="AA172" s="11"/>
      <c r="AB172" s="11"/>
      <c r="AC172" s="11"/>
      <c r="AD172" s="11"/>
      <c r="AE172" s="11"/>
      <c r="AF172" s="11"/>
      <c r="AG172" s="11"/>
      <c r="AH172" s="11"/>
      <c r="AI172" s="12"/>
      <c r="AJ172" s="11"/>
      <c r="AK172" s="11"/>
      <c r="AL172" s="11"/>
      <c r="AM172" s="11"/>
      <c r="AN172" s="9"/>
      <c r="AO172" s="9"/>
      <c r="AP172" s="9"/>
      <c r="AQ172" s="9"/>
      <c r="AR172" s="9"/>
      <c r="AS172" s="9"/>
      <c r="AT172" s="9"/>
      <c r="AU172" s="9"/>
      <c r="AV172" s="9"/>
      <c r="AW172" s="9"/>
      <c r="AX172" s="13"/>
    </row>
    <row r="173" spans="1:50" s="14" customFormat="1" x14ac:dyDescent="0.25">
      <c r="A173" s="11"/>
      <c r="B173" s="11"/>
      <c r="C173" s="11"/>
      <c r="D173" s="11"/>
      <c r="E173" s="9"/>
      <c r="F173" s="9"/>
      <c r="G173" s="9"/>
      <c r="H173" s="10"/>
      <c r="I173" s="11"/>
      <c r="J173" s="9"/>
      <c r="K173" s="9"/>
      <c r="L173" s="9"/>
      <c r="M173" s="10"/>
      <c r="N173" s="9"/>
      <c r="O173" s="10"/>
      <c r="P173" s="11"/>
      <c r="Q173" s="11"/>
      <c r="R173" s="11"/>
      <c r="S173" s="11"/>
      <c r="T173" s="9"/>
      <c r="U173" s="9"/>
      <c r="V173" s="9"/>
      <c r="W173" s="9"/>
      <c r="X173" s="9"/>
      <c r="Y173" s="10"/>
      <c r="Z173" s="11"/>
      <c r="AA173" s="11"/>
      <c r="AB173" s="11"/>
      <c r="AC173" s="11"/>
      <c r="AD173" s="11"/>
      <c r="AE173" s="11"/>
      <c r="AF173" s="11"/>
      <c r="AG173" s="11"/>
      <c r="AH173" s="11"/>
      <c r="AI173" s="12"/>
      <c r="AJ173" s="11"/>
      <c r="AK173" s="11"/>
      <c r="AL173" s="11"/>
      <c r="AM173" s="11"/>
      <c r="AN173" s="9"/>
      <c r="AO173" s="9"/>
      <c r="AP173" s="9"/>
      <c r="AQ173" s="9"/>
      <c r="AR173" s="9"/>
      <c r="AS173" s="9"/>
      <c r="AT173" s="9"/>
      <c r="AU173" s="9"/>
      <c r="AV173" s="9"/>
      <c r="AW173" s="9"/>
      <c r="AX173" s="13"/>
    </row>
    <row r="174" spans="1:50" s="14" customFormat="1" x14ac:dyDescent="0.25">
      <c r="A174" s="11"/>
      <c r="B174" s="11"/>
      <c r="C174" s="11"/>
      <c r="D174" s="11"/>
      <c r="E174" s="9"/>
      <c r="F174" s="9"/>
      <c r="G174" s="9"/>
      <c r="H174" s="10"/>
      <c r="I174" s="11"/>
      <c r="J174" s="9"/>
      <c r="K174" s="9"/>
      <c r="L174" s="9"/>
      <c r="M174" s="10"/>
      <c r="N174" s="9"/>
      <c r="O174" s="10"/>
      <c r="P174" s="11"/>
      <c r="Q174" s="11"/>
      <c r="R174" s="11"/>
      <c r="S174" s="11"/>
      <c r="T174" s="9"/>
      <c r="U174" s="9"/>
      <c r="V174" s="9"/>
      <c r="W174" s="9"/>
      <c r="X174" s="9"/>
      <c r="Y174" s="10"/>
      <c r="Z174" s="11"/>
      <c r="AA174" s="11"/>
      <c r="AB174" s="11"/>
      <c r="AC174" s="11"/>
      <c r="AD174" s="11"/>
      <c r="AE174" s="11"/>
      <c r="AF174" s="11"/>
      <c r="AG174" s="11"/>
      <c r="AH174" s="11"/>
      <c r="AI174" s="12"/>
      <c r="AJ174" s="11"/>
      <c r="AK174" s="11"/>
      <c r="AL174" s="11"/>
      <c r="AM174" s="11"/>
      <c r="AN174" s="9"/>
      <c r="AO174" s="9"/>
      <c r="AP174" s="9"/>
      <c r="AQ174" s="9"/>
      <c r="AR174" s="9"/>
      <c r="AS174" s="9"/>
      <c r="AT174" s="9"/>
      <c r="AU174" s="9"/>
      <c r="AV174" s="9"/>
      <c r="AW174" s="9"/>
      <c r="AX174" s="13"/>
    </row>
    <row r="175" spans="1:50" s="14" customFormat="1" x14ac:dyDescent="0.25">
      <c r="A175" s="11"/>
      <c r="B175" s="11"/>
      <c r="C175" s="11"/>
      <c r="D175" s="11"/>
      <c r="E175" s="9"/>
      <c r="F175" s="9"/>
      <c r="G175" s="9"/>
      <c r="H175" s="10"/>
      <c r="I175" s="11"/>
      <c r="J175" s="9"/>
      <c r="K175" s="9"/>
      <c r="L175" s="9"/>
      <c r="M175" s="10"/>
      <c r="N175" s="9"/>
      <c r="O175" s="10"/>
      <c r="P175" s="11"/>
      <c r="Q175" s="11"/>
      <c r="R175" s="11"/>
      <c r="S175" s="11"/>
      <c r="T175" s="9"/>
      <c r="U175" s="9"/>
      <c r="V175" s="9"/>
      <c r="W175" s="9"/>
      <c r="X175" s="9"/>
      <c r="Y175" s="10"/>
      <c r="Z175" s="11"/>
      <c r="AA175" s="11"/>
      <c r="AB175" s="11"/>
      <c r="AC175" s="11"/>
      <c r="AD175" s="9"/>
      <c r="AE175" s="9"/>
      <c r="AF175" s="9"/>
      <c r="AG175" s="9"/>
      <c r="AH175" s="11"/>
      <c r="AI175" s="10"/>
      <c r="AJ175" s="11"/>
      <c r="AK175" s="11"/>
      <c r="AL175" s="11"/>
      <c r="AM175" s="11"/>
      <c r="AN175" s="9"/>
      <c r="AO175" s="9"/>
      <c r="AP175" s="9"/>
      <c r="AQ175" s="9"/>
      <c r="AR175" s="9"/>
      <c r="AS175" s="9"/>
      <c r="AT175" s="9"/>
      <c r="AU175" s="9"/>
      <c r="AV175" s="9"/>
      <c r="AW175" s="9"/>
      <c r="AX175" s="13"/>
    </row>
    <row r="176" spans="1:50" s="14" customFormat="1" x14ac:dyDescent="0.25">
      <c r="A176" s="11"/>
      <c r="B176" s="11"/>
      <c r="C176" s="11"/>
      <c r="D176" s="11"/>
      <c r="E176" s="11"/>
      <c r="F176" s="11"/>
      <c r="G176" s="11"/>
      <c r="H176" s="10"/>
      <c r="I176" s="11"/>
      <c r="J176" s="11"/>
      <c r="K176" s="11"/>
      <c r="L176" s="11"/>
      <c r="M176" s="10"/>
      <c r="N176" s="9"/>
      <c r="O176" s="10"/>
      <c r="P176" s="11"/>
      <c r="Q176" s="11"/>
      <c r="R176" s="11"/>
      <c r="S176" s="11"/>
      <c r="T176" s="9"/>
      <c r="U176" s="9"/>
      <c r="V176" s="9"/>
      <c r="W176" s="9"/>
      <c r="X176" s="9"/>
      <c r="Y176" s="10"/>
      <c r="Z176" s="11"/>
      <c r="AA176" s="11"/>
      <c r="AB176" s="11"/>
      <c r="AC176" s="11"/>
      <c r="AD176" s="11"/>
      <c r="AE176" s="11"/>
      <c r="AF176" s="11"/>
      <c r="AG176" s="11"/>
      <c r="AH176" s="11"/>
      <c r="AI176" s="12"/>
      <c r="AJ176" s="11"/>
      <c r="AK176" s="11"/>
      <c r="AL176" s="11"/>
      <c r="AM176" s="11"/>
      <c r="AN176" s="9"/>
      <c r="AO176" s="9"/>
      <c r="AP176" s="9"/>
      <c r="AQ176" s="9"/>
      <c r="AR176" s="9"/>
      <c r="AS176" s="9"/>
      <c r="AT176" s="9"/>
      <c r="AU176" s="9"/>
      <c r="AV176" s="9"/>
      <c r="AW176" s="9"/>
      <c r="AX176" s="13"/>
    </row>
    <row r="177" spans="1:50" s="14" customFormat="1" x14ac:dyDescent="0.25">
      <c r="A177" s="11"/>
      <c r="B177" s="11"/>
      <c r="C177" s="11"/>
      <c r="D177" s="11"/>
      <c r="E177" s="9"/>
      <c r="F177" s="9"/>
      <c r="G177" s="9"/>
      <c r="H177" s="10"/>
      <c r="I177" s="11"/>
      <c r="J177" s="9"/>
      <c r="K177" s="9"/>
      <c r="L177" s="9"/>
      <c r="M177" s="10"/>
      <c r="N177" s="9"/>
      <c r="O177" s="10"/>
      <c r="P177" s="11"/>
      <c r="Q177" s="11"/>
      <c r="R177" s="11"/>
      <c r="S177" s="11"/>
      <c r="T177" s="9"/>
      <c r="U177" s="9"/>
      <c r="V177" s="9"/>
      <c r="W177" s="9"/>
      <c r="X177" s="9"/>
      <c r="Y177" s="10"/>
      <c r="Z177" s="11"/>
      <c r="AA177" s="11"/>
      <c r="AB177" s="11"/>
      <c r="AC177" s="11"/>
      <c r="AD177" s="11"/>
      <c r="AE177" s="11"/>
      <c r="AF177" s="11"/>
      <c r="AG177" s="11"/>
      <c r="AH177" s="11"/>
      <c r="AI177" s="12"/>
      <c r="AJ177" s="11"/>
      <c r="AK177" s="11"/>
      <c r="AL177" s="11"/>
      <c r="AM177" s="11"/>
      <c r="AN177" s="9"/>
      <c r="AO177" s="9"/>
      <c r="AP177" s="9"/>
      <c r="AQ177" s="9"/>
      <c r="AR177" s="9"/>
      <c r="AS177" s="9"/>
      <c r="AT177" s="9"/>
      <c r="AU177" s="9"/>
      <c r="AV177" s="9"/>
      <c r="AW177" s="9"/>
      <c r="AX177" s="13"/>
    </row>
    <row r="178" spans="1:50" s="14" customFormat="1" x14ac:dyDescent="0.25">
      <c r="A178" s="11"/>
      <c r="B178" s="11"/>
      <c r="C178" s="11"/>
      <c r="D178" s="11"/>
      <c r="E178" s="11"/>
      <c r="F178" s="11"/>
      <c r="G178" s="11"/>
      <c r="H178" s="10"/>
      <c r="I178" s="11"/>
      <c r="J178" s="11"/>
      <c r="K178" s="11"/>
      <c r="L178" s="11"/>
      <c r="M178" s="10"/>
      <c r="N178" s="9"/>
      <c r="O178" s="10"/>
      <c r="P178" s="11"/>
      <c r="Q178" s="11"/>
      <c r="R178" s="11"/>
      <c r="S178" s="11"/>
      <c r="T178" s="9"/>
      <c r="U178" s="9"/>
      <c r="V178" s="9"/>
      <c r="W178" s="9"/>
      <c r="X178" s="9"/>
      <c r="Y178" s="10"/>
      <c r="Z178" s="11"/>
      <c r="AA178" s="11"/>
      <c r="AB178" s="11"/>
      <c r="AC178" s="11"/>
      <c r="AD178" s="11"/>
      <c r="AE178" s="11"/>
      <c r="AF178" s="11"/>
      <c r="AG178" s="11"/>
      <c r="AH178" s="11"/>
      <c r="AI178" s="12"/>
      <c r="AJ178" s="11"/>
      <c r="AK178" s="11"/>
      <c r="AL178" s="11"/>
      <c r="AM178" s="11"/>
      <c r="AN178" s="9"/>
      <c r="AO178" s="9"/>
      <c r="AP178" s="9"/>
      <c r="AQ178" s="9"/>
      <c r="AR178" s="9"/>
      <c r="AS178" s="9"/>
      <c r="AT178" s="9"/>
      <c r="AU178" s="9"/>
      <c r="AV178" s="9"/>
      <c r="AW178" s="9"/>
      <c r="AX178" s="13"/>
    </row>
    <row r="179" spans="1:50" s="14" customFormat="1" x14ac:dyDescent="0.25">
      <c r="A179" s="11"/>
      <c r="B179" s="11"/>
      <c r="C179" s="11"/>
      <c r="D179" s="11"/>
      <c r="E179" s="9"/>
      <c r="F179" s="9"/>
      <c r="G179" s="9"/>
      <c r="H179" s="10"/>
      <c r="I179" s="11"/>
      <c r="J179" s="9"/>
      <c r="K179" s="9"/>
      <c r="L179" s="9"/>
      <c r="M179" s="10"/>
      <c r="N179" s="9"/>
      <c r="O179" s="10"/>
      <c r="P179" s="11"/>
      <c r="Q179" s="11"/>
      <c r="R179" s="11"/>
      <c r="S179" s="11"/>
      <c r="T179" s="9"/>
      <c r="U179" s="9"/>
      <c r="V179" s="9"/>
      <c r="W179" s="9"/>
      <c r="X179" s="9"/>
      <c r="Y179" s="10"/>
      <c r="Z179" s="11"/>
      <c r="AA179" s="11"/>
      <c r="AB179" s="11"/>
      <c r="AC179" s="11"/>
      <c r="AD179" s="11"/>
      <c r="AE179" s="11"/>
      <c r="AF179" s="11"/>
      <c r="AG179" s="11"/>
      <c r="AH179" s="11"/>
      <c r="AI179" s="12"/>
      <c r="AJ179" s="11"/>
      <c r="AK179" s="11"/>
      <c r="AL179" s="11"/>
      <c r="AM179" s="11"/>
      <c r="AN179" s="9"/>
      <c r="AO179" s="9"/>
      <c r="AP179" s="9"/>
      <c r="AQ179" s="9"/>
      <c r="AR179" s="9"/>
      <c r="AS179" s="9"/>
      <c r="AT179" s="9"/>
      <c r="AU179" s="9"/>
      <c r="AV179" s="9"/>
      <c r="AW179" s="9"/>
      <c r="AX179" s="13"/>
    </row>
    <row r="180" spans="1:50" s="14" customFormat="1" x14ac:dyDescent="0.25">
      <c r="A180" s="11"/>
      <c r="B180" s="11"/>
      <c r="C180" s="11"/>
      <c r="D180" s="11"/>
      <c r="E180" s="11"/>
      <c r="F180" s="11"/>
      <c r="G180" s="11"/>
      <c r="H180" s="10"/>
      <c r="I180" s="11"/>
      <c r="J180" s="11"/>
      <c r="K180" s="11"/>
      <c r="L180" s="11"/>
      <c r="M180" s="10"/>
      <c r="N180" s="9"/>
      <c r="O180" s="10"/>
      <c r="P180" s="11"/>
      <c r="Q180" s="11"/>
      <c r="R180" s="11"/>
      <c r="S180" s="11"/>
      <c r="T180" s="9"/>
      <c r="U180" s="9"/>
      <c r="V180" s="9"/>
      <c r="W180" s="9"/>
      <c r="X180" s="9"/>
      <c r="Y180" s="10"/>
      <c r="Z180" s="11"/>
      <c r="AA180" s="11"/>
      <c r="AB180" s="11"/>
      <c r="AC180" s="11"/>
      <c r="AD180" s="9"/>
      <c r="AE180" s="9"/>
      <c r="AF180" s="9"/>
      <c r="AG180" s="9"/>
      <c r="AH180" s="11"/>
      <c r="AI180" s="12"/>
      <c r="AJ180" s="11"/>
      <c r="AK180" s="11"/>
      <c r="AL180" s="11"/>
      <c r="AM180" s="11"/>
      <c r="AN180" s="9"/>
      <c r="AO180" s="9"/>
      <c r="AP180" s="9"/>
      <c r="AQ180" s="9"/>
      <c r="AR180" s="9"/>
      <c r="AS180" s="9"/>
      <c r="AT180" s="9"/>
      <c r="AU180" s="9"/>
      <c r="AV180" s="9"/>
      <c r="AW180" s="9"/>
      <c r="AX180" s="13"/>
    </row>
    <row r="181" spans="1:50" s="14" customFormat="1" x14ac:dyDescent="0.25">
      <c r="A181" s="11"/>
      <c r="B181" s="11"/>
      <c r="C181" s="11"/>
      <c r="D181" s="11"/>
      <c r="E181" s="9"/>
      <c r="F181" s="9"/>
      <c r="G181" s="9"/>
      <c r="H181" s="10"/>
      <c r="I181" s="11"/>
      <c r="J181" s="9"/>
      <c r="K181" s="9"/>
      <c r="L181" s="9"/>
      <c r="M181" s="10"/>
      <c r="N181" s="9"/>
      <c r="O181" s="10"/>
      <c r="P181" s="11"/>
      <c r="Q181" s="11"/>
      <c r="R181" s="11"/>
      <c r="S181" s="11"/>
      <c r="T181" s="9"/>
      <c r="U181" s="9"/>
      <c r="V181" s="9"/>
      <c r="W181" s="9"/>
      <c r="X181" s="9"/>
      <c r="Y181" s="10"/>
      <c r="Z181" s="11"/>
      <c r="AA181" s="11"/>
      <c r="AB181" s="11"/>
      <c r="AC181" s="11"/>
      <c r="AD181" s="11"/>
      <c r="AE181" s="11"/>
      <c r="AF181" s="11"/>
      <c r="AG181" s="11"/>
      <c r="AH181" s="11"/>
      <c r="AI181" s="12"/>
      <c r="AJ181" s="11"/>
      <c r="AK181" s="11"/>
      <c r="AL181" s="11"/>
      <c r="AM181" s="11"/>
      <c r="AN181" s="9"/>
      <c r="AO181" s="9"/>
      <c r="AP181" s="9"/>
      <c r="AQ181" s="9"/>
      <c r="AR181" s="9"/>
      <c r="AS181" s="9"/>
      <c r="AT181" s="9"/>
      <c r="AU181" s="9"/>
      <c r="AV181" s="9"/>
      <c r="AW181" s="9"/>
      <c r="AX181" s="13"/>
    </row>
    <row r="182" spans="1:50" s="14" customFormat="1" x14ac:dyDescent="0.25">
      <c r="A182" s="11"/>
      <c r="B182" s="11"/>
      <c r="C182" s="11"/>
      <c r="D182" s="9"/>
      <c r="E182" s="9"/>
      <c r="F182" s="9"/>
      <c r="G182" s="9"/>
      <c r="H182" s="10"/>
      <c r="I182" s="9"/>
      <c r="J182" s="9"/>
      <c r="K182" s="9"/>
      <c r="L182" s="9"/>
      <c r="M182" s="10"/>
      <c r="N182" s="9"/>
      <c r="O182" s="10"/>
      <c r="P182" s="11"/>
      <c r="Q182" s="11"/>
      <c r="R182" s="11"/>
      <c r="S182" s="11"/>
      <c r="T182" s="9"/>
      <c r="U182" s="9"/>
      <c r="V182" s="9"/>
      <c r="W182" s="9"/>
      <c r="X182" s="9"/>
      <c r="Y182" s="10"/>
      <c r="Z182" s="11"/>
      <c r="AA182" s="11"/>
      <c r="AB182" s="11"/>
      <c r="AC182" s="11"/>
      <c r="AD182" s="11"/>
      <c r="AE182" s="11"/>
      <c r="AF182" s="11"/>
      <c r="AG182" s="11"/>
      <c r="AH182" s="11"/>
      <c r="AI182" s="12"/>
      <c r="AJ182" s="11"/>
      <c r="AK182" s="11"/>
      <c r="AL182" s="11"/>
      <c r="AM182" s="11"/>
      <c r="AN182" s="9"/>
      <c r="AO182" s="9"/>
      <c r="AP182" s="9"/>
      <c r="AQ182" s="9"/>
      <c r="AR182" s="9"/>
      <c r="AS182" s="9"/>
      <c r="AT182" s="9"/>
      <c r="AU182" s="9"/>
      <c r="AV182" s="9"/>
      <c r="AW182" s="9"/>
      <c r="AX182" s="13"/>
    </row>
    <row r="183" spans="1:50" s="14" customFormat="1" x14ac:dyDescent="0.25">
      <c r="A183" s="11"/>
      <c r="B183" s="11"/>
      <c r="C183" s="11"/>
      <c r="D183" s="11"/>
      <c r="E183" s="9"/>
      <c r="F183" s="9"/>
      <c r="G183" s="9"/>
      <c r="H183" s="10"/>
      <c r="I183" s="11"/>
      <c r="J183" s="9"/>
      <c r="K183" s="9"/>
      <c r="L183" s="9"/>
      <c r="M183" s="10"/>
      <c r="N183" s="9"/>
      <c r="O183" s="10"/>
      <c r="P183" s="11"/>
      <c r="Q183" s="11"/>
      <c r="R183" s="11"/>
      <c r="S183" s="11"/>
      <c r="T183" s="9"/>
      <c r="U183" s="9"/>
      <c r="V183" s="9"/>
      <c r="W183" s="9"/>
      <c r="X183" s="9"/>
      <c r="Y183" s="10"/>
      <c r="Z183" s="11"/>
      <c r="AA183" s="11"/>
      <c r="AB183" s="11"/>
      <c r="AC183" s="11"/>
      <c r="AD183" s="11"/>
      <c r="AE183" s="11"/>
      <c r="AF183" s="11"/>
      <c r="AG183" s="11"/>
      <c r="AH183" s="11"/>
      <c r="AI183" s="12"/>
      <c r="AJ183" s="11"/>
      <c r="AK183" s="11"/>
      <c r="AL183" s="11"/>
      <c r="AM183" s="11"/>
      <c r="AN183" s="9"/>
      <c r="AO183" s="9"/>
      <c r="AP183" s="9"/>
      <c r="AQ183" s="9"/>
      <c r="AR183" s="9"/>
      <c r="AS183" s="9"/>
      <c r="AT183" s="9"/>
      <c r="AU183" s="9"/>
      <c r="AV183" s="9"/>
      <c r="AW183" s="9"/>
      <c r="AX183" s="13"/>
    </row>
    <row r="184" spans="1:50" s="14" customFormat="1" x14ac:dyDescent="0.25">
      <c r="A184" s="11"/>
      <c r="B184" s="11"/>
      <c r="C184" s="11"/>
      <c r="D184" s="11"/>
      <c r="E184" s="11"/>
      <c r="F184" s="11"/>
      <c r="G184" s="11"/>
      <c r="H184" s="10"/>
      <c r="I184" s="11"/>
      <c r="J184" s="11"/>
      <c r="K184" s="11"/>
      <c r="L184" s="11"/>
      <c r="M184" s="10"/>
      <c r="N184" s="9"/>
      <c r="O184" s="10"/>
      <c r="P184" s="11"/>
      <c r="Q184" s="11"/>
      <c r="R184" s="11"/>
      <c r="S184" s="11"/>
      <c r="T184" s="9"/>
      <c r="U184" s="9"/>
      <c r="V184" s="9"/>
      <c r="W184" s="9"/>
      <c r="X184" s="9"/>
      <c r="Y184" s="10"/>
      <c r="Z184" s="11"/>
      <c r="AA184" s="11"/>
      <c r="AB184" s="11"/>
      <c r="AC184" s="11"/>
      <c r="AD184" s="11"/>
      <c r="AE184" s="11"/>
      <c r="AF184" s="11"/>
      <c r="AG184" s="11"/>
      <c r="AH184" s="11"/>
      <c r="AI184" s="12"/>
      <c r="AJ184" s="11"/>
      <c r="AK184" s="11"/>
      <c r="AL184" s="11"/>
      <c r="AM184" s="11"/>
      <c r="AN184" s="9"/>
      <c r="AO184" s="9"/>
      <c r="AP184" s="9"/>
      <c r="AQ184" s="9"/>
      <c r="AR184" s="9"/>
      <c r="AS184" s="9"/>
      <c r="AT184" s="9"/>
      <c r="AU184" s="9"/>
      <c r="AV184" s="9"/>
      <c r="AW184" s="9"/>
      <c r="AX184" s="13"/>
    </row>
    <row r="185" spans="1:50" s="14" customFormat="1" x14ac:dyDescent="0.25">
      <c r="A185" s="11"/>
      <c r="B185" s="11"/>
      <c r="C185" s="11"/>
      <c r="D185" s="11"/>
      <c r="E185" s="11"/>
      <c r="F185" s="11"/>
      <c r="G185" s="11"/>
      <c r="H185" s="10"/>
      <c r="I185" s="11"/>
      <c r="J185" s="11"/>
      <c r="K185" s="11"/>
      <c r="L185" s="11"/>
      <c r="M185" s="10"/>
      <c r="N185" s="9"/>
      <c r="O185" s="10"/>
      <c r="P185" s="11"/>
      <c r="Q185" s="11"/>
      <c r="R185" s="11"/>
      <c r="S185" s="11"/>
      <c r="T185" s="9"/>
      <c r="U185" s="9"/>
      <c r="V185" s="9"/>
      <c r="W185" s="9"/>
      <c r="X185" s="9"/>
      <c r="Y185" s="10"/>
      <c r="Z185" s="11"/>
      <c r="AA185" s="11"/>
      <c r="AB185" s="11"/>
      <c r="AC185" s="11"/>
      <c r="AD185" s="11"/>
      <c r="AE185" s="9"/>
      <c r="AF185" s="9"/>
      <c r="AG185" s="9"/>
      <c r="AH185" s="11"/>
      <c r="AI185" s="12"/>
      <c r="AJ185" s="11"/>
      <c r="AK185" s="11"/>
      <c r="AL185" s="11"/>
      <c r="AM185" s="11"/>
      <c r="AN185" s="9"/>
      <c r="AO185" s="9"/>
      <c r="AP185" s="9"/>
      <c r="AQ185" s="9"/>
      <c r="AR185" s="9"/>
      <c r="AS185" s="9"/>
      <c r="AT185" s="9"/>
      <c r="AU185" s="9"/>
      <c r="AV185" s="9"/>
      <c r="AW185" s="9"/>
      <c r="AX185" s="13"/>
    </row>
    <row r="186" spans="1:50" s="14" customFormat="1" x14ac:dyDescent="0.25">
      <c r="A186" s="11"/>
      <c r="B186" s="11"/>
      <c r="C186" s="11"/>
      <c r="D186" s="9"/>
      <c r="E186" s="9"/>
      <c r="F186" s="9"/>
      <c r="G186" s="9"/>
      <c r="H186" s="10"/>
      <c r="I186" s="9"/>
      <c r="J186" s="9"/>
      <c r="K186" s="9"/>
      <c r="L186" s="9"/>
      <c r="M186" s="10"/>
      <c r="N186" s="9"/>
      <c r="O186" s="10"/>
      <c r="P186" s="11"/>
      <c r="Q186" s="11"/>
      <c r="R186" s="11"/>
      <c r="S186" s="11"/>
      <c r="T186" s="9"/>
      <c r="U186" s="9"/>
      <c r="V186" s="9"/>
      <c r="W186" s="9"/>
      <c r="X186" s="9"/>
      <c r="Y186" s="10"/>
      <c r="Z186" s="11"/>
      <c r="AA186" s="11"/>
      <c r="AB186" s="11"/>
      <c r="AC186" s="11"/>
      <c r="AD186" s="11"/>
      <c r="AE186" s="11"/>
      <c r="AF186" s="11"/>
      <c r="AG186" s="11"/>
      <c r="AH186" s="11"/>
      <c r="AI186" s="12"/>
      <c r="AJ186" s="11"/>
      <c r="AK186" s="11"/>
      <c r="AL186" s="11"/>
      <c r="AM186" s="11"/>
      <c r="AN186" s="9"/>
      <c r="AO186" s="9"/>
      <c r="AP186" s="9"/>
      <c r="AQ186" s="9"/>
      <c r="AR186" s="9"/>
      <c r="AS186" s="9"/>
      <c r="AT186" s="9"/>
      <c r="AU186" s="9"/>
      <c r="AV186" s="9"/>
      <c r="AW186" s="9"/>
      <c r="AX186" s="13"/>
    </row>
    <row r="187" spans="1:50" s="14" customFormat="1" x14ac:dyDescent="0.25">
      <c r="A187" s="11"/>
      <c r="B187" s="11"/>
      <c r="C187" s="11"/>
      <c r="D187" s="11"/>
      <c r="E187" s="9"/>
      <c r="F187" s="9"/>
      <c r="G187" s="9"/>
      <c r="H187" s="10"/>
      <c r="I187" s="11"/>
      <c r="J187" s="9"/>
      <c r="K187" s="9"/>
      <c r="L187" s="9"/>
      <c r="M187" s="10"/>
      <c r="N187" s="9"/>
      <c r="O187" s="10"/>
      <c r="P187" s="11"/>
      <c r="Q187" s="11"/>
      <c r="R187" s="11"/>
      <c r="S187" s="11"/>
      <c r="T187" s="9"/>
      <c r="U187" s="9"/>
      <c r="V187" s="9"/>
      <c r="W187" s="9"/>
      <c r="X187" s="9"/>
      <c r="Y187" s="10"/>
      <c r="Z187" s="11"/>
      <c r="AA187" s="11"/>
      <c r="AB187" s="11"/>
      <c r="AC187" s="11"/>
      <c r="AD187" s="11"/>
      <c r="AE187" s="11"/>
      <c r="AF187" s="11"/>
      <c r="AG187" s="11"/>
      <c r="AH187" s="11"/>
      <c r="AI187" s="12"/>
      <c r="AJ187" s="11"/>
      <c r="AK187" s="11"/>
      <c r="AL187" s="11"/>
      <c r="AM187" s="11"/>
      <c r="AN187" s="9"/>
      <c r="AO187" s="9"/>
      <c r="AP187" s="9"/>
      <c r="AQ187" s="9"/>
      <c r="AR187" s="9"/>
      <c r="AS187" s="9"/>
      <c r="AT187" s="9"/>
      <c r="AU187" s="9"/>
      <c r="AV187" s="9"/>
      <c r="AW187" s="9"/>
      <c r="AX187" s="13"/>
    </row>
    <row r="188" spans="1:50" s="14" customFormat="1" x14ac:dyDescent="0.25">
      <c r="A188" s="11"/>
      <c r="B188" s="11"/>
      <c r="C188" s="11"/>
      <c r="D188" s="11"/>
      <c r="E188" s="9"/>
      <c r="F188" s="9"/>
      <c r="G188" s="9"/>
      <c r="H188" s="10"/>
      <c r="I188" s="11"/>
      <c r="J188" s="9"/>
      <c r="K188" s="9"/>
      <c r="L188" s="9"/>
      <c r="M188" s="10"/>
      <c r="N188" s="9"/>
      <c r="O188" s="10"/>
      <c r="P188" s="11"/>
      <c r="Q188" s="11"/>
      <c r="R188" s="11"/>
      <c r="S188" s="11"/>
      <c r="T188" s="9"/>
      <c r="U188" s="9"/>
      <c r="V188" s="9"/>
      <c r="W188" s="9"/>
      <c r="X188" s="9"/>
      <c r="Y188" s="10"/>
      <c r="Z188" s="11"/>
      <c r="AA188" s="11"/>
      <c r="AB188" s="11"/>
      <c r="AC188" s="11"/>
      <c r="AD188" s="11"/>
      <c r="AE188" s="11"/>
      <c r="AF188" s="11"/>
      <c r="AG188" s="11"/>
      <c r="AH188" s="11"/>
      <c r="AI188" s="12"/>
      <c r="AJ188" s="11"/>
      <c r="AK188" s="11"/>
      <c r="AL188" s="11"/>
      <c r="AM188" s="11"/>
      <c r="AN188" s="9"/>
      <c r="AO188" s="9"/>
      <c r="AP188" s="9"/>
      <c r="AQ188" s="9"/>
      <c r="AR188" s="9"/>
      <c r="AS188" s="9"/>
      <c r="AT188" s="9"/>
      <c r="AU188" s="9"/>
      <c r="AV188" s="9"/>
      <c r="AW188" s="9"/>
      <c r="AX188" s="13"/>
    </row>
    <row r="189" spans="1:50" s="14" customFormat="1" x14ac:dyDescent="0.25">
      <c r="A189" s="11"/>
      <c r="B189" s="11"/>
      <c r="C189" s="11"/>
      <c r="D189" s="11"/>
      <c r="E189" s="9"/>
      <c r="F189" s="9"/>
      <c r="G189" s="9"/>
      <c r="H189" s="10"/>
      <c r="I189" s="11"/>
      <c r="J189" s="9"/>
      <c r="K189" s="9"/>
      <c r="L189" s="9"/>
      <c r="M189" s="10"/>
      <c r="N189" s="9"/>
      <c r="O189" s="10"/>
      <c r="P189" s="11"/>
      <c r="Q189" s="11"/>
      <c r="R189" s="11"/>
      <c r="S189" s="11"/>
      <c r="T189" s="9"/>
      <c r="U189" s="9"/>
      <c r="V189" s="9"/>
      <c r="W189" s="9"/>
      <c r="X189" s="9"/>
      <c r="Y189" s="10"/>
      <c r="Z189" s="11"/>
      <c r="AA189" s="11"/>
      <c r="AB189" s="11"/>
      <c r="AC189" s="11"/>
      <c r="AD189" s="11"/>
      <c r="AE189" s="11"/>
      <c r="AF189" s="11"/>
      <c r="AG189" s="11"/>
      <c r="AH189" s="11"/>
      <c r="AI189" s="12"/>
      <c r="AJ189" s="11"/>
      <c r="AK189" s="11"/>
      <c r="AL189" s="11"/>
      <c r="AM189" s="11"/>
      <c r="AN189" s="9"/>
      <c r="AO189" s="9"/>
      <c r="AP189" s="9"/>
      <c r="AQ189" s="9"/>
      <c r="AR189" s="9"/>
      <c r="AS189" s="9"/>
      <c r="AT189" s="9"/>
      <c r="AU189" s="9"/>
      <c r="AV189" s="9"/>
      <c r="AW189" s="9"/>
      <c r="AX189" s="13"/>
    </row>
    <row r="190" spans="1:50" s="14" customFormat="1" x14ac:dyDescent="0.25">
      <c r="A190" s="11"/>
      <c r="B190" s="11"/>
      <c r="C190" s="11"/>
      <c r="D190" s="11"/>
      <c r="E190" s="9"/>
      <c r="F190" s="9"/>
      <c r="G190" s="9"/>
      <c r="H190" s="10"/>
      <c r="I190" s="11"/>
      <c r="J190" s="9"/>
      <c r="K190" s="9"/>
      <c r="L190" s="9"/>
      <c r="M190" s="10"/>
      <c r="N190" s="9"/>
      <c r="O190" s="10"/>
      <c r="P190" s="11"/>
      <c r="Q190" s="11"/>
      <c r="R190" s="11"/>
      <c r="S190" s="11"/>
      <c r="T190" s="9"/>
      <c r="U190" s="9"/>
      <c r="V190" s="9"/>
      <c r="W190" s="9"/>
      <c r="X190" s="9"/>
      <c r="Y190" s="10"/>
      <c r="Z190" s="11"/>
      <c r="AA190" s="11"/>
      <c r="AB190" s="11"/>
      <c r="AC190" s="11"/>
      <c r="AD190" s="11"/>
      <c r="AE190" s="11"/>
      <c r="AF190" s="11"/>
      <c r="AG190" s="11"/>
      <c r="AH190" s="11"/>
      <c r="AI190" s="12"/>
      <c r="AJ190" s="11"/>
      <c r="AK190" s="11"/>
      <c r="AL190" s="11"/>
      <c r="AM190" s="11"/>
      <c r="AN190" s="9"/>
      <c r="AO190" s="9"/>
      <c r="AP190" s="9"/>
      <c r="AQ190" s="9"/>
      <c r="AR190" s="9"/>
      <c r="AS190" s="9"/>
      <c r="AT190" s="9"/>
      <c r="AU190" s="9"/>
      <c r="AV190" s="9"/>
      <c r="AW190" s="9"/>
      <c r="AX190" s="13"/>
    </row>
    <row r="191" spans="1:50" s="14" customFormat="1" x14ac:dyDescent="0.25">
      <c r="A191" s="11"/>
      <c r="B191" s="11"/>
      <c r="C191" s="11"/>
      <c r="D191" s="11"/>
      <c r="E191" s="9"/>
      <c r="F191" s="9"/>
      <c r="G191" s="9"/>
      <c r="H191" s="10"/>
      <c r="I191" s="11"/>
      <c r="J191" s="9"/>
      <c r="K191" s="9"/>
      <c r="L191" s="9"/>
      <c r="M191" s="10"/>
      <c r="N191" s="9"/>
      <c r="O191" s="10"/>
      <c r="P191" s="11"/>
      <c r="Q191" s="11"/>
      <c r="R191" s="11"/>
      <c r="S191" s="11"/>
      <c r="T191" s="9"/>
      <c r="U191" s="9"/>
      <c r="V191" s="9"/>
      <c r="W191" s="9"/>
      <c r="X191" s="9"/>
      <c r="Y191" s="10"/>
      <c r="Z191" s="11"/>
      <c r="AA191" s="11"/>
      <c r="AB191" s="11"/>
      <c r="AC191" s="11"/>
      <c r="AD191" s="9"/>
      <c r="AE191" s="9"/>
      <c r="AF191" s="9"/>
      <c r="AG191" s="9"/>
      <c r="AH191" s="11"/>
      <c r="AI191" s="10"/>
      <c r="AJ191" s="11"/>
      <c r="AK191" s="11"/>
      <c r="AL191" s="11"/>
      <c r="AM191" s="11"/>
      <c r="AN191" s="9"/>
      <c r="AO191" s="9"/>
      <c r="AP191" s="9"/>
      <c r="AQ191" s="9"/>
      <c r="AR191" s="9"/>
      <c r="AS191" s="9"/>
      <c r="AT191" s="9"/>
      <c r="AU191" s="9"/>
      <c r="AV191" s="9"/>
      <c r="AW191" s="9"/>
      <c r="AX191" s="13"/>
    </row>
    <row r="192" spans="1:50" s="14" customFormat="1" x14ac:dyDescent="0.25">
      <c r="A192" s="11"/>
      <c r="B192" s="11"/>
      <c r="C192" s="11"/>
      <c r="D192" s="9"/>
      <c r="E192" s="9"/>
      <c r="F192" s="9"/>
      <c r="G192" s="9"/>
      <c r="H192" s="10"/>
      <c r="I192" s="9"/>
      <c r="J192" s="9"/>
      <c r="K192" s="9"/>
      <c r="L192" s="9"/>
      <c r="M192" s="10"/>
      <c r="N192" s="9"/>
      <c r="O192" s="10"/>
      <c r="P192" s="11"/>
      <c r="Q192" s="11"/>
      <c r="R192" s="11"/>
      <c r="S192" s="11"/>
      <c r="T192" s="9"/>
      <c r="U192" s="9"/>
      <c r="V192" s="9"/>
      <c r="W192" s="9"/>
      <c r="X192" s="9"/>
      <c r="Y192" s="10"/>
      <c r="Z192" s="11"/>
      <c r="AA192" s="11"/>
      <c r="AB192" s="11"/>
      <c r="AC192" s="11"/>
      <c r="AD192" s="11"/>
      <c r="AE192" s="11"/>
      <c r="AF192" s="11"/>
      <c r="AG192" s="11"/>
      <c r="AH192" s="11"/>
      <c r="AI192" s="12"/>
      <c r="AJ192" s="11"/>
      <c r="AK192" s="11"/>
      <c r="AL192" s="11"/>
      <c r="AM192" s="11"/>
      <c r="AN192" s="9"/>
      <c r="AO192" s="9"/>
      <c r="AP192" s="9"/>
      <c r="AQ192" s="9"/>
      <c r="AR192" s="9"/>
      <c r="AS192" s="9"/>
      <c r="AT192" s="9"/>
      <c r="AU192" s="9"/>
      <c r="AV192" s="9"/>
      <c r="AW192" s="9"/>
      <c r="AX192" s="13"/>
    </row>
    <row r="193" spans="1:50" s="14" customFormat="1" x14ac:dyDescent="0.25">
      <c r="A193" s="11"/>
      <c r="B193" s="11"/>
      <c r="C193" s="11"/>
      <c r="D193" s="11"/>
      <c r="E193" s="9"/>
      <c r="F193" s="9"/>
      <c r="G193" s="9"/>
      <c r="H193" s="10"/>
      <c r="I193" s="11"/>
      <c r="J193" s="9"/>
      <c r="K193" s="9"/>
      <c r="L193" s="9"/>
      <c r="M193" s="10"/>
      <c r="N193" s="9"/>
      <c r="O193" s="10"/>
      <c r="P193" s="11"/>
      <c r="Q193" s="11"/>
      <c r="R193" s="11"/>
      <c r="S193" s="11"/>
      <c r="T193" s="9"/>
      <c r="U193" s="9"/>
      <c r="V193" s="9"/>
      <c r="W193" s="9"/>
      <c r="X193" s="9"/>
      <c r="Y193" s="10"/>
      <c r="Z193" s="11"/>
      <c r="AA193" s="11"/>
      <c r="AB193" s="11"/>
      <c r="AC193" s="11"/>
      <c r="AD193" s="11"/>
      <c r="AE193" s="11"/>
      <c r="AF193" s="11"/>
      <c r="AG193" s="11"/>
      <c r="AH193" s="11"/>
      <c r="AI193" s="12"/>
      <c r="AJ193" s="11"/>
      <c r="AK193" s="11"/>
      <c r="AL193" s="11"/>
      <c r="AM193" s="11"/>
      <c r="AN193" s="9"/>
      <c r="AO193" s="9"/>
      <c r="AP193" s="9"/>
      <c r="AQ193" s="9"/>
      <c r="AR193" s="9"/>
      <c r="AS193" s="9"/>
      <c r="AT193" s="9"/>
      <c r="AU193" s="9"/>
      <c r="AV193" s="9"/>
      <c r="AW193" s="9"/>
      <c r="AX193" s="13"/>
    </row>
    <row r="194" spans="1:50" s="14" customFormat="1" x14ac:dyDescent="0.25">
      <c r="A194" s="11"/>
      <c r="B194" s="11"/>
      <c r="C194" s="11"/>
      <c r="D194" s="11"/>
      <c r="E194" s="11"/>
      <c r="F194" s="11"/>
      <c r="G194" s="11"/>
      <c r="H194" s="10"/>
      <c r="I194" s="11"/>
      <c r="J194" s="11"/>
      <c r="K194" s="11"/>
      <c r="L194" s="11"/>
      <c r="M194" s="10"/>
      <c r="N194" s="9"/>
      <c r="O194" s="10"/>
      <c r="P194" s="11"/>
      <c r="Q194" s="11"/>
      <c r="R194" s="11"/>
      <c r="S194" s="11"/>
      <c r="T194" s="9"/>
      <c r="U194" s="9"/>
      <c r="V194" s="9"/>
      <c r="W194" s="9"/>
      <c r="X194" s="9"/>
      <c r="Y194" s="10"/>
      <c r="Z194" s="11"/>
      <c r="AA194" s="11"/>
      <c r="AB194" s="11"/>
      <c r="AC194" s="11"/>
      <c r="AD194" s="11"/>
      <c r="AE194" s="11"/>
      <c r="AF194" s="11"/>
      <c r="AG194" s="11"/>
      <c r="AH194" s="11"/>
      <c r="AI194" s="12"/>
      <c r="AJ194" s="11"/>
      <c r="AK194" s="11"/>
      <c r="AL194" s="11"/>
      <c r="AM194" s="11"/>
      <c r="AN194" s="9"/>
      <c r="AO194" s="9"/>
      <c r="AP194" s="9"/>
      <c r="AQ194" s="9"/>
      <c r="AR194" s="9"/>
      <c r="AS194" s="9"/>
      <c r="AT194" s="9"/>
      <c r="AU194" s="9"/>
      <c r="AV194" s="9"/>
      <c r="AW194" s="9"/>
      <c r="AX194" s="13"/>
    </row>
    <row r="195" spans="1:50" s="14" customFormat="1" x14ac:dyDescent="0.25">
      <c r="A195" s="11"/>
      <c r="B195" s="11"/>
      <c r="C195" s="11"/>
      <c r="D195" s="11"/>
      <c r="E195" s="11"/>
      <c r="F195" s="11"/>
      <c r="G195" s="11"/>
      <c r="H195" s="10"/>
      <c r="I195" s="11"/>
      <c r="J195" s="11"/>
      <c r="K195" s="11"/>
      <c r="L195" s="11"/>
      <c r="M195" s="10"/>
      <c r="N195" s="9"/>
      <c r="O195" s="10"/>
      <c r="P195" s="11"/>
      <c r="Q195" s="11"/>
      <c r="R195" s="11"/>
      <c r="S195" s="11"/>
      <c r="T195" s="9"/>
      <c r="U195" s="9"/>
      <c r="V195" s="9"/>
      <c r="W195" s="9"/>
      <c r="X195" s="9"/>
      <c r="Y195" s="10"/>
      <c r="Z195" s="11"/>
      <c r="AA195" s="11"/>
      <c r="AB195" s="11"/>
      <c r="AC195" s="11"/>
      <c r="AD195" s="11"/>
      <c r="AE195" s="11"/>
      <c r="AF195" s="11"/>
      <c r="AG195" s="11"/>
      <c r="AH195" s="11"/>
      <c r="AI195" s="12"/>
      <c r="AJ195" s="11"/>
      <c r="AK195" s="11"/>
      <c r="AL195" s="11"/>
      <c r="AM195" s="11"/>
      <c r="AN195" s="9"/>
      <c r="AO195" s="9"/>
      <c r="AP195" s="9"/>
      <c r="AQ195" s="9"/>
      <c r="AR195" s="9"/>
      <c r="AS195" s="9"/>
      <c r="AT195" s="9"/>
      <c r="AU195" s="9"/>
      <c r="AV195" s="9"/>
      <c r="AW195" s="9"/>
      <c r="AX195" s="13"/>
    </row>
    <row r="196" spans="1:50" s="14" customFormat="1" x14ac:dyDescent="0.25">
      <c r="A196" s="11"/>
      <c r="B196" s="11"/>
      <c r="C196" s="11"/>
      <c r="D196" s="11"/>
      <c r="E196" s="11"/>
      <c r="F196" s="11"/>
      <c r="G196" s="11"/>
      <c r="H196" s="10"/>
      <c r="I196" s="11"/>
      <c r="J196" s="11"/>
      <c r="K196" s="11"/>
      <c r="L196" s="11"/>
      <c r="M196" s="10"/>
      <c r="N196" s="9"/>
      <c r="O196" s="10"/>
      <c r="P196" s="11"/>
      <c r="Q196" s="11"/>
      <c r="R196" s="11"/>
      <c r="S196" s="11"/>
      <c r="T196" s="9"/>
      <c r="U196" s="9"/>
      <c r="V196" s="9"/>
      <c r="W196" s="9"/>
      <c r="X196" s="9"/>
      <c r="Y196" s="10"/>
      <c r="Z196" s="11"/>
      <c r="AA196" s="11"/>
      <c r="AB196" s="11"/>
      <c r="AC196" s="11"/>
      <c r="AD196" s="11"/>
      <c r="AE196" s="11"/>
      <c r="AF196" s="11"/>
      <c r="AG196" s="11"/>
      <c r="AH196" s="11"/>
      <c r="AI196" s="12"/>
      <c r="AJ196" s="11"/>
      <c r="AK196" s="11"/>
      <c r="AL196" s="11"/>
      <c r="AM196" s="11"/>
      <c r="AN196" s="9"/>
      <c r="AO196" s="9"/>
      <c r="AP196" s="9"/>
      <c r="AQ196" s="9"/>
      <c r="AR196" s="9"/>
      <c r="AS196" s="9"/>
      <c r="AT196" s="9"/>
      <c r="AU196" s="9"/>
      <c r="AV196" s="9"/>
      <c r="AW196" s="9"/>
      <c r="AX196" s="13"/>
    </row>
    <row r="197" spans="1:50" s="14" customFormat="1" x14ac:dyDescent="0.25">
      <c r="A197" s="11"/>
      <c r="B197" s="11"/>
      <c r="C197" s="11"/>
      <c r="D197" s="11"/>
      <c r="E197" s="11"/>
      <c r="F197" s="11"/>
      <c r="G197" s="11"/>
      <c r="H197" s="10"/>
      <c r="I197" s="11"/>
      <c r="J197" s="11"/>
      <c r="K197" s="11"/>
      <c r="L197" s="11"/>
      <c r="M197" s="10"/>
      <c r="N197" s="9"/>
      <c r="O197" s="10"/>
      <c r="P197" s="11"/>
      <c r="Q197" s="11"/>
      <c r="R197" s="11"/>
      <c r="S197" s="11"/>
      <c r="T197" s="9"/>
      <c r="U197" s="9"/>
      <c r="V197" s="9"/>
      <c r="W197" s="9"/>
      <c r="X197" s="9"/>
      <c r="Y197" s="10"/>
      <c r="Z197" s="11"/>
      <c r="AA197" s="11"/>
      <c r="AB197" s="11"/>
      <c r="AC197" s="11"/>
      <c r="AD197" s="11"/>
      <c r="AE197" s="11"/>
      <c r="AF197" s="11"/>
      <c r="AG197" s="11"/>
      <c r="AH197" s="11"/>
      <c r="AI197" s="12"/>
      <c r="AJ197" s="11"/>
      <c r="AK197" s="11"/>
      <c r="AL197" s="11"/>
      <c r="AM197" s="11"/>
      <c r="AN197" s="9"/>
      <c r="AO197" s="9"/>
      <c r="AP197" s="9"/>
      <c r="AQ197" s="9"/>
      <c r="AR197" s="9"/>
      <c r="AS197" s="9"/>
      <c r="AT197" s="9"/>
      <c r="AU197" s="9"/>
      <c r="AV197" s="9"/>
      <c r="AW197" s="9"/>
      <c r="AX197" s="13"/>
    </row>
    <row r="198" spans="1:50" s="14" customFormat="1" x14ac:dyDescent="0.25">
      <c r="A198" s="11"/>
      <c r="B198" s="11"/>
      <c r="C198" s="11"/>
      <c r="D198" s="11"/>
      <c r="E198" s="11"/>
      <c r="F198" s="11"/>
      <c r="G198" s="11"/>
      <c r="H198" s="10"/>
      <c r="I198" s="11"/>
      <c r="J198" s="11"/>
      <c r="K198" s="11"/>
      <c r="L198" s="11"/>
      <c r="M198" s="10"/>
      <c r="N198" s="9"/>
      <c r="O198" s="10"/>
      <c r="P198" s="11"/>
      <c r="Q198" s="11"/>
      <c r="R198" s="11"/>
      <c r="S198" s="11"/>
      <c r="T198" s="9"/>
      <c r="U198" s="9"/>
      <c r="V198" s="9"/>
      <c r="W198" s="9"/>
      <c r="X198" s="9"/>
      <c r="Y198" s="10"/>
      <c r="Z198" s="11"/>
      <c r="AA198" s="11"/>
      <c r="AB198" s="11"/>
      <c r="AC198" s="11"/>
      <c r="AD198" s="11"/>
      <c r="AE198" s="11"/>
      <c r="AF198" s="11"/>
      <c r="AG198" s="11"/>
      <c r="AH198" s="11"/>
      <c r="AI198" s="12"/>
      <c r="AJ198" s="11"/>
      <c r="AK198" s="11"/>
      <c r="AL198" s="11"/>
      <c r="AM198" s="11"/>
      <c r="AN198" s="9"/>
      <c r="AO198" s="9"/>
      <c r="AP198" s="9"/>
      <c r="AQ198" s="9"/>
      <c r="AR198" s="9"/>
      <c r="AS198" s="9"/>
      <c r="AT198" s="9"/>
      <c r="AU198" s="9"/>
      <c r="AV198" s="9"/>
      <c r="AW198" s="9"/>
      <c r="AX198" s="13"/>
    </row>
    <row r="199" spans="1:50" s="14" customFormat="1" x14ac:dyDescent="0.25">
      <c r="A199" s="11"/>
      <c r="B199" s="11"/>
      <c r="C199" s="11"/>
      <c r="D199" s="11"/>
      <c r="E199" s="9"/>
      <c r="F199" s="9"/>
      <c r="G199" s="9"/>
      <c r="H199" s="10"/>
      <c r="I199" s="11"/>
      <c r="J199" s="9"/>
      <c r="K199" s="9"/>
      <c r="L199" s="9"/>
      <c r="M199" s="10"/>
      <c r="N199" s="9"/>
      <c r="O199" s="10"/>
      <c r="P199" s="11"/>
      <c r="Q199" s="11"/>
      <c r="R199" s="11"/>
      <c r="S199" s="11"/>
      <c r="T199" s="9"/>
      <c r="U199" s="9"/>
      <c r="V199" s="9"/>
      <c r="W199" s="9"/>
      <c r="X199" s="9"/>
      <c r="Y199" s="10"/>
      <c r="Z199" s="11"/>
      <c r="AA199" s="11"/>
      <c r="AB199" s="11"/>
      <c r="AC199" s="11"/>
      <c r="AD199" s="11"/>
      <c r="AE199" s="11"/>
      <c r="AF199" s="11"/>
      <c r="AG199" s="11"/>
      <c r="AH199" s="11"/>
      <c r="AI199" s="12"/>
      <c r="AJ199" s="11"/>
      <c r="AK199" s="11"/>
      <c r="AL199" s="11"/>
      <c r="AM199" s="11"/>
      <c r="AN199" s="9"/>
      <c r="AO199" s="9"/>
      <c r="AP199" s="9"/>
      <c r="AQ199" s="9"/>
      <c r="AR199" s="9"/>
      <c r="AS199" s="9"/>
      <c r="AT199" s="9"/>
      <c r="AU199" s="9"/>
      <c r="AV199" s="9"/>
      <c r="AW199" s="9"/>
      <c r="AX199" s="13"/>
    </row>
    <row r="200" spans="1:50" s="14" customFormat="1" x14ac:dyDescent="0.25">
      <c r="A200" s="11"/>
      <c r="B200" s="11"/>
      <c r="C200" s="11"/>
      <c r="D200" s="11"/>
      <c r="E200" s="9"/>
      <c r="F200" s="9"/>
      <c r="G200" s="9"/>
      <c r="H200" s="10"/>
      <c r="I200" s="11"/>
      <c r="J200" s="9"/>
      <c r="K200" s="9"/>
      <c r="L200" s="9"/>
      <c r="M200" s="10"/>
      <c r="N200" s="9"/>
      <c r="O200" s="10"/>
      <c r="P200" s="11"/>
      <c r="Q200" s="11"/>
      <c r="R200" s="11"/>
      <c r="S200" s="11"/>
      <c r="T200" s="11"/>
      <c r="U200" s="9"/>
      <c r="V200" s="9"/>
      <c r="W200" s="9"/>
      <c r="X200" s="9"/>
      <c r="Y200" s="10"/>
      <c r="Z200" s="11"/>
      <c r="AA200" s="11"/>
      <c r="AB200" s="11"/>
      <c r="AC200" s="11"/>
      <c r="AD200" s="11"/>
      <c r="AE200" s="11"/>
      <c r="AF200" s="11"/>
      <c r="AG200" s="11"/>
      <c r="AH200" s="11"/>
      <c r="AI200" s="12"/>
      <c r="AJ200" s="11"/>
      <c r="AK200" s="11"/>
      <c r="AL200" s="11"/>
      <c r="AM200" s="11"/>
      <c r="AN200" s="9"/>
      <c r="AO200" s="9"/>
      <c r="AP200" s="9"/>
      <c r="AQ200" s="9"/>
      <c r="AR200" s="9"/>
      <c r="AS200" s="9"/>
      <c r="AT200" s="9"/>
      <c r="AU200" s="9"/>
      <c r="AV200" s="9"/>
      <c r="AW200" s="9"/>
      <c r="AX200" s="13"/>
    </row>
    <row r="201" spans="1:50" s="14" customFormat="1" x14ac:dyDescent="0.25">
      <c r="A201" s="11"/>
      <c r="B201" s="11"/>
      <c r="C201" s="11"/>
      <c r="D201" s="11"/>
      <c r="E201" s="9"/>
      <c r="F201" s="9"/>
      <c r="G201" s="9"/>
      <c r="H201" s="10"/>
      <c r="I201" s="11"/>
      <c r="J201" s="9"/>
      <c r="K201" s="9"/>
      <c r="L201" s="9"/>
      <c r="M201" s="10"/>
      <c r="N201" s="9"/>
      <c r="O201" s="10"/>
      <c r="P201" s="11"/>
      <c r="Q201" s="11"/>
      <c r="R201" s="11"/>
      <c r="S201" s="11"/>
      <c r="T201" s="11"/>
      <c r="U201" s="9"/>
      <c r="V201" s="9"/>
      <c r="W201" s="9"/>
      <c r="X201" s="9"/>
      <c r="Y201" s="10"/>
      <c r="Z201" s="11"/>
      <c r="AA201" s="11"/>
      <c r="AB201" s="11"/>
      <c r="AC201" s="11"/>
      <c r="AD201" s="11"/>
      <c r="AE201" s="11"/>
      <c r="AF201" s="11"/>
      <c r="AG201" s="11"/>
      <c r="AH201" s="11"/>
      <c r="AI201" s="12"/>
      <c r="AJ201" s="11"/>
      <c r="AK201" s="11"/>
      <c r="AL201" s="11"/>
      <c r="AM201" s="11"/>
      <c r="AN201" s="9"/>
      <c r="AO201" s="9"/>
      <c r="AP201" s="9"/>
      <c r="AQ201" s="9"/>
      <c r="AR201" s="9"/>
      <c r="AS201" s="9"/>
      <c r="AT201" s="9"/>
      <c r="AU201" s="9"/>
      <c r="AV201" s="9"/>
      <c r="AW201" s="9"/>
      <c r="AX201" s="13"/>
    </row>
    <row r="202" spans="1:50" s="14" customFormat="1" x14ac:dyDescent="0.25">
      <c r="A202" s="11"/>
      <c r="B202" s="11"/>
      <c r="C202" s="11"/>
      <c r="D202" s="11"/>
      <c r="E202" s="9"/>
      <c r="F202" s="9"/>
      <c r="G202" s="9"/>
      <c r="H202" s="10"/>
      <c r="I202" s="11"/>
      <c r="J202" s="9"/>
      <c r="K202" s="9"/>
      <c r="L202" s="9"/>
      <c r="M202" s="10"/>
      <c r="N202" s="9"/>
      <c r="O202" s="10"/>
      <c r="P202" s="11"/>
      <c r="Q202" s="11"/>
      <c r="R202" s="11"/>
      <c r="S202" s="11"/>
      <c r="T202" s="9"/>
      <c r="U202" s="9"/>
      <c r="V202" s="9"/>
      <c r="W202" s="9"/>
      <c r="X202" s="9"/>
      <c r="Y202" s="10"/>
      <c r="Z202" s="11"/>
      <c r="AA202" s="11"/>
      <c r="AB202" s="11"/>
      <c r="AC202" s="11"/>
      <c r="AD202" s="11"/>
      <c r="AE202" s="11"/>
      <c r="AF202" s="11"/>
      <c r="AG202" s="11"/>
      <c r="AH202" s="11"/>
      <c r="AI202" s="12"/>
      <c r="AJ202" s="11"/>
      <c r="AK202" s="11"/>
      <c r="AL202" s="11"/>
      <c r="AM202" s="11"/>
      <c r="AN202" s="9"/>
      <c r="AO202" s="9"/>
      <c r="AP202" s="9"/>
      <c r="AQ202" s="9"/>
      <c r="AR202" s="9"/>
      <c r="AS202" s="9"/>
      <c r="AT202" s="9"/>
      <c r="AU202" s="9"/>
      <c r="AV202" s="9"/>
      <c r="AW202" s="9"/>
      <c r="AX202" s="13"/>
    </row>
    <row r="203" spans="1:50" s="14" customFormat="1" x14ac:dyDescent="0.25">
      <c r="A203" s="11"/>
      <c r="B203" s="11"/>
      <c r="C203" s="11"/>
      <c r="D203" s="11"/>
      <c r="E203" s="9"/>
      <c r="F203" s="9"/>
      <c r="G203" s="9"/>
      <c r="H203" s="10"/>
      <c r="I203" s="11"/>
      <c r="J203" s="9"/>
      <c r="K203" s="9"/>
      <c r="L203" s="9"/>
      <c r="M203" s="10"/>
      <c r="N203" s="9"/>
      <c r="O203" s="10"/>
      <c r="P203" s="11"/>
      <c r="Q203" s="11"/>
      <c r="R203" s="11"/>
      <c r="S203" s="11"/>
      <c r="T203" s="9"/>
      <c r="U203" s="9"/>
      <c r="V203" s="9"/>
      <c r="W203" s="9"/>
      <c r="X203" s="9"/>
      <c r="Y203" s="10"/>
      <c r="Z203" s="11"/>
      <c r="AA203" s="11"/>
      <c r="AB203" s="11"/>
      <c r="AC203" s="11"/>
      <c r="AD203" s="11"/>
      <c r="AE203" s="11"/>
      <c r="AF203" s="11"/>
      <c r="AG203" s="11"/>
      <c r="AH203" s="11"/>
      <c r="AI203" s="12"/>
      <c r="AJ203" s="11"/>
      <c r="AK203" s="11"/>
      <c r="AL203" s="11"/>
      <c r="AM203" s="11"/>
      <c r="AN203" s="9"/>
      <c r="AO203" s="9"/>
      <c r="AP203" s="9"/>
      <c r="AQ203" s="9"/>
      <c r="AR203" s="9"/>
      <c r="AS203" s="9"/>
      <c r="AT203" s="9"/>
      <c r="AU203" s="9"/>
      <c r="AV203" s="9"/>
      <c r="AW203" s="9"/>
      <c r="AX203" s="13"/>
    </row>
    <row r="204" spans="1:50" s="14" customFormat="1" x14ac:dyDescent="0.25">
      <c r="A204" s="11"/>
      <c r="B204" s="11"/>
      <c r="C204" s="11"/>
      <c r="D204" s="11"/>
      <c r="E204" s="9"/>
      <c r="F204" s="9"/>
      <c r="G204" s="9"/>
      <c r="H204" s="10"/>
      <c r="I204" s="11"/>
      <c r="J204" s="9"/>
      <c r="K204" s="9"/>
      <c r="L204" s="9"/>
      <c r="M204" s="10"/>
      <c r="N204" s="9"/>
      <c r="O204" s="10"/>
      <c r="P204" s="11"/>
      <c r="Q204" s="11"/>
      <c r="R204" s="11"/>
      <c r="S204" s="11"/>
      <c r="T204" s="9"/>
      <c r="U204" s="9"/>
      <c r="V204" s="9"/>
      <c r="W204" s="9"/>
      <c r="X204" s="9"/>
      <c r="Y204" s="10"/>
      <c r="Z204" s="11"/>
      <c r="AA204" s="11"/>
      <c r="AB204" s="11"/>
      <c r="AC204" s="11"/>
      <c r="AD204" s="11"/>
      <c r="AE204" s="11"/>
      <c r="AF204" s="11"/>
      <c r="AG204" s="11"/>
      <c r="AH204" s="11"/>
      <c r="AI204" s="12"/>
      <c r="AJ204" s="11"/>
      <c r="AK204" s="11"/>
      <c r="AL204" s="11"/>
      <c r="AM204" s="11"/>
      <c r="AN204" s="9"/>
      <c r="AO204" s="9"/>
      <c r="AP204" s="9"/>
      <c r="AQ204" s="9"/>
      <c r="AR204" s="9"/>
      <c r="AS204" s="9"/>
      <c r="AT204" s="9"/>
      <c r="AU204" s="9"/>
      <c r="AV204" s="9"/>
      <c r="AW204" s="9"/>
      <c r="AX204" s="13"/>
    </row>
    <row r="205" spans="1:50" s="14" customFormat="1" x14ac:dyDescent="0.25">
      <c r="A205" s="11"/>
      <c r="B205" s="11"/>
      <c r="C205" s="11"/>
      <c r="D205" s="11"/>
      <c r="E205" s="11"/>
      <c r="F205" s="11"/>
      <c r="G205" s="11"/>
      <c r="H205" s="10"/>
      <c r="I205" s="11"/>
      <c r="J205" s="11"/>
      <c r="K205" s="11"/>
      <c r="L205" s="11"/>
      <c r="M205" s="10"/>
      <c r="N205" s="9"/>
      <c r="O205" s="10"/>
      <c r="P205" s="11"/>
      <c r="Q205" s="11"/>
      <c r="R205" s="11"/>
      <c r="S205" s="11"/>
      <c r="T205" s="9"/>
      <c r="U205" s="9"/>
      <c r="V205" s="9"/>
      <c r="W205" s="9"/>
      <c r="X205" s="9"/>
      <c r="Y205" s="10"/>
      <c r="Z205" s="11"/>
      <c r="AA205" s="11"/>
      <c r="AB205" s="11"/>
      <c r="AC205" s="11"/>
      <c r="AD205" s="11"/>
      <c r="AE205" s="11"/>
      <c r="AF205" s="11"/>
      <c r="AG205" s="11"/>
      <c r="AH205" s="11"/>
      <c r="AI205" s="12"/>
      <c r="AJ205" s="11"/>
      <c r="AK205" s="11"/>
      <c r="AL205" s="11"/>
      <c r="AM205" s="11"/>
      <c r="AN205" s="9"/>
      <c r="AO205" s="9"/>
      <c r="AP205" s="9"/>
      <c r="AQ205" s="9"/>
      <c r="AR205" s="9"/>
      <c r="AS205" s="9"/>
      <c r="AT205" s="9"/>
      <c r="AU205" s="9"/>
      <c r="AV205" s="9"/>
      <c r="AW205" s="9"/>
      <c r="AX205" s="13"/>
    </row>
    <row r="206" spans="1:50" s="14" customFormat="1" x14ac:dyDescent="0.25">
      <c r="A206" s="11"/>
      <c r="B206" s="11"/>
      <c r="C206" s="11"/>
      <c r="D206" s="11"/>
      <c r="E206" s="9"/>
      <c r="F206" s="9"/>
      <c r="G206" s="9"/>
      <c r="H206" s="10"/>
      <c r="I206" s="11"/>
      <c r="J206" s="9"/>
      <c r="K206" s="9"/>
      <c r="L206" s="9"/>
      <c r="M206" s="10"/>
      <c r="N206" s="9"/>
      <c r="O206" s="10"/>
      <c r="P206" s="11"/>
      <c r="Q206" s="11"/>
      <c r="R206" s="11"/>
      <c r="S206" s="11"/>
      <c r="T206" s="9"/>
      <c r="U206" s="9"/>
      <c r="V206" s="9"/>
      <c r="W206" s="9"/>
      <c r="X206" s="9"/>
      <c r="Y206" s="10"/>
      <c r="Z206" s="11"/>
      <c r="AA206" s="11"/>
      <c r="AB206" s="11"/>
      <c r="AC206" s="11"/>
      <c r="AD206" s="11"/>
      <c r="AE206" s="11"/>
      <c r="AF206" s="11"/>
      <c r="AG206" s="11"/>
      <c r="AH206" s="11"/>
      <c r="AI206" s="12"/>
      <c r="AJ206" s="11"/>
      <c r="AK206" s="11"/>
      <c r="AL206" s="11"/>
      <c r="AM206" s="11"/>
      <c r="AN206" s="9"/>
      <c r="AO206" s="9"/>
      <c r="AP206" s="9"/>
      <c r="AQ206" s="9"/>
      <c r="AR206" s="9"/>
      <c r="AS206" s="9"/>
      <c r="AT206" s="9"/>
      <c r="AU206" s="9"/>
      <c r="AV206" s="9"/>
      <c r="AW206" s="9"/>
      <c r="AX206" s="13"/>
    </row>
    <row r="207" spans="1:50" s="14" customFormat="1" x14ac:dyDescent="0.25">
      <c r="A207" s="11"/>
      <c r="B207" s="11"/>
      <c r="C207" s="11"/>
      <c r="D207" s="11"/>
      <c r="E207" s="11"/>
      <c r="F207" s="11"/>
      <c r="G207" s="11"/>
      <c r="H207" s="10"/>
      <c r="I207" s="11"/>
      <c r="J207" s="11"/>
      <c r="K207" s="11"/>
      <c r="L207" s="11"/>
      <c r="M207" s="10"/>
      <c r="N207" s="9"/>
      <c r="O207" s="10"/>
      <c r="P207" s="11"/>
      <c r="Q207" s="11"/>
      <c r="R207" s="11"/>
      <c r="S207" s="11"/>
      <c r="T207" s="9"/>
      <c r="U207" s="9"/>
      <c r="V207" s="9"/>
      <c r="W207" s="9"/>
      <c r="X207" s="9"/>
      <c r="Y207" s="10"/>
      <c r="Z207" s="11"/>
      <c r="AA207" s="11"/>
      <c r="AB207" s="11"/>
      <c r="AC207" s="11"/>
      <c r="AD207" s="11"/>
      <c r="AE207" s="11"/>
      <c r="AF207" s="11"/>
      <c r="AG207" s="11"/>
      <c r="AH207" s="11"/>
      <c r="AI207" s="12"/>
      <c r="AJ207" s="11"/>
      <c r="AK207" s="11"/>
      <c r="AL207" s="11"/>
      <c r="AM207" s="11"/>
      <c r="AN207" s="9"/>
      <c r="AO207" s="9"/>
      <c r="AP207" s="9"/>
      <c r="AQ207" s="9"/>
      <c r="AR207" s="9"/>
      <c r="AS207" s="9"/>
      <c r="AT207" s="9"/>
      <c r="AU207" s="9"/>
      <c r="AV207" s="9"/>
      <c r="AW207" s="9"/>
      <c r="AX207" s="13"/>
    </row>
    <row r="208" spans="1:50" s="14" customFormat="1" x14ac:dyDescent="0.25">
      <c r="A208" s="11"/>
      <c r="B208" s="11"/>
      <c r="C208" s="11"/>
      <c r="D208" s="9"/>
      <c r="E208" s="9"/>
      <c r="F208" s="9"/>
      <c r="G208" s="9"/>
      <c r="H208" s="10"/>
      <c r="I208" s="9"/>
      <c r="J208" s="9"/>
      <c r="K208" s="9"/>
      <c r="L208" s="9"/>
      <c r="M208" s="10"/>
      <c r="N208" s="9"/>
      <c r="O208" s="10"/>
      <c r="P208" s="11"/>
      <c r="Q208" s="11"/>
      <c r="R208" s="11"/>
      <c r="S208" s="11"/>
      <c r="T208" s="9"/>
      <c r="U208" s="9"/>
      <c r="V208" s="9"/>
      <c r="W208" s="9"/>
      <c r="X208" s="9"/>
      <c r="Y208" s="10"/>
      <c r="Z208" s="11"/>
      <c r="AA208" s="11"/>
      <c r="AB208" s="11"/>
      <c r="AC208" s="11"/>
      <c r="AD208" s="11"/>
      <c r="AE208" s="11"/>
      <c r="AF208" s="11"/>
      <c r="AG208" s="11"/>
      <c r="AH208" s="11"/>
      <c r="AI208" s="12"/>
      <c r="AJ208" s="11"/>
      <c r="AK208" s="11"/>
      <c r="AL208" s="11"/>
      <c r="AM208" s="11"/>
      <c r="AN208" s="9"/>
      <c r="AO208" s="9"/>
      <c r="AP208" s="9"/>
      <c r="AQ208" s="9"/>
      <c r="AR208" s="9"/>
      <c r="AS208" s="9"/>
      <c r="AT208" s="9"/>
      <c r="AU208" s="9"/>
      <c r="AV208" s="9"/>
      <c r="AW208" s="9"/>
      <c r="AX208" s="13"/>
    </row>
    <row r="209" spans="1:50" s="14" customFormat="1" x14ac:dyDescent="0.25">
      <c r="A209" s="11"/>
      <c r="B209" s="11"/>
      <c r="C209" s="11"/>
      <c r="D209" s="11"/>
      <c r="E209" s="11"/>
      <c r="F209" s="11"/>
      <c r="G209" s="11"/>
      <c r="H209" s="10"/>
      <c r="I209" s="11"/>
      <c r="J209" s="11"/>
      <c r="K209" s="11"/>
      <c r="L209" s="11"/>
      <c r="M209" s="10"/>
      <c r="N209" s="9"/>
      <c r="O209" s="10"/>
      <c r="P209" s="11"/>
      <c r="Q209" s="11"/>
      <c r="R209" s="11"/>
      <c r="S209" s="11"/>
      <c r="T209" s="9"/>
      <c r="U209" s="9"/>
      <c r="V209" s="9"/>
      <c r="W209" s="9"/>
      <c r="X209" s="9"/>
      <c r="Y209" s="10"/>
      <c r="Z209" s="11"/>
      <c r="AA209" s="11"/>
      <c r="AB209" s="11"/>
      <c r="AC209" s="11"/>
      <c r="AD209" s="11"/>
      <c r="AE209" s="11"/>
      <c r="AF209" s="11"/>
      <c r="AG209" s="11"/>
      <c r="AH209" s="11"/>
      <c r="AI209" s="12"/>
      <c r="AJ209" s="11"/>
      <c r="AK209" s="11"/>
      <c r="AL209" s="11"/>
      <c r="AM209" s="11"/>
      <c r="AN209" s="9"/>
      <c r="AO209" s="9"/>
      <c r="AP209" s="9"/>
      <c r="AQ209" s="9"/>
      <c r="AR209" s="9"/>
      <c r="AS209" s="9"/>
      <c r="AT209" s="9"/>
      <c r="AU209" s="9"/>
      <c r="AV209" s="9"/>
      <c r="AW209" s="9"/>
      <c r="AX209" s="13"/>
    </row>
    <row r="210" spans="1:50" s="14" customFormat="1" x14ac:dyDescent="0.25">
      <c r="A210" s="11"/>
      <c r="B210" s="11"/>
      <c r="C210" s="11"/>
      <c r="D210" s="11"/>
      <c r="E210" s="11"/>
      <c r="F210" s="11"/>
      <c r="G210" s="11"/>
      <c r="H210" s="10"/>
      <c r="I210" s="11"/>
      <c r="J210" s="11"/>
      <c r="K210" s="11"/>
      <c r="L210" s="11"/>
      <c r="M210" s="10"/>
      <c r="N210" s="9"/>
      <c r="O210" s="10"/>
      <c r="P210" s="11"/>
      <c r="Q210" s="11"/>
      <c r="R210" s="11"/>
      <c r="S210" s="11"/>
      <c r="T210" s="9"/>
      <c r="U210" s="9"/>
      <c r="V210" s="9"/>
      <c r="W210" s="9"/>
      <c r="X210" s="9"/>
      <c r="Y210" s="10"/>
      <c r="Z210" s="11"/>
      <c r="AA210" s="11"/>
      <c r="AB210" s="11"/>
      <c r="AC210" s="11"/>
      <c r="AD210" s="11"/>
      <c r="AE210" s="11"/>
      <c r="AF210" s="11"/>
      <c r="AG210" s="11"/>
      <c r="AH210" s="11"/>
      <c r="AI210" s="12"/>
      <c r="AJ210" s="11"/>
      <c r="AK210" s="11"/>
      <c r="AL210" s="11"/>
      <c r="AM210" s="11"/>
      <c r="AN210" s="9"/>
      <c r="AO210" s="9"/>
      <c r="AP210" s="9"/>
      <c r="AQ210" s="9"/>
      <c r="AR210" s="9"/>
      <c r="AS210" s="9"/>
      <c r="AT210" s="9"/>
      <c r="AU210" s="9"/>
      <c r="AV210" s="9"/>
      <c r="AW210" s="9"/>
      <c r="AX210" s="13"/>
    </row>
    <row r="211" spans="1:50" s="14" customFormat="1" x14ac:dyDescent="0.25">
      <c r="A211" s="11"/>
      <c r="B211" s="11"/>
      <c r="C211" s="11"/>
      <c r="D211" s="11"/>
      <c r="E211" s="9"/>
      <c r="F211" s="9"/>
      <c r="G211" s="9"/>
      <c r="H211" s="10"/>
      <c r="I211" s="11"/>
      <c r="J211" s="9"/>
      <c r="K211" s="9"/>
      <c r="L211" s="9"/>
      <c r="M211" s="10"/>
      <c r="N211" s="9"/>
      <c r="O211" s="10"/>
      <c r="P211" s="11"/>
      <c r="Q211" s="11"/>
      <c r="R211" s="11"/>
      <c r="S211" s="11"/>
      <c r="T211" s="9"/>
      <c r="U211" s="9"/>
      <c r="V211" s="9"/>
      <c r="W211" s="9"/>
      <c r="X211" s="9"/>
      <c r="Y211" s="10"/>
      <c r="Z211" s="11"/>
      <c r="AA211" s="11"/>
      <c r="AB211" s="11"/>
      <c r="AC211" s="11"/>
      <c r="AD211" s="11"/>
      <c r="AE211" s="11"/>
      <c r="AF211" s="11"/>
      <c r="AG211" s="11"/>
      <c r="AH211" s="11"/>
      <c r="AI211" s="12"/>
      <c r="AJ211" s="11"/>
      <c r="AK211" s="11"/>
      <c r="AL211" s="11"/>
      <c r="AM211" s="11"/>
      <c r="AN211" s="9"/>
      <c r="AO211" s="9"/>
      <c r="AP211" s="9"/>
      <c r="AQ211" s="9"/>
      <c r="AR211" s="9"/>
      <c r="AS211" s="9"/>
      <c r="AT211" s="9"/>
      <c r="AU211" s="9"/>
      <c r="AV211" s="9"/>
      <c r="AW211" s="9"/>
      <c r="AX211" s="13"/>
    </row>
    <row r="212" spans="1:50" s="14" customFormat="1" x14ac:dyDescent="0.25">
      <c r="A212" s="11"/>
      <c r="B212" s="11"/>
      <c r="C212" s="11"/>
      <c r="D212" s="11"/>
      <c r="E212" s="11"/>
      <c r="F212" s="11"/>
      <c r="G212" s="11"/>
      <c r="H212" s="10"/>
      <c r="I212" s="11"/>
      <c r="J212" s="11"/>
      <c r="K212" s="11"/>
      <c r="L212" s="11"/>
      <c r="M212" s="10"/>
      <c r="N212" s="9"/>
      <c r="O212" s="10"/>
      <c r="P212" s="11"/>
      <c r="Q212" s="11"/>
      <c r="R212" s="11"/>
      <c r="S212" s="11"/>
      <c r="T212" s="9"/>
      <c r="U212" s="9"/>
      <c r="V212" s="9"/>
      <c r="W212" s="9"/>
      <c r="X212" s="9"/>
      <c r="Y212" s="10"/>
      <c r="Z212" s="11"/>
      <c r="AA212" s="11"/>
      <c r="AB212" s="11"/>
      <c r="AC212" s="11"/>
      <c r="AD212" s="11"/>
      <c r="AE212" s="11"/>
      <c r="AF212" s="11"/>
      <c r="AG212" s="11"/>
      <c r="AH212" s="11"/>
      <c r="AI212" s="12"/>
      <c r="AJ212" s="11"/>
      <c r="AK212" s="11"/>
      <c r="AL212" s="11"/>
      <c r="AM212" s="11"/>
      <c r="AN212" s="9"/>
      <c r="AO212" s="9"/>
      <c r="AP212" s="9"/>
      <c r="AQ212" s="9"/>
      <c r="AR212" s="9"/>
      <c r="AS212" s="9"/>
      <c r="AT212" s="9"/>
      <c r="AU212" s="9"/>
      <c r="AV212" s="9"/>
      <c r="AW212" s="9"/>
      <c r="AX212" s="13"/>
    </row>
    <row r="213" spans="1:50" s="14" customFormat="1" x14ac:dyDescent="0.25">
      <c r="A213" s="11"/>
      <c r="B213" s="11"/>
      <c r="C213" s="11"/>
      <c r="D213" s="11"/>
      <c r="E213" s="9"/>
      <c r="F213" s="9"/>
      <c r="G213" s="9"/>
      <c r="H213" s="10"/>
      <c r="I213" s="11"/>
      <c r="J213" s="9"/>
      <c r="K213" s="9"/>
      <c r="L213" s="9"/>
      <c r="M213" s="10"/>
      <c r="N213" s="9"/>
      <c r="O213" s="10"/>
      <c r="P213" s="11"/>
      <c r="Q213" s="11"/>
      <c r="R213" s="11"/>
      <c r="S213" s="11"/>
      <c r="T213" s="9"/>
      <c r="U213" s="9"/>
      <c r="V213" s="9"/>
      <c r="W213" s="9"/>
      <c r="X213" s="9"/>
      <c r="Y213" s="10"/>
      <c r="Z213" s="11"/>
      <c r="AA213" s="11"/>
      <c r="AB213" s="11"/>
      <c r="AC213" s="11"/>
      <c r="AD213" s="11"/>
      <c r="AE213" s="11"/>
      <c r="AF213" s="11"/>
      <c r="AG213" s="11"/>
      <c r="AH213" s="11"/>
      <c r="AI213" s="12"/>
      <c r="AJ213" s="11"/>
      <c r="AK213" s="11"/>
      <c r="AL213" s="11"/>
      <c r="AM213" s="11"/>
      <c r="AN213" s="9"/>
      <c r="AO213" s="9"/>
      <c r="AP213" s="9"/>
      <c r="AQ213" s="9"/>
      <c r="AR213" s="9"/>
      <c r="AS213" s="9"/>
      <c r="AT213" s="9"/>
      <c r="AU213" s="9"/>
      <c r="AV213" s="9"/>
      <c r="AW213" s="9"/>
      <c r="AX213" s="13"/>
    </row>
    <row r="214" spans="1:50" s="14" customFormat="1" x14ac:dyDescent="0.25">
      <c r="A214" s="11"/>
      <c r="B214" s="11"/>
      <c r="C214" s="11"/>
      <c r="D214" s="11"/>
      <c r="E214" s="9"/>
      <c r="F214" s="9"/>
      <c r="G214" s="9"/>
      <c r="H214" s="10"/>
      <c r="I214" s="11"/>
      <c r="J214" s="9"/>
      <c r="K214" s="9"/>
      <c r="L214" s="9"/>
      <c r="M214" s="10"/>
      <c r="N214" s="9"/>
      <c r="O214" s="10"/>
      <c r="P214" s="11"/>
      <c r="Q214" s="11"/>
      <c r="R214" s="11"/>
      <c r="S214" s="11"/>
      <c r="T214" s="9"/>
      <c r="U214" s="9"/>
      <c r="V214" s="9"/>
      <c r="W214" s="9"/>
      <c r="X214" s="9"/>
      <c r="Y214" s="10"/>
      <c r="Z214" s="11"/>
      <c r="AA214" s="11"/>
      <c r="AB214" s="11"/>
      <c r="AC214" s="11"/>
      <c r="AD214" s="11"/>
      <c r="AE214" s="11"/>
      <c r="AF214" s="11"/>
      <c r="AG214" s="11"/>
      <c r="AH214" s="11"/>
      <c r="AI214" s="12"/>
      <c r="AJ214" s="11"/>
      <c r="AK214" s="11"/>
      <c r="AL214" s="11"/>
      <c r="AM214" s="11"/>
      <c r="AN214" s="9"/>
      <c r="AO214" s="9"/>
      <c r="AP214" s="9"/>
      <c r="AQ214" s="9"/>
      <c r="AR214" s="9"/>
      <c r="AS214" s="9"/>
      <c r="AT214" s="9"/>
      <c r="AU214" s="9"/>
      <c r="AV214" s="9"/>
      <c r="AW214" s="9"/>
      <c r="AX214" s="13"/>
    </row>
    <row r="215" spans="1:50" s="14" customFormat="1" x14ac:dyDescent="0.25">
      <c r="A215" s="11"/>
      <c r="B215" s="11"/>
      <c r="C215" s="11"/>
      <c r="D215" s="11"/>
      <c r="E215" s="11"/>
      <c r="F215" s="11"/>
      <c r="G215" s="11"/>
      <c r="H215" s="10"/>
      <c r="I215" s="11"/>
      <c r="J215" s="11"/>
      <c r="K215" s="11"/>
      <c r="L215" s="11"/>
      <c r="M215" s="10"/>
      <c r="N215" s="9"/>
      <c r="O215" s="10"/>
      <c r="P215" s="11"/>
      <c r="Q215" s="11"/>
      <c r="R215" s="11"/>
      <c r="S215" s="11"/>
      <c r="T215" s="9"/>
      <c r="U215" s="9"/>
      <c r="V215" s="9"/>
      <c r="W215" s="9"/>
      <c r="X215" s="9"/>
      <c r="Y215" s="10"/>
      <c r="Z215" s="11"/>
      <c r="AA215" s="11"/>
      <c r="AB215" s="11"/>
      <c r="AC215" s="11"/>
      <c r="AD215" s="11"/>
      <c r="AE215" s="11"/>
      <c r="AF215" s="11"/>
      <c r="AG215" s="11"/>
      <c r="AH215" s="11"/>
      <c r="AI215" s="12"/>
      <c r="AJ215" s="11"/>
      <c r="AK215" s="11"/>
      <c r="AL215" s="11"/>
      <c r="AM215" s="11"/>
      <c r="AN215" s="9"/>
      <c r="AO215" s="9"/>
      <c r="AP215" s="9"/>
      <c r="AQ215" s="9"/>
      <c r="AR215" s="9"/>
      <c r="AS215" s="9"/>
      <c r="AT215" s="9"/>
      <c r="AU215" s="9"/>
      <c r="AV215" s="9"/>
      <c r="AW215" s="9"/>
      <c r="AX215" s="13"/>
    </row>
    <row r="216" spans="1:50" s="14" customFormat="1" x14ac:dyDescent="0.25">
      <c r="A216" s="11"/>
      <c r="B216" s="11"/>
      <c r="C216" s="11"/>
      <c r="D216" s="11"/>
      <c r="E216" s="9"/>
      <c r="F216" s="9"/>
      <c r="G216" s="9"/>
      <c r="H216" s="10"/>
      <c r="I216" s="11"/>
      <c r="J216" s="9"/>
      <c r="K216" s="9"/>
      <c r="L216" s="9"/>
      <c r="M216" s="10"/>
      <c r="N216" s="9"/>
      <c r="O216" s="10"/>
      <c r="P216" s="11"/>
      <c r="Q216" s="11"/>
      <c r="R216" s="11"/>
      <c r="S216" s="11"/>
      <c r="T216" s="9"/>
      <c r="U216" s="9"/>
      <c r="V216" s="9"/>
      <c r="W216" s="9"/>
      <c r="X216" s="9"/>
      <c r="Y216" s="10"/>
      <c r="Z216" s="11"/>
      <c r="AA216" s="11"/>
      <c r="AB216" s="11"/>
      <c r="AC216" s="11"/>
      <c r="AD216" s="11"/>
      <c r="AE216" s="11"/>
      <c r="AF216" s="11"/>
      <c r="AG216" s="11"/>
      <c r="AH216" s="11"/>
      <c r="AI216" s="12"/>
      <c r="AJ216" s="11"/>
      <c r="AK216" s="11"/>
      <c r="AL216" s="11"/>
      <c r="AM216" s="11"/>
      <c r="AN216" s="9"/>
      <c r="AO216" s="9"/>
      <c r="AP216" s="9"/>
      <c r="AQ216" s="9"/>
      <c r="AR216" s="9"/>
      <c r="AS216" s="9"/>
      <c r="AT216" s="9"/>
      <c r="AU216" s="9"/>
      <c r="AV216" s="9"/>
      <c r="AW216" s="9"/>
      <c r="AX216" s="13"/>
    </row>
    <row r="217" spans="1:50" s="14" customFormat="1" x14ac:dyDescent="0.25">
      <c r="A217" s="11"/>
      <c r="B217" s="11"/>
      <c r="C217" s="11"/>
      <c r="D217" s="11"/>
      <c r="E217" s="9"/>
      <c r="F217" s="9"/>
      <c r="G217" s="9"/>
      <c r="H217" s="10"/>
      <c r="I217" s="11"/>
      <c r="J217" s="9"/>
      <c r="K217" s="9"/>
      <c r="L217" s="9"/>
      <c r="M217" s="10"/>
      <c r="N217" s="9"/>
      <c r="O217" s="10"/>
      <c r="P217" s="11"/>
      <c r="Q217" s="11"/>
      <c r="R217" s="11"/>
      <c r="S217" s="11"/>
      <c r="T217" s="9"/>
      <c r="U217" s="9"/>
      <c r="V217" s="9"/>
      <c r="W217" s="9"/>
      <c r="X217" s="9"/>
      <c r="Y217" s="10"/>
      <c r="Z217" s="11"/>
      <c r="AA217" s="11"/>
      <c r="AB217" s="11"/>
      <c r="AC217" s="11"/>
      <c r="AD217" s="11"/>
      <c r="AE217" s="11"/>
      <c r="AF217" s="11"/>
      <c r="AG217" s="11"/>
      <c r="AH217" s="11"/>
      <c r="AI217" s="12"/>
      <c r="AJ217" s="11"/>
      <c r="AK217" s="11"/>
      <c r="AL217" s="11"/>
      <c r="AM217" s="11"/>
      <c r="AN217" s="9"/>
      <c r="AO217" s="9"/>
      <c r="AP217" s="9"/>
      <c r="AQ217" s="9"/>
      <c r="AR217" s="9"/>
      <c r="AS217" s="9"/>
      <c r="AT217" s="9"/>
      <c r="AU217" s="9"/>
      <c r="AV217" s="9"/>
      <c r="AW217" s="9"/>
      <c r="AX217" s="13"/>
    </row>
    <row r="218" spans="1:50" s="14" customFormat="1" x14ac:dyDescent="0.25">
      <c r="A218" s="11"/>
      <c r="B218" s="11"/>
      <c r="C218" s="11"/>
      <c r="D218" s="11"/>
      <c r="E218" s="11"/>
      <c r="F218" s="11"/>
      <c r="G218" s="11"/>
      <c r="H218" s="10"/>
      <c r="I218" s="11"/>
      <c r="J218" s="11"/>
      <c r="K218" s="11"/>
      <c r="L218" s="11"/>
      <c r="M218" s="10"/>
      <c r="N218" s="9"/>
      <c r="O218" s="10"/>
      <c r="P218" s="11"/>
      <c r="Q218" s="11"/>
      <c r="R218" s="11"/>
      <c r="S218" s="11"/>
      <c r="T218" s="9"/>
      <c r="U218" s="9"/>
      <c r="V218" s="9"/>
      <c r="W218" s="9"/>
      <c r="X218" s="9"/>
      <c r="Y218" s="10"/>
      <c r="Z218" s="11"/>
      <c r="AA218" s="11"/>
      <c r="AB218" s="11"/>
      <c r="AC218" s="11"/>
      <c r="AD218" s="11"/>
      <c r="AE218" s="11"/>
      <c r="AF218" s="11"/>
      <c r="AG218" s="11"/>
      <c r="AH218" s="11"/>
      <c r="AI218" s="12"/>
      <c r="AJ218" s="11"/>
      <c r="AK218" s="11"/>
      <c r="AL218" s="11"/>
      <c r="AM218" s="11"/>
      <c r="AN218" s="9"/>
      <c r="AO218" s="9"/>
      <c r="AP218" s="9"/>
      <c r="AQ218" s="9"/>
      <c r="AR218" s="9"/>
      <c r="AS218" s="9"/>
      <c r="AT218" s="9"/>
      <c r="AU218" s="9"/>
      <c r="AV218" s="9"/>
      <c r="AW218" s="9"/>
      <c r="AX218" s="13"/>
    </row>
    <row r="219" spans="1:50" s="14" customFormat="1" x14ac:dyDescent="0.25">
      <c r="A219" s="11"/>
      <c r="B219" s="11"/>
      <c r="C219" s="11"/>
      <c r="D219" s="11"/>
      <c r="E219" s="11"/>
      <c r="F219" s="11"/>
      <c r="G219" s="11"/>
      <c r="H219" s="10"/>
      <c r="I219" s="11"/>
      <c r="J219" s="11"/>
      <c r="K219" s="11"/>
      <c r="L219" s="11"/>
      <c r="M219" s="10"/>
      <c r="N219" s="9"/>
      <c r="O219" s="10"/>
      <c r="P219" s="11"/>
      <c r="Q219" s="11"/>
      <c r="R219" s="11"/>
      <c r="S219" s="11"/>
      <c r="T219" s="9"/>
      <c r="U219" s="9"/>
      <c r="V219" s="9"/>
      <c r="W219" s="9"/>
      <c r="X219" s="9"/>
      <c r="Y219" s="10"/>
      <c r="Z219" s="11"/>
      <c r="AA219" s="11"/>
      <c r="AB219" s="11"/>
      <c r="AC219" s="11"/>
      <c r="AD219" s="11"/>
      <c r="AE219" s="11"/>
      <c r="AF219" s="11"/>
      <c r="AG219" s="11"/>
      <c r="AH219" s="11"/>
      <c r="AI219" s="12"/>
      <c r="AJ219" s="11"/>
      <c r="AK219" s="11"/>
      <c r="AL219" s="11"/>
      <c r="AM219" s="11"/>
      <c r="AN219" s="9"/>
      <c r="AO219" s="9"/>
      <c r="AP219" s="9"/>
      <c r="AQ219" s="9"/>
      <c r="AR219" s="9"/>
      <c r="AS219" s="9"/>
      <c r="AT219" s="9"/>
      <c r="AU219" s="9"/>
      <c r="AV219" s="9"/>
      <c r="AW219" s="9"/>
      <c r="AX219" s="13"/>
    </row>
    <row r="220" spans="1:50" s="14" customFormat="1" x14ac:dyDescent="0.25">
      <c r="A220" s="11"/>
      <c r="B220" s="11"/>
      <c r="C220" s="11"/>
      <c r="D220" s="11"/>
      <c r="E220" s="11"/>
      <c r="F220" s="11"/>
      <c r="G220" s="11"/>
      <c r="H220" s="10"/>
      <c r="I220" s="11"/>
      <c r="J220" s="11"/>
      <c r="K220" s="11"/>
      <c r="L220" s="11"/>
      <c r="M220" s="10"/>
      <c r="N220" s="9"/>
      <c r="O220" s="10"/>
      <c r="P220" s="11"/>
      <c r="Q220" s="11"/>
      <c r="R220" s="11"/>
      <c r="S220" s="11"/>
      <c r="T220" s="9"/>
      <c r="U220" s="9"/>
      <c r="V220" s="9"/>
      <c r="W220" s="9"/>
      <c r="X220" s="9"/>
      <c r="Y220" s="10"/>
      <c r="Z220" s="11"/>
      <c r="AA220" s="11"/>
      <c r="AB220" s="11"/>
      <c r="AC220" s="11"/>
      <c r="AD220" s="11"/>
      <c r="AE220" s="11"/>
      <c r="AF220" s="11"/>
      <c r="AG220" s="11"/>
      <c r="AH220" s="11"/>
      <c r="AI220" s="12"/>
      <c r="AJ220" s="11"/>
      <c r="AK220" s="11"/>
      <c r="AL220" s="11"/>
      <c r="AM220" s="11"/>
      <c r="AN220" s="9"/>
      <c r="AO220" s="9"/>
      <c r="AP220" s="9"/>
      <c r="AQ220" s="9"/>
      <c r="AR220" s="9"/>
      <c r="AS220" s="9"/>
      <c r="AT220" s="9"/>
      <c r="AU220" s="9"/>
      <c r="AV220" s="9"/>
      <c r="AW220" s="9"/>
      <c r="AX220" s="13"/>
    </row>
    <row r="221" spans="1:50" s="14" customFormat="1" x14ac:dyDescent="0.25">
      <c r="A221" s="11"/>
      <c r="B221" s="11"/>
      <c r="C221" s="11"/>
      <c r="D221" s="9"/>
      <c r="E221" s="9"/>
      <c r="F221" s="9"/>
      <c r="G221" s="9"/>
      <c r="H221" s="10"/>
      <c r="I221" s="9"/>
      <c r="J221" s="9"/>
      <c r="K221" s="9"/>
      <c r="L221" s="9"/>
      <c r="M221" s="10"/>
      <c r="N221" s="9"/>
      <c r="O221" s="10"/>
      <c r="P221" s="11"/>
      <c r="Q221" s="11"/>
      <c r="R221" s="11"/>
      <c r="S221" s="11"/>
      <c r="T221" s="9"/>
      <c r="U221" s="9"/>
      <c r="V221" s="9"/>
      <c r="W221" s="9"/>
      <c r="X221" s="9"/>
      <c r="Y221" s="10"/>
      <c r="Z221" s="11"/>
      <c r="AA221" s="11"/>
      <c r="AB221" s="11"/>
      <c r="AC221" s="11"/>
      <c r="AD221" s="11"/>
      <c r="AE221" s="11"/>
      <c r="AF221" s="11"/>
      <c r="AG221" s="11"/>
      <c r="AH221" s="11"/>
      <c r="AI221" s="12"/>
      <c r="AJ221" s="11"/>
      <c r="AK221" s="11"/>
      <c r="AL221" s="11"/>
      <c r="AM221" s="11"/>
      <c r="AN221" s="9"/>
      <c r="AO221" s="9"/>
      <c r="AP221" s="9"/>
      <c r="AQ221" s="9"/>
      <c r="AR221" s="9"/>
      <c r="AS221" s="9"/>
      <c r="AT221" s="9"/>
      <c r="AU221" s="9"/>
      <c r="AV221" s="9"/>
      <c r="AW221" s="9"/>
      <c r="AX221" s="13"/>
    </row>
    <row r="222" spans="1:50" s="14" customFormat="1" x14ac:dyDescent="0.25">
      <c r="A222" s="11"/>
      <c r="B222" s="11"/>
      <c r="C222" s="11"/>
      <c r="D222" s="11"/>
      <c r="E222" s="11"/>
      <c r="F222" s="11"/>
      <c r="G222" s="11"/>
      <c r="H222" s="10"/>
      <c r="I222" s="11"/>
      <c r="J222" s="11"/>
      <c r="K222" s="11"/>
      <c r="L222" s="11"/>
      <c r="M222" s="10"/>
      <c r="N222" s="9"/>
      <c r="O222" s="10"/>
      <c r="P222" s="11"/>
      <c r="Q222" s="11"/>
      <c r="R222" s="11"/>
      <c r="S222" s="11"/>
      <c r="T222" s="9"/>
      <c r="U222" s="9"/>
      <c r="V222" s="9"/>
      <c r="W222" s="9"/>
      <c r="X222" s="9"/>
      <c r="Y222" s="10"/>
      <c r="Z222" s="11"/>
      <c r="AA222" s="11"/>
      <c r="AB222" s="11"/>
      <c r="AC222" s="11"/>
      <c r="AD222" s="11"/>
      <c r="AE222" s="11"/>
      <c r="AF222" s="11"/>
      <c r="AG222" s="11"/>
      <c r="AH222" s="11"/>
      <c r="AI222" s="12"/>
      <c r="AJ222" s="11"/>
      <c r="AK222" s="11"/>
      <c r="AL222" s="11"/>
      <c r="AM222" s="11"/>
      <c r="AN222" s="9"/>
      <c r="AO222" s="9"/>
      <c r="AP222" s="9"/>
      <c r="AQ222" s="9"/>
      <c r="AR222" s="9"/>
      <c r="AS222" s="9"/>
      <c r="AT222" s="9"/>
      <c r="AU222" s="9"/>
      <c r="AV222" s="9"/>
      <c r="AW222" s="9"/>
      <c r="AX222" s="13"/>
    </row>
    <row r="223" spans="1:50" s="14" customFormat="1" x14ac:dyDescent="0.25">
      <c r="A223" s="11"/>
      <c r="B223" s="11"/>
      <c r="C223" s="11"/>
      <c r="D223" s="11"/>
      <c r="E223" s="9"/>
      <c r="F223" s="9"/>
      <c r="G223" s="9"/>
      <c r="H223" s="10"/>
      <c r="I223" s="11"/>
      <c r="J223" s="9"/>
      <c r="K223" s="9"/>
      <c r="L223" s="9"/>
      <c r="M223" s="10"/>
      <c r="N223" s="9"/>
      <c r="O223" s="10"/>
      <c r="P223" s="11"/>
      <c r="Q223" s="11"/>
      <c r="R223" s="11"/>
      <c r="S223" s="11"/>
      <c r="T223" s="9"/>
      <c r="U223" s="9"/>
      <c r="V223" s="9"/>
      <c r="W223" s="9"/>
      <c r="X223" s="9"/>
      <c r="Y223" s="10"/>
      <c r="Z223" s="11"/>
      <c r="AA223" s="11"/>
      <c r="AB223" s="11"/>
      <c r="AC223" s="11"/>
      <c r="AD223" s="11"/>
      <c r="AE223" s="11"/>
      <c r="AF223" s="11"/>
      <c r="AG223" s="11"/>
      <c r="AH223" s="11"/>
      <c r="AI223" s="12"/>
      <c r="AJ223" s="11"/>
      <c r="AK223" s="11"/>
      <c r="AL223" s="11"/>
      <c r="AM223" s="11"/>
      <c r="AN223" s="9"/>
      <c r="AO223" s="9"/>
      <c r="AP223" s="9"/>
      <c r="AQ223" s="9"/>
      <c r="AR223" s="9"/>
      <c r="AS223" s="9"/>
      <c r="AT223" s="9"/>
      <c r="AU223" s="9"/>
      <c r="AV223" s="9"/>
      <c r="AW223" s="9"/>
      <c r="AX223" s="13"/>
    </row>
    <row r="224" spans="1:50" s="14" customFormat="1" x14ac:dyDescent="0.25">
      <c r="A224" s="11"/>
      <c r="B224" s="11"/>
      <c r="C224" s="11"/>
      <c r="D224" s="11"/>
      <c r="E224" s="11"/>
      <c r="F224" s="11"/>
      <c r="G224" s="11"/>
      <c r="H224" s="10"/>
      <c r="I224" s="11"/>
      <c r="J224" s="11"/>
      <c r="K224" s="11"/>
      <c r="L224" s="11"/>
      <c r="M224" s="10"/>
      <c r="N224" s="9"/>
      <c r="O224" s="10"/>
      <c r="P224" s="11"/>
      <c r="Q224" s="11"/>
      <c r="R224" s="11"/>
      <c r="S224" s="11"/>
      <c r="T224" s="9"/>
      <c r="U224" s="9"/>
      <c r="V224" s="9"/>
      <c r="W224" s="9"/>
      <c r="X224" s="9"/>
      <c r="Y224" s="10"/>
      <c r="Z224" s="11"/>
      <c r="AA224" s="11"/>
      <c r="AB224" s="11"/>
      <c r="AC224" s="11"/>
      <c r="AD224" s="11"/>
      <c r="AE224" s="11"/>
      <c r="AF224" s="11"/>
      <c r="AG224" s="11"/>
      <c r="AH224" s="11"/>
      <c r="AI224" s="12"/>
      <c r="AJ224" s="11"/>
      <c r="AK224" s="11"/>
      <c r="AL224" s="11"/>
      <c r="AM224" s="11"/>
      <c r="AN224" s="9"/>
      <c r="AO224" s="9"/>
      <c r="AP224" s="9"/>
      <c r="AQ224" s="9"/>
      <c r="AR224" s="9"/>
      <c r="AS224" s="9"/>
      <c r="AT224" s="9"/>
      <c r="AU224" s="9"/>
      <c r="AV224" s="9"/>
      <c r="AW224" s="9"/>
      <c r="AX224" s="13"/>
    </row>
    <row r="225" spans="1:50" s="14" customFormat="1" x14ac:dyDescent="0.25">
      <c r="A225" s="11"/>
      <c r="B225" s="11"/>
      <c r="C225" s="11"/>
      <c r="D225" s="11"/>
      <c r="E225" s="11"/>
      <c r="F225" s="11"/>
      <c r="G225" s="11"/>
      <c r="H225" s="10"/>
      <c r="I225" s="11"/>
      <c r="J225" s="11"/>
      <c r="K225" s="11"/>
      <c r="L225" s="11"/>
      <c r="M225" s="10"/>
      <c r="N225" s="9"/>
      <c r="O225" s="10"/>
      <c r="P225" s="11"/>
      <c r="Q225" s="11"/>
      <c r="R225" s="11"/>
      <c r="S225" s="11"/>
      <c r="T225" s="9"/>
      <c r="U225" s="9"/>
      <c r="V225" s="9"/>
      <c r="W225" s="9"/>
      <c r="X225" s="9"/>
      <c r="Y225" s="10"/>
      <c r="Z225" s="11"/>
      <c r="AA225" s="11"/>
      <c r="AB225" s="11"/>
      <c r="AC225" s="11"/>
      <c r="AD225" s="11"/>
      <c r="AE225" s="11"/>
      <c r="AF225" s="11"/>
      <c r="AG225" s="11"/>
      <c r="AH225" s="11"/>
      <c r="AI225" s="12"/>
      <c r="AJ225" s="11"/>
      <c r="AK225" s="11"/>
      <c r="AL225" s="11"/>
      <c r="AM225" s="11"/>
      <c r="AN225" s="9"/>
      <c r="AO225" s="9"/>
      <c r="AP225" s="9"/>
      <c r="AQ225" s="9"/>
      <c r="AR225" s="9"/>
      <c r="AS225" s="9"/>
      <c r="AT225" s="9"/>
      <c r="AU225" s="9"/>
      <c r="AV225" s="9"/>
      <c r="AW225" s="9"/>
      <c r="AX225" s="13"/>
    </row>
    <row r="226" spans="1:50" s="14" customFormat="1" x14ac:dyDescent="0.25">
      <c r="A226" s="11"/>
      <c r="B226" s="11"/>
      <c r="C226" s="11"/>
      <c r="D226" s="11"/>
      <c r="E226" s="11"/>
      <c r="F226" s="11"/>
      <c r="G226" s="11"/>
      <c r="H226" s="10"/>
      <c r="I226" s="11"/>
      <c r="J226" s="11"/>
      <c r="K226" s="11"/>
      <c r="L226" s="11"/>
      <c r="M226" s="10"/>
      <c r="N226" s="9"/>
      <c r="O226" s="10"/>
      <c r="P226" s="11"/>
      <c r="Q226" s="11"/>
      <c r="R226" s="11"/>
      <c r="S226" s="11"/>
      <c r="T226" s="9"/>
      <c r="U226" s="9"/>
      <c r="V226" s="9"/>
      <c r="W226" s="9"/>
      <c r="X226" s="9"/>
      <c r="Y226" s="10"/>
      <c r="Z226" s="11"/>
      <c r="AA226" s="11"/>
      <c r="AB226" s="11"/>
      <c r="AC226" s="11"/>
      <c r="AD226" s="11"/>
      <c r="AE226" s="11"/>
      <c r="AF226" s="11"/>
      <c r="AG226" s="11"/>
      <c r="AH226" s="11"/>
      <c r="AI226" s="12"/>
      <c r="AJ226" s="11"/>
      <c r="AK226" s="11"/>
      <c r="AL226" s="11"/>
      <c r="AM226" s="11"/>
      <c r="AN226" s="9"/>
      <c r="AO226" s="9"/>
      <c r="AP226" s="9"/>
      <c r="AQ226" s="9"/>
      <c r="AR226" s="9"/>
      <c r="AS226" s="9"/>
      <c r="AT226" s="9"/>
      <c r="AU226" s="9"/>
      <c r="AV226" s="9"/>
      <c r="AW226" s="9"/>
      <c r="AX226" s="13"/>
    </row>
    <row r="227" spans="1:50" s="14" customFormat="1" x14ac:dyDescent="0.25">
      <c r="A227" s="11"/>
      <c r="B227" s="11"/>
      <c r="C227" s="11"/>
      <c r="D227" s="11"/>
      <c r="E227" s="9"/>
      <c r="F227" s="9"/>
      <c r="G227" s="9"/>
      <c r="H227" s="10"/>
      <c r="I227" s="11"/>
      <c r="J227" s="9"/>
      <c r="K227" s="9"/>
      <c r="L227" s="9"/>
      <c r="M227" s="10"/>
      <c r="N227" s="9"/>
      <c r="O227" s="10"/>
      <c r="P227" s="11"/>
      <c r="Q227" s="11"/>
      <c r="R227" s="11"/>
      <c r="S227" s="11"/>
      <c r="T227" s="9"/>
      <c r="U227" s="9"/>
      <c r="V227" s="9"/>
      <c r="W227" s="9"/>
      <c r="X227" s="9"/>
      <c r="Y227" s="10"/>
      <c r="Z227" s="11"/>
      <c r="AA227" s="11"/>
      <c r="AB227" s="11"/>
      <c r="AC227" s="11"/>
      <c r="AD227" s="11"/>
      <c r="AE227" s="11"/>
      <c r="AF227" s="11"/>
      <c r="AG227" s="11"/>
      <c r="AH227" s="11"/>
      <c r="AI227" s="12"/>
      <c r="AJ227" s="11"/>
      <c r="AK227" s="11"/>
      <c r="AL227" s="11"/>
      <c r="AM227" s="11"/>
      <c r="AN227" s="9"/>
      <c r="AO227" s="9"/>
      <c r="AP227" s="9"/>
      <c r="AQ227" s="9"/>
      <c r="AR227" s="9"/>
      <c r="AS227" s="9"/>
      <c r="AT227" s="9"/>
      <c r="AU227" s="9"/>
      <c r="AV227" s="9"/>
      <c r="AW227" s="9"/>
      <c r="AX227" s="13"/>
    </row>
    <row r="228" spans="1:50" s="14" customFormat="1" x14ac:dyDescent="0.25">
      <c r="A228" s="11"/>
      <c r="B228" s="11"/>
      <c r="C228" s="11"/>
      <c r="D228" s="11"/>
      <c r="E228" s="9"/>
      <c r="F228" s="9"/>
      <c r="G228" s="9"/>
      <c r="H228" s="10"/>
      <c r="I228" s="11"/>
      <c r="J228" s="9"/>
      <c r="K228" s="9"/>
      <c r="L228" s="9"/>
      <c r="M228" s="10"/>
      <c r="N228" s="9"/>
      <c r="O228" s="10"/>
      <c r="P228" s="11"/>
      <c r="Q228" s="11"/>
      <c r="R228" s="11"/>
      <c r="S228" s="11"/>
      <c r="T228" s="9"/>
      <c r="U228" s="9"/>
      <c r="V228" s="9"/>
      <c r="W228" s="9"/>
      <c r="X228" s="9"/>
      <c r="Y228" s="10"/>
      <c r="Z228" s="11"/>
      <c r="AA228" s="11"/>
      <c r="AB228" s="11"/>
      <c r="AC228" s="11"/>
      <c r="AD228" s="11"/>
      <c r="AE228" s="11"/>
      <c r="AF228" s="11"/>
      <c r="AG228" s="11"/>
      <c r="AH228" s="11"/>
      <c r="AI228" s="12"/>
      <c r="AJ228" s="11"/>
      <c r="AK228" s="11"/>
      <c r="AL228" s="11"/>
      <c r="AM228" s="11"/>
      <c r="AN228" s="9"/>
      <c r="AO228" s="9"/>
      <c r="AP228" s="9"/>
      <c r="AQ228" s="9"/>
      <c r="AR228" s="9"/>
      <c r="AS228" s="9"/>
      <c r="AT228" s="9"/>
      <c r="AU228" s="9"/>
      <c r="AV228" s="9"/>
      <c r="AW228" s="9"/>
      <c r="AX228" s="13"/>
    </row>
    <row r="229" spans="1:50" s="14" customFormat="1" x14ac:dyDescent="0.25">
      <c r="A229" s="11"/>
      <c r="B229" s="11"/>
      <c r="C229" s="11"/>
      <c r="D229" s="11"/>
      <c r="E229" s="11"/>
      <c r="F229" s="11"/>
      <c r="G229" s="11"/>
      <c r="H229" s="10"/>
      <c r="I229" s="11"/>
      <c r="J229" s="11"/>
      <c r="K229" s="11"/>
      <c r="L229" s="11"/>
      <c r="M229" s="10"/>
      <c r="N229" s="9"/>
      <c r="O229" s="10"/>
      <c r="P229" s="11"/>
      <c r="Q229" s="11"/>
      <c r="R229" s="11"/>
      <c r="S229" s="11"/>
      <c r="T229" s="9"/>
      <c r="U229" s="9"/>
      <c r="V229" s="9"/>
      <c r="W229" s="9"/>
      <c r="X229" s="9"/>
      <c r="Y229" s="10"/>
      <c r="Z229" s="11"/>
      <c r="AA229" s="11"/>
      <c r="AB229" s="11"/>
      <c r="AC229" s="11"/>
      <c r="AD229" s="11"/>
      <c r="AE229" s="11"/>
      <c r="AF229" s="11"/>
      <c r="AG229" s="11"/>
      <c r="AH229" s="11"/>
      <c r="AI229" s="12"/>
      <c r="AJ229" s="11"/>
      <c r="AK229" s="11"/>
      <c r="AL229" s="11"/>
      <c r="AM229" s="11"/>
      <c r="AN229" s="9"/>
      <c r="AO229" s="9"/>
      <c r="AP229" s="9"/>
      <c r="AQ229" s="9"/>
      <c r="AR229" s="9"/>
      <c r="AS229" s="9"/>
      <c r="AT229" s="9"/>
      <c r="AU229" s="9"/>
      <c r="AV229" s="9"/>
      <c r="AW229" s="9"/>
      <c r="AX229" s="13"/>
    </row>
    <row r="230" spans="1:50" s="14" customFormat="1" x14ac:dyDescent="0.25">
      <c r="A230" s="11"/>
      <c r="B230" s="11"/>
      <c r="C230" s="11"/>
      <c r="D230" s="11"/>
      <c r="E230" s="11"/>
      <c r="F230" s="11"/>
      <c r="G230" s="11"/>
      <c r="H230" s="10"/>
      <c r="I230" s="11"/>
      <c r="J230" s="11"/>
      <c r="K230" s="11"/>
      <c r="L230" s="11"/>
      <c r="M230" s="10"/>
      <c r="N230" s="9"/>
      <c r="O230" s="10"/>
      <c r="P230" s="11"/>
      <c r="Q230" s="11"/>
      <c r="R230" s="11"/>
      <c r="S230" s="11"/>
      <c r="T230" s="9"/>
      <c r="U230" s="9"/>
      <c r="V230" s="9"/>
      <c r="W230" s="9"/>
      <c r="X230" s="9"/>
      <c r="Y230" s="10"/>
      <c r="Z230" s="11"/>
      <c r="AA230" s="11"/>
      <c r="AB230" s="11"/>
      <c r="AC230" s="11"/>
      <c r="AD230" s="11"/>
      <c r="AE230" s="11"/>
      <c r="AF230" s="11"/>
      <c r="AG230" s="11"/>
      <c r="AH230" s="11"/>
      <c r="AI230" s="12"/>
      <c r="AJ230" s="11"/>
      <c r="AK230" s="11"/>
      <c r="AL230" s="11"/>
      <c r="AM230" s="11"/>
      <c r="AN230" s="9"/>
      <c r="AO230" s="9"/>
      <c r="AP230" s="9"/>
      <c r="AQ230" s="9"/>
      <c r="AR230" s="9"/>
      <c r="AS230" s="9"/>
      <c r="AT230" s="9"/>
      <c r="AU230" s="9"/>
      <c r="AV230" s="9"/>
      <c r="AW230" s="9"/>
      <c r="AX230" s="13"/>
    </row>
    <row r="231" spans="1:50" s="14" customFormat="1" x14ac:dyDescent="0.25">
      <c r="A231" s="11"/>
      <c r="B231" s="11"/>
      <c r="C231" s="11"/>
      <c r="D231" s="11"/>
      <c r="E231" s="9"/>
      <c r="F231" s="9"/>
      <c r="G231" s="9"/>
      <c r="H231" s="10"/>
      <c r="I231" s="11"/>
      <c r="J231" s="9"/>
      <c r="K231" s="9"/>
      <c r="L231" s="9"/>
      <c r="M231" s="10"/>
      <c r="N231" s="9"/>
      <c r="O231" s="10"/>
      <c r="P231" s="11"/>
      <c r="Q231" s="11"/>
      <c r="R231" s="11"/>
      <c r="S231" s="11"/>
      <c r="T231" s="9"/>
      <c r="U231" s="9"/>
      <c r="V231" s="9"/>
      <c r="W231" s="9"/>
      <c r="X231" s="9"/>
      <c r="Y231" s="10"/>
      <c r="Z231" s="11"/>
      <c r="AA231" s="11"/>
      <c r="AB231" s="11"/>
      <c r="AC231" s="11"/>
      <c r="AD231" s="11"/>
      <c r="AE231" s="11"/>
      <c r="AF231" s="11"/>
      <c r="AG231" s="11"/>
      <c r="AH231" s="11"/>
      <c r="AI231" s="12"/>
      <c r="AJ231" s="11"/>
      <c r="AK231" s="11"/>
      <c r="AL231" s="11"/>
      <c r="AM231" s="11"/>
      <c r="AN231" s="9"/>
      <c r="AO231" s="9"/>
      <c r="AP231" s="9"/>
      <c r="AQ231" s="9"/>
      <c r="AR231" s="9"/>
      <c r="AS231" s="9"/>
      <c r="AT231" s="9"/>
      <c r="AU231" s="9"/>
      <c r="AV231" s="9"/>
      <c r="AW231" s="9"/>
      <c r="AX231" s="13"/>
    </row>
    <row r="232" spans="1:50" s="14" customFormat="1" x14ac:dyDescent="0.25">
      <c r="A232" s="11"/>
      <c r="B232" s="11"/>
      <c r="C232" s="11"/>
      <c r="D232" s="11"/>
      <c r="E232" s="9"/>
      <c r="F232" s="9"/>
      <c r="G232" s="9"/>
      <c r="H232" s="10"/>
      <c r="I232" s="11"/>
      <c r="J232" s="9"/>
      <c r="K232" s="9"/>
      <c r="L232" s="9"/>
      <c r="M232" s="10"/>
      <c r="N232" s="9"/>
      <c r="O232" s="10"/>
      <c r="P232" s="11"/>
      <c r="Q232" s="11"/>
      <c r="R232" s="11"/>
      <c r="S232" s="11"/>
      <c r="T232" s="9"/>
      <c r="U232" s="9"/>
      <c r="V232" s="9"/>
      <c r="W232" s="9"/>
      <c r="X232" s="9"/>
      <c r="Y232" s="10"/>
      <c r="Z232" s="11"/>
      <c r="AA232" s="11"/>
      <c r="AB232" s="11"/>
      <c r="AC232" s="11"/>
      <c r="AD232" s="11"/>
      <c r="AE232" s="11"/>
      <c r="AF232" s="11"/>
      <c r="AG232" s="11"/>
      <c r="AH232" s="11"/>
      <c r="AI232" s="12"/>
      <c r="AJ232" s="11"/>
      <c r="AK232" s="11"/>
      <c r="AL232" s="11"/>
      <c r="AM232" s="11"/>
      <c r="AN232" s="9"/>
      <c r="AO232" s="9"/>
      <c r="AP232" s="9"/>
      <c r="AQ232" s="9"/>
      <c r="AR232" s="9"/>
      <c r="AS232" s="9"/>
      <c r="AT232" s="9"/>
      <c r="AU232" s="9"/>
      <c r="AV232" s="9"/>
      <c r="AW232" s="9"/>
      <c r="AX232" s="13"/>
    </row>
    <row r="233" spans="1:50" s="14" customFormat="1" x14ac:dyDescent="0.25">
      <c r="A233" s="11"/>
      <c r="B233" s="11"/>
      <c r="C233" s="11"/>
      <c r="D233" s="9"/>
      <c r="E233" s="9"/>
      <c r="F233" s="9"/>
      <c r="G233" s="9"/>
      <c r="H233" s="10"/>
      <c r="I233" s="9"/>
      <c r="J233" s="9"/>
      <c r="K233" s="9"/>
      <c r="L233" s="9"/>
      <c r="M233" s="10"/>
      <c r="N233" s="9"/>
      <c r="O233" s="10"/>
      <c r="P233" s="11"/>
      <c r="Q233" s="11"/>
      <c r="R233" s="11"/>
      <c r="S233" s="11"/>
      <c r="T233" s="9"/>
      <c r="U233" s="9"/>
      <c r="V233" s="9"/>
      <c r="W233" s="9"/>
      <c r="X233" s="9"/>
      <c r="Y233" s="10"/>
      <c r="Z233" s="11"/>
      <c r="AA233" s="11"/>
      <c r="AB233" s="11"/>
      <c r="AC233" s="11"/>
      <c r="AD233" s="11"/>
      <c r="AE233" s="11"/>
      <c r="AF233" s="11"/>
      <c r="AG233" s="11"/>
      <c r="AH233" s="11"/>
      <c r="AI233" s="12"/>
      <c r="AJ233" s="11"/>
      <c r="AK233" s="11"/>
      <c r="AL233" s="11"/>
      <c r="AM233" s="11"/>
      <c r="AN233" s="9"/>
      <c r="AO233" s="9"/>
      <c r="AP233" s="9"/>
      <c r="AQ233" s="9"/>
      <c r="AR233" s="9"/>
      <c r="AS233" s="9"/>
      <c r="AT233" s="9"/>
      <c r="AU233" s="9"/>
      <c r="AV233" s="9"/>
      <c r="AW233" s="9"/>
      <c r="AX233" s="13"/>
    </row>
    <row r="234" spans="1:50" s="14" customFormat="1" x14ac:dyDescent="0.25">
      <c r="A234" s="11"/>
      <c r="B234" s="11"/>
      <c r="C234" s="11"/>
      <c r="D234" s="11"/>
      <c r="E234" s="9"/>
      <c r="F234" s="9"/>
      <c r="G234" s="9"/>
      <c r="H234" s="10"/>
      <c r="I234" s="11"/>
      <c r="J234" s="9"/>
      <c r="K234" s="9"/>
      <c r="L234" s="9"/>
      <c r="M234" s="10"/>
      <c r="N234" s="9"/>
      <c r="O234" s="10"/>
      <c r="P234" s="11"/>
      <c r="Q234" s="11"/>
      <c r="R234" s="11"/>
      <c r="S234" s="11"/>
      <c r="T234" s="9"/>
      <c r="U234" s="9"/>
      <c r="V234" s="9"/>
      <c r="W234" s="9"/>
      <c r="X234" s="9"/>
      <c r="Y234" s="10"/>
      <c r="Z234" s="11"/>
      <c r="AA234" s="11"/>
      <c r="AB234" s="11"/>
      <c r="AC234" s="11"/>
      <c r="AD234" s="11"/>
      <c r="AE234" s="11"/>
      <c r="AF234" s="11"/>
      <c r="AG234" s="11"/>
      <c r="AH234" s="11"/>
      <c r="AI234" s="12"/>
      <c r="AJ234" s="11"/>
      <c r="AK234" s="11"/>
      <c r="AL234" s="11"/>
      <c r="AM234" s="11"/>
      <c r="AN234" s="9"/>
      <c r="AO234" s="9"/>
      <c r="AP234" s="9"/>
      <c r="AQ234" s="9"/>
      <c r="AR234" s="9"/>
      <c r="AS234" s="9"/>
      <c r="AT234" s="9"/>
      <c r="AU234" s="9"/>
      <c r="AV234" s="9"/>
      <c r="AW234" s="9"/>
      <c r="AX234" s="13"/>
    </row>
    <row r="235" spans="1:50" s="14" customFormat="1" x14ac:dyDescent="0.25">
      <c r="A235" s="11"/>
      <c r="B235" s="11"/>
      <c r="C235" s="11"/>
      <c r="D235" s="11"/>
      <c r="E235" s="9"/>
      <c r="F235" s="9"/>
      <c r="G235" s="9"/>
      <c r="H235" s="10"/>
      <c r="I235" s="11"/>
      <c r="J235" s="9"/>
      <c r="K235" s="9"/>
      <c r="L235" s="9"/>
      <c r="M235" s="10"/>
      <c r="N235" s="9"/>
      <c r="O235" s="10"/>
      <c r="P235" s="11"/>
      <c r="Q235" s="11"/>
      <c r="R235" s="11"/>
      <c r="S235" s="11"/>
      <c r="T235" s="9"/>
      <c r="U235" s="9"/>
      <c r="V235" s="9"/>
      <c r="W235" s="9"/>
      <c r="X235" s="9"/>
      <c r="Y235" s="10"/>
      <c r="Z235" s="11"/>
      <c r="AA235" s="11"/>
      <c r="AB235" s="11"/>
      <c r="AC235" s="11"/>
      <c r="AD235" s="11"/>
      <c r="AE235" s="11"/>
      <c r="AF235" s="11"/>
      <c r="AG235" s="11"/>
      <c r="AH235" s="11"/>
      <c r="AI235" s="12"/>
      <c r="AJ235" s="11"/>
      <c r="AK235" s="11"/>
      <c r="AL235" s="11"/>
      <c r="AM235" s="11"/>
      <c r="AN235" s="9"/>
      <c r="AO235" s="9"/>
      <c r="AP235" s="9"/>
      <c r="AQ235" s="9"/>
      <c r="AR235" s="9"/>
      <c r="AS235" s="9"/>
      <c r="AT235" s="9"/>
      <c r="AU235" s="9"/>
      <c r="AV235" s="9"/>
      <c r="AW235" s="9"/>
      <c r="AX235" s="13"/>
    </row>
    <row r="236" spans="1:50" s="14" customFormat="1" x14ac:dyDescent="0.25">
      <c r="A236" s="11"/>
      <c r="B236" s="11"/>
      <c r="C236" s="11"/>
      <c r="D236" s="11"/>
      <c r="E236" s="9"/>
      <c r="F236" s="9"/>
      <c r="G236" s="9"/>
      <c r="H236" s="10"/>
      <c r="I236" s="11"/>
      <c r="J236" s="9"/>
      <c r="K236" s="9"/>
      <c r="L236" s="9"/>
      <c r="M236" s="10"/>
      <c r="N236" s="9"/>
      <c r="O236" s="10"/>
      <c r="P236" s="11"/>
      <c r="Q236" s="11"/>
      <c r="R236" s="11"/>
      <c r="S236" s="11"/>
      <c r="T236" s="9"/>
      <c r="U236" s="9"/>
      <c r="V236" s="9"/>
      <c r="W236" s="9"/>
      <c r="X236" s="9"/>
      <c r="Y236" s="10"/>
      <c r="Z236" s="11"/>
      <c r="AA236" s="11"/>
      <c r="AB236" s="11"/>
      <c r="AC236" s="11"/>
      <c r="AD236" s="11"/>
      <c r="AE236" s="11"/>
      <c r="AF236" s="11"/>
      <c r="AG236" s="11"/>
      <c r="AH236" s="11"/>
      <c r="AI236" s="12"/>
      <c r="AJ236" s="11"/>
      <c r="AK236" s="11"/>
      <c r="AL236" s="11"/>
      <c r="AM236" s="11"/>
      <c r="AN236" s="9"/>
      <c r="AO236" s="9"/>
      <c r="AP236" s="9"/>
      <c r="AQ236" s="9"/>
      <c r="AR236" s="9"/>
      <c r="AS236" s="9"/>
      <c r="AT236" s="9"/>
      <c r="AU236" s="9"/>
      <c r="AV236" s="9"/>
      <c r="AW236" s="9"/>
      <c r="AX236" s="13"/>
    </row>
    <row r="237" spans="1:50" s="14" customFormat="1" x14ac:dyDescent="0.25">
      <c r="A237" s="11"/>
      <c r="B237" s="11"/>
      <c r="C237" s="11"/>
      <c r="D237" s="11"/>
      <c r="E237" s="9"/>
      <c r="F237" s="9"/>
      <c r="G237" s="9"/>
      <c r="H237" s="10"/>
      <c r="I237" s="11"/>
      <c r="J237" s="9"/>
      <c r="K237" s="9"/>
      <c r="L237" s="9"/>
      <c r="M237" s="10"/>
      <c r="N237" s="9"/>
      <c r="O237" s="10"/>
      <c r="P237" s="11"/>
      <c r="Q237" s="11"/>
      <c r="R237" s="11"/>
      <c r="S237" s="11"/>
      <c r="T237" s="9"/>
      <c r="U237" s="9"/>
      <c r="V237" s="9"/>
      <c r="W237" s="9"/>
      <c r="X237" s="9"/>
      <c r="Y237" s="10"/>
      <c r="Z237" s="11"/>
      <c r="AA237" s="11"/>
      <c r="AB237" s="11"/>
      <c r="AC237" s="11"/>
      <c r="AD237" s="11"/>
      <c r="AE237" s="11"/>
      <c r="AF237" s="11"/>
      <c r="AG237" s="11"/>
      <c r="AH237" s="11"/>
      <c r="AI237" s="12"/>
      <c r="AJ237" s="11"/>
      <c r="AK237" s="11"/>
      <c r="AL237" s="11"/>
      <c r="AM237" s="11"/>
      <c r="AN237" s="9"/>
      <c r="AO237" s="9"/>
      <c r="AP237" s="9"/>
      <c r="AQ237" s="9"/>
      <c r="AR237" s="9"/>
      <c r="AS237" s="9"/>
      <c r="AT237" s="9"/>
      <c r="AU237" s="9"/>
      <c r="AV237" s="9"/>
      <c r="AW237" s="9"/>
      <c r="AX237" s="13"/>
    </row>
    <row r="238" spans="1:50" s="14" customFormat="1" x14ac:dyDescent="0.25">
      <c r="A238" s="11"/>
      <c r="B238" s="11"/>
      <c r="C238" s="11"/>
      <c r="D238" s="11"/>
      <c r="E238" s="9"/>
      <c r="F238" s="9"/>
      <c r="G238" s="9"/>
      <c r="H238" s="10"/>
      <c r="I238" s="11"/>
      <c r="J238" s="9"/>
      <c r="K238" s="9"/>
      <c r="L238" s="9"/>
      <c r="M238" s="10"/>
      <c r="N238" s="9"/>
      <c r="O238" s="10"/>
      <c r="P238" s="11"/>
      <c r="Q238" s="11"/>
      <c r="R238" s="11"/>
      <c r="S238" s="11"/>
      <c r="T238" s="9"/>
      <c r="U238" s="9"/>
      <c r="V238" s="9"/>
      <c r="W238" s="9"/>
      <c r="X238" s="9"/>
      <c r="Y238" s="10"/>
      <c r="Z238" s="11"/>
      <c r="AA238" s="11"/>
      <c r="AB238" s="11"/>
      <c r="AC238" s="11"/>
      <c r="AD238" s="11"/>
      <c r="AE238" s="11"/>
      <c r="AF238" s="11"/>
      <c r="AG238" s="11"/>
      <c r="AH238" s="11"/>
      <c r="AI238" s="12"/>
      <c r="AJ238" s="11"/>
      <c r="AK238" s="11"/>
      <c r="AL238" s="11"/>
      <c r="AM238" s="11"/>
      <c r="AN238" s="9"/>
      <c r="AO238" s="9"/>
      <c r="AP238" s="9"/>
      <c r="AQ238" s="9"/>
      <c r="AR238" s="9"/>
      <c r="AS238" s="9"/>
      <c r="AT238" s="9"/>
      <c r="AU238" s="9"/>
      <c r="AV238" s="9"/>
      <c r="AW238" s="9"/>
      <c r="AX238" s="13"/>
    </row>
    <row r="239" spans="1:50" s="22" customFormat="1" x14ac:dyDescent="0.25">
      <c r="A239" s="17"/>
      <c r="B239" s="17"/>
      <c r="C239" s="17"/>
      <c r="D239" s="17"/>
      <c r="E239" s="17"/>
      <c r="F239" s="17"/>
      <c r="G239" s="17"/>
      <c r="H239" s="18"/>
      <c r="I239" s="17"/>
      <c r="J239" s="17"/>
      <c r="K239" s="17"/>
      <c r="L239" s="17"/>
      <c r="M239" s="18"/>
      <c r="N239" s="19"/>
      <c r="O239" s="18"/>
      <c r="P239" s="17"/>
      <c r="Q239" s="17"/>
      <c r="R239" s="17"/>
      <c r="S239" s="17"/>
      <c r="T239" s="19"/>
      <c r="U239" s="19"/>
      <c r="V239" s="19"/>
      <c r="W239" s="19"/>
      <c r="X239" s="19"/>
      <c r="Y239" s="18"/>
      <c r="Z239" s="17"/>
      <c r="AA239" s="17"/>
      <c r="AB239" s="17"/>
      <c r="AC239" s="17"/>
      <c r="AD239" s="17"/>
      <c r="AE239" s="17"/>
      <c r="AF239" s="17"/>
      <c r="AG239" s="17"/>
      <c r="AH239" s="17"/>
      <c r="AI239" s="20"/>
      <c r="AJ239" s="17"/>
      <c r="AK239" s="17"/>
      <c r="AL239" s="17"/>
      <c r="AM239" s="17"/>
      <c r="AN239" s="19"/>
      <c r="AO239" s="19"/>
      <c r="AP239" s="19"/>
      <c r="AQ239" s="19"/>
      <c r="AR239" s="19"/>
      <c r="AS239" s="19"/>
      <c r="AT239" s="19"/>
      <c r="AU239" s="19"/>
      <c r="AV239" s="19"/>
      <c r="AW239" s="19"/>
      <c r="AX239" s="21"/>
    </row>
    <row r="240" spans="1:50" s="14" customFormat="1" x14ac:dyDescent="0.25">
      <c r="A240" s="11"/>
      <c r="B240" s="11"/>
      <c r="C240" s="11"/>
      <c r="D240" s="11"/>
      <c r="E240" s="9"/>
      <c r="F240" s="9"/>
      <c r="G240" s="9"/>
      <c r="H240" s="10"/>
      <c r="I240" s="11"/>
      <c r="J240" s="9"/>
      <c r="K240" s="9"/>
      <c r="L240" s="9"/>
      <c r="M240" s="10"/>
      <c r="N240" s="9"/>
      <c r="O240" s="10"/>
      <c r="P240" s="11"/>
      <c r="Q240" s="11"/>
      <c r="R240" s="11"/>
      <c r="S240" s="11"/>
      <c r="T240" s="9"/>
      <c r="U240" s="9"/>
      <c r="V240" s="9"/>
      <c r="W240" s="9"/>
      <c r="X240" s="9"/>
      <c r="Y240" s="10"/>
      <c r="Z240" s="11"/>
      <c r="AA240" s="11"/>
      <c r="AB240" s="11"/>
      <c r="AC240" s="11"/>
      <c r="AD240" s="11"/>
      <c r="AE240" s="11"/>
      <c r="AF240" s="11"/>
      <c r="AG240" s="11"/>
      <c r="AH240" s="11"/>
      <c r="AI240" s="12"/>
      <c r="AJ240" s="11"/>
      <c r="AK240" s="11"/>
      <c r="AL240" s="11"/>
      <c r="AM240" s="11"/>
      <c r="AN240" s="9"/>
      <c r="AO240" s="9"/>
      <c r="AP240" s="9"/>
      <c r="AQ240" s="9"/>
      <c r="AR240" s="9"/>
      <c r="AS240" s="9"/>
      <c r="AT240" s="9"/>
      <c r="AU240" s="9"/>
      <c r="AV240" s="9"/>
      <c r="AW240" s="9"/>
      <c r="AX240" s="13"/>
    </row>
    <row r="241" spans="1:50" s="14" customFormat="1" x14ac:dyDescent="0.25">
      <c r="A241" s="11"/>
      <c r="B241" s="11"/>
      <c r="C241" s="11"/>
      <c r="D241" s="11"/>
      <c r="E241" s="9"/>
      <c r="F241" s="9"/>
      <c r="G241" s="9"/>
      <c r="H241" s="10"/>
      <c r="I241" s="11"/>
      <c r="J241" s="9"/>
      <c r="K241" s="9"/>
      <c r="L241" s="9"/>
      <c r="M241" s="10"/>
      <c r="N241" s="9"/>
      <c r="O241" s="10"/>
      <c r="P241" s="11"/>
      <c r="Q241" s="11"/>
      <c r="R241" s="11"/>
      <c r="S241" s="11"/>
      <c r="T241" s="9"/>
      <c r="U241" s="9"/>
      <c r="V241" s="9"/>
      <c r="W241" s="9"/>
      <c r="X241" s="9"/>
      <c r="Y241" s="10"/>
      <c r="Z241" s="11"/>
      <c r="AA241" s="11"/>
      <c r="AB241" s="11"/>
      <c r="AC241" s="11"/>
      <c r="AD241" s="11"/>
      <c r="AE241" s="11"/>
      <c r="AF241" s="11"/>
      <c r="AG241" s="11"/>
      <c r="AH241" s="11"/>
      <c r="AI241" s="12"/>
      <c r="AJ241" s="11"/>
      <c r="AK241" s="11"/>
      <c r="AL241" s="11"/>
      <c r="AM241" s="11"/>
      <c r="AN241" s="9"/>
      <c r="AO241" s="9"/>
      <c r="AP241" s="9"/>
      <c r="AQ241" s="9"/>
      <c r="AR241" s="9"/>
      <c r="AS241" s="9"/>
      <c r="AT241" s="9"/>
      <c r="AU241" s="9"/>
      <c r="AV241" s="9"/>
      <c r="AW241" s="9"/>
      <c r="AX241" s="13"/>
    </row>
    <row r="242" spans="1:50" s="14" customFormat="1" x14ac:dyDescent="0.25">
      <c r="A242" s="11"/>
      <c r="B242" s="11"/>
      <c r="C242" s="11"/>
      <c r="D242" s="11"/>
      <c r="E242" s="9"/>
      <c r="F242" s="9"/>
      <c r="G242" s="9"/>
      <c r="H242" s="10"/>
      <c r="I242" s="11"/>
      <c r="J242" s="9"/>
      <c r="K242" s="9"/>
      <c r="L242" s="9"/>
      <c r="M242" s="10"/>
      <c r="N242" s="9"/>
      <c r="O242" s="10"/>
      <c r="P242" s="11"/>
      <c r="Q242" s="11"/>
      <c r="R242" s="11"/>
      <c r="S242" s="11"/>
      <c r="T242" s="9"/>
      <c r="U242" s="9"/>
      <c r="V242" s="9"/>
      <c r="W242" s="9"/>
      <c r="X242" s="9"/>
      <c r="Y242" s="10"/>
      <c r="Z242" s="11"/>
      <c r="AA242" s="11"/>
      <c r="AB242" s="11"/>
      <c r="AC242" s="11"/>
      <c r="AD242" s="11"/>
      <c r="AE242" s="11"/>
      <c r="AF242" s="11"/>
      <c r="AG242" s="11"/>
      <c r="AH242" s="11"/>
      <c r="AI242" s="12"/>
      <c r="AJ242" s="11"/>
      <c r="AK242" s="11"/>
      <c r="AL242" s="11"/>
      <c r="AM242" s="11"/>
      <c r="AN242" s="9"/>
      <c r="AO242" s="9"/>
      <c r="AP242" s="9"/>
      <c r="AQ242" s="9"/>
      <c r="AR242" s="9"/>
      <c r="AS242" s="9"/>
      <c r="AT242" s="9"/>
      <c r="AU242" s="9"/>
      <c r="AV242" s="9"/>
      <c r="AW242" s="9"/>
      <c r="AX242" s="13"/>
    </row>
    <row r="243" spans="1:50" s="14" customFormat="1" x14ac:dyDescent="0.25">
      <c r="A243" s="11"/>
      <c r="B243" s="11"/>
      <c r="C243" s="11"/>
      <c r="D243" s="11"/>
      <c r="E243" s="9"/>
      <c r="F243" s="9"/>
      <c r="G243" s="9"/>
      <c r="H243" s="10"/>
      <c r="I243" s="11"/>
      <c r="J243" s="9"/>
      <c r="K243" s="9"/>
      <c r="L243" s="9"/>
      <c r="M243" s="10"/>
      <c r="N243" s="9"/>
      <c r="O243" s="10"/>
      <c r="P243" s="11"/>
      <c r="Q243" s="11"/>
      <c r="R243" s="11"/>
      <c r="S243" s="11"/>
      <c r="T243" s="9"/>
      <c r="U243" s="9"/>
      <c r="V243" s="9"/>
      <c r="W243" s="9"/>
      <c r="X243" s="9"/>
      <c r="Y243" s="10"/>
      <c r="Z243" s="11"/>
      <c r="AA243" s="11"/>
      <c r="AB243" s="11"/>
      <c r="AC243" s="11"/>
      <c r="AD243" s="11"/>
      <c r="AE243" s="11"/>
      <c r="AF243" s="11"/>
      <c r="AG243" s="11"/>
      <c r="AH243" s="11"/>
      <c r="AI243" s="12"/>
      <c r="AJ243" s="11"/>
      <c r="AK243" s="11"/>
      <c r="AL243" s="11"/>
      <c r="AM243" s="11"/>
      <c r="AN243" s="9"/>
      <c r="AO243" s="9"/>
      <c r="AP243" s="9"/>
      <c r="AQ243" s="9"/>
      <c r="AR243" s="9"/>
      <c r="AS243" s="9"/>
      <c r="AT243" s="9"/>
      <c r="AU243" s="9"/>
      <c r="AV243" s="9"/>
      <c r="AW243" s="9"/>
      <c r="AX243" s="13"/>
    </row>
    <row r="244" spans="1:50" s="14" customFormat="1" x14ac:dyDescent="0.25">
      <c r="A244" s="11"/>
      <c r="B244" s="11"/>
      <c r="C244" s="11"/>
      <c r="D244" s="9"/>
      <c r="E244" s="9"/>
      <c r="F244" s="9"/>
      <c r="G244" s="9"/>
      <c r="H244" s="10"/>
      <c r="I244" s="9"/>
      <c r="J244" s="9"/>
      <c r="K244" s="9"/>
      <c r="L244" s="9"/>
      <c r="M244" s="10"/>
      <c r="N244" s="9"/>
      <c r="O244" s="10"/>
      <c r="P244" s="11"/>
      <c r="Q244" s="11"/>
      <c r="R244" s="11"/>
      <c r="S244" s="11"/>
      <c r="T244" s="9"/>
      <c r="U244" s="9"/>
      <c r="V244" s="9"/>
      <c r="W244" s="9"/>
      <c r="X244" s="9"/>
      <c r="Y244" s="10"/>
      <c r="Z244" s="11"/>
      <c r="AA244" s="11"/>
      <c r="AB244" s="11"/>
      <c r="AC244" s="11"/>
      <c r="AD244" s="11"/>
      <c r="AE244" s="11"/>
      <c r="AF244" s="11"/>
      <c r="AG244" s="11"/>
      <c r="AH244" s="11"/>
      <c r="AI244" s="12"/>
      <c r="AJ244" s="11"/>
      <c r="AK244" s="11"/>
      <c r="AL244" s="11"/>
      <c r="AM244" s="11"/>
      <c r="AN244" s="9"/>
      <c r="AO244" s="9"/>
      <c r="AP244" s="9"/>
      <c r="AQ244" s="9"/>
      <c r="AR244" s="9"/>
      <c r="AS244" s="9"/>
      <c r="AT244" s="9"/>
      <c r="AU244" s="9"/>
      <c r="AV244" s="9"/>
      <c r="AW244" s="9"/>
      <c r="AX244" s="13"/>
    </row>
    <row r="245" spans="1:50" s="14" customFormat="1" x14ac:dyDescent="0.25">
      <c r="A245" s="11"/>
      <c r="B245" s="11"/>
      <c r="C245" s="11"/>
      <c r="D245" s="11"/>
      <c r="E245" s="11"/>
      <c r="F245" s="11"/>
      <c r="G245" s="11"/>
      <c r="H245" s="10"/>
      <c r="I245" s="11"/>
      <c r="J245" s="11"/>
      <c r="K245" s="11"/>
      <c r="L245" s="11"/>
      <c r="M245" s="10"/>
      <c r="N245" s="9"/>
      <c r="O245" s="10"/>
      <c r="P245" s="11"/>
      <c r="Q245" s="11"/>
      <c r="R245" s="11"/>
      <c r="S245" s="11"/>
      <c r="T245" s="11"/>
      <c r="U245" s="11"/>
      <c r="V245" s="11"/>
      <c r="W245" s="11"/>
      <c r="X245" s="9"/>
      <c r="Y245" s="10"/>
      <c r="Z245" s="11"/>
      <c r="AA245" s="11"/>
      <c r="AB245" s="11"/>
      <c r="AC245" s="11"/>
      <c r="AD245" s="11"/>
      <c r="AE245" s="11"/>
      <c r="AF245" s="11"/>
      <c r="AG245" s="11"/>
      <c r="AH245" s="11"/>
      <c r="AI245" s="12"/>
      <c r="AJ245" s="11"/>
      <c r="AK245" s="11"/>
      <c r="AL245" s="11"/>
      <c r="AM245" s="11"/>
      <c r="AN245" s="9"/>
      <c r="AO245" s="9"/>
      <c r="AP245" s="9"/>
      <c r="AQ245" s="9"/>
      <c r="AR245" s="9"/>
      <c r="AS245" s="9"/>
      <c r="AT245" s="9"/>
      <c r="AU245" s="9"/>
      <c r="AV245" s="9"/>
      <c r="AW245" s="9"/>
      <c r="AX245" s="13"/>
    </row>
    <row r="246" spans="1:50" s="14" customFormat="1" x14ac:dyDescent="0.25">
      <c r="A246" s="11"/>
      <c r="B246" s="11"/>
      <c r="C246" s="11"/>
      <c r="D246" s="11"/>
      <c r="E246" s="11"/>
      <c r="F246" s="11"/>
      <c r="G246" s="11"/>
      <c r="H246" s="10"/>
      <c r="I246" s="11"/>
      <c r="J246" s="11"/>
      <c r="K246" s="11"/>
      <c r="L246" s="11"/>
      <c r="M246" s="10"/>
      <c r="N246" s="9"/>
      <c r="O246" s="10"/>
      <c r="P246" s="11"/>
      <c r="Q246" s="11"/>
      <c r="R246" s="11"/>
      <c r="S246" s="11"/>
      <c r="T246" s="9"/>
      <c r="U246" s="9"/>
      <c r="V246" s="9"/>
      <c r="W246" s="9"/>
      <c r="X246" s="9"/>
      <c r="Y246" s="10"/>
      <c r="Z246" s="11"/>
      <c r="AA246" s="11"/>
      <c r="AB246" s="11"/>
      <c r="AC246" s="11"/>
      <c r="AD246" s="11"/>
      <c r="AE246" s="11"/>
      <c r="AF246" s="11"/>
      <c r="AG246" s="11"/>
      <c r="AH246" s="11"/>
      <c r="AI246" s="12"/>
      <c r="AJ246" s="11"/>
      <c r="AK246" s="11"/>
      <c r="AL246" s="11"/>
      <c r="AM246" s="11"/>
      <c r="AN246" s="9"/>
      <c r="AO246" s="9"/>
      <c r="AP246" s="9"/>
      <c r="AQ246" s="9"/>
      <c r="AR246" s="9"/>
      <c r="AS246" s="9"/>
      <c r="AT246" s="9"/>
      <c r="AU246" s="9"/>
      <c r="AV246" s="9"/>
      <c r="AW246" s="9"/>
      <c r="AX246" s="13"/>
    </row>
    <row r="247" spans="1:50" s="14" customFormat="1" x14ac:dyDescent="0.25">
      <c r="A247" s="11"/>
      <c r="B247" s="11"/>
      <c r="C247" s="11"/>
      <c r="D247" s="11"/>
      <c r="E247" s="9"/>
      <c r="F247" s="9"/>
      <c r="G247" s="9"/>
      <c r="H247" s="10"/>
      <c r="I247" s="11"/>
      <c r="J247" s="9"/>
      <c r="K247" s="9"/>
      <c r="L247" s="9"/>
      <c r="M247" s="10"/>
      <c r="N247" s="9"/>
      <c r="O247" s="10"/>
      <c r="P247" s="11"/>
      <c r="Q247" s="11"/>
      <c r="R247" s="11"/>
      <c r="S247" s="11"/>
      <c r="T247" s="9"/>
      <c r="U247" s="9"/>
      <c r="V247" s="9"/>
      <c r="W247" s="9"/>
      <c r="X247" s="9"/>
      <c r="Y247" s="10"/>
      <c r="Z247" s="11"/>
      <c r="AA247" s="11"/>
      <c r="AB247" s="11"/>
      <c r="AC247" s="11"/>
      <c r="AD247" s="11"/>
      <c r="AE247" s="11"/>
      <c r="AF247" s="11"/>
      <c r="AG247" s="11"/>
      <c r="AH247" s="11"/>
      <c r="AI247" s="12"/>
      <c r="AJ247" s="11"/>
      <c r="AK247" s="11"/>
      <c r="AL247" s="11"/>
      <c r="AM247" s="11"/>
      <c r="AN247" s="9"/>
      <c r="AO247" s="9"/>
      <c r="AP247" s="9"/>
      <c r="AQ247" s="9"/>
      <c r="AR247" s="9"/>
      <c r="AS247" s="9"/>
      <c r="AT247" s="9"/>
      <c r="AU247" s="9"/>
      <c r="AV247" s="9"/>
      <c r="AW247" s="9"/>
      <c r="AX247" s="13"/>
    </row>
    <row r="248" spans="1:50" s="14" customFormat="1" x14ac:dyDescent="0.25">
      <c r="A248" s="11"/>
      <c r="B248" s="11"/>
      <c r="C248" s="11"/>
      <c r="D248" s="11"/>
      <c r="E248" s="11"/>
      <c r="F248" s="11"/>
      <c r="G248" s="11"/>
      <c r="H248" s="10"/>
      <c r="I248" s="11"/>
      <c r="J248" s="11"/>
      <c r="K248" s="11"/>
      <c r="L248" s="11"/>
      <c r="M248" s="10"/>
      <c r="N248" s="9"/>
      <c r="O248" s="10"/>
      <c r="P248" s="11"/>
      <c r="Q248" s="11"/>
      <c r="R248" s="11"/>
      <c r="S248" s="11"/>
      <c r="T248" s="9"/>
      <c r="U248" s="9"/>
      <c r="V248" s="9"/>
      <c r="W248" s="9"/>
      <c r="X248" s="9"/>
      <c r="Y248" s="10"/>
      <c r="Z248" s="11"/>
      <c r="AA248" s="11"/>
      <c r="AB248" s="11"/>
      <c r="AC248" s="11"/>
      <c r="AD248" s="11"/>
      <c r="AE248" s="11"/>
      <c r="AF248" s="11"/>
      <c r="AG248" s="11"/>
      <c r="AH248" s="11"/>
      <c r="AI248" s="12"/>
      <c r="AJ248" s="11"/>
      <c r="AK248" s="11"/>
      <c r="AL248" s="11"/>
      <c r="AM248" s="11"/>
      <c r="AN248" s="9"/>
      <c r="AO248" s="9"/>
      <c r="AP248" s="9"/>
      <c r="AQ248" s="9"/>
      <c r="AR248" s="9"/>
      <c r="AS248" s="9"/>
      <c r="AT248" s="9"/>
      <c r="AU248" s="9"/>
      <c r="AV248" s="9"/>
      <c r="AW248" s="9"/>
      <c r="AX248" s="13"/>
    </row>
    <row r="249" spans="1:50" s="14" customFormat="1" x14ac:dyDescent="0.25">
      <c r="A249" s="11"/>
      <c r="B249" s="11"/>
      <c r="C249" s="11"/>
      <c r="D249" s="11"/>
      <c r="E249" s="11"/>
      <c r="F249" s="11"/>
      <c r="G249" s="11"/>
      <c r="H249" s="10"/>
      <c r="I249" s="11"/>
      <c r="J249" s="11"/>
      <c r="K249" s="11"/>
      <c r="L249" s="11"/>
      <c r="M249" s="10"/>
      <c r="N249" s="9"/>
      <c r="O249" s="10"/>
      <c r="P249" s="11"/>
      <c r="Q249" s="11"/>
      <c r="R249" s="11"/>
      <c r="S249" s="11"/>
      <c r="T249" s="9"/>
      <c r="U249" s="9"/>
      <c r="V249" s="9"/>
      <c r="W249" s="9"/>
      <c r="X249" s="9"/>
      <c r="Y249" s="10"/>
      <c r="Z249" s="11"/>
      <c r="AA249" s="11"/>
      <c r="AB249" s="11"/>
      <c r="AC249" s="11"/>
      <c r="AD249" s="11"/>
      <c r="AE249" s="11"/>
      <c r="AF249" s="11"/>
      <c r="AG249" s="11"/>
      <c r="AH249" s="11"/>
      <c r="AI249" s="12"/>
      <c r="AJ249" s="11"/>
      <c r="AK249" s="11"/>
      <c r="AL249" s="11"/>
      <c r="AM249" s="11"/>
      <c r="AN249" s="9"/>
      <c r="AO249" s="9"/>
      <c r="AP249" s="9"/>
      <c r="AQ249" s="9"/>
      <c r="AR249" s="9"/>
      <c r="AS249" s="9"/>
      <c r="AT249" s="9"/>
      <c r="AU249" s="9"/>
      <c r="AV249" s="9"/>
      <c r="AW249" s="9"/>
      <c r="AX249" s="13"/>
    </row>
    <row r="250" spans="1:50" s="14" customFormat="1" x14ac:dyDescent="0.25">
      <c r="A250" s="11"/>
      <c r="B250" s="11"/>
      <c r="C250" s="11"/>
      <c r="D250" s="11"/>
      <c r="E250" s="9"/>
      <c r="F250" s="9"/>
      <c r="G250" s="9"/>
      <c r="H250" s="10"/>
      <c r="I250" s="11"/>
      <c r="J250" s="9"/>
      <c r="K250" s="9"/>
      <c r="L250" s="9"/>
      <c r="M250" s="10"/>
      <c r="N250" s="9"/>
      <c r="O250" s="10"/>
      <c r="P250" s="11"/>
      <c r="Q250" s="11"/>
      <c r="R250" s="11"/>
      <c r="S250" s="11"/>
      <c r="T250" s="9"/>
      <c r="U250" s="9"/>
      <c r="V250" s="9"/>
      <c r="W250" s="9"/>
      <c r="X250" s="9"/>
      <c r="Y250" s="10"/>
      <c r="Z250" s="11"/>
      <c r="AA250" s="11"/>
      <c r="AB250" s="11"/>
      <c r="AC250" s="11"/>
      <c r="AD250" s="11"/>
      <c r="AE250" s="11"/>
      <c r="AF250" s="11"/>
      <c r="AG250" s="11"/>
      <c r="AH250" s="11"/>
      <c r="AI250" s="12"/>
      <c r="AJ250" s="11"/>
      <c r="AK250" s="11"/>
      <c r="AL250" s="11"/>
      <c r="AM250" s="11"/>
      <c r="AN250" s="9"/>
      <c r="AO250" s="9"/>
      <c r="AP250" s="9"/>
      <c r="AQ250" s="9"/>
      <c r="AR250" s="9"/>
      <c r="AS250" s="9"/>
      <c r="AT250" s="9"/>
      <c r="AU250" s="9"/>
      <c r="AV250" s="9"/>
      <c r="AW250" s="9"/>
      <c r="AX250" s="13"/>
    </row>
    <row r="251" spans="1:50" s="14" customFormat="1" x14ac:dyDescent="0.25">
      <c r="A251" s="11"/>
      <c r="B251" s="11"/>
      <c r="C251" s="11"/>
      <c r="D251" s="11"/>
      <c r="E251" s="11"/>
      <c r="F251" s="11"/>
      <c r="G251" s="11"/>
      <c r="H251" s="10"/>
      <c r="I251" s="11"/>
      <c r="J251" s="11"/>
      <c r="K251" s="11"/>
      <c r="L251" s="11"/>
      <c r="M251" s="10"/>
      <c r="N251" s="9"/>
      <c r="O251" s="10"/>
      <c r="P251" s="11"/>
      <c r="Q251" s="11"/>
      <c r="R251" s="11"/>
      <c r="S251" s="11"/>
      <c r="T251" s="9"/>
      <c r="U251" s="9"/>
      <c r="V251" s="9"/>
      <c r="W251" s="9"/>
      <c r="X251" s="9"/>
      <c r="Y251" s="10"/>
      <c r="Z251" s="11"/>
      <c r="AA251" s="11"/>
      <c r="AB251" s="11"/>
      <c r="AC251" s="11"/>
      <c r="AD251" s="11"/>
      <c r="AE251" s="11"/>
      <c r="AF251" s="11"/>
      <c r="AG251" s="11"/>
      <c r="AH251" s="11"/>
      <c r="AI251" s="12"/>
      <c r="AJ251" s="11"/>
      <c r="AK251" s="11"/>
      <c r="AL251" s="11"/>
      <c r="AM251" s="11"/>
      <c r="AN251" s="9"/>
      <c r="AO251" s="9"/>
      <c r="AP251" s="9"/>
      <c r="AQ251" s="9"/>
      <c r="AR251" s="9"/>
      <c r="AS251" s="9"/>
      <c r="AT251" s="9"/>
      <c r="AU251" s="9"/>
      <c r="AV251" s="9"/>
      <c r="AW251" s="9"/>
      <c r="AX251" s="13"/>
    </row>
    <row r="252" spans="1:50" s="14" customFormat="1" x14ac:dyDescent="0.25">
      <c r="A252" s="11"/>
      <c r="B252" s="11"/>
      <c r="C252" s="11"/>
      <c r="D252" s="9"/>
      <c r="E252" s="9"/>
      <c r="F252" s="9"/>
      <c r="G252" s="9"/>
      <c r="H252" s="10"/>
      <c r="I252" s="9"/>
      <c r="J252" s="9"/>
      <c r="K252" s="9"/>
      <c r="L252" s="9"/>
      <c r="M252" s="10"/>
      <c r="N252" s="9"/>
      <c r="O252" s="10"/>
      <c r="P252" s="11"/>
      <c r="Q252" s="11"/>
      <c r="R252" s="11"/>
      <c r="S252" s="11"/>
      <c r="T252" s="9"/>
      <c r="U252" s="9"/>
      <c r="V252" s="9"/>
      <c r="W252" s="9"/>
      <c r="X252" s="9"/>
      <c r="Y252" s="10"/>
      <c r="Z252" s="11"/>
      <c r="AA252" s="11"/>
      <c r="AB252" s="11"/>
      <c r="AC252" s="11"/>
      <c r="AD252" s="11"/>
      <c r="AE252" s="11"/>
      <c r="AF252" s="11"/>
      <c r="AG252" s="11"/>
      <c r="AH252" s="11"/>
      <c r="AI252" s="12"/>
      <c r="AJ252" s="11"/>
      <c r="AK252" s="11"/>
      <c r="AL252" s="11"/>
      <c r="AM252" s="11"/>
      <c r="AN252" s="9"/>
      <c r="AO252" s="9"/>
      <c r="AP252" s="9"/>
      <c r="AQ252" s="9"/>
      <c r="AR252" s="9"/>
      <c r="AS252" s="9"/>
      <c r="AT252" s="9"/>
      <c r="AU252" s="9"/>
      <c r="AV252" s="9"/>
      <c r="AW252" s="9"/>
      <c r="AX252" s="13"/>
    </row>
    <row r="253" spans="1:50" s="14" customFormat="1" x14ac:dyDescent="0.25">
      <c r="A253" s="11"/>
      <c r="B253" s="11"/>
      <c r="C253" s="11"/>
      <c r="D253" s="11"/>
      <c r="E253" s="9"/>
      <c r="F253" s="9"/>
      <c r="G253" s="9"/>
      <c r="H253" s="10"/>
      <c r="I253" s="11"/>
      <c r="J253" s="9"/>
      <c r="K253" s="9"/>
      <c r="L253" s="9"/>
      <c r="M253" s="10"/>
      <c r="N253" s="9"/>
      <c r="O253" s="10"/>
      <c r="P253" s="11"/>
      <c r="Q253" s="11"/>
      <c r="R253" s="11"/>
      <c r="S253" s="11"/>
      <c r="T253" s="9"/>
      <c r="U253" s="9"/>
      <c r="V253" s="9"/>
      <c r="W253" s="9"/>
      <c r="X253" s="9"/>
      <c r="Y253" s="10"/>
      <c r="Z253" s="11"/>
      <c r="AA253" s="11"/>
      <c r="AB253" s="11"/>
      <c r="AC253" s="11"/>
      <c r="AD253" s="11"/>
      <c r="AE253" s="11"/>
      <c r="AF253" s="11"/>
      <c r="AG253" s="11"/>
      <c r="AH253" s="11"/>
      <c r="AI253" s="12"/>
      <c r="AJ253" s="11"/>
      <c r="AK253" s="11"/>
      <c r="AL253" s="11"/>
      <c r="AM253" s="11"/>
      <c r="AN253" s="9"/>
      <c r="AO253" s="9"/>
      <c r="AP253" s="9"/>
      <c r="AQ253" s="9"/>
      <c r="AR253" s="9"/>
      <c r="AS253" s="9"/>
      <c r="AT253" s="9"/>
      <c r="AU253" s="9"/>
      <c r="AV253" s="9"/>
      <c r="AW253" s="9"/>
      <c r="AX253" s="13"/>
    </row>
    <row r="254" spans="1:50" s="14" customFormat="1" x14ac:dyDescent="0.25">
      <c r="A254" s="11"/>
      <c r="B254" s="11"/>
      <c r="C254" s="11"/>
      <c r="D254" s="11"/>
      <c r="E254" s="11"/>
      <c r="F254" s="11"/>
      <c r="G254" s="11"/>
      <c r="H254" s="10"/>
      <c r="I254" s="11"/>
      <c r="J254" s="11"/>
      <c r="K254" s="11"/>
      <c r="L254" s="11"/>
      <c r="M254" s="10"/>
      <c r="N254" s="9"/>
      <c r="O254" s="10"/>
      <c r="P254" s="11"/>
      <c r="Q254" s="11"/>
      <c r="R254" s="11"/>
      <c r="S254" s="11"/>
      <c r="T254" s="9"/>
      <c r="U254" s="9"/>
      <c r="V254" s="9"/>
      <c r="W254" s="9"/>
      <c r="X254" s="9"/>
      <c r="Y254" s="10"/>
      <c r="Z254" s="11"/>
      <c r="AA254" s="11"/>
      <c r="AB254" s="11"/>
      <c r="AC254" s="11"/>
      <c r="AD254" s="11"/>
      <c r="AE254" s="11"/>
      <c r="AF254" s="11"/>
      <c r="AG254" s="11"/>
      <c r="AH254" s="11"/>
      <c r="AI254" s="12"/>
      <c r="AJ254" s="11"/>
      <c r="AK254" s="11"/>
      <c r="AL254" s="11"/>
      <c r="AM254" s="11"/>
      <c r="AN254" s="9"/>
      <c r="AO254" s="9"/>
      <c r="AP254" s="9"/>
      <c r="AQ254" s="9"/>
      <c r="AR254" s="9"/>
      <c r="AS254" s="9"/>
      <c r="AT254" s="9"/>
      <c r="AU254" s="9"/>
      <c r="AV254" s="9"/>
      <c r="AW254" s="9"/>
      <c r="AX254" s="13"/>
    </row>
    <row r="255" spans="1:50" s="14" customFormat="1" x14ac:dyDescent="0.25">
      <c r="A255" s="11"/>
      <c r="B255" s="11"/>
      <c r="C255" s="11"/>
      <c r="D255" s="11"/>
      <c r="E255" s="11"/>
      <c r="F255" s="11"/>
      <c r="G255" s="11"/>
      <c r="H255" s="10"/>
      <c r="I255" s="11"/>
      <c r="J255" s="11"/>
      <c r="K255" s="11"/>
      <c r="L255" s="11"/>
      <c r="M255" s="10"/>
      <c r="N255" s="9"/>
      <c r="O255" s="10"/>
      <c r="P255" s="11"/>
      <c r="Q255" s="11"/>
      <c r="R255" s="11"/>
      <c r="S255" s="11"/>
      <c r="T255" s="9"/>
      <c r="U255" s="9"/>
      <c r="V255" s="9"/>
      <c r="W255" s="9"/>
      <c r="X255" s="9"/>
      <c r="Y255" s="10"/>
      <c r="Z255" s="11"/>
      <c r="AA255" s="11"/>
      <c r="AB255" s="11"/>
      <c r="AC255" s="11"/>
      <c r="AD255" s="11"/>
      <c r="AE255" s="11"/>
      <c r="AF255" s="11"/>
      <c r="AG255" s="11"/>
      <c r="AH255" s="11"/>
      <c r="AI255" s="12"/>
      <c r="AJ255" s="11"/>
      <c r="AK255" s="11"/>
      <c r="AL255" s="11"/>
      <c r="AM255" s="11"/>
      <c r="AN255" s="9"/>
      <c r="AO255" s="9"/>
      <c r="AP255" s="9"/>
      <c r="AQ255" s="9"/>
      <c r="AR255" s="9"/>
      <c r="AS255" s="9"/>
      <c r="AT255" s="9"/>
      <c r="AU255" s="9"/>
      <c r="AV255" s="9"/>
      <c r="AW255" s="9"/>
      <c r="AX255" s="13"/>
    </row>
    <row r="256" spans="1:50" s="14" customFormat="1" x14ac:dyDescent="0.25">
      <c r="A256" s="11"/>
      <c r="B256" s="11"/>
      <c r="C256" s="11"/>
      <c r="D256" s="11"/>
      <c r="E256" s="11"/>
      <c r="F256" s="11"/>
      <c r="G256" s="11"/>
      <c r="H256" s="10"/>
      <c r="I256" s="11"/>
      <c r="J256" s="11"/>
      <c r="K256" s="11"/>
      <c r="L256" s="11"/>
      <c r="M256" s="10"/>
      <c r="N256" s="9"/>
      <c r="O256" s="10"/>
      <c r="P256" s="11"/>
      <c r="Q256" s="11"/>
      <c r="R256" s="11"/>
      <c r="S256" s="11"/>
      <c r="T256" s="9"/>
      <c r="U256" s="9"/>
      <c r="V256" s="9"/>
      <c r="W256" s="9"/>
      <c r="X256" s="9"/>
      <c r="Y256" s="10"/>
      <c r="Z256" s="11"/>
      <c r="AA256" s="11"/>
      <c r="AB256" s="11"/>
      <c r="AC256" s="11"/>
      <c r="AD256" s="11"/>
      <c r="AE256" s="11"/>
      <c r="AF256" s="11"/>
      <c r="AG256" s="11"/>
      <c r="AH256" s="11"/>
      <c r="AI256" s="12"/>
      <c r="AJ256" s="11"/>
      <c r="AK256" s="11"/>
      <c r="AL256" s="11"/>
      <c r="AM256" s="11"/>
      <c r="AN256" s="9"/>
      <c r="AO256" s="9"/>
      <c r="AP256" s="9"/>
      <c r="AQ256" s="9"/>
      <c r="AR256" s="9"/>
      <c r="AS256" s="9"/>
      <c r="AT256" s="9"/>
      <c r="AU256" s="9"/>
      <c r="AV256" s="9"/>
      <c r="AW256" s="9"/>
      <c r="AX256" s="13"/>
    </row>
    <row r="257" spans="1:50" s="14" customFormat="1" x14ac:dyDescent="0.25">
      <c r="A257" s="11"/>
      <c r="B257" s="11"/>
      <c r="C257" s="11"/>
      <c r="D257" s="11"/>
      <c r="E257" s="9"/>
      <c r="F257" s="9"/>
      <c r="G257" s="9"/>
      <c r="H257" s="10"/>
      <c r="I257" s="11"/>
      <c r="J257" s="9"/>
      <c r="K257" s="9"/>
      <c r="L257" s="9"/>
      <c r="M257" s="10"/>
      <c r="N257" s="9"/>
      <c r="O257" s="10"/>
      <c r="P257" s="11"/>
      <c r="Q257" s="11"/>
      <c r="R257" s="11"/>
      <c r="S257" s="11"/>
      <c r="T257" s="9"/>
      <c r="U257" s="9"/>
      <c r="V257" s="9"/>
      <c r="W257" s="9"/>
      <c r="X257" s="9"/>
      <c r="Y257" s="10"/>
      <c r="Z257" s="11"/>
      <c r="AA257" s="11"/>
      <c r="AB257" s="11"/>
      <c r="AC257" s="11"/>
      <c r="AD257" s="11"/>
      <c r="AE257" s="11"/>
      <c r="AF257" s="11"/>
      <c r="AG257" s="11"/>
      <c r="AH257" s="11"/>
      <c r="AI257" s="12"/>
      <c r="AJ257" s="11"/>
      <c r="AK257" s="11"/>
      <c r="AL257" s="11"/>
      <c r="AM257" s="11"/>
      <c r="AN257" s="9"/>
      <c r="AO257" s="9"/>
      <c r="AP257" s="9"/>
      <c r="AQ257" s="9"/>
      <c r="AR257" s="9"/>
      <c r="AS257" s="9"/>
      <c r="AT257" s="9"/>
      <c r="AU257" s="9"/>
      <c r="AV257" s="9"/>
      <c r="AW257" s="9"/>
      <c r="AX257" s="13"/>
    </row>
    <row r="258" spans="1:50" s="14" customFormat="1" x14ac:dyDescent="0.25">
      <c r="A258" s="11"/>
      <c r="B258" s="11"/>
      <c r="C258" s="11"/>
      <c r="D258" s="11"/>
      <c r="E258" s="9"/>
      <c r="F258" s="9"/>
      <c r="G258" s="9"/>
      <c r="H258" s="10"/>
      <c r="I258" s="11"/>
      <c r="J258" s="9"/>
      <c r="K258" s="9"/>
      <c r="L258" s="9"/>
      <c r="M258" s="10"/>
      <c r="N258" s="9"/>
      <c r="O258" s="10"/>
      <c r="P258" s="11"/>
      <c r="Q258" s="11"/>
      <c r="R258" s="11"/>
      <c r="S258" s="11"/>
      <c r="T258" s="9"/>
      <c r="U258" s="9"/>
      <c r="V258" s="9"/>
      <c r="W258" s="9"/>
      <c r="X258" s="9"/>
      <c r="Y258" s="10"/>
      <c r="Z258" s="11"/>
      <c r="AA258" s="11"/>
      <c r="AB258" s="11"/>
      <c r="AC258" s="11"/>
      <c r="AD258" s="11"/>
      <c r="AE258" s="11"/>
      <c r="AF258" s="11"/>
      <c r="AG258" s="11"/>
      <c r="AH258" s="11"/>
      <c r="AI258" s="12"/>
      <c r="AJ258" s="11"/>
      <c r="AK258" s="11"/>
      <c r="AL258" s="11"/>
      <c r="AM258" s="11"/>
      <c r="AN258" s="9"/>
      <c r="AO258" s="9"/>
      <c r="AP258" s="9"/>
      <c r="AQ258" s="9"/>
      <c r="AR258" s="9"/>
      <c r="AS258" s="9"/>
      <c r="AT258" s="9"/>
      <c r="AU258" s="9"/>
      <c r="AV258" s="9"/>
      <c r="AW258" s="9"/>
      <c r="AX258" s="13"/>
    </row>
    <row r="259" spans="1:50" s="14" customFormat="1" x14ac:dyDescent="0.25">
      <c r="A259" s="11"/>
      <c r="B259" s="11"/>
      <c r="C259" s="11"/>
      <c r="D259" s="11"/>
      <c r="E259" s="11"/>
      <c r="F259" s="11"/>
      <c r="G259" s="11"/>
      <c r="H259" s="10"/>
      <c r="I259" s="11"/>
      <c r="J259" s="11"/>
      <c r="K259" s="11"/>
      <c r="L259" s="11"/>
      <c r="M259" s="10"/>
      <c r="N259" s="9"/>
      <c r="O259" s="10"/>
      <c r="P259" s="11"/>
      <c r="Q259" s="11"/>
      <c r="R259" s="11"/>
      <c r="S259" s="11"/>
      <c r="T259" s="9"/>
      <c r="U259" s="9"/>
      <c r="V259" s="9"/>
      <c r="W259" s="9"/>
      <c r="X259" s="9"/>
      <c r="Y259" s="10"/>
      <c r="Z259" s="11"/>
      <c r="AA259" s="11"/>
      <c r="AB259" s="11"/>
      <c r="AC259" s="11"/>
      <c r="AD259" s="11"/>
      <c r="AE259" s="11"/>
      <c r="AF259" s="11"/>
      <c r="AG259" s="11"/>
      <c r="AH259" s="11"/>
      <c r="AI259" s="12"/>
      <c r="AJ259" s="11"/>
      <c r="AK259" s="11"/>
      <c r="AL259" s="11"/>
      <c r="AM259" s="11"/>
      <c r="AN259" s="9"/>
      <c r="AO259" s="9"/>
      <c r="AP259" s="9"/>
      <c r="AQ259" s="9"/>
      <c r="AR259" s="9"/>
      <c r="AS259" s="9"/>
      <c r="AT259" s="9"/>
      <c r="AU259" s="9"/>
      <c r="AV259" s="9"/>
      <c r="AW259" s="9"/>
      <c r="AX259" s="13"/>
    </row>
    <row r="260" spans="1:50" s="14" customFormat="1" x14ac:dyDescent="0.25">
      <c r="A260" s="11"/>
      <c r="B260" s="11"/>
      <c r="C260" s="11"/>
      <c r="D260" s="11"/>
      <c r="E260" s="9"/>
      <c r="F260" s="9"/>
      <c r="G260" s="9"/>
      <c r="H260" s="10"/>
      <c r="I260" s="11"/>
      <c r="J260" s="9"/>
      <c r="K260" s="9"/>
      <c r="L260" s="9"/>
      <c r="M260" s="10"/>
      <c r="N260" s="9"/>
      <c r="O260" s="10"/>
      <c r="P260" s="11"/>
      <c r="Q260" s="11"/>
      <c r="R260" s="11"/>
      <c r="S260" s="11"/>
      <c r="T260" s="9"/>
      <c r="U260" s="9"/>
      <c r="V260" s="9"/>
      <c r="W260" s="9"/>
      <c r="X260" s="9"/>
      <c r="Y260" s="10"/>
      <c r="Z260" s="11"/>
      <c r="AA260" s="11"/>
      <c r="AB260" s="11"/>
      <c r="AC260" s="11"/>
      <c r="AD260" s="11"/>
      <c r="AE260" s="11"/>
      <c r="AF260" s="11"/>
      <c r="AG260" s="11"/>
      <c r="AH260" s="11"/>
      <c r="AI260" s="12"/>
      <c r="AJ260" s="11"/>
      <c r="AK260" s="11"/>
      <c r="AL260" s="11"/>
      <c r="AM260" s="11"/>
      <c r="AN260" s="9"/>
      <c r="AO260" s="9"/>
      <c r="AP260" s="9"/>
      <c r="AQ260" s="9"/>
      <c r="AR260" s="9"/>
      <c r="AS260" s="9"/>
      <c r="AT260" s="9"/>
      <c r="AU260" s="9"/>
      <c r="AV260" s="9"/>
      <c r="AW260" s="9"/>
      <c r="AX260" s="13"/>
    </row>
    <row r="261" spans="1:50" s="14" customFormat="1" x14ac:dyDescent="0.25">
      <c r="A261" s="11"/>
      <c r="B261" s="11"/>
      <c r="C261" s="11"/>
      <c r="D261" s="11"/>
      <c r="E261" s="9"/>
      <c r="F261" s="9"/>
      <c r="G261" s="9"/>
      <c r="H261" s="10"/>
      <c r="I261" s="11"/>
      <c r="J261" s="9"/>
      <c r="K261" s="9"/>
      <c r="L261" s="9"/>
      <c r="M261" s="10"/>
      <c r="N261" s="9"/>
      <c r="O261" s="10"/>
      <c r="P261" s="11"/>
      <c r="Q261" s="11"/>
      <c r="R261" s="11"/>
      <c r="S261" s="11"/>
      <c r="T261" s="9"/>
      <c r="U261" s="9"/>
      <c r="V261" s="9"/>
      <c r="W261" s="9"/>
      <c r="X261" s="9"/>
      <c r="Y261" s="10"/>
      <c r="Z261" s="11"/>
      <c r="AA261" s="11"/>
      <c r="AB261" s="11"/>
      <c r="AC261" s="11"/>
      <c r="AD261" s="11"/>
      <c r="AE261" s="11"/>
      <c r="AF261" s="11"/>
      <c r="AG261" s="11"/>
      <c r="AH261" s="11"/>
      <c r="AI261" s="12"/>
      <c r="AJ261" s="11"/>
      <c r="AK261" s="11"/>
      <c r="AL261" s="11"/>
      <c r="AM261" s="11"/>
      <c r="AN261" s="9"/>
      <c r="AO261" s="9"/>
      <c r="AP261" s="9"/>
      <c r="AQ261" s="9"/>
      <c r="AR261" s="9"/>
      <c r="AS261" s="9"/>
      <c r="AT261" s="9"/>
      <c r="AU261" s="9"/>
      <c r="AV261" s="9"/>
      <c r="AW261" s="9"/>
      <c r="AX261" s="13"/>
    </row>
    <row r="262" spans="1:50" s="14" customFormat="1" x14ac:dyDescent="0.25">
      <c r="A262" s="11"/>
      <c r="B262" s="11"/>
      <c r="C262" s="11"/>
      <c r="D262" s="11"/>
      <c r="E262" s="9"/>
      <c r="F262" s="9"/>
      <c r="G262" s="9"/>
      <c r="H262" s="10"/>
      <c r="I262" s="11"/>
      <c r="J262" s="9"/>
      <c r="K262" s="9"/>
      <c r="L262" s="9"/>
      <c r="M262" s="10"/>
      <c r="N262" s="9"/>
      <c r="O262" s="10"/>
      <c r="P262" s="11"/>
      <c r="Q262" s="11"/>
      <c r="R262" s="11"/>
      <c r="S262" s="11"/>
      <c r="T262" s="9"/>
      <c r="U262" s="9"/>
      <c r="V262" s="9"/>
      <c r="W262" s="9"/>
      <c r="X262" s="9"/>
      <c r="Y262" s="10"/>
      <c r="Z262" s="11"/>
      <c r="AA262" s="11"/>
      <c r="AB262" s="11"/>
      <c r="AC262" s="11"/>
      <c r="AD262" s="11"/>
      <c r="AE262" s="11"/>
      <c r="AF262" s="11"/>
      <c r="AG262" s="11"/>
      <c r="AH262" s="11"/>
      <c r="AI262" s="12"/>
      <c r="AJ262" s="11"/>
      <c r="AK262" s="11"/>
      <c r="AL262" s="11"/>
      <c r="AM262" s="11"/>
      <c r="AN262" s="9"/>
      <c r="AO262" s="9"/>
      <c r="AP262" s="9"/>
      <c r="AQ262" s="9"/>
      <c r="AR262" s="9"/>
      <c r="AS262" s="9"/>
      <c r="AT262" s="9"/>
      <c r="AU262" s="9"/>
      <c r="AV262" s="9"/>
      <c r="AW262" s="9"/>
      <c r="AX262" s="13"/>
    </row>
    <row r="263" spans="1:50" s="14" customFormat="1" x14ac:dyDescent="0.25">
      <c r="A263" s="11"/>
      <c r="B263" s="11"/>
      <c r="C263" s="11"/>
      <c r="D263" s="11"/>
      <c r="E263" s="11"/>
      <c r="F263" s="11"/>
      <c r="G263" s="11"/>
      <c r="H263" s="10"/>
      <c r="I263" s="11"/>
      <c r="J263" s="11"/>
      <c r="K263" s="11"/>
      <c r="L263" s="11"/>
      <c r="M263" s="10"/>
      <c r="N263" s="9"/>
      <c r="O263" s="10"/>
      <c r="P263" s="11"/>
      <c r="Q263" s="11"/>
      <c r="R263" s="11"/>
      <c r="S263" s="11"/>
      <c r="T263" s="9"/>
      <c r="U263" s="9"/>
      <c r="V263" s="9"/>
      <c r="W263" s="9"/>
      <c r="X263" s="9"/>
      <c r="Y263" s="10"/>
      <c r="Z263" s="11"/>
      <c r="AA263" s="11"/>
      <c r="AB263" s="11"/>
      <c r="AC263" s="11"/>
      <c r="AD263" s="11"/>
      <c r="AE263" s="11"/>
      <c r="AF263" s="11"/>
      <c r="AG263" s="11"/>
      <c r="AH263" s="11"/>
      <c r="AI263" s="12"/>
      <c r="AJ263" s="11"/>
      <c r="AK263" s="11"/>
      <c r="AL263" s="11"/>
      <c r="AM263" s="11"/>
      <c r="AN263" s="9"/>
      <c r="AO263" s="9"/>
      <c r="AP263" s="9"/>
      <c r="AQ263" s="9"/>
      <c r="AR263" s="9"/>
      <c r="AS263" s="9"/>
      <c r="AT263" s="9"/>
      <c r="AU263" s="9"/>
      <c r="AV263" s="9"/>
      <c r="AW263" s="9"/>
      <c r="AX263" s="13"/>
    </row>
    <row r="264" spans="1:50" s="14" customFormat="1" x14ac:dyDescent="0.25">
      <c r="A264" s="9"/>
      <c r="B264" s="9"/>
      <c r="C264" s="9"/>
      <c r="D264" s="9"/>
      <c r="E264" s="9"/>
      <c r="F264" s="9"/>
      <c r="G264" s="9"/>
      <c r="H264" s="10"/>
      <c r="I264" s="9"/>
      <c r="J264" s="9"/>
      <c r="K264" s="9"/>
      <c r="L264" s="9"/>
      <c r="M264" s="10"/>
      <c r="N264" s="9"/>
      <c r="O264" s="10"/>
      <c r="P264" s="9"/>
      <c r="Q264" s="9"/>
      <c r="R264" s="9"/>
      <c r="S264" s="9"/>
      <c r="T264" s="9"/>
      <c r="U264" s="9"/>
      <c r="V264" s="9"/>
      <c r="W264" s="9"/>
      <c r="X264" s="9"/>
      <c r="Y264" s="10"/>
      <c r="Z264" s="9"/>
      <c r="AA264" s="9"/>
      <c r="AB264" s="9"/>
      <c r="AC264" s="9"/>
      <c r="AD264" s="9"/>
      <c r="AE264" s="9"/>
      <c r="AF264" s="9"/>
      <c r="AG264" s="9"/>
      <c r="AH264" s="9"/>
      <c r="AI264" s="10"/>
      <c r="AJ264" s="9"/>
      <c r="AK264" s="9"/>
      <c r="AL264" s="9"/>
      <c r="AM264" s="9"/>
      <c r="AN264" s="9"/>
      <c r="AO264" s="9"/>
      <c r="AP264" s="9"/>
      <c r="AQ264" s="9"/>
      <c r="AR264" s="9"/>
      <c r="AS264" s="9"/>
      <c r="AT264" s="9"/>
      <c r="AU264" s="9"/>
      <c r="AV264" s="9"/>
      <c r="AW264" s="9"/>
      <c r="AX264" s="9"/>
    </row>
    <row r="265" spans="1:50" s="14" customFormat="1" x14ac:dyDescent="0.25">
      <c r="A265" s="9"/>
      <c r="B265" s="9"/>
      <c r="C265" s="9"/>
      <c r="D265" s="9"/>
      <c r="E265" s="9"/>
      <c r="F265" s="9"/>
      <c r="G265" s="9"/>
      <c r="H265" s="10"/>
      <c r="I265" s="9"/>
      <c r="J265" s="9"/>
      <c r="K265" s="9"/>
      <c r="L265" s="9"/>
      <c r="M265" s="10"/>
      <c r="N265" s="9"/>
      <c r="O265" s="10"/>
      <c r="P265" s="9"/>
      <c r="Q265" s="9"/>
      <c r="R265" s="9"/>
      <c r="S265" s="9"/>
      <c r="T265" s="9"/>
      <c r="U265" s="9"/>
      <c r="V265" s="9"/>
      <c r="W265" s="9"/>
      <c r="X265" s="9"/>
      <c r="Y265" s="10"/>
      <c r="Z265" s="9"/>
      <c r="AA265" s="9"/>
      <c r="AB265" s="9"/>
      <c r="AC265" s="9"/>
      <c r="AD265" s="9"/>
      <c r="AE265" s="9"/>
      <c r="AF265" s="9"/>
      <c r="AG265" s="9"/>
      <c r="AH265" s="9"/>
      <c r="AI265" s="10"/>
      <c r="AJ265" s="9"/>
      <c r="AK265" s="9"/>
      <c r="AL265" s="9"/>
      <c r="AM265" s="9"/>
      <c r="AN265" s="9"/>
      <c r="AO265" s="9"/>
      <c r="AP265" s="9"/>
      <c r="AQ265" s="9"/>
      <c r="AR265" s="9"/>
      <c r="AS265" s="9"/>
      <c r="AT265" s="9"/>
      <c r="AU265" s="9"/>
      <c r="AV265" s="9"/>
      <c r="AW265" s="9"/>
      <c r="AX265" s="9"/>
    </row>
    <row r="266" spans="1:50" s="14" customFormat="1" x14ac:dyDescent="0.25">
      <c r="A266" s="9"/>
      <c r="B266" s="9"/>
      <c r="C266" s="9"/>
      <c r="D266" s="9"/>
      <c r="E266" s="9"/>
      <c r="F266" s="9"/>
      <c r="G266" s="9"/>
      <c r="H266" s="10"/>
      <c r="I266" s="9"/>
      <c r="J266" s="9"/>
      <c r="K266" s="9"/>
      <c r="L266" s="9"/>
      <c r="M266" s="10"/>
      <c r="N266" s="9"/>
      <c r="O266" s="10"/>
      <c r="P266" s="9"/>
      <c r="Q266" s="9"/>
      <c r="R266" s="9"/>
      <c r="S266" s="9"/>
      <c r="T266" s="9"/>
      <c r="U266" s="9"/>
      <c r="V266" s="9"/>
      <c r="W266" s="9"/>
      <c r="X266" s="9"/>
      <c r="Y266" s="10"/>
      <c r="Z266" s="9"/>
      <c r="AA266" s="9"/>
      <c r="AB266" s="9"/>
      <c r="AC266" s="9"/>
      <c r="AD266" s="9"/>
      <c r="AE266" s="9"/>
      <c r="AF266" s="9"/>
      <c r="AG266" s="9"/>
      <c r="AH266" s="9"/>
      <c r="AI266" s="10"/>
      <c r="AJ266" s="9"/>
      <c r="AK266" s="9"/>
      <c r="AL266" s="9"/>
      <c r="AM266" s="9"/>
      <c r="AN266" s="9"/>
      <c r="AO266" s="9"/>
      <c r="AP266" s="9"/>
      <c r="AQ266" s="9"/>
      <c r="AR266" s="9"/>
      <c r="AS266" s="9"/>
      <c r="AT266" s="9"/>
      <c r="AU266" s="9"/>
      <c r="AV266" s="9"/>
      <c r="AW266" s="9"/>
      <c r="AX266" s="9"/>
    </row>
    <row r="267" spans="1:50" s="14" customFormat="1" x14ac:dyDescent="0.25">
      <c r="A267" s="9"/>
      <c r="B267" s="9"/>
      <c r="C267" s="9"/>
      <c r="D267" s="9"/>
      <c r="E267" s="9"/>
      <c r="F267" s="9"/>
      <c r="G267" s="9"/>
      <c r="H267" s="10"/>
      <c r="I267" s="9"/>
      <c r="J267" s="9"/>
      <c r="K267" s="9"/>
      <c r="L267" s="9"/>
      <c r="M267" s="10"/>
      <c r="N267" s="9"/>
      <c r="O267" s="10"/>
      <c r="P267" s="9"/>
      <c r="Q267" s="9"/>
      <c r="R267" s="9"/>
      <c r="S267" s="9"/>
      <c r="T267" s="9"/>
      <c r="U267" s="9"/>
      <c r="V267" s="9"/>
      <c r="W267" s="9"/>
      <c r="X267" s="9"/>
      <c r="Y267" s="10"/>
      <c r="Z267" s="9"/>
      <c r="AA267" s="9"/>
      <c r="AB267" s="9"/>
      <c r="AC267" s="9"/>
      <c r="AD267" s="9"/>
      <c r="AE267" s="9"/>
      <c r="AF267" s="9"/>
      <c r="AG267" s="9"/>
      <c r="AH267" s="9"/>
      <c r="AI267" s="10"/>
      <c r="AJ267" s="9"/>
      <c r="AK267" s="9"/>
      <c r="AL267" s="9"/>
      <c r="AM267" s="9"/>
      <c r="AN267" s="9"/>
      <c r="AO267" s="9"/>
      <c r="AP267" s="9"/>
      <c r="AQ267" s="9"/>
      <c r="AR267" s="9"/>
      <c r="AS267" s="9"/>
      <c r="AT267" s="9"/>
      <c r="AU267" s="9"/>
      <c r="AV267" s="9"/>
      <c r="AW267" s="9"/>
      <c r="AX267" s="9"/>
    </row>
    <row r="268" spans="1:50" s="14" customFormat="1" x14ac:dyDescent="0.25">
      <c r="A268" s="9"/>
      <c r="B268" s="9"/>
      <c r="C268" s="9"/>
      <c r="D268" s="9"/>
      <c r="E268" s="9"/>
      <c r="F268" s="9"/>
      <c r="G268" s="9"/>
      <c r="H268" s="10"/>
      <c r="I268" s="9"/>
      <c r="J268" s="9"/>
      <c r="K268" s="9"/>
      <c r="L268" s="9"/>
      <c r="M268" s="10"/>
      <c r="N268" s="9"/>
      <c r="O268" s="10"/>
      <c r="P268" s="9"/>
      <c r="Q268" s="9"/>
      <c r="R268" s="9"/>
      <c r="S268" s="9"/>
      <c r="T268" s="9"/>
      <c r="U268" s="9"/>
      <c r="V268" s="9"/>
      <c r="W268" s="9"/>
      <c r="X268" s="9"/>
      <c r="Y268" s="10"/>
      <c r="Z268" s="9"/>
      <c r="AA268" s="9"/>
      <c r="AB268" s="9"/>
      <c r="AC268" s="9"/>
      <c r="AD268" s="9"/>
      <c r="AE268" s="9"/>
      <c r="AF268" s="9"/>
      <c r="AG268" s="9"/>
      <c r="AH268" s="9"/>
      <c r="AI268" s="10"/>
      <c r="AJ268" s="9"/>
      <c r="AK268" s="9"/>
      <c r="AL268" s="9"/>
      <c r="AM268" s="9"/>
      <c r="AN268" s="9"/>
      <c r="AO268" s="9"/>
      <c r="AP268" s="9"/>
      <c r="AQ268" s="9"/>
      <c r="AR268" s="9"/>
      <c r="AS268" s="9"/>
      <c r="AT268" s="9"/>
      <c r="AU268" s="9"/>
      <c r="AV268" s="9"/>
      <c r="AW268" s="9"/>
      <c r="AX268" s="9"/>
    </row>
    <row r="269" spans="1:50" s="14" customFormat="1" x14ac:dyDescent="0.25">
      <c r="A269" s="9"/>
      <c r="B269" s="9"/>
      <c r="C269" s="9"/>
      <c r="D269" s="9"/>
      <c r="E269" s="9"/>
      <c r="F269" s="9"/>
      <c r="G269" s="9"/>
      <c r="H269" s="10"/>
      <c r="I269" s="9"/>
      <c r="J269" s="9"/>
      <c r="K269" s="9"/>
      <c r="L269" s="9"/>
      <c r="M269" s="10"/>
      <c r="N269" s="9"/>
      <c r="O269" s="10"/>
      <c r="P269" s="9"/>
      <c r="Q269" s="9"/>
      <c r="R269" s="9"/>
      <c r="S269" s="9"/>
      <c r="T269" s="9"/>
      <c r="U269" s="9"/>
      <c r="V269" s="9"/>
      <c r="W269" s="9"/>
      <c r="X269" s="9"/>
      <c r="Y269" s="10"/>
      <c r="Z269" s="9"/>
      <c r="AA269" s="9"/>
      <c r="AB269" s="9"/>
      <c r="AC269" s="9"/>
      <c r="AD269" s="9"/>
      <c r="AE269" s="9"/>
      <c r="AF269" s="9"/>
      <c r="AG269" s="9"/>
      <c r="AH269" s="9"/>
      <c r="AI269" s="10"/>
      <c r="AJ269" s="9"/>
      <c r="AK269" s="9"/>
      <c r="AL269" s="9"/>
      <c r="AM269" s="9"/>
      <c r="AN269" s="9"/>
      <c r="AO269" s="9"/>
      <c r="AP269" s="9"/>
      <c r="AQ269" s="9"/>
      <c r="AR269" s="9"/>
      <c r="AS269" s="9"/>
      <c r="AT269" s="9"/>
      <c r="AU269" s="9"/>
      <c r="AV269" s="9"/>
      <c r="AW269" s="9"/>
      <c r="AX269" s="9"/>
    </row>
    <row r="270" spans="1:50" s="14" customFormat="1" x14ac:dyDescent="0.25">
      <c r="A270" s="9"/>
      <c r="B270" s="9"/>
      <c r="C270" s="9"/>
      <c r="D270" s="9"/>
      <c r="E270" s="9"/>
      <c r="F270" s="9"/>
      <c r="G270" s="9"/>
      <c r="H270" s="10"/>
      <c r="I270" s="9"/>
      <c r="J270" s="9"/>
      <c r="K270" s="9"/>
      <c r="L270" s="9"/>
      <c r="M270" s="10"/>
      <c r="N270" s="9"/>
      <c r="O270" s="10"/>
      <c r="P270" s="9"/>
      <c r="Q270" s="9"/>
      <c r="R270" s="9"/>
      <c r="S270" s="9"/>
      <c r="T270" s="9"/>
      <c r="U270" s="9"/>
      <c r="V270" s="9"/>
      <c r="W270" s="9"/>
      <c r="X270" s="9"/>
      <c r="Y270" s="10"/>
      <c r="Z270" s="9"/>
      <c r="AA270" s="9"/>
      <c r="AB270" s="9"/>
      <c r="AC270" s="9"/>
      <c r="AD270" s="9"/>
      <c r="AE270" s="9"/>
      <c r="AF270" s="9"/>
      <c r="AG270" s="9"/>
      <c r="AH270" s="9"/>
      <c r="AI270" s="10"/>
      <c r="AJ270" s="9"/>
      <c r="AK270" s="9"/>
      <c r="AL270" s="9"/>
      <c r="AM270" s="9"/>
      <c r="AN270" s="9"/>
      <c r="AO270" s="9"/>
      <c r="AP270" s="9"/>
      <c r="AQ270" s="9"/>
      <c r="AR270" s="9"/>
      <c r="AS270" s="9"/>
      <c r="AT270" s="9"/>
      <c r="AU270" s="9"/>
      <c r="AV270" s="9"/>
      <c r="AW270" s="9"/>
      <c r="AX270" s="9"/>
    </row>
    <row r="271" spans="1:50" s="14" customFormat="1" x14ac:dyDescent="0.25">
      <c r="A271" s="9"/>
      <c r="B271" s="9"/>
      <c r="C271" s="9"/>
      <c r="D271" s="9"/>
      <c r="E271" s="9"/>
      <c r="F271" s="9"/>
      <c r="G271" s="9"/>
      <c r="H271" s="10"/>
      <c r="I271" s="9"/>
      <c r="J271" s="9"/>
      <c r="K271" s="9"/>
      <c r="L271" s="9"/>
      <c r="M271" s="10"/>
      <c r="N271" s="9"/>
      <c r="O271" s="10"/>
      <c r="P271" s="9"/>
      <c r="Q271" s="9"/>
      <c r="R271" s="9"/>
      <c r="S271" s="9"/>
      <c r="T271" s="9"/>
      <c r="U271" s="9"/>
      <c r="V271" s="9"/>
      <c r="W271" s="9"/>
      <c r="X271" s="9"/>
      <c r="Y271" s="10"/>
      <c r="Z271" s="9"/>
      <c r="AA271" s="9"/>
      <c r="AB271" s="9"/>
      <c r="AC271" s="9"/>
      <c r="AD271" s="9"/>
      <c r="AE271" s="9"/>
      <c r="AF271" s="9"/>
      <c r="AG271" s="9"/>
      <c r="AH271" s="9"/>
      <c r="AI271" s="10"/>
      <c r="AJ271" s="9"/>
      <c r="AK271" s="9"/>
      <c r="AL271" s="9"/>
      <c r="AM271" s="9"/>
      <c r="AN271" s="9"/>
      <c r="AO271" s="9"/>
      <c r="AP271" s="9"/>
      <c r="AQ271" s="9"/>
      <c r="AR271" s="9"/>
      <c r="AS271" s="9"/>
      <c r="AT271" s="9"/>
      <c r="AU271" s="9"/>
      <c r="AV271" s="9"/>
      <c r="AW271" s="9"/>
      <c r="AX271" s="9"/>
    </row>
    <row r="272" spans="1:50" s="14" customFormat="1" x14ac:dyDescent="0.25">
      <c r="A272" s="9"/>
      <c r="B272" s="9"/>
      <c r="C272" s="9"/>
      <c r="D272" s="9"/>
      <c r="E272" s="9"/>
      <c r="F272" s="9"/>
      <c r="G272" s="9"/>
      <c r="H272" s="10"/>
      <c r="I272" s="9"/>
      <c r="J272" s="9"/>
      <c r="K272" s="9"/>
      <c r="L272" s="9"/>
      <c r="M272" s="10"/>
      <c r="N272" s="9"/>
      <c r="O272" s="10"/>
      <c r="P272" s="9"/>
      <c r="Q272" s="9"/>
      <c r="R272" s="9"/>
      <c r="S272" s="9"/>
      <c r="T272" s="9"/>
      <c r="U272" s="9"/>
      <c r="V272" s="9"/>
      <c r="W272" s="9"/>
      <c r="X272" s="9"/>
      <c r="Y272" s="10"/>
      <c r="Z272" s="9"/>
      <c r="AA272" s="9"/>
      <c r="AB272" s="9"/>
      <c r="AC272" s="9"/>
      <c r="AD272" s="9"/>
      <c r="AE272" s="9"/>
      <c r="AF272" s="9"/>
      <c r="AG272" s="9"/>
      <c r="AH272" s="9"/>
      <c r="AI272" s="10"/>
      <c r="AJ272" s="9"/>
      <c r="AK272" s="9"/>
      <c r="AL272" s="9"/>
      <c r="AM272" s="9"/>
      <c r="AN272" s="9"/>
      <c r="AO272" s="9"/>
      <c r="AP272" s="9"/>
      <c r="AQ272" s="9"/>
      <c r="AR272" s="9"/>
      <c r="AS272" s="9"/>
      <c r="AT272" s="9"/>
      <c r="AU272" s="9"/>
      <c r="AV272" s="9"/>
      <c r="AW272" s="9"/>
      <c r="AX272" s="9"/>
    </row>
    <row r="273" spans="1:50" s="14" customFormat="1" x14ac:dyDescent="0.25">
      <c r="A273" s="9"/>
      <c r="B273" s="9"/>
      <c r="C273" s="9"/>
      <c r="D273" s="9"/>
      <c r="E273" s="9"/>
      <c r="F273" s="9"/>
      <c r="G273" s="9"/>
      <c r="H273" s="10"/>
      <c r="I273" s="9"/>
      <c r="J273" s="9"/>
      <c r="K273" s="9"/>
      <c r="L273" s="9"/>
      <c r="M273" s="10"/>
      <c r="N273" s="9"/>
      <c r="O273" s="10"/>
      <c r="P273" s="9"/>
      <c r="Q273" s="9"/>
      <c r="R273" s="9"/>
      <c r="S273" s="9"/>
      <c r="T273" s="9"/>
      <c r="U273" s="9"/>
      <c r="V273" s="9"/>
      <c r="W273" s="9"/>
      <c r="X273" s="9"/>
      <c r="Y273" s="10"/>
      <c r="Z273" s="9"/>
      <c r="AA273" s="9"/>
      <c r="AB273" s="9"/>
      <c r="AC273" s="9"/>
      <c r="AD273" s="9"/>
      <c r="AE273" s="9"/>
      <c r="AF273" s="9"/>
      <c r="AG273" s="9"/>
      <c r="AH273" s="9"/>
      <c r="AI273" s="10"/>
      <c r="AJ273" s="9"/>
      <c r="AK273" s="9"/>
      <c r="AL273" s="9"/>
      <c r="AM273" s="9"/>
      <c r="AN273" s="9"/>
      <c r="AO273" s="9"/>
      <c r="AP273" s="9"/>
      <c r="AQ273" s="9"/>
      <c r="AR273" s="9"/>
      <c r="AS273" s="9"/>
      <c r="AT273" s="9"/>
      <c r="AU273" s="9"/>
      <c r="AV273" s="9"/>
      <c r="AW273" s="9"/>
      <c r="AX273" s="9"/>
    </row>
    <row r="274" spans="1:50" s="14" customFormat="1" x14ac:dyDescent="0.25">
      <c r="A274" s="9"/>
      <c r="B274" s="9"/>
      <c r="C274" s="9"/>
      <c r="D274" s="9"/>
      <c r="E274" s="9"/>
      <c r="F274" s="9"/>
      <c r="G274" s="9"/>
      <c r="H274" s="10"/>
      <c r="I274" s="9"/>
      <c r="J274" s="9"/>
      <c r="K274" s="9"/>
      <c r="L274" s="9"/>
      <c r="M274" s="10"/>
      <c r="N274" s="9"/>
      <c r="O274" s="10"/>
      <c r="P274" s="9"/>
      <c r="Q274" s="9"/>
      <c r="R274" s="9"/>
      <c r="S274" s="9"/>
      <c r="T274" s="9"/>
      <c r="U274" s="9"/>
      <c r="V274" s="9"/>
      <c r="W274" s="9"/>
      <c r="X274" s="9"/>
      <c r="Y274" s="10"/>
      <c r="Z274" s="9"/>
      <c r="AA274" s="9"/>
      <c r="AB274" s="9"/>
      <c r="AC274" s="9"/>
      <c r="AD274" s="9"/>
      <c r="AE274" s="9"/>
      <c r="AF274" s="9"/>
      <c r="AG274" s="9"/>
      <c r="AH274" s="9"/>
      <c r="AI274" s="10"/>
      <c r="AJ274" s="9"/>
      <c r="AK274" s="9"/>
      <c r="AL274" s="9"/>
      <c r="AM274" s="9"/>
      <c r="AN274" s="9"/>
      <c r="AO274" s="9"/>
      <c r="AP274" s="9"/>
      <c r="AQ274" s="9"/>
      <c r="AR274" s="9"/>
      <c r="AS274" s="9"/>
      <c r="AT274" s="9"/>
      <c r="AU274" s="9"/>
      <c r="AV274" s="9"/>
      <c r="AW274" s="9"/>
      <c r="AX274" s="9"/>
    </row>
    <row r="275" spans="1:50" s="14" customFormat="1" x14ac:dyDescent="0.25">
      <c r="A275" s="9"/>
      <c r="B275" s="9"/>
      <c r="C275" s="9"/>
      <c r="D275" s="9"/>
      <c r="E275" s="9"/>
      <c r="F275" s="9"/>
      <c r="G275" s="9"/>
      <c r="H275" s="10"/>
      <c r="I275" s="9"/>
      <c r="J275" s="9"/>
      <c r="K275" s="9"/>
      <c r="L275" s="9"/>
      <c r="M275" s="10"/>
      <c r="N275" s="9"/>
      <c r="O275" s="10"/>
      <c r="P275" s="9"/>
      <c r="Q275" s="9"/>
      <c r="R275" s="9"/>
      <c r="S275" s="9"/>
      <c r="T275" s="9"/>
      <c r="U275" s="9"/>
      <c r="V275" s="9"/>
      <c r="W275" s="9"/>
      <c r="X275" s="9"/>
      <c r="Y275" s="10"/>
      <c r="Z275" s="9"/>
      <c r="AA275" s="9"/>
      <c r="AB275" s="9"/>
      <c r="AC275" s="9"/>
      <c r="AD275" s="9"/>
      <c r="AE275" s="9"/>
      <c r="AF275" s="9"/>
      <c r="AG275" s="9"/>
      <c r="AH275" s="9"/>
      <c r="AI275" s="10"/>
      <c r="AJ275" s="9"/>
      <c r="AK275" s="9"/>
      <c r="AL275" s="9"/>
      <c r="AM275" s="9"/>
      <c r="AN275" s="9"/>
      <c r="AO275" s="9"/>
      <c r="AP275" s="9"/>
      <c r="AQ275" s="9"/>
      <c r="AR275" s="9"/>
      <c r="AS275" s="9"/>
      <c r="AT275" s="9"/>
      <c r="AU275" s="9"/>
      <c r="AV275" s="9"/>
      <c r="AW275" s="9"/>
      <c r="AX275" s="9"/>
    </row>
    <row r="276" spans="1:50" s="14" customFormat="1" x14ac:dyDescent="0.25">
      <c r="A276" s="9"/>
      <c r="B276" s="9"/>
      <c r="C276" s="9"/>
      <c r="D276" s="9"/>
      <c r="E276" s="9"/>
      <c r="F276" s="9"/>
      <c r="G276" s="9"/>
      <c r="H276" s="10"/>
      <c r="I276" s="9"/>
      <c r="J276" s="9"/>
      <c r="K276" s="9"/>
      <c r="L276" s="9"/>
      <c r="M276" s="10"/>
      <c r="N276" s="9"/>
      <c r="O276" s="10"/>
      <c r="P276" s="9"/>
      <c r="Q276" s="9"/>
      <c r="R276" s="9"/>
      <c r="S276" s="9"/>
      <c r="T276" s="9"/>
      <c r="U276" s="9"/>
      <c r="V276" s="9"/>
      <c r="W276" s="9"/>
      <c r="X276" s="9"/>
      <c r="Y276" s="10"/>
      <c r="Z276" s="9"/>
      <c r="AA276" s="9"/>
      <c r="AB276" s="9"/>
      <c r="AC276" s="9"/>
      <c r="AD276" s="9"/>
      <c r="AE276" s="9"/>
      <c r="AF276" s="9"/>
      <c r="AG276" s="9"/>
      <c r="AH276" s="9"/>
      <c r="AI276" s="10"/>
      <c r="AJ276" s="9"/>
      <c r="AK276" s="9"/>
      <c r="AL276" s="9"/>
      <c r="AM276" s="9"/>
      <c r="AN276" s="9"/>
      <c r="AO276" s="9"/>
      <c r="AP276" s="9"/>
      <c r="AQ276" s="9"/>
      <c r="AR276" s="9"/>
      <c r="AS276" s="9"/>
      <c r="AT276" s="9"/>
      <c r="AU276" s="9"/>
      <c r="AV276" s="9"/>
      <c r="AW276" s="9"/>
      <c r="AX276" s="9"/>
    </row>
    <row r="277" spans="1:50" s="14" customFormat="1" x14ac:dyDescent="0.25">
      <c r="A277" s="9"/>
      <c r="B277" s="9"/>
      <c r="C277" s="9"/>
      <c r="D277" s="9"/>
      <c r="E277" s="9"/>
      <c r="F277" s="9"/>
      <c r="G277" s="9"/>
      <c r="H277" s="10"/>
      <c r="I277" s="9"/>
      <c r="J277" s="9"/>
      <c r="K277" s="9"/>
      <c r="L277" s="9"/>
      <c r="M277" s="10"/>
      <c r="N277" s="9"/>
      <c r="O277" s="10"/>
      <c r="P277" s="9"/>
      <c r="Q277" s="9"/>
      <c r="R277" s="9"/>
      <c r="S277" s="9"/>
      <c r="T277" s="9"/>
      <c r="U277" s="9"/>
      <c r="V277" s="9"/>
      <c r="W277" s="9"/>
      <c r="X277" s="9"/>
      <c r="Y277" s="10"/>
      <c r="Z277" s="9"/>
      <c r="AA277" s="9"/>
      <c r="AB277" s="9"/>
      <c r="AC277" s="9"/>
      <c r="AD277" s="9"/>
      <c r="AE277" s="9"/>
      <c r="AF277" s="9"/>
      <c r="AG277" s="9"/>
      <c r="AH277" s="9"/>
      <c r="AI277" s="10"/>
      <c r="AJ277" s="9"/>
      <c r="AK277" s="9"/>
      <c r="AL277" s="9"/>
      <c r="AM277" s="9"/>
      <c r="AN277" s="9"/>
      <c r="AO277" s="9"/>
      <c r="AP277" s="9"/>
      <c r="AQ277" s="9"/>
      <c r="AR277" s="9"/>
      <c r="AS277" s="9"/>
      <c r="AT277" s="9"/>
      <c r="AU277" s="9"/>
      <c r="AV277" s="9"/>
      <c r="AW277" s="9"/>
      <c r="AX277" s="9"/>
    </row>
    <row r="278" spans="1:50" s="14" customFormat="1" x14ac:dyDescent="0.25">
      <c r="A278" s="9"/>
      <c r="B278" s="9"/>
      <c r="C278" s="9"/>
      <c r="D278" s="9"/>
      <c r="E278" s="9"/>
      <c r="F278" s="9"/>
      <c r="G278" s="9"/>
      <c r="H278" s="10"/>
      <c r="I278" s="9"/>
      <c r="J278" s="9"/>
      <c r="K278" s="9"/>
      <c r="L278" s="9"/>
      <c r="M278" s="10"/>
      <c r="N278" s="9"/>
      <c r="O278" s="10"/>
      <c r="P278" s="9"/>
      <c r="Q278" s="9"/>
      <c r="R278" s="9"/>
      <c r="S278" s="9"/>
      <c r="T278" s="9"/>
      <c r="U278" s="9"/>
      <c r="V278" s="9"/>
      <c r="W278" s="9"/>
      <c r="X278" s="9"/>
      <c r="Y278" s="10"/>
      <c r="Z278" s="9"/>
      <c r="AA278" s="9"/>
      <c r="AB278" s="9"/>
      <c r="AC278" s="9"/>
      <c r="AD278" s="9"/>
      <c r="AE278" s="9"/>
      <c r="AF278" s="9"/>
      <c r="AG278" s="9"/>
      <c r="AH278" s="9"/>
      <c r="AI278" s="10"/>
      <c r="AJ278" s="9"/>
      <c r="AK278" s="9"/>
      <c r="AL278" s="9"/>
      <c r="AM278" s="9"/>
      <c r="AN278" s="9"/>
      <c r="AO278" s="9"/>
      <c r="AP278" s="9"/>
      <c r="AQ278" s="9"/>
      <c r="AR278" s="9"/>
      <c r="AS278" s="9"/>
      <c r="AT278" s="9"/>
      <c r="AU278" s="9"/>
      <c r="AV278" s="9"/>
      <c r="AW278" s="9"/>
      <c r="AX278" s="9"/>
    </row>
    <row r="279" spans="1:50" s="14" customFormat="1" x14ac:dyDescent="0.25">
      <c r="A279" s="9"/>
      <c r="B279" s="9"/>
      <c r="C279" s="9"/>
      <c r="D279" s="9"/>
      <c r="E279" s="9"/>
      <c r="F279" s="9"/>
      <c r="G279" s="9"/>
      <c r="H279" s="10"/>
      <c r="I279" s="9"/>
      <c r="J279" s="9"/>
      <c r="K279" s="9"/>
      <c r="L279" s="9"/>
      <c r="M279" s="10"/>
      <c r="N279" s="9"/>
      <c r="O279" s="10"/>
      <c r="P279" s="9"/>
      <c r="Q279" s="9"/>
      <c r="R279" s="9"/>
      <c r="S279" s="9"/>
      <c r="T279" s="9"/>
      <c r="U279" s="9"/>
      <c r="V279" s="9"/>
      <c r="W279" s="9"/>
      <c r="X279" s="9"/>
      <c r="Y279" s="10"/>
      <c r="Z279" s="9"/>
      <c r="AA279" s="9"/>
      <c r="AB279" s="9"/>
      <c r="AC279" s="9"/>
      <c r="AD279" s="9"/>
      <c r="AE279" s="9"/>
      <c r="AF279" s="9"/>
      <c r="AG279" s="9"/>
      <c r="AH279" s="9"/>
      <c r="AI279" s="10"/>
      <c r="AJ279" s="9"/>
      <c r="AK279" s="9"/>
      <c r="AL279" s="9"/>
      <c r="AM279" s="9"/>
      <c r="AN279" s="9"/>
      <c r="AO279" s="9"/>
      <c r="AP279" s="9"/>
      <c r="AQ279" s="9"/>
      <c r="AR279" s="9"/>
      <c r="AS279" s="9"/>
      <c r="AT279" s="9"/>
      <c r="AU279" s="9"/>
      <c r="AV279" s="9"/>
      <c r="AW279" s="9"/>
      <c r="AX279" s="9"/>
    </row>
    <row r="280" spans="1:50" s="14" customFormat="1" x14ac:dyDescent="0.25">
      <c r="A280" s="9"/>
      <c r="B280" s="9"/>
      <c r="C280" s="9"/>
      <c r="D280" s="9"/>
      <c r="E280" s="9"/>
      <c r="F280" s="9"/>
      <c r="G280" s="9"/>
      <c r="H280" s="10"/>
      <c r="I280" s="9"/>
      <c r="J280" s="9"/>
      <c r="K280" s="9"/>
      <c r="L280" s="9"/>
      <c r="M280" s="10"/>
      <c r="N280" s="9"/>
      <c r="O280" s="10"/>
      <c r="P280" s="9"/>
      <c r="Q280" s="9"/>
      <c r="R280" s="9"/>
      <c r="S280" s="9"/>
      <c r="T280" s="9"/>
      <c r="U280" s="9"/>
      <c r="V280" s="9"/>
      <c r="W280" s="9"/>
      <c r="X280" s="9"/>
      <c r="Y280" s="10"/>
      <c r="Z280" s="9"/>
      <c r="AA280" s="9"/>
      <c r="AB280" s="9"/>
      <c r="AC280" s="9"/>
      <c r="AD280" s="9"/>
      <c r="AE280" s="9"/>
      <c r="AF280" s="9"/>
      <c r="AG280" s="9"/>
      <c r="AH280" s="9"/>
      <c r="AI280" s="10"/>
      <c r="AJ280" s="9"/>
      <c r="AK280" s="9"/>
      <c r="AL280" s="9"/>
      <c r="AM280" s="9"/>
      <c r="AN280" s="9"/>
      <c r="AO280" s="9"/>
      <c r="AP280" s="9"/>
      <c r="AQ280" s="9"/>
      <c r="AR280" s="9"/>
      <c r="AS280" s="9"/>
      <c r="AT280" s="9"/>
      <c r="AU280" s="9"/>
      <c r="AV280" s="9"/>
      <c r="AW280" s="9"/>
      <c r="AX280" s="9"/>
    </row>
    <row r="281" spans="1:50" s="14" customFormat="1" x14ac:dyDescent="0.25">
      <c r="A281" s="9"/>
      <c r="B281" s="9"/>
      <c r="C281" s="9"/>
      <c r="D281" s="9"/>
      <c r="E281" s="9"/>
      <c r="F281" s="9"/>
      <c r="G281" s="9"/>
      <c r="H281" s="10"/>
      <c r="I281" s="9"/>
      <c r="J281" s="9"/>
      <c r="K281" s="9"/>
      <c r="L281" s="9"/>
      <c r="M281" s="10"/>
      <c r="N281" s="9"/>
      <c r="O281" s="10"/>
      <c r="P281" s="9"/>
      <c r="Q281" s="9"/>
      <c r="R281" s="9"/>
      <c r="S281" s="9"/>
      <c r="T281" s="9"/>
      <c r="U281" s="9"/>
      <c r="V281" s="9"/>
      <c r="W281" s="9"/>
      <c r="X281" s="9"/>
      <c r="Y281" s="10"/>
      <c r="Z281" s="9"/>
      <c r="AA281" s="9"/>
      <c r="AB281" s="9"/>
      <c r="AC281" s="9"/>
      <c r="AD281" s="9"/>
      <c r="AE281" s="9"/>
      <c r="AF281" s="9"/>
      <c r="AG281" s="9"/>
      <c r="AH281" s="9"/>
      <c r="AI281" s="10"/>
      <c r="AJ281" s="9"/>
      <c r="AK281" s="9"/>
      <c r="AL281" s="9"/>
      <c r="AM281" s="9"/>
      <c r="AN281" s="9"/>
      <c r="AO281" s="9"/>
      <c r="AP281" s="9"/>
      <c r="AQ281" s="9"/>
      <c r="AR281" s="9"/>
      <c r="AS281" s="9"/>
      <c r="AT281" s="9"/>
      <c r="AU281" s="9"/>
      <c r="AV281" s="9"/>
      <c r="AW281" s="9"/>
      <c r="AX281" s="9"/>
    </row>
    <row r="282" spans="1:50" s="14" customFormat="1" x14ac:dyDescent="0.25">
      <c r="A282" s="9"/>
      <c r="B282" s="9"/>
      <c r="C282" s="9"/>
      <c r="D282" s="9"/>
      <c r="E282" s="9"/>
      <c r="F282" s="9"/>
      <c r="G282" s="9"/>
      <c r="H282" s="10"/>
      <c r="I282" s="9"/>
      <c r="J282" s="9"/>
      <c r="K282" s="9"/>
      <c r="L282" s="9"/>
      <c r="M282" s="10"/>
      <c r="N282" s="9"/>
      <c r="O282" s="10"/>
      <c r="P282" s="9"/>
      <c r="Q282" s="9"/>
      <c r="R282" s="9"/>
      <c r="S282" s="9"/>
      <c r="T282" s="9"/>
      <c r="U282" s="9"/>
      <c r="V282" s="9"/>
      <c r="W282" s="9"/>
      <c r="X282" s="9"/>
      <c r="Y282" s="10"/>
      <c r="Z282" s="9"/>
      <c r="AA282" s="9"/>
      <c r="AB282" s="9"/>
      <c r="AC282" s="9"/>
      <c r="AD282" s="9"/>
      <c r="AE282" s="9"/>
      <c r="AF282" s="9"/>
      <c r="AG282" s="9"/>
      <c r="AH282" s="9"/>
      <c r="AI282" s="10"/>
      <c r="AJ282" s="9"/>
      <c r="AK282" s="9"/>
      <c r="AL282" s="9"/>
      <c r="AM282" s="9"/>
      <c r="AN282" s="9"/>
      <c r="AO282" s="9"/>
      <c r="AP282" s="9"/>
      <c r="AQ282" s="9"/>
      <c r="AR282" s="9"/>
      <c r="AS282" s="9"/>
      <c r="AT282" s="9"/>
      <c r="AU282" s="9"/>
      <c r="AV282" s="9"/>
      <c r="AW282" s="9"/>
      <c r="AX282" s="9"/>
    </row>
    <row r="283" spans="1:50" s="14" customFormat="1" x14ac:dyDescent="0.25">
      <c r="A283" s="9"/>
      <c r="B283" s="9"/>
      <c r="C283" s="9"/>
      <c r="D283" s="9"/>
      <c r="E283" s="9"/>
      <c r="F283" s="9"/>
      <c r="G283" s="9"/>
      <c r="H283" s="10"/>
      <c r="I283" s="9"/>
      <c r="J283" s="9"/>
      <c r="K283" s="9"/>
      <c r="L283" s="9"/>
      <c r="M283" s="10"/>
      <c r="N283" s="9"/>
      <c r="O283" s="10"/>
      <c r="P283" s="9"/>
      <c r="Q283" s="9"/>
      <c r="R283" s="9"/>
      <c r="S283" s="9"/>
      <c r="T283" s="9"/>
      <c r="U283" s="9"/>
      <c r="V283" s="9"/>
      <c r="W283" s="9"/>
      <c r="X283" s="9"/>
      <c r="Y283" s="10"/>
      <c r="Z283" s="9"/>
      <c r="AA283" s="9"/>
      <c r="AB283" s="9"/>
      <c r="AC283" s="9"/>
      <c r="AD283" s="9"/>
      <c r="AE283" s="9"/>
      <c r="AF283" s="9"/>
      <c r="AG283" s="9"/>
      <c r="AH283" s="9"/>
      <c r="AI283" s="10"/>
      <c r="AJ283" s="9"/>
      <c r="AK283" s="9"/>
      <c r="AL283" s="9"/>
      <c r="AM283" s="9"/>
      <c r="AN283" s="9"/>
      <c r="AO283" s="9"/>
      <c r="AP283" s="9"/>
      <c r="AQ283" s="9"/>
      <c r="AR283" s="9"/>
      <c r="AS283" s="9"/>
      <c r="AT283" s="9"/>
      <c r="AU283" s="9"/>
      <c r="AV283" s="9"/>
      <c r="AW283" s="9"/>
      <c r="AX283" s="9"/>
    </row>
    <row r="284" spans="1:50" s="14" customFormat="1" x14ac:dyDescent="0.25">
      <c r="A284" s="9"/>
      <c r="B284" s="9"/>
      <c r="C284" s="9"/>
      <c r="D284" s="9"/>
      <c r="E284" s="9"/>
      <c r="F284" s="9"/>
      <c r="G284" s="9"/>
      <c r="H284" s="10"/>
      <c r="I284" s="9"/>
      <c r="J284" s="9"/>
      <c r="K284" s="9"/>
      <c r="L284" s="9"/>
      <c r="M284" s="10"/>
      <c r="N284" s="9"/>
      <c r="O284" s="10"/>
      <c r="P284" s="9"/>
      <c r="Q284" s="9"/>
      <c r="R284" s="9"/>
      <c r="S284" s="9"/>
      <c r="T284" s="9"/>
      <c r="U284" s="9"/>
      <c r="V284" s="9"/>
      <c r="W284" s="9"/>
      <c r="X284" s="9"/>
      <c r="Y284" s="10"/>
      <c r="Z284" s="9"/>
      <c r="AA284" s="9"/>
      <c r="AB284" s="9"/>
      <c r="AC284" s="9"/>
      <c r="AD284" s="9"/>
      <c r="AE284" s="9"/>
      <c r="AF284" s="9"/>
      <c r="AG284" s="9"/>
      <c r="AH284" s="9"/>
      <c r="AI284" s="10"/>
      <c r="AJ284" s="9"/>
      <c r="AK284" s="9"/>
      <c r="AL284" s="9"/>
      <c r="AM284" s="9"/>
      <c r="AN284" s="9"/>
      <c r="AO284" s="9"/>
      <c r="AP284" s="9"/>
      <c r="AQ284" s="9"/>
      <c r="AR284" s="9"/>
      <c r="AS284" s="9"/>
      <c r="AT284" s="9"/>
      <c r="AU284" s="9"/>
      <c r="AV284" s="9"/>
      <c r="AW284" s="9"/>
      <c r="AX284" s="9"/>
    </row>
    <row r="285" spans="1:50" s="14" customFormat="1" x14ac:dyDescent="0.25">
      <c r="A285" s="9"/>
      <c r="B285" s="9"/>
      <c r="C285" s="9"/>
      <c r="D285" s="9"/>
      <c r="E285" s="9"/>
      <c r="F285" s="9"/>
      <c r="G285" s="9"/>
      <c r="H285" s="10"/>
      <c r="I285" s="9"/>
      <c r="J285" s="9"/>
      <c r="K285" s="9"/>
      <c r="L285" s="9"/>
      <c r="M285" s="10"/>
      <c r="N285" s="9"/>
      <c r="O285" s="10"/>
      <c r="P285" s="9"/>
      <c r="Q285" s="9"/>
      <c r="R285" s="9"/>
      <c r="S285" s="9"/>
      <c r="T285" s="9"/>
      <c r="U285" s="9"/>
      <c r="V285" s="9"/>
      <c r="W285" s="9"/>
      <c r="X285" s="9"/>
      <c r="Y285" s="10"/>
      <c r="Z285" s="9"/>
      <c r="AA285" s="9"/>
      <c r="AB285" s="9"/>
      <c r="AC285" s="9"/>
      <c r="AD285" s="9"/>
      <c r="AE285" s="9"/>
      <c r="AF285" s="9"/>
      <c r="AG285" s="9"/>
      <c r="AH285" s="9"/>
      <c r="AI285" s="10"/>
      <c r="AJ285" s="9"/>
      <c r="AK285" s="9"/>
      <c r="AL285" s="9"/>
      <c r="AM285" s="9"/>
      <c r="AN285" s="9"/>
      <c r="AO285" s="9"/>
      <c r="AP285" s="9"/>
      <c r="AQ285" s="9"/>
      <c r="AR285" s="9"/>
      <c r="AS285" s="9"/>
      <c r="AT285" s="9"/>
      <c r="AU285" s="9"/>
      <c r="AV285" s="9"/>
      <c r="AW285" s="9"/>
      <c r="AX285" s="9"/>
    </row>
    <row r="286" spans="1:50" s="14" customFormat="1" x14ac:dyDescent="0.25">
      <c r="A286" s="9"/>
      <c r="B286" s="9"/>
      <c r="C286" s="9"/>
      <c r="D286" s="9"/>
      <c r="E286" s="9"/>
      <c r="F286" s="9"/>
      <c r="G286" s="9"/>
      <c r="H286" s="10"/>
      <c r="I286" s="9"/>
      <c r="J286" s="9"/>
      <c r="K286" s="9"/>
      <c r="L286" s="9"/>
      <c r="M286" s="10"/>
      <c r="N286" s="9"/>
      <c r="O286" s="10"/>
      <c r="P286" s="9"/>
      <c r="Q286" s="9"/>
      <c r="R286" s="9"/>
      <c r="S286" s="9"/>
      <c r="T286" s="9"/>
      <c r="U286" s="9"/>
      <c r="V286" s="9"/>
      <c r="W286" s="9"/>
      <c r="X286" s="9"/>
      <c r="Y286" s="10"/>
      <c r="Z286" s="9"/>
      <c r="AA286" s="9"/>
      <c r="AB286" s="9"/>
      <c r="AC286" s="9"/>
      <c r="AD286" s="9"/>
      <c r="AE286" s="9"/>
      <c r="AF286" s="9"/>
      <c r="AG286" s="9"/>
      <c r="AH286" s="9"/>
      <c r="AI286" s="10"/>
      <c r="AJ286" s="9"/>
      <c r="AK286" s="9"/>
      <c r="AL286" s="9"/>
      <c r="AM286" s="9"/>
      <c r="AN286" s="9"/>
      <c r="AO286" s="9"/>
      <c r="AP286" s="9"/>
      <c r="AQ286" s="9"/>
      <c r="AR286" s="9"/>
      <c r="AS286" s="9"/>
      <c r="AT286" s="9"/>
      <c r="AU286" s="9"/>
      <c r="AV286" s="9"/>
      <c r="AW286" s="9"/>
      <c r="AX286" s="9"/>
    </row>
    <row r="287" spans="1:50" s="14" customFormat="1" x14ac:dyDescent="0.25">
      <c r="A287" s="9"/>
      <c r="B287" s="9"/>
      <c r="C287" s="9"/>
      <c r="D287" s="9"/>
      <c r="E287" s="9"/>
      <c r="F287" s="9"/>
      <c r="G287" s="9"/>
      <c r="H287" s="10"/>
      <c r="I287" s="9"/>
      <c r="J287" s="9"/>
      <c r="K287" s="9"/>
      <c r="L287" s="9"/>
      <c r="M287" s="10"/>
      <c r="N287" s="9"/>
      <c r="O287" s="10"/>
      <c r="P287" s="9"/>
      <c r="Q287" s="9"/>
      <c r="R287" s="9"/>
      <c r="S287" s="9"/>
      <c r="T287" s="9"/>
      <c r="U287" s="9"/>
      <c r="V287" s="9"/>
      <c r="W287" s="9"/>
      <c r="X287" s="9"/>
      <c r="Y287" s="10"/>
      <c r="Z287" s="9"/>
      <c r="AA287" s="9"/>
      <c r="AB287" s="9"/>
      <c r="AC287" s="9"/>
      <c r="AD287" s="9"/>
      <c r="AE287" s="9"/>
      <c r="AF287" s="9"/>
      <c r="AG287" s="9"/>
      <c r="AH287" s="9"/>
      <c r="AI287" s="10"/>
      <c r="AJ287" s="9"/>
      <c r="AK287" s="9"/>
      <c r="AL287" s="9"/>
      <c r="AM287" s="9"/>
      <c r="AN287" s="9"/>
      <c r="AO287" s="9"/>
      <c r="AP287" s="9"/>
      <c r="AQ287" s="9"/>
      <c r="AR287" s="9"/>
      <c r="AS287" s="9"/>
      <c r="AT287" s="9"/>
      <c r="AU287" s="9"/>
      <c r="AV287" s="9"/>
      <c r="AW287" s="9"/>
      <c r="AX287" s="9"/>
    </row>
    <row r="288" spans="1:50" s="14" customFormat="1" x14ac:dyDescent="0.25">
      <c r="A288" s="9"/>
      <c r="B288" s="9"/>
      <c r="C288" s="9"/>
      <c r="D288" s="9"/>
      <c r="E288" s="9"/>
      <c r="F288" s="9"/>
      <c r="G288" s="9"/>
      <c r="H288" s="10"/>
      <c r="I288" s="9"/>
      <c r="J288" s="9"/>
      <c r="K288" s="9"/>
      <c r="L288" s="9"/>
      <c r="M288" s="10"/>
      <c r="N288" s="9"/>
      <c r="O288" s="10"/>
      <c r="P288" s="9"/>
      <c r="Q288" s="9"/>
      <c r="R288" s="9"/>
      <c r="S288" s="9"/>
      <c r="T288" s="9"/>
      <c r="U288" s="9"/>
      <c r="V288" s="9"/>
      <c r="W288" s="9"/>
      <c r="X288" s="9"/>
      <c r="Y288" s="10"/>
      <c r="Z288" s="9"/>
      <c r="AA288" s="9"/>
      <c r="AB288" s="9"/>
      <c r="AC288" s="9"/>
      <c r="AD288" s="9"/>
      <c r="AE288" s="9"/>
      <c r="AF288" s="9"/>
      <c r="AG288" s="9"/>
      <c r="AH288" s="9"/>
      <c r="AI288" s="10"/>
      <c r="AJ288" s="9"/>
      <c r="AK288" s="9"/>
      <c r="AL288" s="9"/>
      <c r="AM288" s="9"/>
      <c r="AN288" s="9"/>
      <c r="AO288" s="9"/>
      <c r="AP288" s="9"/>
      <c r="AQ288" s="9"/>
      <c r="AR288" s="9"/>
      <c r="AS288" s="9"/>
      <c r="AT288" s="9"/>
      <c r="AU288" s="9"/>
      <c r="AV288" s="9"/>
      <c r="AW288" s="9"/>
      <c r="AX288" s="9"/>
    </row>
  </sheetData>
  <printOptions horizontalCentered="1"/>
  <pageMargins left="0.7" right="0.7" top="0.75" bottom="0.75" header="0.3" footer="0.3"/>
  <pageSetup paperSize="17" orientation="landscape" r:id="rId1"/>
  <headerFooter alignWithMargins="0">
    <oddFooter>&amp;L&amp;F&amp;C&amp;KFF0000Ratings provided are for N-0 ONLY&amp;K000000
Emergency ratings for T-lines can be used for a duration of 30 minutes
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68272-2BBF-48DC-96AD-E19C6A849192}">
  <dimension ref="B1:V1354"/>
  <sheetViews>
    <sheetView showGridLines="0" workbookViewId="0">
      <pane ySplit="5" topLeftCell="A6" activePane="bottomLeft" state="frozenSplit"/>
      <selection pane="bottomLeft" activeCell="A5" sqref="A5"/>
    </sheetView>
  </sheetViews>
  <sheetFormatPr defaultRowHeight="12.5" x14ac:dyDescent="0.25"/>
  <cols>
    <col min="1" max="1" width="3.453125" style="90" customWidth="1"/>
    <col min="2" max="2" width="19.1796875" style="90" customWidth="1"/>
    <col min="3" max="3" width="6.81640625" style="90" customWidth="1"/>
    <col min="4" max="4" width="16.453125" style="90" customWidth="1"/>
    <col min="5" max="5" width="9.54296875" style="90" customWidth="1"/>
    <col min="6" max="6" width="16.453125" style="90" customWidth="1"/>
    <col min="7" max="7" width="9.54296875" style="90" customWidth="1"/>
    <col min="8" max="9" width="6.81640625" style="90" customWidth="1"/>
    <col min="10" max="10" width="10.81640625" style="90" customWidth="1"/>
    <col min="11" max="11" width="19.1796875" style="90" customWidth="1"/>
    <col min="12" max="12" width="13.7265625" style="90" customWidth="1"/>
    <col min="13" max="13" width="9.54296875" style="90" customWidth="1"/>
    <col min="14" max="21" width="6.81640625" style="90" customWidth="1"/>
    <col min="22" max="22" width="13.7265625" style="90" customWidth="1"/>
    <col min="23" max="23" width="5.453125" style="90" customWidth="1"/>
    <col min="24" max="16384" width="8.7265625" style="90"/>
  </cols>
  <sheetData>
    <row r="1" spans="2:22" ht="18" customHeight="1" x14ac:dyDescent="0.25"/>
    <row r="2" spans="2:22" ht="21.65" customHeight="1" x14ac:dyDescent="0.25">
      <c r="B2" s="376"/>
      <c r="C2" s="376"/>
      <c r="D2" s="376"/>
      <c r="E2" s="377" t="s">
        <v>2130</v>
      </c>
      <c r="F2" s="376"/>
      <c r="G2" s="376"/>
      <c r="I2" s="378" t="s">
        <v>0</v>
      </c>
      <c r="J2" s="376"/>
      <c r="K2" s="376"/>
      <c r="L2" s="378" t="s">
        <v>1</v>
      </c>
      <c r="M2" s="376"/>
      <c r="N2" s="376"/>
      <c r="O2" s="376"/>
      <c r="P2" s="376"/>
      <c r="Q2" s="376"/>
      <c r="R2" s="378" t="s">
        <v>2</v>
      </c>
      <c r="S2" s="376"/>
      <c r="T2" s="376"/>
      <c r="U2" s="376"/>
      <c r="V2" s="376"/>
    </row>
    <row r="3" spans="2:22" ht="21.65" customHeight="1" x14ac:dyDescent="0.25">
      <c r="B3" s="376"/>
      <c r="C3" s="376"/>
      <c r="D3" s="376"/>
      <c r="E3" s="376"/>
      <c r="F3" s="376"/>
      <c r="G3" s="376"/>
      <c r="I3" s="378" t="s">
        <v>3</v>
      </c>
      <c r="J3" s="376"/>
      <c r="K3" s="376"/>
      <c r="L3" s="378" t="s">
        <v>4</v>
      </c>
      <c r="M3" s="376"/>
      <c r="N3" s="376"/>
      <c r="O3" s="376"/>
      <c r="P3" s="376"/>
      <c r="Q3" s="376"/>
    </row>
    <row r="4" spans="2:22" ht="18" customHeight="1" x14ac:dyDescent="0.25"/>
    <row r="5" spans="2:22" ht="21" x14ac:dyDescent="0.25">
      <c r="B5" s="99" t="s">
        <v>14</v>
      </c>
      <c r="C5" s="99" t="s">
        <v>15</v>
      </c>
      <c r="D5" s="99" t="s">
        <v>16</v>
      </c>
      <c r="E5" s="99" t="s">
        <v>17</v>
      </c>
      <c r="F5" s="99" t="s">
        <v>18</v>
      </c>
      <c r="G5" s="99" t="s">
        <v>19</v>
      </c>
      <c r="H5" s="99" t="s">
        <v>20</v>
      </c>
      <c r="I5" s="99" t="s">
        <v>21</v>
      </c>
      <c r="J5" s="99" t="s">
        <v>22</v>
      </c>
      <c r="K5" s="99" t="s">
        <v>23</v>
      </c>
      <c r="L5" s="99" t="s">
        <v>24</v>
      </c>
      <c r="M5" s="99" t="s">
        <v>25</v>
      </c>
      <c r="N5" s="99" t="s">
        <v>5</v>
      </c>
      <c r="O5" s="99" t="s">
        <v>6</v>
      </c>
      <c r="P5" s="99" t="s">
        <v>7</v>
      </c>
      <c r="Q5" s="99" t="s">
        <v>8</v>
      </c>
      <c r="R5" s="99" t="s">
        <v>9</v>
      </c>
      <c r="S5" s="99" t="s">
        <v>10</v>
      </c>
      <c r="T5" s="99" t="s">
        <v>11</v>
      </c>
      <c r="U5" s="99" t="s">
        <v>12</v>
      </c>
      <c r="V5" s="99" t="s">
        <v>26</v>
      </c>
    </row>
    <row r="6" spans="2:22" ht="23" x14ac:dyDescent="0.25">
      <c r="B6" s="44" t="s">
        <v>227</v>
      </c>
      <c r="C6" s="44" t="s">
        <v>228</v>
      </c>
      <c r="D6" s="44" t="s">
        <v>229</v>
      </c>
      <c r="E6" s="44" t="s">
        <v>27</v>
      </c>
      <c r="F6" s="44" t="s">
        <v>230</v>
      </c>
      <c r="G6" s="44" t="s">
        <v>27</v>
      </c>
      <c r="H6" s="44">
        <v>70219</v>
      </c>
      <c r="I6" s="44">
        <v>70198</v>
      </c>
      <c r="J6" s="44" t="s">
        <v>28</v>
      </c>
      <c r="K6" s="44" t="s">
        <v>227</v>
      </c>
      <c r="L6" s="44" t="s">
        <v>29</v>
      </c>
      <c r="M6" s="44"/>
      <c r="N6" s="45">
        <v>803</v>
      </c>
      <c r="O6" s="45">
        <v>883</v>
      </c>
      <c r="P6" s="45">
        <v>913</v>
      </c>
      <c r="Q6" s="45">
        <v>1004</v>
      </c>
      <c r="R6" s="45">
        <v>160</v>
      </c>
      <c r="S6" s="45">
        <v>176</v>
      </c>
      <c r="T6" s="45">
        <v>182</v>
      </c>
      <c r="U6" s="45">
        <v>200</v>
      </c>
      <c r="V6" s="46"/>
    </row>
    <row r="7" spans="2:22" ht="20" x14ac:dyDescent="0.25">
      <c r="B7" s="47" t="s">
        <v>227</v>
      </c>
      <c r="C7" s="47" t="s">
        <v>228</v>
      </c>
      <c r="D7" s="47" t="s">
        <v>229</v>
      </c>
      <c r="E7" s="47" t="s">
        <v>27</v>
      </c>
      <c r="F7" s="47" t="s">
        <v>230</v>
      </c>
      <c r="G7" s="47" t="s">
        <v>27</v>
      </c>
      <c r="H7" s="47">
        <v>70219</v>
      </c>
      <c r="I7" s="47">
        <v>70198</v>
      </c>
      <c r="J7" s="47" t="s">
        <v>28</v>
      </c>
      <c r="K7" s="47" t="s">
        <v>227</v>
      </c>
      <c r="L7" s="47" t="s">
        <v>30</v>
      </c>
      <c r="M7" s="47" t="s">
        <v>228</v>
      </c>
      <c r="N7" s="48">
        <v>803</v>
      </c>
      <c r="O7" s="48">
        <v>883</v>
      </c>
      <c r="P7" s="48">
        <v>913</v>
      </c>
      <c r="Q7" s="48">
        <v>1004</v>
      </c>
      <c r="R7" s="48">
        <v>160</v>
      </c>
      <c r="S7" s="48">
        <v>176</v>
      </c>
      <c r="T7" s="48">
        <v>182</v>
      </c>
      <c r="U7" s="48">
        <v>200</v>
      </c>
      <c r="V7" s="48"/>
    </row>
    <row r="8" spans="2:22" ht="23" x14ac:dyDescent="0.25">
      <c r="B8" s="44" t="s">
        <v>231</v>
      </c>
      <c r="C8" s="44" t="s">
        <v>228</v>
      </c>
      <c r="D8" s="44" t="s">
        <v>229</v>
      </c>
      <c r="E8" s="44" t="s">
        <v>27</v>
      </c>
      <c r="F8" s="44" t="s">
        <v>232</v>
      </c>
      <c r="G8" s="44" t="s">
        <v>27</v>
      </c>
      <c r="H8" s="44">
        <v>70219</v>
      </c>
      <c r="I8" s="44">
        <v>70450</v>
      </c>
      <c r="J8" s="44" t="s">
        <v>28</v>
      </c>
      <c r="K8" s="44" t="s">
        <v>231</v>
      </c>
      <c r="L8" s="44" t="s">
        <v>29</v>
      </c>
      <c r="M8" s="44"/>
      <c r="N8" s="45">
        <v>803</v>
      </c>
      <c r="O8" s="45">
        <v>883</v>
      </c>
      <c r="P8" s="45">
        <v>912</v>
      </c>
      <c r="Q8" s="45">
        <v>1004</v>
      </c>
      <c r="R8" s="45">
        <v>160</v>
      </c>
      <c r="S8" s="45">
        <v>176</v>
      </c>
      <c r="T8" s="45">
        <v>182</v>
      </c>
      <c r="U8" s="45">
        <v>200</v>
      </c>
      <c r="V8" s="46"/>
    </row>
    <row r="9" spans="2:22" ht="20" x14ac:dyDescent="0.25">
      <c r="B9" s="47" t="s">
        <v>231</v>
      </c>
      <c r="C9" s="47" t="s">
        <v>228</v>
      </c>
      <c r="D9" s="47" t="s">
        <v>229</v>
      </c>
      <c r="E9" s="47" t="s">
        <v>27</v>
      </c>
      <c r="F9" s="47" t="s">
        <v>232</v>
      </c>
      <c r="G9" s="47" t="s">
        <v>27</v>
      </c>
      <c r="H9" s="47">
        <v>70219</v>
      </c>
      <c r="I9" s="47">
        <v>70450</v>
      </c>
      <c r="J9" s="47" t="s">
        <v>28</v>
      </c>
      <c r="K9" s="47" t="s">
        <v>231</v>
      </c>
      <c r="L9" s="47" t="s">
        <v>30</v>
      </c>
      <c r="M9" s="47" t="s">
        <v>228</v>
      </c>
      <c r="N9" s="48">
        <v>803</v>
      </c>
      <c r="O9" s="48">
        <v>883</v>
      </c>
      <c r="P9" s="48">
        <v>912</v>
      </c>
      <c r="Q9" s="48">
        <v>1004</v>
      </c>
      <c r="R9" s="48">
        <v>160</v>
      </c>
      <c r="S9" s="48">
        <v>176</v>
      </c>
      <c r="T9" s="48">
        <v>182</v>
      </c>
      <c r="U9" s="48">
        <v>200</v>
      </c>
      <c r="V9" s="48"/>
    </row>
    <row r="10" spans="2:22" ht="23" x14ac:dyDescent="0.25">
      <c r="B10" s="44" t="s">
        <v>127</v>
      </c>
      <c r="C10" s="44" t="s">
        <v>128</v>
      </c>
      <c r="D10" s="44" t="s">
        <v>217</v>
      </c>
      <c r="E10" s="44" t="s">
        <v>27</v>
      </c>
      <c r="F10" s="44" t="s">
        <v>218</v>
      </c>
      <c r="G10" s="44" t="s">
        <v>27</v>
      </c>
      <c r="H10" s="44">
        <v>70268</v>
      </c>
      <c r="I10" s="44">
        <v>70438</v>
      </c>
      <c r="J10" s="44" t="s">
        <v>28</v>
      </c>
      <c r="K10" s="44" t="s">
        <v>127</v>
      </c>
      <c r="L10" s="44" t="s">
        <v>29</v>
      </c>
      <c r="M10" s="44"/>
      <c r="N10" s="45">
        <v>791</v>
      </c>
      <c r="O10" s="45">
        <v>791</v>
      </c>
      <c r="P10" s="45">
        <v>795</v>
      </c>
      <c r="Q10" s="45">
        <v>795</v>
      </c>
      <c r="R10" s="45">
        <v>315</v>
      </c>
      <c r="S10" s="45">
        <v>315</v>
      </c>
      <c r="T10" s="45">
        <v>317</v>
      </c>
      <c r="U10" s="45">
        <v>317</v>
      </c>
      <c r="V10" s="46" t="s">
        <v>219</v>
      </c>
    </row>
    <row r="11" spans="2:22" x14ac:dyDescent="0.25">
      <c r="B11" s="47" t="s">
        <v>127</v>
      </c>
      <c r="C11" s="47" t="s">
        <v>128</v>
      </c>
      <c r="D11" s="47" t="s">
        <v>217</v>
      </c>
      <c r="E11" s="47" t="s">
        <v>27</v>
      </c>
      <c r="F11" s="47" t="s">
        <v>218</v>
      </c>
      <c r="G11" s="47" t="s">
        <v>27</v>
      </c>
      <c r="H11" s="47">
        <v>70268</v>
      </c>
      <c r="I11" s="47">
        <v>70438</v>
      </c>
      <c r="J11" s="47" t="s">
        <v>28</v>
      </c>
      <c r="K11" s="47" t="s">
        <v>127</v>
      </c>
      <c r="L11" s="47" t="s">
        <v>30</v>
      </c>
      <c r="M11" s="47" t="s">
        <v>128</v>
      </c>
      <c r="N11" s="48">
        <v>791</v>
      </c>
      <c r="O11" s="48">
        <v>791</v>
      </c>
      <c r="P11" s="48">
        <v>795</v>
      </c>
      <c r="Q11" s="48">
        <v>795</v>
      </c>
      <c r="R11" s="48">
        <v>315</v>
      </c>
      <c r="S11" s="48">
        <v>315</v>
      </c>
      <c r="T11" s="48">
        <v>317</v>
      </c>
      <c r="U11" s="48">
        <v>317</v>
      </c>
      <c r="V11" s="48"/>
    </row>
    <row r="12" spans="2:22" ht="23" x14ac:dyDescent="0.25">
      <c r="B12" s="44" t="s">
        <v>233</v>
      </c>
      <c r="C12" s="44" t="s">
        <v>234</v>
      </c>
      <c r="D12" s="44" t="s">
        <v>235</v>
      </c>
      <c r="E12" s="44" t="s">
        <v>27</v>
      </c>
      <c r="F12" s="44" t="s">
        <v>236</v>
      </c>
      <c r="G12" s="44" t="s">
        <v>27</v>
      </c>
      <c r="H12" s="44">
        <v>70023</v>
      </c>
      <c r="I12" s="44">
        <v>70242</v>
      </c>
      <c r="J12" s="44" t="s">
        <v>28</v>
      </c>
      <c r="K12" s="44" t="s">
        <v>233</v>
      </c>
      <c r="L12" s="44" t="s">
        <v>29</v>
      </c>
      <c r="M12" s="44"/>
      <c r="N12" s="45">
        <v>710</v>
      </c>
      <c r="O12" s="45">
        <v>781</v>
      </c>
      <c r="P12" s="45">
        <v>710</v>
      </c>
      <c r="Q12" s="45">
        <v>781</v>
      </c>
      <c r="R12" s="45">
        <v>141</v>
      </c>
      <c r="S12" s="45">
        <v>156</v>
      </c>
      <c r="T12" s="45">
        <v>141</v>
      </c>
      <c r="U12" s="45">
        <v>156</v>
      </c>
      <c r="V12" s="46"/>
    </row>
    <row r="13" spans="2:22" ht="20" x14ac:dyDescent="0.25">
      <c r="B13" s="47" t="s">
        <v>233</v>
      </c>
      <c r="C13" s="47" t="s">
        <v>234</v>
      </c>
      <c r="D13" s="47" t="s">
        <v>235</v>
      </c>
      <c r="E13" s="47" t="s">
        <v>27</v>
      </c>
      <c r="F13" s="47" t="s">
        <v>236</v>
      </c>
      <c r="G13" s="47" t="s">
        <v>27</v>
      </c>
      <c r="H13" s="47">
        <v>70023</v>
      </c>
      <c r="I13" s="47">
        <v>70242</v>
      </c>
      <c r="J13" s="47" t="s">
        <v>28</v>
      </c>
      <c r="K13" s="47" t="s">
        <v>233</v>
      </c>
      <c r="L13" s="47" t="s">
        <v>30</v>
      </c>
      <c r="M13" s="47" t="s">
        <v>234</v>
      </c>
      <c r="N13" s="48">
        <v>710</v>
      </c>
      <c r="O13" s="48">
        <v>781</v>
      </c>
      <c r="P13" s="48">
        <v>710</v>
      </c>
      <c r="Q13" s="48">
        <v>781</v>
      </c>
      <c r="R13" s="48">
        <v>141</v>
      </c>
      <c r="S13" s="48">
        <v>156</v>
      </c>
      <c r="T13" s="48">
        <v>141</v>
      </c>
      <c r="U13" s="48">
        <v>156</v>
      </c>
      <c r="V13" s="48"/>
    </row>
    <row r="14" spans="2:22" ht="23" x14ac:dyDescent="0.25">
      <c r="B14" s="44" t="s">
        <v>237</v>
      </c>
      <c r="C14" s="44" t="s">
        <v>234</v>
      </c>
      <c r="D14" s="44" t="s">
        <v>235</v>
      </c>
      <c r="E14" s="44" t="s">
        <v>27</v>
      </c>
      <c r="F14" s="44" t="s">
        <v>238</v>
      </c>
      <c r="G14" s="44" t="s">
        <v>27</v>
      </c>
      <c r="H14" s="44">
        <v>70023</v>
      </c>
      <c r="I14" s="44">
        <v>70400</v>
      </c>
      <c r="J14" s="44" t="s">
        <v>28</v>
      </c>
      <c r="K14" s="44" t="s">
        <v>237</v>
      </c>
      <c r="L14" s="44" t="s">
        <v>29</v>
      </c>
      <c r="M14" s="44"/>
      <c r="N14" s="45">
        <v>950</v>
      </c>
      <c r="O14" s="45">
        <v>1045</v>
      </c>
      <c r="P14" s="45">
        <v>950</v>
      </c>
      <c r="Q14" s="45">
        <v>1045</v>
      </c>
      <c r="R14" s="45">
        <v>189</v>
      </c>
      <c r="S14" s="45">
        <v>208</v>
      </c>
      <c r="T14" s="45">
        <v>189</v>
      </c>
      <c r="U14" s="45">
        <v>208</v>
      </c>
      <c r="V14" s="46"/>
    </row>
    <row r="15" spans="2:22" ht="20" x14ac:dyDescent="0.25">
      <c r="B15" s="47" t="s">
        <v>237</v>
      </c>
      <c r="C15" s="47" t="s">
        <v>234</v>
      </c>
      <c r="D15" s="47" t="s">
        <v>235</v>
      </c>
      <c r="E15" s="47" t="s">
        <v>27</v>
      </c>
      <c r="F15" s="47" t="s">
        <v>238</v>
      </c>
      <c r="G15" s="47" t="s">
        <v>27</v>
      </c>
      <c r="H15" s="47">
        <v>70023</v>
      </c>
      <c r="I15" s="47">
        <v>70400</v>
      </c>
      <c r="J15" s="47" t="s">
        <v>28</v>
      </c>
      <c r="K15" s="47" t="s">
        <v>237</v>
      </c>
      <c r="L15" s="47" t="s">
        <v>30</v>
      </c>
      <c r="M15" s="47" t="s">
        <v>234</v>
      </c>
      <c r="N15" s="48">
        <v>950</v>
      </c>
      <c r="O15" s="48">
        <v>1045</v>
      </c>
      <c r="P15" s="48">
        <v>950</v>
      </c>
      <c r="Q15" s="48">
        <v>1045</v>
      </c>
      <c r="R15" s="48">
        <v>189</v>
      </c>
      <c r="S15" s="48">
        <v>208</v>
      </c>
      <c r="T15" s="48">
        <v>189</v>
      </c>
      <c r="U15" s="48">
        <v>208</v>
      </c>
      <c r="V15" s="48"/>
    </row>
    <row r="16" spans="2:22" ht="23" x14ac:dyDescent="0.25">
      <c r="B16" s="44" t="s">
        <v>242</v>
      </c>
      <c r="C16" s="44" t="s">
        <v>243</v>
      </c>
      <c r="D16" s="44" t="s">
        <v>244</v>
      </c>
      <c r="E16" s="44" t="s">
        <v>27</v>
      </c>
      <c r="F16" s="44" t="s">
        <v>245</v>
      </c>
      <c r="G16" s="44" t="s">
        <v>27</v>
      </c>
      <c r="H16" s="44">
        <v>70032</v>
      </c>
      <c r="I16" s="44">
        <v>70064</v>
      </c>
      <c r="J16" s="44" t="s">
        <v>28</v>
      </c>
      <c r="K16" s="44" t="s">
        <v>242</v>
      </c>
      <c r="L16" s="44" t="s">
        <v>29</v>
      </c>
      <c r="M16" s="44"/>
      <c r="N16" s="45">
        <v>1783</v>
      </c>
      <c r="O16" s="45">
        <v>2000</v>
      </c>
      <c r="P16" s="45">
        <v>2000</v>
      </c>
      <c r="Q16" s="45">
        <v>2000</v>
      </c>
      <c r="R16" s="45">
        <v>710</v>
      </c>
      <c r="S16" s="45">
        <v>797</v>
      </c>
      <c r="T16" s="45">
        <v>797</v>
      </c>
      <c r="U16" s="45">
        <v>797</v>
      </c>
      <c r="V16" s="46"/>
    </row>
    <row r="17" spans="2:22" ht="20" x14ac:dyDescent="0.25">
      <c r="B17" s="47" t="s">
        <v>242</v>
      </c>
      <c r="C17" s="47" t="s">
        <v>243</v>
      </c>
      <c r="D17" s="47" t="s">
        <v>244</v>
      </c>
      <c r="E17" s="47" t="s">
        <v>27</v>
      </c>
      <c r="F17" s="47" t="s">
        <v>245</v>
      </c>
      <c r="G17" s="47" t="s">
        <v>27</v>
      </c>
      <c r="H17" s="47">
        <v>70032</v>
      </c>
      <c r="I17" s="47">
        <v>70064</v>
      </c>
      <c r="J17" s="47" t="s">
        <v>28</v>
      </c>
      <c r="K17" s="47" t="s">
        <v>246</v>
      </c>
      <c r="L17" s="47" t="s">
        <v>31</v>
      </c>
      <c r="M17" s="47" t="s">
        <v>247</v>
      </c>
      <c r="N17" s="48">
        <v>1783</v>
      </c>
      <c r="O17" s="47">
        <v>2140</v>
      </c>
      <c r="P17" s="47">
        <v>2174</v>
      </c>
      <c r="Q17" s="47">
        <v>2462</v>
      </c>
      <c r="R17" s="48">
        <v>710</v>
      </c>
      <c r="S17" s="47">
        <v>853</v>
      </c>
      <c r="T17" s="47">
        <v>866</v>
      </c>
      <c r="U17" s="47">
        <v>981</v>
      </c>
      <c r="V17" s="47"/>
    </row>
    <row r="18" spans="2:22" ht="20" x14ac:dyDescent="0.25">
      <c r="B18" s="47" t="s">
        <v>242</v>
      </c>
      <c r="C18" s="47" t="s">
        <v>243</v>
      </c>
      <c r="D18" s="47" t="s">
        <v>244</v>
      </c>
      <c r="E18" s="47" t="s">
        <v>27</v>
      </c>
      <c r="F18" s="47" t="s">
        <v>245</v>
      </c>
      <c r="G18" s="47" t="s">
        <v>27</v>
      </c>
      <c r="H18" s="47">
        <v>70032</v>
      </c>
      <c r="I18" s="47">
        <v>70064</v>
      </c>
      <c r="J18" s="47" t="s">
        <v>28</v>
      </c>
      <c r="K18" s="47" t="s">
        <v>1958</v>
      </c>
      <c r="L18" s="47" t="s">
        <v>1315</v>
      </c>
      <c r="M18" s="47" t="s">
        <v>247</v>
      </c>
      <c r="N18" s="47">
        <v>2000</v>
      </c>
      <c r="O18" s="48">
        <v>2000</v>
      </c>
      <c r="P18" s="48">
        <v>2000</v>
      </c>
      <c r="Q18" s="48">
        <v>2000</v>
      </c>
      <c r="R18" s="47">
        <v>797</v>
      </c>
      <c r="S18" s="48">
        <v>797</v>
      </c>
      <c r="T18" s="48">
        <v>797</v>
      </c>
      <c r="U18" s="48">
        <v>797</v>
      </c>
      <c r="V18" s="48"/>
    </row>
    <row r="19" spans="2:22" ht="23" x14ac:dyDescent="0.25">
      <c r="B19" s="44" t="s">
        <v>248</v>
      </c>
      <c r="C19" s="44" t="s">
        <v>243</v>
      </c>
      <c r="D19" s="44" t="s">
        <v>244</v>
      </c>
      <c r="E19" s="44" t="s">
        <v>27</v>
      </c>
      <c r="F19" s="44" t="s">
        <v>223</v>
      </c>
      <c r="G19" s="44" t="s">
        <v>27</v>
      </c>
      <c r="H19" s="44">
        <v>70032</v>
      </c>
      <c r="I19" s="44">
        <v>70274</v>
      </c>
      <c r="J19" s="44" t="s">
        <v>28</v>
      </c>
      <c r="K19" s="44" t="s">
        <v>248</v>
      </c>
      <c r="L19" s="44" t="s">
        <v>29</v>
      </c>
      <c r="M19" s="44"/>
      <c r="N19" s="45">
        <v>1037</v>
      </c>
      <c r="O19" s="45">
        <v>1200</v>
      </c>
      <c r="P19" s="45">
        <v>1200</v>
      </c>
      <c r="Q19" s="45">
        <v>1200</v>
      </c>
      <c r="R19" s="45">
        <v>413</v>
      </c>
      <c r="S19" s="45">
        <v>478</v>
      </c>
      <c r="T19" s="45">
        <v>478</v>
      </c>
      <c r="U19" s="45">
        <v>478</v>
      </c>
      <c r="V19" s="46"/>
    </row>
    <row r="20" spans="2:22" ht="20" x14ac:dyDescent="0.25">
      <c r="B20" s="47" t="s">
        <v>248</v>
      </c>
      <c r="C20" s="47" t="s">
        <v>243</v>
      </c>
      <c r="D20" s="47" t="s">
        <v>244</v>
      </c>
      <c r="E20" s="47" t="s">
        <v>27</v>
      </c>
      <c r="F20" s="47" t="s">
        <v>223</v>
      </c>
      <c r="G20" s="47" t="s">
        <v>27</v>
      </c>
      <c r="H20" s="47">
        <v>70032</v>
      </c>
      <c r="I20" s="47">
        <v>70274</v>
      </c>
      <c r="J20" s="47" t="s">
        <v>28</v>
      </c>
      <c r="K20" s="47" t="s">
        <v>249</v>
      </c>
      <c r="L20" s="47" t="s">
        <v>31</v>
      </c>
      <c r="M20" s="47" t="s">
        <v>250</v>
      </c>
      <c r="N20" s="48">
        <v>1037</v>
      </c>
      <c r="O20" s="47">
        <v>1215</v>
      </c>
      <c r="P20" s="47">
        <v>1244</v>
      </c>
      <c r="Q20" s="47">
        <v>1387</v>
      </c>
      <c r="R20" s="48">
        <v>413</v>
      </c>
      <c r="S20" s="47">
        <v>484</v>
      </c>
      <c r="T20" s="47">
        <v>496</v>
      </c>
      <c r="U20" s="47">
        <v>553</v>
      </c>
      <c r="V20" s="47"/>
    </row>
    <row r="21" spans="2:22" ht="20" x14ac:dyDescent="0.25">
      <c r="B21" s="47" t="s">
        <v>248</v>
      </c>
      <c r="C21" s="47" t="s">
        <v>243</v>
      </c>
      <c r="D21" s="47" t="s">
        <v>244</v>
      </c>
      <c r="E21" s="47" t="s">
        <v>27</v>
      </c>
      <c r="F21" s="47" t="s">
        <v>223</v>
      </c>
      <c r="G21" s="47" t="s">
        <v>27</v>
      </c>
      <c r="H21" s="47">
        <v>70032</v>
      </c>
      <c r="I21" s="47">
        <v>70274</v>
      </c>
      <c r="J21" s="47" t="s">
        <v>28</v>
      </c>
      <c r="K21" s="47" t="s">
        <v>2362</v>
      </c>
      <c r="L21" s="47" t="s">
        <v>39</v>
      </c>
      <c r="M21" s="47" t="s">
        <v>250</v>
      </c>
      <c r="N21" s="47">
        <v>1200</v>
      </c>
      <c r="O21" s="48">
        <v>1200</v>
      </c>
      <c r="P21" s="48">
        <v>1200</v>
      </c>
      <c r="Q21" s="48">
        <v>1200</v>
      </c>
      <c r="R21" s="47">
        <v>478</v>
      </c>
      <c r="S21" s="48">
        <v>478</v>
      </c>
      <c r="T21" s="48">
        <v>478</v>
      </c>
      <c r="U21" s="48">
        <v>478</v>
      </c>
      <c r="V21" s="48"/>
    </row>
    <row r="22" spans="2:22" ht="20" x14ac:dyDescent="0.25">
      <c r="B22" s="47" t="s">
        <v>248</v>
      </c>
      <c r="C22" s="47" t="s">
        <v>243</v>
      </c>
      <c r="D22" s="47" t="s">
        <v>244</v>
      </c>
      <c r="E22" s="47" t="s">
        <v>27</v>
      </c>
      <c r="F22" s="47" t="s">
        <v>223</v>
      </c>
      <c r="G22" s="47" t="s">
        <v>27</v>
      </c>
      <c r="H22" s="47">
        <v>70032</v>
      </c>
      <c r="I22" s="47">
        <v>70274</v>
      </c>
      <c r="J22" s="47" t="s">
        <v>28</v>
      </c>
      <c r="K22" s="47" t="s">
        <v>2361</v>
      </c>
      <c r="L22" s="47" t="s">
        <v>39</v>
      </c>
      <c r="M22" s="47" t="s">
        <v>250</v>
      </c>
      <c r="N22" s="47">
        <v>1200</v>
      </c>
      <c r="O22" s="48">
        <v>1200</v>
      </c>
      <c r="P22" s="48">
        <v>1200</v>
      </c>
      <c r="Q22" s="48">
        <v>1200</v>
      </c>
      <c r="R22" s="47">
        <v>478</v>
      </c>
      <c r="S22" s="48">
        <v>478</v>
      </c>
      <c r="T22" s="48">
        <v>478</v>
      </c>
      <c r="U22" s="48">
        <v>478</v>
      </c>
      <c r="V22" s="48"/>
    </row>
    <row r="23" spans="2:22" ht="20" x14ac:dyDescent="0.25">
      <c r="B23" s="47" t="s">
        <v>248</v>
      </c>
      <c r="C23" s="47" t="s">
        <v>243</v>
      </c>
      <c r="D23" s="47" t="s">
        <v>244</v>
      </c>
      <c r="E23" s="47" t="s">
        <v>27</v>
      </c>
      <c r="F23" s="47" t="s">
        <v>223</v>
      </c>
      <c r="G23" s="47" t="s">
        <v>27</v>
      </c>
      <c r="H23" s="47">
        <v>70032</v>
      </c>
      <c r="I23" s="47">
        <v>70274</v>
      </c>
      <c r="J23" s="47" t="s">
        <v>28</v>
      </c>
      <c r="K23" s="47" t="s">
        <v>2360</v>
      </c>
      <c r="L23" s="47" t="s">
        <v>39</v>
      </c>
      <c r="M23" s="47" t="s">
        <v>250</v>
      </c>
      <c r="N23" s="47">
        <v>1200</v>
      </c>
      <c r="O23" s="48">
        <v>1200</v>
      </c>
      <c r="P23" s="48">
        <v>1200</v>
      </c>
      <c r="Q23" s="48">
        <v>1200</v>
      </c>
      <c r="R23" s="47">
        <v>478</v>
      </c>
      <c r="S23" s="48">
        <v>478</v>
      </c>
      <c r="T23" s="48">
        <v>478</v>
      </c>
      <c r="U23" s="48">
        <v>478</v>
      </c>
      <c r="V23" s="48"/>
    </row>
    <row r="24" spans="2:22" ht="20" x14ac:dyDescent="0.25">
      <c r="B24" s="47" t="s">
        <v>248</v>
      </c>
      <c r="C24" s="47" t="s">
        <v>243</v>
      </c>
      <c r="D24" s="47" t="s">
        <v>244</v>
      </c>
      <c r="E24" s="47" t="s">
        <v>27</v>
      </c>
      <c r="F24" s="47" t="s">
        <v>223</v>
      </c>
      <c r="G24" s="47" t="s">
        <v>27</v>
      </c>
      <c r="H24" s="47">
        <v>70032</v>
      </c>
      <c r="I24" s="47">
        <v>70274</v>
      </c>
      <c r="J24" s="47" t="s">
        <v>28</v>
      </c>
      <c r="K24" s="47" t="s">
        <v>2363</v>
      </c>
      <c r="L24" s="47" t="s">
        <v>39</v>
      </c>
      <c r="M24" s="47" t="s">
        <v>250</v>
      </c>
      <c r="N24" s="47">
        <v>1200</v>
      </c>
      <c r="O24" s="48">
        <v>1200</v>
      </c>
      <c r="P24" s="48">
        <v>1200</v>
      </c>
      <c r="Q24" s="48">
        <v>1200</v>
      </c>
      <c r="R24" s="47">
        <v>478</v>
      </c>
      <c r="S24" s="48">
        <v>478</v>
      </c>
      <c r="T24" s="48">
        <v>478</v>
      </c>
      <c r="U24" s="48">
        <v>478</v>
      </c>
      <c r="V24" s="48"/>
    </row>
    <row r="25" spans="2:22" ht="23" x14ac:dyDescent="0.25">
      <c r="B25" s="44" t="s">
        <v>251</v>
      </c>
      <c r="C25" s="44" t="s">
        <v>252</v>
      </c>
      <c r="D25" s="44" t="s">
        <v>33</v>
      </c>
      <c r="E25" s="44" t="s">
        <v>27</v>
      </c>
      <c r="F25" s="44" t="s">
        <v>253</v>
      </c>
      <c r="G25" s="44" t="s">
        <v>27</v>
      </c>
      <c r="H25" s="44">
        <v>70036</v>
      </c>
      <c r="I25" s="44">
        <v>70531</v>
      </c>
      <c r="J25" s="44" t="s">
        <v>28</v>
      </c>
      <c r="K25" s="44" t="s">
        <v>251</v>
      </c>
      <c r="L25" s="44" t="s">
        <v>29</v>
      </c>
      <c r="M25" s="44"/>
      <c r="N25" s="45">
        <v>600</v>
      </c>
      <c r="O25" s="45">
        <v>775</v>
      </c>
      <c r="P25" s="45">
        <v>743</v>
      </c>
      <c r="Q25" s="45">
        <v>890</v>
      </c>
      <c r="R25" s="45">
        <v>120</v>
      </c>
      <c r="S25" s="45">
        <v>154</v>
      </c>
      <c r="T25" s="45">
        <v>148</v>
      </c>
      <c r="U25" s="45">
        <v>177</v>
      </c>
      <c r="V25" s="46"/>
    </row>
    <row r="26" spans="2:22" ht="20" x14ac:dyDescent="0.25">
      <c r="B26" s="47" t="s">
        <v>251</v>
      </c>
      <c r="C26" s="47" t="s">
        <v>252</v>
      </c>
      <c r="D26" s="47" t="s">
        <v>33</v>
      </c>
      <c r="E26" s="47" t="s">
        <v>27</v>
      </c>
      <c r="F26" s="47" t="s">
        <v>253</v>
      </c>
      <c r="G26" s="47" t="s">
        <v>27</v>
      </c>
      <c r="H26" s="47">
        <v>70036</v>
      </c>
      <c r="I26" s="47">
        <v>70531</v>
      </c>
      <c r="J26" s="47" t="s">
        <v>28</v>
      </c>
      <c r="K26" s="47" t="s">
        <v>254</v>
      </c>
      <c r="L26" s="47" t="s">
        <v>34</v>
      </c>
      <c r="M26" s="47" t="s">
        <v>35</v>
      </c>
      <c r="N26" s="48">
        <v>600</v>
      </c>
      <c r="O26" s="48">
        <v>775</v>
      </c>
      <c r="P26" s="48">
        <v>743</v>
      </c>
      <c r="Q26" s="48">
        <v>890</v>
      </c>
      <c r="R26" s="48">
        <v>120</v>
      </c>
      <c r="S26" s="48">
        <v>154</v>
      </c>
      <c r="T26" s="48">
        <v>148</v>
      </c>
      <c r="U26" s="48">
        <v>177</v>
      </c>
      <c r="V26" s="48"/>
    </row>
    <row r="27" spans="2:22" ht="23" x14ac:dyDescent="0.25">
      <c r="B27" s="44" t="s">
        <v>255</v>
      </c>
      <c r="C27" s="44" t="s">
        <v>256</v>
      </c>
      <c r="D27" s="44" t="s">
        <v>33</v>
      </c>
      <c r="E27" s="44" t="s">
        <v>27</v>
      </c>
      <c r="F27" s="44" t="s">
        <v>257</v>
      </c>
      <c r="G27" s="44" t="s">
        <v>27</v>
      </c>
      <c r="H27" s="44">
        <v>70038</v>
      </c>
      <c r="I27" s="44">
        <v>70141</v>
      </c>
      <c r="J27" s="44" t="s">
        <v>28</v>
      </c>
      <c r="K27" s="44" t="s">
        <v>255</v>
      </c>
      <c r="L27" s="44" t="s">
        <v>29</v>
      </c>
      <c r="M27" s="44"/>
      <c r="N27" s="45">
        <v>1426</v>
      </c>
      <c r="O27" s="45">
        <v>1568</v>
      </c>
      <c r="P27" s="45">
        <v>1625</v>
      </c>
      <c r="Q27" s="45">
        <v>1787</v>
      </c>
      <c r="R27" s="45">
        <v>568</v>
      </c>
      <c r="S27" s="45">
        <v>625</v>
      </c>
      <c r="T27" s="45">
        <v>647</v>
      </c>
      <c r="U27" s="45">
        <v>712</v>
      </c>
      <c r="V27" s="46"/>
    </row>
    <row r="28" spans="2:22" ht="20" x14ac:dyDescent="0.25">
      <c r="B28" s="47" t="s">
        <v>255</v>
      </c>
      <c r="C28" s="47" t="s">
        <v>256</v>
      </c>
      <c r="D28" s="47" t="s">
        <v>33</v>
      </c>
      <c r="E28" s="47" t="s">
        <v>27</v>
      </c>
      <c r="F28" s="47" t="s">
        <v>257</v>
      </c>
      <c r="G28" s="47" t="s">
        <v>27</v>
      </c>
      <c r="H28" s="47">
        <v>70038</v>
      </c>
      <c r="I28" s="47">
        <v>70141</v>
      </c>
      <c r="J28" s="47" t="s">
        <v>28</v>
      </c>
      <c r="K28" s="47" t="s">
        <v>388</v>
      </c>
      <c r="L28" s="47" t="s">
        <v>31</v>
      </c>
      <c r="M28" s="47" t="s">
        <v>2548</v>
      </c>
      <c r="N28" s="48">
        <v>1426</v>
      </c>
      <c r="O28" s="48">
        <v>1568</v>
      </c>
      <c r="P28" s="48">
        <v>1625</v>
      </c>
      <c r="Q28" s="48">
        <v>1787</v>
      </c>
      <c r="R28" s="48">
        <v>568</v>
      </c>
      <c r="S28" s="48">
        <v>625</v>
      </c>
      <c r="T28" s="48">
        <v>647</v>
      </c>
      <c r="U28" s="48">
        <v>712</v>
      </c>
      <c r="V28" s="48"/>
    </row>
    <row r="29" spans="2:22" ht="34.5" x14ac:dyDescent="0.25">
      <c r="B29" s="44" t="s">
        <v>2549</v>
      </c>
      <c r="C29" s="44" t="s">
        <v>2550</v>
      </c>
      <c r="D29" s="44" t="s">
        <v>33</v>
      </c>
      <c r="E29" s="44" t="s">
        <v>27</v>
      </c>
      <c r="F29" s="44" t="s">
        <v>277</v>
      </c>
      <c r="G29" s="44" t="s">
        <v>27</v>
      </c>
      <c r="H29" s="44">
        <v>70038</v>
      </c>
      <c r="I29" s="44">
        <v>70149</v>
      </c>
      <c r="J29" s="44" t="s">
        <v>28</v>
      </c>
      <c r="K29" s="44" t="s">
        <v>2549</v>
      </c>
      <c r="L29" s="44" t="s">
        <v>29</v>
      </c>
      <c r="M29" s="44"/>
      <c r="N29" s="45">
        <v>1444</v>
      </c>
      <c r="O29" s="45">
        <v>1588</v>
      </c>
      <c r="P29" s="45">
        <v>1645</v>
      </c>
      <c r="Q29" s="45">
        <v>1810</v>
      </c>
      <c r="R29" s="45">
        <v>575</v>
      </c>
      <c r="S29" s="45">
        <v>633</v>
      </c>
      <c r="T29" s="45">
        <v>655</v>
      </c>
      <c r="U29" s="45">
        <v>721</v>
      </c>
      <c r="V29" s="46"/>
    </row>
    <row r="30" spans="2:22" ht="20" x14ac:dyDescent="0.25">
      <c r="B30" s="47" t="s">
        <v>2549</v>
      </c>
      <c r="C30" s="47" t="s">
        <v>2550</v>
      </c>
      <c r="D30" s="47" t="s">
        <v>33</v>
      </c>
      <c r="E30" s="47" t="s">
        <v>27</v>
      </c>
      <c r="F30" s="47" t="s">
        <v>277</v>
      </c>
      <c r="G30" s="47" t="s">
        <v>27</v>
      </c>
      <c r="H30" s="47">
        <v>70038</v>
      </c>
      <c r="I30" s="47">
        <v>70149</v>
      </c>
      <c r="J30" s="47" t="s">
        <v>28</v>
      </c>
      <c r="K30" s="47" t="s">
        <v>2549</v>
      </c>
      <c r="L30" s="47" t="s">
        <v>30</v>
      </c>
      <c r="M30" s="47" t="s">
        <v>2550</v>
      </c>
      <c r="N30" s="48">
        <v>1444</v>
      </c>
      <c r="O30" s="48">
        <v>1588</v>
      </c>
      <c r="P30" s="48">
        <v>1645</v>
      </c>
      <c r="Q30" s="48">
        <v>1810</v>
      </c>
      <c r="R30" s="48">
        <v>575</v>
      </c>
      <c r="S30" s="48">
        <v>633</v>
      </c>
      <c r="T30" s="48">
        <v>655</v>
      </c>
      <c r="U30" s="48">
        <v>721</v>
      </c>
      <c r="V30" s="48"/>
    </row>
    <row r="31" spans="2:22" ht="23" x14ac:dyDescent="0.25">
      <c r="B31" s="44" t="s">
        <v>66</v>
      </c>
      <c r="C31" s="44" t="s">
        <v>259</v>
      </c>
      <c r="D31" s="44" t="s">
        <v>33</v>
      </c>
      <c r="E31" s="44" t="s">
        <v>27</v>
      </c>
      <c r="F31" s="44" t="s">
        <v>76</v>
      </c>
      <c r="G31" s="44" t="s">
        <v>27</v>
      </c>
      <c r="H31" s="44">
        <v>70037</v>
      </c>
      <c r="I31" s="44">
        <v>70167</v>
      </c>
      <c r="J31" s="44" t="s">
        <v>28</v>
      </c>
      <c r="K31" s="44" t="s">
        <v>66</v>
      </c>
      <c r="L31" s="44" t="s">
        <v>29</v>
      </c>
      <c r="M31" s="44"/>
      <c r="N31" s="45">
        <v>799</v>
      </c>
      <c r="O31" s="45">
        <v>879</v>
      </c>
      <c r="P31" s="45">
        <v>869</v>
      </c>
      <c r="Q31" s="45">
        <v>956</v>
      </c>
      <c r="R31" s="45">
        <v>159</v>
      </c>
      <c r="S31" s="45">
        <v>175</v>
      </c>
      <c r="T31" s="45">
        <v>173</v>
      </c>
      <c r="U31" s="45">
        <v>190</v>
      </c>
      <c r="V31" s="46"/>
    </row>
    <row r="32" spans="2:22" ht="20" x14ac:dyDescent="0.25">
      <c r="B32" s="47" t="s">
        <v>66</v>
      </c>
      <c r="C32" s="47" t="s">
        <v>259</v>
      </c>
      <c r="D32" s="47" t="s">
        <v>33</v>
      </c>
      <c r="E32" s="47" t="s">
        <v>27</v>
      </c>
      <c r="F32" s="47" t="s">
        <v>76</v>
      </c>
      <c r="G32" s="47" t="s">
        <v>27</v>
      </c>
      <c r="H32" s="47">
        <v>70037</v>
      </c>
      <c r="I32" s="47">
        <v>70167</v>
      </c>
      <c r="J32" s="47" t="s">
        <v>28</v>
      </c>
      <c r="K32" s="47" t="s">
        <v>32</v>
      </c>
      <c r="L32" s="47" t="s">
        <v>31</v>
      </c>
      <c r="M32" s="47" t="s">
        <v>35</v>
      </c>
      <c r="N32" s="48">
        <v>799</v>
      </c>
      <c r="O32" s="48">
        <v>879</v>
      </c>
      <c r="P32" s="47">
        <v>909</v>
      </c>
      <c r="Q32" s="47">
        <v>999</v>
      </c>
      <c r="R32" s="48">
        <v>159</v>
      </c>
      <c r="S32" s="48">
        <v>175</v>
      </c>
      <c r="T32" s="47">
        <v>181</v>
      </c>
      <c r="U32" s="47">
        <v>199</v>
      </c>
      <c r="V32" s="47"/>
    </row>
    <row r="33" spans="2:22" ht="20" x14ac:dyDescent="0.25">
      <c r="B33" s="47" t="s">
        <v>66</v>
      </c>
      <c r="C33" s="47" t="s">
        <v>259</v>
      </c>
      <c r="D33" s="47" t="s">
        <v>33</v>
      </c>
      <c r="E33" s="47" t="s">
        <v>27</v>
      </c>
      <c r="F33" s="47" t="s">
        <v>76</v>
      </c>
      <c r="G33" s="47" t="s">
        <v>27</v>
      </c>
      <c r="H33" s="47">
        <v>70037</v>
      </c>
      <c r="I33" s="47">
        <v>70167</v>
      </c>
      <c r="J33" s="47" t="s">
        <v>28</v>
      </c>
      <c r="K33" s="47" t="s">
        <v>66</v>
      </c>
      <c r="L33" s="47" t="s">
        <v>30</v>
      </c>
      <c r="M33" s="47" t="s">
        <v>259</v>
      </c>
      <c r="N33" s="47">
        <v>803</v>
      </c>
      <c r="O33" s="47">
        <v>883</v>
      </c>
      <c r="P33" s="48">
        <v>869</v>
      </c>
      <c r="Q33" s="48">
        <v>956</v>
      </c>
      <c r="R33" s="47">
        <v>160</v>
      </c>
      <c r="S33" s="47">
        <v>176</v>
      </c>
      <c r="T33" s="48">
        <v>173</v>
      </c>
      <c r="U33" s="48">
        <v>190</v>
      </c>
      <c r="V33" s="48"/>
    </row>
    <row r="34" spans="2:22" ht="23" x14ac:dyDescent="0.25">
      <c r="B34" s="44" t="s">
        <v>2523</v>
      </c>
      <c r="C34" s="44" t="s">
        <v>2524</v>
      </c>
      <c r="D34" s="44" t="s">
        <v>33</v>
      </c>
      <c r="E34" s="44" t="s">
        <v>27</v>
      </c>
      <c r="F34" s="44" t="s">
        <v>548</v>
      </c>
      <c r="G34" s="44" t="s">
        <v>27</v>
      </c>
      <c r="H34" s="44">
        <v>70038</v>
      </c>
      <c r="I34" s="44">
        <v>70189</v>
      </c>
      <c r="J34" s="44" t="s">
        <v>28</v>
      </c>
      <c r="K34" s="44" t="s">
        <v>2523</v>
      </c>
      <c r="L34" s="44" t="s">
        <v>29</v>
      </c>
      <c r="M34" s="44"/>
      <c r="N34" s="45">
        <v>1440</v>
      </c>
      <c r="O34" s="45">
        <v>1584</v>
      </c>
      <c r="P34" s="45">
        <v>1642</v>
      </c>
      <c r="Q34" s="45">
        <v>1806</v>
      </c>
      <c r="R34" s="45">
        <v>574</v>
      </c>
      <c r="S34" s="45">
        <v>631</v>
      </c>
      <c r="T34" s="45">
        <v>654</v>
      </c>
      <c r="U34" s="45">
        <v>719</v>
      </c>
      <c r="V34" s="46"/>
    </row>
    <row r="35" spans="2:22" ht="20" x14ac:dyDescent="0.25">
      <c r="B35" s="47" t="s">
        <v>2523</v>
      </c>
      <c r="C35" s="47" t="s">
        <v>2524</v>
      </c>
      <c r="D35" s="47" t="s">
        <v>33</v>
      </c>
      <c r="E35" s="47" t="s">
        <v>27</v>
      </c>
      <c r="F35" s="47" t="s">
        <v>548</v>
      </c>
      <c r="G35" s="47" t="s">
        <v>27</v>
      </c>
      <c r="H35" s="47">
        <v>70038</v>
      </c>
      <c r="I35" s="47">
        <v>70189</v>
      </c>
      <c r="J35" s="47" t="s">
        <v>28</v>
      </c>
      <c r="K35" s="47" t="s">
        <v>2523</v>
      </c>
      <c r="L35" s="47" t="s">
        <v>30</v>
      </c>
      <c r="M35" s="47" t="s">
        <v>2524</v>
      </c>
      <c r="N35" s="48">
        <v>1440</v>
      </c>
      <c r="O35" s="48">
        <v>1584</v>
      </c>
      <c r="P35" s="48">
        <v>1642</v>
      </c>
      <c r="Q35" s="48">
        <v>1806</v>
      </c>
      <c r="R35" s="48">
        <v>574</v>
      </c>
      <c r="S35" s="48">
        <v>631</v>
      </c>
      <c r="T35" s="48">
        <v>654</v>
      </c>
      <c r="U35" s="48">
        <v>719</v>
      </c>
      <c r="V35" s="48"/>
    </row>
    <row r="36" spans="2:22" ht="23" x14ac:dyDescent="0.25">
      <c r="B36" s="44" t="s">
        <v>2633</v>
      </c>
      <c r="C36" s="44" t="s">
        <v>262</v>
      </c>
      <c r="D36" s="44" t="s">
        <v>33</v>
      </c>
      <c r="E36" s="44" t="s">
        <v>27</v>
      </c>
      <c r="F36" s="44" t="s">
        <v>646</v>
      </c>
      <c r="G36" s="44" t="s">
        <v>27</v>
      </c>
      <c r="H36" s="44">
        <v>70038</v>
      </c>
      <c r="I36" s="44">
        <v>70527</v>
      </c>
      <c r="J36" s="44" t="s">
        <v>28</v>
      </c>
      <c r="K36" s="44" t="s">
        <v>2633</v>
      </c>
      <c r="L36" s="44" t="s">
        <v>29</v>
      </c>
      <c r="M36" s="44"/>
      <c r="N36" s="45">
        <v>1266</v>
      </c>
      <c r="O36" s="45">
        <v>1393</v>
      </c>
      <c r="P36" s="45">
        <v>1443</v>
      </c>
      <c r="Q36" s="45">
        <v>1587</v>
      </c>
      <c r="R36" s="45">
        <v>504</v>
      </c>
      <c r="S36" s="45">
        <v>555</v>
      </c>
      <c r="T36" s="45">
        <v>575</v>
      </c>
      <c r="U36" s="45">
        <v>632</v>
      </c>
      <c r="V36" s="46"/>
    </row>
    <row r="37" spans="2:22" ht="20" x14ac:dyDescent="0.25">
      <c r="B37" s="47" t="s">
        <v>2633</v>
      </c>
      <c r="C37" s="47" t="s">
        <v>262</v>
      </c>
      <c r="D37" s="47" t="s">
        <v>33</v>
      </c>
      <c r="E37" s="47" t="s">
        <v>27</v>
      </c>
      <c r="F37" s="47" t="s">
        <v>646</v>
      </c>
      <c r="G37" s="47" t="s">
        <v>27</v>
      </c>
      <c r="H37" s="47">
        <v>70038</v>
      </c>
      <c r="I37" s="47">
        <v>70527</v>
      </c>
      <c r="J37" s="47" t="s">
        <v>28</v>
      </c>
      <c r="K37" s="47" t="s">
        <v>2633</v>
      </c>
      <c r="L37" s="47" t="s">
        <v>30</v>
      </c>
      <c r="M37" s="47" t="s">
        <v>262</v>
      </c>
      <c r="N37" s="48">
        <v>1266</v>
      </c>
      <c r="O37" s="48">
        <v>1393</v>
      </c>
      <c r="P37" s="48">
        <v>1443</v>
      </c>
      <c r="Q37" s="48">
        <v>1587</v>
      </c>
      <c r="R37" s="48">
        <v>504</v>
      </c>
      <c r="S37" s="48">
        <v>555</v>
      </c>
      <c r="T37" s="48">
        <v>575</v>
      </c>
      <c r="U37" s="48">
        <v>632</v>
      </c>
      <c r="V37" s="48"/>
    </row>
    <row r="38" spans="2:22" ht="23" x14ac:dyDescent="0.25">
      <c r="B38" s="44" t="s">
        <v>264</v>
      </c>
      <c r="C38" s="44" t="s">
        <v>37</v>
      </c>
      <c r="D38" s="44" t="s">
        <v>33</v>
      </c>
      <c r="E38" s="44" t="s">
        <v>27</v>
      </c>
      <c r="F38" s="44" t="s">
        <v>38</v>
      </c>
      <c r="G38" s="44" t="s">
        <v>27</v>
      </c>
      <c r="H38" s="44">
        <v>70037</v>
      </c>
      <c r="I38" s="44">
        <v>70398</v>
      </c>
      <c r="J38" s="44" t="s">
        <v>28</v>
      </c>
      <c r="K38" s="44" t="s">
        <v>264</v>
      </c>
      <c r="L38" s="44" t="s">
        <v>29</v>
      </c>
      <c r="M38" s="44"/>
      <c r="N38" s="45">
        <v>798</v>
      </c>
      <c r="O38" s="45">
        <v>878</v>
      </c>
      <c r="P38" s="45">
        <v>908</v>
      </c>
      <c r="Q38" s="45">
        <v>998</v>
      </c>
      <c r="R38" s="45">
        <v>159</v>
      </c>
      <c r="S38" s="45">
        <v>175</v>
      </c>
      <c r="T38" s="45">
        <v>181</v>
      </c>
      <c r="U38" s="45">
        <v>199</v>
      </c>
      <c r="V38" s="46"/>
    </row>
    <row r="39" spans="2:22" ht="20" x14ac:dyDescent="0.25">
      <c r="B39" s="47" t="s">
        <v>264</v>
      </c>
      <c r="C39" s="47" t="s">
        <v>37</v>
      </c>
      <c r="D39" s="47" t="s">
        <v>33</v>
      </c>
      <c r="E39" s="47" t="s">
        <v>27</v>
      </c>
      <c r="F39" s="47" t="s">
        <v>38</v>
      </c>
      <c r="G39" s="47" t="s">
        <v>27</v>
      </c>
      <c r="H39" s="47">
        <v>70037</v>
      </c>
      <c r="I39" s="47">
        <v>70398</v>
      </c>
      <c r="J39" s="47" t="s">
        <v>28</v>
      </c>
      <c r="K39" s="47" t="s">
        <v>264</v>
      </c>
      <c r="L39" s="47" t="s">
        <v>30</v>
      </c>
      <c r="M39" s="47" t="s">
        <v>37</v>
      </c>
      <c r="N39" s="48">
        <v>798</v>
      </c>
      <c r="O39" s="48">
        <v>878</v>
      </c>
      <c r="P39" s="48">
        <v>908</v>
      </c>
      <c r="Q39" s="48">
        <v>998</v>
      </c>
      <c r="R39" s="48">
        <v>159</v>
      </c>
      <c r="S39" s="48">
        <v>175</v>
      </c>
      <c r="T39" s="48">
        <v>181</v>
      </c>
      <c r="U39" s="48">
        <v>199</v>
      </c>
      <c r="V39" s="48"/>
    </row>
    <row r="40" spans="2:22" ht="23" x14ac:dyDescent="0.25">
      <c r="B40" s="44" t="s">
        <v>265</v>
      </c>
      <c r="C40" s="44" t="s">
        <v>266</v>
      </c>
      <c r="D40" s="44" t="s">
        <v>33</v>
      </c>
      <c r="E40" s="44" t="s">
        <v>27</v>
      </c>
      <c r="F40" s="44" t="s">
        <v>267</v>
      </c>
      <c r="G40" s="44" t="s">
        <v>27</v>
      </c>
      <c r="H40" s="44">
        <v>70036</v>
      </c>
      <c r="I40" s="44">
        <v>70441</v>
      </c>
      <c r="J40" s="44" t="s">
        <v>28</v>
      </c>
      <c r="K40" s="44" t="s">
        <v>265</v>
      </c>
      <c r="L40" s="44" t="s">
        <v>29</v>
      </c>
      <c r="M40" s="44"/>
      <c r="N40" s="45">
        <v>773</v>
      </c>
      <c r="O40" s="45">
        <v>773</v>
      </c>
      <c r="P40" s="45">
        <v>773</v>
      </c>
      <c r="Q40" s="45">
        <v>773</v>
      </c>
      <c r="R40" s="45">
        <v>154</v>
      </c>
      <c r="S40" s="45">
        <v>154</v>
      </c>
      <c r="T40" s="45">
        <v>154</v>
      </c>
      <c r="U40" s="45">
        <v>154</v>
      </c>
      <c r="V40" s="46"/>
    </row>
    <row r="41" spans="2:22" ht="20" x14ac:dyDescent="0.25">
      <c r="B41" s="47" t="s">
        <v>265</v>
      </c>
      <c r="C41" s="47" t="s">
        <v>266</v>
      </c>
      <c r="D41" s="47" t="s">
        <v>33</v>
      </c>
      <c r="E41" s="47" t="s">
        <v>27</v>
      </c>
      <c r="F41" s="47" t="s">
        <v>267</v>
      </c>
      <c r="G41" s="47" t="s">
        <v>27</v>
      </c>
      <c r="H41" s="47">
        <v>70036</v>
      </c>
      <c r="I41" s="47">
        <v>70441</v>
      </c>
      <c r="J41" s="47" t="s">
        <v>28</v>
      </c>
      <c r="K41" s="47" t="s">
        <v>265</v>
      </c>
      <c r="L41" s="47" t="s">
        <v>30</v>
      </c>
      <c r="M41" s="47" t="s">
        <v>266</v>
      </c>
      <c r="N41" s="48">
        <v>773</v>
      </c>
      <c r="O41" s="48">
        <v>773</v>
      </c>
      <c r="P41" s="48">
        <v>773</v>
      </c>
      <c r="Q41" s="48">
        <v>773</v>
      </c>
      <c r="R41" s="48">
        <v>154</v>
      </c>
      <c r="S41" s="48">
        <v>154</v>
      </c>
      <c r="T41" s="48">
        <v>154</v>
      </c>
      <c r="U41" s="48">
        <v>154</v>
      </c>
      <c r="V41" s="48"/>
    </row>
    <row r="42" spans="2:22" ht="34.5" x14ac:dyDescent="0.25">
      <c r="B42" s="44" t="s">
        <v>2364</v>
      </c>
      <c r="C42" s="44" t="s">
        <v>269</v>
      </c>
      <c r="D42" s="44" t="s">
        <v>270</v>
      </c>
      <c r="E42" s="44" t="s">
        <v>27</v>
      </c>
      <c r="F42" s="44" t="s">
        <v>294</v>
      </c>
      <c r="G42" s="44" t="s">
        <v>27</v>
      </c>
      <c r="H42" s="44">
        <v>70039</v>
      </c>
      <c r="I42" s="44">
        <v>70108</v>
      </c>
      <c r="J42" s="44" t="s">
        <v>28</v>
      </c>
      <c r="K42" s="44" t="s">
        <v>2364</v>
      </c>
      <c r="L42" s="44" t="s">
        <v>29</v>
      </c>
      <c r="M42" s="44"/>
      <c r="N42" s="45">
        <v>1200</v>
      </c>
      <c r="O42" s="45">
        <v>1427</v>
      </c>
      <c r="P42" s="45">
        <v>1458</v>
      </c>
      <c r="Q42" s="45">
        <v>1600</v>
      </c>
      <c r="R42" s="45">
        <v>239</v>
      </c>
      <c r="S42" s="45">
        <v>284</v>
      </c>
      <c r="T42" s="45">
        <v>290</v>
      </c>
      <c r="U42" s="45">
        <v>319</v>
      </c>
      <c r="V42" s="46"/>
    </row>
    <row r="43" spans="2:22" ht="30" x14ac:dyDescent="0.25">
      <c r="B43" s="47" t="s">
        <v>2364</v>
      </c>
      <c r="C43" s="47" t="s">
        <v>269</v>
      </c>
      <c r="D43" s="47" t="s">
        <v>270</v>
      </c>
      <c r="E43" s="47" t="s">
        <v>27</v>
      </c>
      <c r="F43" s="47" t="s">
        <v>294</v>
      </c>
      <c r="G43" s="47" t="s">
        <v>27</v>
      </c>
      <c r="H43" s="47">
        <v>70039</v>
      </c>
      <c r="I43" s="47">
        <v>70108</v>
      </c>
      <c r="J43" s="47" t="s">
        <v>28</v>
      </c>
      <c r="K43" s="47" t="s">
        <v>1976</v>
      </c>
      <c r="L43" s="47" t="s">
        <v>34</v>
      </c>
      <c r="M43" s="47" t="s">
        <v>515</v>
      </c>
      <c r="N43" s="48">
        <v>1200</v>
      </c>
      <c r="O43" s="47">
        <v>1549</v>
      </c>
      <c r="P43" s="47">
        <v>1486</v>
      </c>
      <c r="Q43" s="47">
        <v>1780</v>
      </c>
      <c r="R43" s="48">
        <v>239</v>
      </c>
      <c r="S43" s="47">
        <v>309</v>
      </c>
      <c r="T43" s="47">
        <v>296</v>
      </c>
      <c r="U43" s="47">
        <v>355</v>
      </c>
      <c r="V43" s="47"/>
    </row>
    <row r="44" spans="2:22" ht="30" x14ac:dyDescent="0.25">
      <c r="B44" s="47" t="s">
        <v>2364</v>
      </c>
      <c r="C44" s="47" t="s">
        <v>269</v>
      </c>
      <c r="D44" s="47" t="s">
        <v>270</v>
      </c>
      <c r="E44" s="47" t="s">
        <v>27</v>
      </c>
      <c r="F44" s="47" t="s">
        <v>294</v>
      </c>
      <c r="G44" s="47" t="s">
        <v>27</v>
      </c>
      <c r="H44" s="47">
        <v>70039</v>
      </c>
      <c r="I44" s="47">
        <v>70108</v>
      </c>
      <c r="J44" s="47" t="s">
        <v>28</v>
      </c>
      <c r="K44" s="47" t="s">
        <v>1974</v>
      </c>
      <c r="L44" s="47" t="s">
        <v>34</v>
      </c>
      <c r="M44" s="47" t="s">
        <v>515</v>
      </c>
      <c r="N44" s="48">
        <v>1200</v>
      </c>
      <c r="O44" s="47">
        <v>1549</v>
      </c>
      <c r="P44" s="47">
        <v>1486</v>
      </c>
      <c r="Q44" s="47">
        <v>1780</v>
      </c>
      <c r="R44" s="48">
        <v>239</v>
      </c>
      <c r="S44" s="47">
        <v>309</v>
      </c>
      <c r="T44" s="47">
        <v>296</v>
      </c>
      <c r="U44" s="47">
        <v>355</v>
      </c>
      <c r="V44" s="47"/>
    </row>
    <row r="45" spans="2:22" ht="30" x14ac:dyDescent="0.25">
      <c r="B45" s="47" t="s">
        <v>2364</v>
      </c>
      <c r="C45" s="47" t="s">
        <v>269</v>
      </c>
      <c r="D45" s="47" t="s">
        <v>270</v>
      </c>
      <c r="E45" s="47" t="s">
        <v>27</v>
      </c>
      <c r="F45" s="47" t="s">
        <v>294</v>
      </c>
      <c r="G45" s="47" t="s">
        <v>27</v>
      </c>
      <c r="H45" s="47">
        <v>70039</v>
      </c>
      <c r="I45" s="47">
        <v>70108</v>
      </c>
      <c r="J45" s="47" t="s">
        <v>28</v>
      </c>
      <c r="K45" s="47" t="s">
        <v>1975</v>
      </c>
      <c r="L45" s="47" t="s">
        <v>34</v>
      </c>
      <c r="M45" s="47" t="s">
        <v>515</v>
      </c>
      <c r="N45" s="48">
        <v>1200</v>
      </c>
      <c r="O45" s="47">
        <v>1549</v>
      </c>
      <c r="P45" s="47">
        <v>1486</v>
      </c>
      <c r="Q45" s="47">
        <v>1780</v>
      </c>
      <c r="R45" s="48">
        <v>239</v>
      </c>
      <c r="S45" s="47">
        <v>309</v>
      </c>
      <c r="T45" s="47">
        <v>296</v>
      </c>
      <c r="U45" s="47">
        <v>355</v>
      </c>
      <c r="V45" s="47"/>
    </row>
    <row r="46" spans="2:22" ht="30" x14ac:dyDescent="0.25">
      <c r="B46" s="47" t="s">
        <v>2364</v>
      </c>
      <c r="C46" s="47" t="s">
        <v>269</v>
      </c>
      <c r="D46" s="47" t="s">
        <v>270</v>
      </c>
      <c r="E46" s="47" t="s">
        <v>27</v>
      </c>
      <c r="F46" s="47" t="s">
        <v>294</v>
      </c>
      <c r="G46" s="47" t="s">
        <v>27</v>
      </c>
      <c r="H46" s="47">
        <v>70039</v>
      </c>
      <c r="I46" s="47">
        <v>70108</v>
      </c>
      <c r="J46" s="47" t="s">
        <v>28</v>
      </c>
      <c r="K46" s="47" t="s">
        <v>1973</v>
      </c>
      <c r="L46" s="47" t="s">
        <v>34</v>
      </c>
      <c r="M46" s="47" t="s">
        <v>515</v>
      </c>
      <c r="N46" s="48">
        <v>1200</v>
      </c>
      <c r="O46" s="47">
        <v>1549</v>
      </c>
      <c r="P46" s="47">
        <v>1486</v>
      </c>
      <c r="Q46" s="47">
        <v>1780</v>
      </c>
      <c r="R46" s="48">
        <v>239</v>
      </c>
      <c r="S46" s="47">
        <v>309</v>
      </c>
      <c r="T46" s="47">
        <v>296</v>
      </c>
      <c r="U46" s="47">
        <v>355</v>
      </c>
      <c r="V46" s="47"/>
    </row>
    <row r="47" spans="2:22" ht="30" x14ac:dyDescent="0.25">
      <c r="B47" s="47" t="s">
        <v>2364</v>
      </c>
      <c r="C47" s="47" t="s">
        <v>269</v>
      </c>
      <c r="D47" s="47" t="s">
        <v>270</v>
      </c>
      <c r="E47" s="47" t="s">
        <v>27</v>
      </c>
      <c r="F47" s="47" t="s">
        <v>294</v>
      </c>
      <c r="G47" s="47" t="s">
        <v>27</v>
      </c>
      <c r="H47" s="47">
        <v>70039</v>
      </c>
      <c r="I47" s="47">
        <v>70108</v>
      </c>
      <c r="J47" s="47" t="s">
        <v>28</v>
      </c>
      <c r="K47" s="47" t="s">
        <v>1972</v>
      </c>
      <c r="L47" s="47" t="s">
        <v>34</v>
      </c>
      <c r="M47" s="47" t="s">
        <v>515</v>
      </c>
      <c r="N47" s="48">
        <v>1200</v>
      </c>
      <c r="O47" s="47">
        <v>1549</v>
      </c>
      <c r="P47" s="47">
        <v>1486</v>
      </c>
      <c r="Q47" s="47">
        <v>1780</v>
      </c>
      <c r="R47" s="48">
        <v>239</v>
      </c>
      <c r="S47" s="47">
        <v>309</v>
      </c>
      <c r="T47" s="47">
        <v>296</v>
      </c>
      <c r="U47" s="47">
        <v>355</v>
      </c>
      <c r="V47" s="47"/>
    </row>
    <row r="48" spans="2:22" ht="30" x14ac:dyDescent="0.25">
      <c r="B48" s="47" t="s">
        <v>2364</v>
      </c>
      <c r="C48" s="47" t="s">
        <v>269</v>
      </c>
      <c r="D48" s="47" t="s">
        <v>270</v>
      </c>
      <c r="E48" s="47" t="s">
        <v>27</v>
      </c>
      <c r="F48" s="47" t="s">
        <v>294</v>
      </c>
      <c r="G48" s="47" t="s">
        <v>27</v>
      </c>
      <c r="H48" s="47">
        <v>70039</v>
      </c>
      <c r="I48" s="47">
        <v>70108</v>
      </c>
      <c r="J48" s="47" t="s">
        <v>28</v>
      </c>
      <c r="K48" s="47" t="s">
        <v>1977</v>
      </c>
      <c r="L48" s="47" t="s">
        <v>34</v>
      </c>
      <c r="M48" s="47" t="s">
        <v>515</v>
      </c>
      <c r="N48" s="48">
        <v>1200</v>
      </c>
      <c r="O48" s="47">
        <v>1549</v>
      </c>
      <c r="P48" s="47">
        <v>1486</v>
      </c>
      <c r="Q48" s="47">
        <v>1780</v>
      </c>
      <c r="R48" s="48">
        <v>239</v>
      </c>
      <c r="S48" s="47">
        <v>309</v>
      </c>
      <c r="T48" s="47">
        <v>296</v>
      </c>
      <c r="U48" s="47">
        <v>355</v>
      </c>
      <c r="V48" s="47"/>
    </row>
    <row r="49" spans="2:22" ht="30" x14ac:dyDescent="0.25">
      <c r="B49" s="47" t="s">
        <v>2364</v>
      </c>
      <c r="C49" s="47" t="s">
        <v>269</v>
      </c>
      <c r="D49" s="47" t="s">
        <v>270</v>
      </c>
      <c r="E49" s="47" t="s">
        <v>27</v>
      </c>
      <c r="F49" s="47" t="s">
        <v>294</v>
      </c>
      <c r="G49" s="47" t="s">
        <v>27</v>
      </c>
      <c r="H49" s="47">
        <v>70039</v>
      </c>
      <c r="I49" s="47">
        <v>70108</v>
      </c>
      <c r="J49" s="47" t="s">
        <v>28</v>
      </c>
      <c r="K49" s="47" t="s">
        <v>388</v>
      </c>
      <c r="L49" s="47" t="s">
        <v>31</v>
      </c>
      <c r="M49" s="47" t="s">
        <v>515</v>
      </c>
      <c r="N49" s="47">
        <v>1220</v>
      </c>
      <c r="O49" s="48">
        <v>1427</v>
      </c>
      <c r="P49" s="48">
        <v>1458</v>
      </c>
      <c r="Q49" s="47">
        <v>1626</v>
      </c>
      <c r="R49" s="47">
        <v>243</v>
      </c>
      <c r="S49" s="48">
        <v>284</v>
      </c>
      <c r="T49" s="48">
        <v>290</v>
      </c>
      <c r="U49" s="47">
        <v>324</v>
      </c>
      <c r="V49" s="47"/>
    </row>
    <row r="50" spans="2:22" ht="30" x14ac:dyDescent="0.25">
      <c r="B50" s="47" t="s">
        <v>2364</v>
      </c>
      <c r="C50" s="47" t="s">
        <v>269</v>
      </c>
      <c r="D50" s="47" t="s">
        <v>270</v>
      </c>
      <c r="E50" s="47" t="s">
        <v>27</v>
      </c>
      <c r="F50" s="47" t="s">
        <v>294</v>
      </c>
      <c r="G50" s="47" t="s">
        <v>27</v>
      </c>
      <c r="H50" s="47">
        <v>70039</v>
      </c>
      <c r="I50" s="47">
        <v>70108</v>
      </c>
      <c r="J50" s="47" t="s">
        <v>28</v>
      </c>
      <c r="K50" s="47" t="s">
        <v>2365</v>
      </c>
      <c r="L50" s="47" t="s">
        <v>49</v>
      </c>
      <c r="M50" s="47" t="s">
        <v>515</v>
      </c>
      <c r="N50" s="47">
        <v>1600</v>
      </c>
      <c r="O50" s="47">
        <v>1600</v>
      </c>
      <c r="P50" s="47">
        <v>1600</v>
      </c>
      <c r="Q50" s="48">
        <v>1600</v>
      </c>
      <c r="R50" s="47">
        <v>319</v>
      </c>
      <c r="S50" s="47">
        <v>319</v>
      </c>
      <c r="T50" s="47">
        <v>319</v>
      </c>
      <c r="U50" s="48">
        <v>319</v>
      </c>
      <c r="V50" s="48"/>
    </row>
    <row r="51" spans="2:22" ht="30" x14ac:dyDescent="0.25">
      <c r="B51" s="47" t="s">
        <v>2364</v>
      </c>
      <c r="C51" s="47" t="s">
        <v>269</v>
      </c>
      <c r="D51" s="47" t="s">
        <v>270</v>
      </c>
      <c r="E51" s="47" t="s">
        <v>27</v>
      </c>
      <c r="F51" s="47" t="s">
        <v>294</v>
      </c>
      <c r="G51" s="47" t="s">
        <v>27</v>
      </c>
      <c r="H51" s="47">
        <v>70039</v>
      </c>
      <c r="I51" s="47">
        <v>70108</v>
      </c>
      <c r="J51" s="47" t="s">
        <v>28</v>
      </c>
      <c r="K51" s="47" t="s">
        <v>269</v>
      </c>
      <c r="L51" s="47" t="s">
        <v>49</v>
      </c>
      <c r="M51" s="47" t="s">
        <v>515</v>
      </c>
      <c r="N51" s="47">
        <v>1600</v>
      </c>
      <c r="O51" s="47">
        <v>1600</v>
      </c>
      <c r="P51" s="47">
        <v>1600</v>
      </c>
      <c r="Q51" s="48">
        <v>1600</v>
      </c>
      <c r="R51" s="47">
        <v>319</v>
      </c>
      <c r="S51" s="47">
        <v>319</v>
      </c>
      <c r="T51" s="47">
        <v>319</v>
      </c>
      <c r="U51" s="48">
        <v>319</v>
      </c>
      <c r="V51" s="48"/>
    </row>
    <row r="52" spans="2:22" ht="34.5" x14ac:dyDescent="0.25">
      <c r="B52" s="44" t="s">
        <v>275</v>
      </c>
      <c r="C52" s="44" t="s">
        <v>276</v>
      </c>
      <c r="D52" s="44" t="s">
        <v>270</v>
      </c>
      <c r="E52" s="44" t="s">
        <v>27</v>
      </c>
      <c r="F52" s="44" t="s">
        <v>277</v>
      </c>
      <c r="G52" s="44" t="s">
        <v>27</v>
      </c>
      <c r="H52" s="44">
        <v>70039</v>
      </c>
      <c r="I52" s="44">
        <v>70148</v>
      </c>
      <c r="J52" s="44" t="s">
        <v>28</v>
      </c>
      <c r="K52" s="44" t="s">
        <v>275</v>
      </c>
      <c r="L52" s="44" t="s">
        <v>29</v>
      </c>
      <c r="M52" s="44"/>
      <c r="N52" s="45">
        <v>2393</v>
      </c>
      <c r="O52" s="45">
        <v>2400</v>
      </c>
      <c r="P52" s="45">
        <v>2400</v>
      </c>
      <c r="Q52" s="45">
        <v>2400</v>
      </c>
      <c r="R52" s="45">
        <v>477</v>
      </c>
      <c r="S52" s="45">
        <v>478</v>
      </c>
      <c r="T52" s="45">
        <v>478</v>
      </c>
      <c r="U52" s="45">
        <v>478</v>
      </c>
      <c r="V52" s="46"/>
    </row>
    <row r="53" spans="2:22" ht="20" x14ac:dyDescent="0.25">
      <c r="B53" s="47" t="s">
        <v>275</v>
      </c>
      <c r="C53" s="47" t="s">
        <v>276</v>
      </c>
      <c r="D53" s="47" t="s">
        <v>270</v>
      </c>
      <c r="E53" s="47" t="s">
        <v>27</v>
      </c>
      <c r="F53" s="47" t="s">
        <v>277</v>
      </c>
      <c r="G53" s="47" t="s">
        <v>27</v>
      </c>
      <c r="H53" s="47">
        <v>70039</v>
      </c>
      <c r="I53" s="47">
        <v>70148</v>
      </c>
      <c r="J53" s="47" t="s">
        <v>28</v>
      </c>
      <c r="K53" s="47" t="s">
        <v>2366</v>
      </c>
      <c r="L53" s="47" t="s">
        <v>31</v>
      </c>
      <c r="M53" s="47" t="s">
        <v>271</v>
      </c>
      <c r="N53" s="48">
        <v>2393</v>
      </c>
      <c r="O53" s="47">
        <v>2632</v>
      </c>
      <c r="P53" s="47">
        <v>2724</v>
      </c>
      <c r="Q53" s="47">
        <v>2996</v>
      </c>
      <c r="R53" s="48">
        <v>477</v>
      </c>
      <c r="S53" s="47">
        <v>524</v>
      </c>
      <c r="T53" s="47">
        <v>543</v>
      </c>
      <c r="U53" s="47">
        <v>597</v>
      </c>
      <c r="V53" s="47"/>
    </row>
    <row r="54" spans="2:22" ht="20" x14ac:dyDescent="0.25">
      <c r="B54" s="47" t="s">
        <v>275</v>
      </c>
      <c r="C54" s="47" t="s">
        <v>276</v>
      </c>
      <c r="D54" s="47" t="s">
        <v>270</v>
      </c>
      <c r="E54" s="47" t="s">
        <v>27</v>
      </c>
      <c r="F54" s="47" t="s">
        <v>277</v>
      </c>
      <c r="G54" s="47" t="s">
        <v>27</v>
      </c>
      <c r="H54" s="47">
        <v>70039</v>
      </c>
      <c r="I54" s="47">
        <v>70148</v>
      </c>
      <c r="J54" s="47" t="s">
        <v>28</v>
      </c>
      <c r="K54" s="47" t="s">
        <v>275</v>
      </c>
      <c r="L54" s="47" t="s">
        <v>30</v>
      </c>
      <c r="M54" s="47" t="s">
        <v>276</v>
      </c>
      <c r="N54" s="48">
        <v>2393</v>
      </c>
      <c r="O54" s="47">
        <v>2632</v>
      </c>
      <c r="P54" s="47">
        <v>2725</v>
      </c>
      <c r="Q54" s="47">
        <v>2997</v>
      </c>
      <c r="R54" s="48">
        <v>477</v>
      </c>
      <c r="S54" s="47">
        <v>524</v>
      </c>
      <c r="T54" s="47">
        <v>543</v>
      </c>
      <c r="U54" s="47">
        <v>597</v>
      </c>
      <c r="V54" s="47"/>
    </row>
    <row r="55" spans="2:22" ht="20" x14ac:dyDescent="0.25">
      <c r="B55" s="47" t="s">
        <v>275</v>
      </c>
      <c r="C55" s="47" t="s">
        <v>276</v>
      </c>
      <c r="D55" s="47" t="s">
        <v>270</v>
      </c>
      <c r="E55" s="47" t="s">
        <v>27</v>
      </c>
      <c r="F55" s="47" t="s">
        <v>277</v>
      </c>
      <c r="G55" s="47" t="s">
        <v>27</v>
      </c>
      <c r="H55" s="47">
        <v>70039</v>
      </c>
      <c r="I55" s="47">
        <v>70148</v>
      </c>
      <c r="J55" s="47" t="s">
        <v>28</v>
      </c>
      <c r="K55" s="47" t="s">
        <v>283</v>
      </c>
      <c r="L55" s="47" t="s">
        <v>39</v>
      </c>
      <c r="M55" s="47" t="s">
        <v>271</v>
      </c>
      <c r="N55" s="47">
        <v>2400</v>
      </c>
      <c r="O55" s="48">
        <v>2400</v>
      </c>
      <c r="P55" s="48">
        <v>2400</v>
      </c>
      <c r="Q55" s="48">
        <v>2400</v>
      </c>
      <c r="R55" s="47">
        <v>478</v>
      </c>
      <c r="S55" s="48">
        <v>478</v>
      </c>
      <c r="T55" s="48">
        <v>478</v>
      </c>
      <c r="U55" s="48">
        <v>478</v>
      </c>
      <c r="V55" s="48"/>
    </row>
    <row r="56" spans="2:22" ht="30" x14ac:dyDescent="0.25">
      <c r="B56" s="47" t="s">
        <v>275</v>
      </c>
      <c r="C56" s="47" t="s">
        <v>276</v>
      </c>
      <c r="D56" s="47" t="s">
        <v>270</v>
      </c>
      <c r="E56" s="47" t="s">
        <v>27</v>
      </c>
      <c r="F56" s="47" t="s">
        <v>277</v>
      </c>
      <c r="G56" s="47" t="s">
        <v>27</v>
      </c>
      <c r="H56" s="47">
        <v>70039</v>
      </c>
      <c r="I56" s="47">
        <v>70148</v>
      </c>
      <c r="J56" s="47" t="s">
        <v>28</v>
      </c>
      <c r="K56" s="47" t="s">
        <v>1825</v>
      </c>
      <c r="L56" s="47" t="s">
        <v>36</v>
      </c>
      <c r="M56" s="47" t="s">
        <v>271</v>
      </c>
      <c r="N56" s="47">
        <v>2400</v>
      </c>
      <c r="O56" s="48">
        <v>2400</v>
      </c>
      <c r="P56" s="48">
        <v>2400</v>
      </c>
      <c r="Q56" s="48">
        <v>2400</v>
      </c>
      <c r="R56" s="47">
        <v>478</v>
      </c>
      <c r="S56" s="48">
        <v>478</v>
      </c>
      <c r="T56" s="48">
        <v>478</v>
      </c>
      <c r="U56" s="48">
        <v>478</v>
      </c>
      <c r="V56" s="48"/>
    </row>
    <row r="57" spans="2:22" ht="20" x14ac:dyDescent="0.25">
      <c r="B57" s="47" t="s">
        <v>275</v>
      </c>
      <c r="C57" s="47" t="s">
        <v>276</v>
      </c>
      <c r="D57" s="47" t="s">
        <v>270</v>
      </c>
      <c r="E57" s="47" t="s">
        <v>27</v>
      </c>
      <c r="F57" s="47" t="s">
        <v>277</v>
      </c>
      <c r="G57" s="47" t="s">
        <v>27</v>
      </c>
      <c r="H57" s="47">
        <v>70039</v>
      </c>
      <c r="I57" s="47">
        <v>70148</v>
      </c>
      <c r="J57" s="47" t="s">
        <v>28</v>
      </c>
      <c r="K57" s="47" t="s">
        <v>2367</v>
      </c>
      <c r="L57" s="47" t="s">
        <v>39</v>
      </c>
      <c r="M57" s="47" t="s">
        <v>279</v>
      </c>
      <c r="N57" s="47">
        <v>2400</v>
      </c>
      <c r="O57" s="48">
        <v>2400</v>
      </c>
      <c r="P57" s="48">
        <v>2400</v>
      </c>
      <c r="Q57" s="48">
        <v>2400</v>
      </c>
      <c r="R57" s="47">
        <v>478</v>
      </c>
      <c r="S57" s="48">
        <v>478</v>
      </c>
      <c r="T57" s="48">
        <v>478</v>
      </c>
      <c r="U57" s="48">
        <v>478</v>
      </c>
      <c r="V57" s="48"/>
    </row>
    <row r="58" spans="2:22" ht="20" x14ac:dyDescent="0.25">
      <c r="B58" s="47" t="s">
        <v>275</v>
      </c>
      <c r="C58" s="47" t="s">
        <v>276</v>
      </c>
      <c r="D58" s="47" t="s">
        <v>270</v>
      </c>
      <c r="E58" s="47" t="s">
        <v>27</v>
      </c>
      <c r="F58" s="47" t="s">
        <v>277</v>
      </c>
      <c r="G58" s="47" t="s">
        <v>27</v>
      </c>
      <c r="H58" s="47">
        <v>70039</v>
      </c>
      <c r="I58" s="47">
        <v>70148</v>
      </c>
      <c r="J58" s="47" t="s">
        <v>28</v>
      </c>
      <c r="K58" s="47" t="s">
        <v>278</v>
      </c>
      <c r="L58" s="47" t="s">
        <v>39</v>
      </c>
      <c r="M58" s="47" t="s">
        <v>271</v>
      </c>
      <c r="N58" s="47">
        <v>2400</v>
      </c>
      <c r="O58" s="48">
        <v>2400</v>
      </c>
      <c r="P58" s="48">
        <v>2400</v>
      </c>
      <c r="Q58" s="48">
        <v>2400</v>
      </c>
      <c r="R58" s="47">
        <v>478</v>
      </c>
      <c r="S58" s="48">
        <v>478</v>
      </c>
      <c r="T58" s="48">
        <v>478</v>
      </c>
      <c r="U58" s="48">
        <v>478</v>
      </c>
      <c r="V58" s="48"/>
    </row>
    <row r="59" spans="2:22" ht="30" x14ac:dyDescent="0.25">
      <c r="B59" s="47" t="s">
        <v>275</v>
      </c>
      <c r="C59" s="47" t="s">
        <v>276</v>
      </c>
      <c r="D59" s="47" t="s">
        <v>270</v>
      </c>
      <c r="E59" s="47" t="s">
        <v>27</v>
      </c>
      <c r="F59" s="47" t="s">
        <v>277</v>
      </c>
      <c r="G59" s="47" t="s">
        <v>27</v>
      </c>
      <c r="H59" s="47">
        <v>70039</v>
      </c>
      <c r="I59" s="47">
        <v>70148</v>
      </c>
      <c r="J59" s="47" t="s">
        <v>28</v>
      </c>
      <c r="K59" s="47" t="s">
        <v>281</v>
      </c>
      <c r="L59" s="47" t="s">
        <v>36</v>
      </c>
      <c r="M59" s="47" t="s">
        <v>279</v>
      </c>
      <c r="N59" s="47">
        <v>2400</v>
      </c>
      <c r="O59" s="48">
        <v>2400</v>
      </c>
      <c r="P59" s="48">
        <v>2400</v>
      </c>
      <c r="Q59" s="48">
        <v>2400</v>
      </c>
      <c r="R59" s="47">
        <v>478</v>
      </c>
      <c r="S59" s="48">
        <v>478</v>
      </c>
      <c r="T59" s="48">
        <v>478</v>
      </c>
      <c r="U59" s="48">
        <v>478</v>
      </c>
      <c r="V59" s="48"/>
    </row>
    <row r="60" spans="2:22" ht="30" x14ac:dyDescent="0.25">
      <c r="B60" s="47" t="s">
        <v>275</v>
      </c>
      <c r="C60" s="47" t="s">
        <v>276</v>
      </c>
      <c r="D60" s="47" t="s">
        <v>270</v>
      </c>
      <c r="E60" s="47" t="s">
        <v>27</v>
      </c>
      <c r="F60" s="47" t="s">
        <v>277</v>
      </c>
      <c r="G60" s="47" t="s">
        <v>27</v>
      </c>
      <c r="H60" s="47">
        <v>70039</v>
      </c>
      <c r="I60" s="47">
        <v>70148</v>
      </c>
      <c r="J60" s="47" t="s">
        <v>28</v>
      </c>
      <c r="K60" s="47" t="s">
        <v>1824</v>
      </c>
      <c r="L60" s="47" t="s">
        <v>36</v>
      </c>
      <c r="M60" s="47" t="s">
        <v>271</v>
      </c>
      <c r="N60" s="47">
        <v>2400</v>
      </c>
      <c r="O60" s="48">
        <v>2400</v>
      </c>
      <c r="P60" s="48">
        <v>2400</v>
      </c>
      <c r="Q60" s="48">
        <v>2400</v>
      </c>
      <c r="R60" s="47">
        <v>478</v>
      </c>
      <c r="S60" s="48">
        <v>478</v>
      </c>
      <c r="T60" s="48">
        <v>478</v>
      </c>
      <c r="U60" s="48">
        <v>478</v>
      </c>
      <c r="V60" s="48"/>
    </row>
    <row r="61" spans="2:22" ht="20" x14ac:dyDescent="0.25">
      <c r="B61" s="47" t="s">
        <v>275</v>
      </c>
      <c r="C61" s="47" t="s">
        <v>276</v>
      </c>
      <c r="D61" s="47" t="s">
        <v>270</v>
      </c>
      <c r="E61" s="47" t="s">
        <v>27</v>
      </c>
      <c r="F61" s="47" t="s">
        <v>277</v>
      </c>
      <c r="G61" s="47" t="s">
        <v>27</v>
      </c>
      <c r="H61" s="47">
        <v>70039</v>
      </c>
      <c r="I61" s="47">
        <v>70148</v>
      </c>
      <c r="J61" s="47" t="s">
        <v>28</v>
      </c>
      <c r="K61" s="47" t="s">
        <v>278</v>
      </c>
      <c r="L61" s="47" t="s">
        <v>39</v>
      </c>
      <c r="M61" s="47" t="s">
        <v>279</v>
      </c>
      <c r="N61" s="47">
        <v>2400</v>
      </c>
      <c r="O61" s="48">
        <v>2400</v>
      </c>
      <c r="P61" s="48">
        <v>2400</v>
      </c>
      <c r="Q61" s="48">
        <v>2400</v>
      </c>
      <c r="R61" s="47">
        <v>478</v>
      </c>
      <c r="S61" s="48">
        <v>478</v>
      </c>
      <c r="T61" s="48">
        <v>478</v>
      </c>
      <c r="U61" s="48">
        <v>478</v>
      </c>
      <c r="V61" s="48"/>
    </row>
    <row r="62" spans="2:22" ht="30" x14ac:dyDescent="0.25">
      <c r="B62" s="47" t="s">
        <v>275</v>
      </c>
      <c r="C62" s="47" t="s">
        <v>276</v>
      </c>
      <c r="D62" s="47" t="s">
        <v>270</v>
      </c>
      <c r="E62" s="47" t="s">
        <v>27</v>
      </c>
      <c r="F62" s="47" t="s">
        <v>277</v>
      </c>
      <c r="G62" s="47" t="s">
        <v>27</v>
      </c>
      <c r="H62" s="47">
        <v>70039</v>
      </c>
      <c r="I62" s="47">
        <v>70148</v>
      </c>
      <c r="J62" s="47" t="s">
        <v>28</v>
      </c>
      <c r="K62" s="47" t="s">
        <v>280</v>
      </c>
      <c r="L62" s="47" t="s">
        <v>36</v>
      </c>
      <c r="M62" s="47" t="s">
        <v>279</v>
      </c>
      <c r="N62" s="47">
        <v>2400</v>
      </c>
      <c r="O62" s="48">
        <v>2400</v>
      </c>
      <c r="P62" s="48">
        <v>2400</v>
      </c>
      <c r="Q62" s="48">
        <v>2400</v>
      </c>
      <c r="R62" s="47">
        <v>478</v>
      </c>
      <c r="S62" s="48">
        <v>478</v>
      </c>
      <c r="T62" s="48">
        <v>478</v>
      </c>
      <c r="U62" s="48">
        <v>478</v>
      </c>
      <c r="V62" s="48"/>
    </row>
    <row r="63" spans="2:22" ht="20" x14ac:dyDescent="0.25">
      <c r="B63" s="47" t="s">
        <v>275</v>
      </c>
      <c r="C63" s="47" t="s">
        <v>276</v>
      </c>
      <c r="D63" s="47" t="s">
        <v>270</v>
      </c>
      <c r="E63" s="47" t="s">
        <v>27</v>
      </c>
      <c r="F63" s="47" t="s">
        <v>277</v>
      </c>
      <c r="G63" s="47" t="s">
        <v>27</v>
      </c>
      <c r="H63" s="47">
        <v>70039</v>
      </c>
      <c r="I63" s="47">
        <v>70148</v>
      </c>
      <c r="J63" s="47" t="s">
        <v>28</v>
      </c>
      <c r="K63" s="47" t="s">
        <v>283</v>
      </c>
      <c r="L63" s="47" t="s">
        <v>39</v>
      </c>
      <c r="M63" s="47" t="s">
        <v>279</v>
      </c>
      <c r="N63" s="47">
        <v>2400</v>
      </c>
      <c r="O63" s="48">
        <v>2400</v>
      </c>
      <c r="P63" s="48">
        <v>2400</v>
      </c>
      <c r="Q63" s="48">
        <v>2400</v>
      </c>
      <c r="R63" s="47">
        <v>478</v>
      </c>
      <c r="S63" s="48">
        <v>478</v>
      </c>
      <c r="T63" s="48">
        <v>478</v>
      </c>
      <c r="U63" s="48">
        <v>478</v>
      </c>
      <c r="V63" s="48"/>
    </row>
    <row r="64" spans="2:22" ht="23" x14ac:dyDescent="0.25">
      <c r="B64" s="44" t="s">
        <v>286</v>
      </c>
      <c r="C64" s="44" t="s">
        <v>287</v>
      </c>
      <c r="D64" s="44" t="s">
        <v>288</v>
      </c>
      <c r="E64" s="44" t="s">
        <v>27</v>
      </c>
      <c r="F64" s="44" t="s">
        <v>289</v>
      </c>
      <c r="G64" s="44" t="s">
        <v>27</v>
      </c>
      <c r="H64" s="44">
        <v>70040</v>
      </c>
      <c r="I64" s="44">
        <v>70217</v>
      </c>
      <c r="J64" s="44" t="s">
        <v>28</v>
      </c>
      <c r="K64" s="44" t="s">
        <v>286</v>
      </c>
      <c r="L64" s="44" t="s">
        <v>29</v>
      </c>
      <c r="M64" s="44"/>
      <c r="N64" s="45">
        <v>799</v>
      </c>
      <c r="O64" s="45">
        <v>879</v>
      </c>
      <c r="P64" s="45">
        <v>909</v>
      </c>
      <c r="Q64" s="45">
        <v>999</v>
      </c>
      <c r="R64" s="45">
        <v>159</v>
      </c>
      <c r="S64" s="45">
        <v>175</v>
      </c>
      <c r="T64" s="45">
        <v>181</v>
      </c>
      <c r="U64" s="45">
        <v>199</v>
      </c>
      <c r="V64" s="46"/>
    </row>
    <row r="65" spans="2:22" ht="20" x14ac:dyDescent="0.25">
      <c r="B65" s="47" t="s">
        <v>286</v>
      </c>
      <c r="C65" s="47" t="s">
        <v>287</v>
      </c>
      <c r="D65" s="47" t="s">
        <v>288</v>
      </c>
      <c r="E65" s="47" t="s">
        <v>27</v>
      </c>
      <c r="F65" s="47" t="s">
        <v>289</v>
      </c>
      <c r="G65" s="47" t="s">
        <v>27</v>
      </c>
      <c r="H65" s="47">
        <v>70040</v>
      </c>
      <c r="I65" s="47">
        <v>70217</v>
      </c>
      <c r="J65" s="47" t="s">
        <v>28</v>
      </c>
      <c r="K65" s="47" t="s">
        <v>286</v>
      </c>
      <c r="L65" s="47" t="s">
        <v>30</v>
      </c>
      <c r="M65" s="47" t="s">
        <v>287</v>
      </c>
      <c r="N65" s="48">
        <v>799</v>
      </c>
      <c r="O65" s="48">
        <v>879</v>
      </c>
      <c r="P65" s="48">
        <v>909</v>
      </c>
      <c r="Q65" s="48">
        <v>999</v>
      </c>
      <c r="R65" s="48">
        <v>159</v>
      </c>
      <c r="S65" s="48">
        <v>175</v>
      </c>
      <c r="T65" s="48">
        <v>181</v>
      </c>
      <c r="U65" s="48">
        <v>199</v>
      </c>
      <c r="V65" s="48"/>
    </row>
    <row r="66" spans="2:22" ht="20" x14ac:dyDescent="0.25">
      <c r="B66" s="47" t="s">
        <v>286</v>
      </c>
      <c r="C66" s="47" t="s">
        <v>287</v>
      </c>
      <c r="D66" s="47" t="s">
        <v>288</v>
      </c>
      <c r="E66" s="47" t="s">
        <v>27</v>
      </c>
      <c r="F66" s="47" t="s">
        <v>289</v>
      </c>
      <c r="G66" s="47" t="s">
        <v>27</v>
      </c>
      <c r="H66" s="47">
        <v>70040</v>
      </c>
      <c r="I66" s="47">
        <v>70217</v>
      </c>
      <c r="J66" s="47" t="s">
        <v>28</v>
      </c>
      <c r="K66" s="47" t="s">
        <v>32</v>
      </c>
      <c r="L66" s="47" t="s">
        <v>31</v>
      </c>
      <c r="M66" s="47" t="s">
        <v>290</v>
      </c>
      <c r="N66" s="48">
        <v>799</v>
      </c>
      <c r="O66" s="48">
        <v>879</v>
      </c>
      <c r="P66" s="48">
        <v>909</v>
      </c>
      <c r="Q66" s="48">
        <v>999</v>
      </c>
      <c r="R66" s="48">
        <v>159</v>
      </c>
      <c r="S66" s="48">
        <v>175</v>
      </c>
      <c r="T66" s="48">
        <v>181</v>
      </c>
      <c r="U66" s="48">
        <v>199</v>
      </c>
      <c r="V66" s="48"/>
    </row>
    <row r="67" spans="2:22" ht="34.5" x14ac:dyDescent="0.25">
      <c r="B67" s="44" t="s">
        <v>291</v>
      </c>
      <c r="C67" s="44" t="s">
        <v>292</v>
      </c>
      <c r="D67" s="44" t="s">
        <v>293</v>
      </c>
      <c r="E67" s="44" t="s">
        <v>27</v>
      </c>
      <c r="F67" s="44" t="s">
        <v>294</v>
      </c>
      <c r="G67" s="44" t="s">
        <v>27</v>
      </c>
      <c r="H67" s="44">
        <v>70041</v>
      </c>
      <c r="I67" s="44">
        <v>70107</v>
      </c>
      <c r="J67" s="44" t="s">
        <v>28</v>
      </c>
      <c r="K67" s="44" t="s">
        <v>291</v>
      </c>
      <c r="L67" s="44" t="s">
        <v>29</v>
      </c>
      <c r="M67" s="44"/>
      <c r="N67" s="45">
        <v>1091</v>
      </c>
      <c r="O67" s="45">
        <v>1271</v>
      </c>
      <c r="P67" s="45">
        <v>1303</v>
      </c>
      <c r="Q67" s="45">
        <v>1448</v>
      </c>
      <c r="R67" s="45">
        <v>435</v>
      </c>
      <c r="S67" s="45">
        <v>506</v>
      </c>
      <c r="T67" s="45">
        <v>519</v>
      </c>
      <c r="U67" s="45">
        <v>577</v>
      </c>
      <c r="V67" s="46"/>
    </row>
    <row r="68" spans="2:22" ht="30" x14ac:dyDescent="0.25">
      <c r="B68" s="47" t="s">
        <v>291</v>
      </c>
      <c r="C68" s="47" t="s">
        <v>292</v>
      </c>
      <c r="D68" s="47" t="s">
        <v>293</v>
      </c>
      <c r="E68" s="47" t="s">
        <v>27</v>
      </c>
      <c r="F68" s="47" t="s">
        <v>294</v>
      </c>
      <c r="G68" s="47" t="s">
        <v>27</v>
      </c>
      <c r="H68" s="47">
        <v>70041</v>
      </c>
      <c r="I68" s="47">
        <v>70107</v>
      </c>
      <c r="J68" s="47" t="s">
        <v>28</v>
      </c>
      <c r="K68" s="47" t="s">
        <v>249</v>
      </c>
      <c r="L68" s="47" t="s">
        <v>31</v>
      </c>
      <c r="M68" s="47" t="s">
        <v>515</v>
      </c>
      <c r="N68" s="48">
        <v>1091</v>
      </c>
      <c r="O68" s="48">
        <v>1271</v>
      </c>
      <c r="P68" s="48">
        <v>1303</v>
      </c>
      <c r="Q68" s="48">
        <v>1448</v>
      </c>
      <c r="R68" s="48">
        <v>435</v>
      </c>
      <c r="S68" s="48">
        <v>506</v>
      </c>
      <c r="T68" s="48">
        <v>519</v>
      </c>
      <c r="U68" s="48">
        <v>577</v>
      </c>
      <c r="V68" s="48"/>
    </row>
    <row r="69" spans="2:22" ht="23" x14ac:dyDescent="0.25">
      <c r="B69" s="44" t="s">
        <v>2655</v>
      </c>
      <c r="C69" s="44" t="s">
        <v>292</v>
      </c>
      <c r="D69" s="44" t="s">
        <v>293</v>
      </c>
      <c r="E69" s="44" t="s">
        <v>27</v>
      </c>
      <c r="F69" s="44" t="s">
        <v>2649</v>
      </c>
      <c r="G69" s="44" t="s">
        <v>27</v>
      </c>
      <c r="H69" s="44">
        <v>70041</v>
      </c>
      <c r="I69" s="44">
        <v>2210</v>
      </c>
      <c r="J69" s="44" t="s">
        <v>28</v>
      </c>
      <c r="K69" s="44" t="s">
        <v>2655</v>
      </c>
      <c r="L69" s="44" t="s">
        <v>29</v>
      </c>
      <c r="M69" s="44"/>
      <c r="N69" s="45">
        <v>1268</v>
      </c>
      <c r="O69" s="45">
        <v>1395</v>
      </c>
      <c r="P69" s="45">
        <v>1444</v>
      </c>
      <c r="Q69" s="45">
        <v>1589</v>
      </c>
      <c r="R69" s="45">
        <v>505</v>
      </c>
      <c r="S69" s="45">
        <v>556</v>
      </c>
      <c r="T69" s="45">
        <v>575</v>
      </c>
      <c r="U69" s="45">
        <v>633</v>
      </c>
      <c r="V69" s="46"/>
    </row>
    <row r="70" spans="2:22" ht="20" x14ac:dyDescent="0.25">
      <c r="B70" s="47" t="s">
        <v>2655</v>
      </c>
      <c r="C70" s="47" t="s">
        <v>292</v>
      </c>
      <c r="D70" s="47" t="s">
        <v>293</v>
      </c>
      <c r="E70" s="47" t="s">
        <v>27</v>
      </c>
      <c r="F70" s="47" t="s">
        <v>2649</v>
      </c>
      <c r="G70" s="47" t="s">
        <v>27</v>
      </c>
      <c r="H70" s="47">
        <v>70041</v>
      </c>
      <c r="I70" s="47">
        <v>2210</v>
      </c>
      <c r="J70" s="47" t="s">
        <v>28</v>
      </c>
      <c r="K70" s="47" t="s">
        <v>2655</v>
      </c>
      <c r="L70" s="47" t="s">
        <v>30</v>
      </c>
      <c r="M70" s="47" t="s">
        <v>292</v>
      </c>
      <c r="N70" s="48">
        <v>1268</v>
      </c>
      <c r="O70" s="48">
        <v>1395</v>
      </c>
      <c r="P70" s="48">
        <v>1444</v>
      </c>
      <c r="Q70" s="48">
        <v>1589</v>
      </c>
      <c r="R70" s="48">
        <v>505</v>
      </c>
      <c r="S70" s="48">
        <v>556</v>
      </c>
      <c r="T70" s="48">
        <v>575</v>
      </c>
      <c r="U70" s="48">
        <v>633</v>
      </c>
      <c r="V70" s="48"/>
    </row>
    <row r="71" spans="2:22" ht="34.5" x14ac:dyDescent="0.25">
      <c r="B71" s="44" t="s">
        <v>295</v>
      </c>
      <c r="C71" s="44" t="s">
        <v>296</v>
      </c>
      <c r="D71" s="44" t="s">
        <v>297</v>
      </c>
      <c r="E71" s="44" t="s">
        <v>27</v>
      </c>
      <c r="F71" s="44" t="s">
        <v>298</v>
      </c>
      <c r="G71" s="44" t="s">
        <v>27</v>
      </c>
      <c r="H71" s="44">
        <v>70025</v>
      </c>
      <c r="I71" s="44">
        <v>70937</v>
      </c>
      <c r="J71" s="44" t="s">
        <v>28</v>
      </c>
      <c r="K71" s="44" t="s">
        <v>295</v>
      </c>
      <c r="L71" s="44" t="s">
        <v>29</v>
      </c>
      <c r="M71" s="44"/>
      <c r="N71" s="45">
        <v>815</v>
      </c>
      <c r="O71" s="45">
        <v>896</v>
      </c>
      <c r="P71" s="45">
        <v>894</v>
      </c>
      <c r="Q71" s="45">
        <v>983</v>
      </c>
      <c r="R71" s="45">
        <v>162</v>
      </c>
      <c r="S71" s="45">
        <v>178</v>
      </c>
      <c r="T71" s="45">
        <v>178</v>
      </c>
      <c r="U71" s="45">
        <v>196</v>
      </c>
      <c r="V71" s="46"/>
    </row>
    <row r="72" spans="2:22" ht="20" x14ac:dyDescent="0.25">
      <c r="B72" s="47" t="s">
        <v>295</v>
      </c>
      <c r="C72" s="47" t="s">
        <v>296</v>
      </c>
      <c r="D72" s="47" t="s">
        <v>297</v>
      </c>
      <c r="E72" s="47" t="s">
        <v>27</v>
      </c>
      <c r="F72" s="47" t="s">
        <v>298</v>
      </c>
      <c r="G72" s="47" t="s">
        <v>27</v>
      </c>
      <c r="H72" s="47">
        <v>70025</v>
      </c>
      <c r="I72" s="47">
        <v>70937</v>
      </c>
      <c r="J72" s="47" t="s">
        <v>28</v>
      </c>
      <c r="K72" s="47" t="s">
        <v>295</v>
      </c>
      <c r="L72" s="47" t="s">
        <v>30</v>
      </c>
      <c r="M72" s="47" t="s">
        <v>296</v>
      </c>
      <c r="N72" s="48">
        <v>815</v>
      </c>
      <c r="O72" s="48">
        <v>896</v>
      </c>
      <c r="P72" s="48">
        <v>894</v>
      </c>
      <c r="Q72" s="48">
        <v>983</v>
      </c>
      <c r="R72" s="48">
        <v>162</v>
      </c>
      <c r="S72" s="48">
        <v>178</v>
      </c>
      <c r="T72" s="48">
        <v>178</v>
      </c>
      <c r="U72" s="48">
        <v>196</v>
      </c>
      <c r="V72" s="48"/>
    </row>
    <row r="73" spans="2:22" ht="23" x14ac:dyDescent="0.25">
      <c r="B73" s="44" t="s">
        <v>302</v>
      </c>
      <c r="C73" s="44" t="s">
        <v>303</v>
      </c>
      <c r="D73" s="44" t="s">
        <v>304</v>
      </c>
      <c r="E73" s="44" t="s">
        <v>27</v>
      </c>
      <c r="F73" s="44" t="s">
        <v>305</v>
      </c>
      <c r="G73" s="44" t="s">
        <v>27</v>
      </c>
      <c r="H73" s="44">
        <v>70045</v>
      </c>
      <c r="I73" s="44">
        <v>70208</v>
      </c>
      <c r="J73" s="44" t="s">
        <v>28</v>
      </c>
      <c r="K73" s="44" t="s">
        <v>302</v>
      </c>
      <c r="L73" s="44" t="s">
        <v>29</v>
      </c>
      <c r="M73" s="44"/>
      <c r="N73" s="45">
        <v>797</v>
      </c>
      <c r="O73" s="45">
        <v>877</v>
      </c>
      <c r="P73" s="45">
        <v>907</v>
      </c>
      <c r="Q73" s="45">
        <v>997</v>
      </c>
      <c r="R73" s="45">
        <v>159</v>
      </c>
      <c r="S73" s="45">
        <v>175</v>
      </c>
      <c r="T73" s="45">
        <v>181</v>
      </c>
      <c r="U73" s="45">
        <v>199</v>
      </c>
      <c r="V73" s="46"/>
    </row>
    <row r="74" spans="2:22" ht="20" x14ac:dyDescent="0.25">
      <c r="B74" s="47" t="s">
        <v>302</v>
      </c>
      <c r="C74" s="47" t="s">
        <v>303</v>
      </c>
      <c r="D74" s="47" t="s">
        <v>304</v>
      </c>
      <c r="E74" s="47" t="s">
        <v>27</v>
      </c>
      <c r="F74" s="47" t="s">
        <v>305</v>
      </c>
      <c r="G74" s="47" t="s">
        <v>27</v>
      </c>
      <c r="H74" s="47">
        <v>70045</v>
      </c>
      <c r="I74" s="47">
        <v>70208</v>
      </c>
      <c r="J74" s="47" t="s">
        <v>28</v>
      </c>
      <c r="K74" s="47" t="s">
        <v>302</v>
      </c>
      <c r="L74" s="47" t="s">
        <v>30</v>
      </c>
      <c r="M74" s="47" t="s">
        <v>303</v>
      </c>
      <c r="N74" s="48">
        <v>797</v>
      </c>
      <c r="O74" s="48">
        <v>877</v>
      </c>
      <c r="P74" s="48">
        <v>907</v>
      </c>
      <c r="Q74" s="48">
        <v>997</v>
      </c>
      <c r="R74" s="48">
        <v>159</v>
      </c>
      <c r="S74" s="48">
        <v>175</v>
      </c>
      <c r="T74" s="48">
        <v>181</v>
      </c>
      <c r="U74" s="48">
        <v>199</v>
      </c>
      <c r="V74" s="48"/>
    </row>
    <row r="75" spans="2:22" ht="23" x14ac:dyDescent="0.25">
      <c r="B75" s="44" t="s">
        <v>306</v>
      </c>
      <c r="C75" s="44" t="s">
        <v>234</v>
      </c>
      <c r="D75" s="44" t="s">
        <v>304</v>
      </c>
      <c r="E75" s="44" t="s">
        <v>27</v>
      </c>
      <c r="F75" s="44" t="s">
        <v>236</v>
      </c>
      <c r="G75" s="44" t="s">
        <v>27</v>
      </c>
      <c r="H75" s="44">
        <v>70045</v>
      </c>
      <c r="I75" s="44">
        <v>70242</v>
      </c>
      <c r="J75" s="44" t="s">
        <v>28</v>
      </c>
      <c r="K75" s="44" t="s">
        <v>306</v>
      </c>
      <c r="L75" s="44" t="s">
        <v>29</v>
      </c>
      <c r="M75" s="44"/>
      <c r="N75" s="45">
        <v>795</v>
      </c>
      <c r="O75" s="45">
        <v>874</v>
      </c>
      <c r="P75" s="45">
        <v>904</v>
      </c>
      <c r="Q75" s="45">
        <v>994</v>
      </c>
      <c r="R75" s="45">
        <v>158</v>
      </c>
      <c r="S75" s="45">
        <v>174</v>
      </c>
      <c r="T75" s="45">
        <v>180</v>
      </c>
      <c r="U75" s="45">
        <v>198</v>
      </c>
      <c r="V75" s="46"/>
    </row>
    <row r="76" spans="2:22" ht="20" x14ac:dyDescent="0.25">
      <c r="B76" s="47" t="s">
        <v>306</v>
      </c>
      <c r="C76" s="47" t="s">
        <v>234</v>
      </c>
      <c r="D76" s="47" t="s">
        <v>304</v>
      </c>
      <c r="E76" s="47" t="s">
        <v>27</v>
      </c>
      <c r="F76" s="47" t="s">
        <v>236</v>
      </c>
      <c r="G76" s="47" t="s">
        <v>27</v>
      </c>
      <c r="H76" s="47">
        <v>70045</v>
      </c>
      <c r="I76" s="47">
        <v>70242</v>
      </c>
      <c r="J76" s="47" t="s">
        <v>28</v>
      </c>
      <c r="K76" s="47" t="s">
        <v>32</v>
      </c>
      <c r="L76" s="47" t="s">
        <v>31</v>
      </c>
      <c r="M76" s="47" t="s">
        <v>307</v>
      </c>
      <c r="N76" s="48">
        <v>795</v>
      </c>
      <c r="O76" s="48">
        <v>874</v>
      </c>
      <c r="P76" s="48">
        <v>904</v>
      </c>
      <c r="Q76" s="48">
        <v>994</v>
      </c>
      <c r="R76" s="48">
        <v>158</v>
      </c>
      <c r="S76" s="48">
        <v>174</v>
      </c>
      <c r="T76" s="48">
        <v>180</v>
      </c>
      <c r="U76" s="48">
        <v>198</v>
      </c>
      <c r="V76" s="48"/>
    </row>
    <row r="77" spans="2:22" ht="23" x14ac:dyDescent="0.25">
      <c r="B77" s="44" t="s">
        <v>308</v>
      </c>
      <c r="C77" s="44" t="s">
        <v>37</v>
      </c>
      <c r="D77" s="44" t="s">
        <v>304</v>
      </c>
      <c r="E77" s="44" t="s">
        <v>27</v>
      </c>
      <c r="F77" s="44" t="s">
        <v>38</v>
      </c>
      <c r="G77" s="44" t="s">
        <v>27</v>
      </c>
      <c r="H77" s="44">
        <v>70045</v>
      </c>
      <c r="I77" s="44">
        <v>70398</v>
      </c>
      <c r="J77" s="44" t="s">
        <v>28</v>
      </c>
      <c r="K77" s="44" t="s">
        <v>308</v>
      </c>
      <c r="L77" s="44" t="s">
        <v>29</v>
      </c>
      <c r="M77" s="44"/>
      <c r="N77" s="45">
        <v>797</v>
      </c>
      <c r="O77" s="45">
        <v>877</v>
      </c>
      <c r="P77" s="45">
        <v>907</v>
      </c>
      <c r="Q77" s="45">
        <v>997</v>
      </c>
      <c r="R77" s="45">
        <v>159</v>
      </c>
      <c r="S77" s="45">
        <v>175</v>
      </c>
      <c r="T77" s="45">
        <v>181</v>
      </c>
      <c r="U77" s="45">
        <v>199</v>
      </c>
      <c r="V77" s="46"/>
    </row>
    <row r="78" spans="2:22" ht="20" x14ac:dyDescent="0.25">
      <c r="B78" s="47" t="s">
        <v>308</v>
      </c>
      <c r="C78" s="47" t="s">
        <v>37</v>
      </c>
      <c r="D78" s="47" t="s">
        <v>304</v>
      </c>
      <c r="E78" s="47" t="s">
        <v>27</v>
      </c>
      <c r="F78" s="47" t="s">
        <v>38</v>
      </c>
      <c r="G78" s="47" t="s">
        <v>27</v>
      </c>
      <c r="H78" s="47">
        <v>70045</v>
      </c>
      <c r="I78" s="47">
        <v>70398</v>
      </c>
      <c r="J78" s="47" t="s">
        <v>28</v>
      </c>
      <c r="K78" s="47" t="s">
        <v>308</v>
      </c>
      <c r="L78" s="47" t="s">
        <v>30</v>
      </c>
      <c r="M78" s="47" t="s">
        <v>37</v>
      </c>
      <c r="N78" s="48">
        <v>797</v>
      </c>
      <c r="O78" s="48">
        <v>877</v>
      </c>
      <c r="P78" s="48">
        <v>907</v>
      </c>
      <c r="Q78" s="48">
        <v>997</v>
      </c>
      <c r="R78" s="48">
        <v>159</v>
      </c>
      <c r="S78" s="48">
        <v>175</v>
      </c>
      <c r="T78" s="48">
        <v>181</v>
      </c>
      <c r="U78" s="48">
        <v>199</v>
      </c>
      <c r="V78" s="48"/>
    </row>
    <row r="79" spans="2:22" ht="23" x14ac:dyDescent="0.25">
      <c r="B79" s="44" t="s">
        <v>309</v>
      </c>
      <c r="C79" s="44" t="s">
        <v>310</v>
      </c>
      <c r="D79" s="44" t="s">
        <v>311</v>
      </c>
      <c r="E79" s="44" t="s">
        <v>27</v>
      </c>
      <c r="F79" s="44" t="s">
        <v>312</v>
      </c>
      <c r="G79" s="44" t="s">
        <v>27</v>
      </c>
      <c r="H79" s="44">
        <v>70047</v>
      </c>
      <c r="I79" s="44">
        <v>70048</v>
      </c>
      <c r="J79" s="44" t="s">
        <v>28</v>
      </c>
      <c r="K79" s="44" t="s">
        <v>309</v>
      </c>
      <c r="L79" s="44" t="s">
        <v>29</v>
      </c>
      <c r="M79" s="44"/>
      <c r="N79" s="45">
        <v>1200</v>
      </c>
      <c r="O79" s="45">
        <v>1200</v>
      </c>
      <c r="P79" s="45">
        <v>1200</v>
      </c>
      <c r="Q79" s="45">
        <v>1200</v>
      </c>
      <c r="R79" s="45">
        <v>478</v>
      </c>
      <c r="S79" s="45">
        <v>478</v>
      </c>
      <c r="T79" s="45">
        <v>478</v>
      </c>
      <c r="U79" s="45">
        <v>478</v>
      </c>
      <c r="V79" s="46"/>
    </row>
    <row r="80" spans="2:22" ht="30" x14ac:dyDescent="0.25">
      <c r="B80" s="47" t="s">
        <v>309</v>
      </c>
      <c r="C80" s="47" t="s">
        <v>310</v>
      </c>
      <c r="D80" s="47" t="s">
        <v>311</v>
      </c>
      <c r="E80" s="47" t="s">
        <v>27</v>
      </c>
      <c r="F80" s="47" t="s">
        <v>312</v>
      </c>
      <c r="G80" s="47" t="s">
        <v>27</v>
      </c>
      <c r="H80" s="47">
        <v>70047</v>
      </c>
      <c r="I80" s="47">
        <v>70048</v>
      </c>
      <c r="J80" s="47" t="s">
        <v>28</v>
      </c>
      <c r="K80" s="47" t="s">
        <v>2222</v>
      </c>
      <c r="L80" s="47" t="s">
        <v>36</v>
      </c>
      <c r="M80" s="47" t="s">
        <v>316</v>
      </c>
      <c r="N80" s="48">
        <v>1200</v>
      </c>
      <c r="O80" s="48">
        <v>1200</v>
      </c>
      <c r="P80" s="48">
        <v>1200</v>
      </c>
      <c r="Q80" s="48">
        <v>1200</v>
      </c>
      <c r="R80" s="48">
        <v>478</v>
      </c>
      <c r="S80" s="48">
        <v>478</v>
      </c>
      <c r="T80" s="48">
        <v>478</v>
      </c>
      <c r="U80" s="48">
        <v>478</v>
      </c>
      <c r="V80" s="48"/>
    </row>
    <row r="81" spans="2:22" ht="20" x14ac:dyDescent="0.25">
      <c r="B81" s="47" t="s">
        <v>309</v>
      </c>
      <c r="C81" s="47" t="s">
        <v>310</v>
      </c>
      <c r="D81" s="47" t="s">
        <v>311</v>
      </c>
      <c r="E81" s="47" t="s">
        <v>27</v>
      </c>
      <c r="F81" s="47" t="s">
        <v>312</v>
      </c>
      <c r="G81" s="47" t="s">
        <v>27</v>
      </c>
      <c r="H81" s="47">
        <v>70047</v>
      </c>
      <c r="I81" s="47">
        <v>70048</v>
      </c>
      <c r="J81" s="47" t="s">
        <v>28</v>
      </c>
      <c r="K81" s="47" t="s">
        <v>1960</v>
      </c>
      <c r="L81" s="47" t="s">
        <v>39</v>
      </c>
      <c r="M81" s="47" t="s">
        <v>316</v>
      </c>
      <c r="N81" s="48">
        <v>1200</v>
      </c>
      <c r="O81" s="48">
        <v>1200</v>
      </c>
      <c r="P81" s="48">
        <v>1200</v>
      </c>
      <c r="Q81" s="48">
        <v>1200</v>
      </c>
      <c r="R81" s="48">
        <v>478</v>
      </c>
      <c r="S81" s="48">
        <v>478</v>
      </c>
      <c r="T81" s="48">
        <v>478</v>
      </c>
      <c r="U81" s="48">
        <v>478</v>
      </c>
      <c r="V81" s="48"/>
    </row>
    <row r="82" spans="2:22" ht="30" x14ac:dyDescent="0.25">
      <c r="B82" s="47" t="s">
        <v>309</v>
      </c>
      <c r="C82" s="47" t="s">
        <v>310</v>
      </c>
      <c r="D82" s="47" t="s">
        <v>311</v>
      </c>
      <c r="E82" s="47" t="s">
        <v>27</v>
      </c>
      <c r="F82" s="47" t="s">
        <v>312</v>
      </c>
      <c r="G82" s="47" t="s">
        <v>27</v>
      </c>
      <c r="H82" s="47">
        <v>70047</v>
      </c>
      <c r="I82" s="47">
        <v>70048</v>
      </c>
      <c r="J82" s="47" t="s">
        <v>28</v>
      </c>
      <c r="K82" s="47" t="s">
        <v>2223</v>
      </c>
      <c r="L82" s="47" t="s">
        <v>36</v>
      </c>
      <c r="M82" s="47" t="s">
        <v>316</v>
      </c>
      <c r="N82" s="48">
        <v>1200</v>
      </c>
      <c r="O82" s="48">
        <v>1200</v>
      </c>
      <c r="P82" s="48">
        <v>1200</v>
      </c>
      <c r="Q82" s="48">
        <v>1200</v>
      </c>
      <c r="R82" s="48">
        <v>478</v>
      </c>
      <c r="S82" s="48">
        <v>478</v>
      </c>
      <c r="T82" s="48">
        <v>478</v>
      </c>
      <c r="U82" s="48">
        <v>478</v>
      </c>
      <c r="V82" s="48"/>
    </row>
    <row r="83" spans="2:22" ht="20" x14ac:dyDescent="0.25">
      <c r="B83" s="47" t="s">
        <v>309</v>
      </c>
      <c r="C83" s="47" t="s">
        <v>310</v>
      </c>
      <c r="D83" s="47" t="s">
        <v>311</v>
      </c>
      <c r="E83" s="47" t="s">
        <v>27</v>
      </c>
      <c r="F83" s="47" t="s">
        <v>312</v>
      </c>
      <c r="G83" s="47" t="s">
        <v>27</v>
      </c>
      <c r="H83" s="47">
        <v>70047</v>
      </c>
      <c r="I83" s="47">
        <v>70048</v>
      </c>
      <c r="J83" s="47" t="s">
        <v>28</v>
      </c>
      <c r="K83" s="47" t="s">
        <v>1959</v>
      </c>
      <c r="L83" s="47" t="s">
        <v>39</v>
      </c>
      <c r="M83" s="47" t="s">
        <v>316</v>
      </c>
      <c r="N83" s="48">
        <v>1200</v>
      </c>
      <c r="O83" s="48">
        <v>1200</v>
      </c>
      <c r="P83" s="48">
        <v>1200</v>
      </c>
      <c r="Q83" s="48">
        <v>1200</v>
      </c>
      <c r="R83" s="48">
        <v>478</v>
      </c>
      <c r="S83" s="48">
        <v>478</v>
      </c>
      <c r="T83" s="48">
        <v>478</v>
      </c>
      <c r="U83" s="48">
        <v>478</v>
      </c>
      <c r="V83" s="48"/>
    </row>
    <row r="84" spans="2:22" ht="23" x14ac:dyDescent="0.25">
      <c r="B84" s="44" t="s">
        <v>313</v>
      </c>
      <c r="C84" s="44" t="s">
        <v>314</v>
      </c>
      <c r="D84" s="44" t="s">
        <v>311</v>
      </c>
      <c r="E84" s="44" t="s">
        <v>27</v>
      </c>
      <c r="F84" s="44" t="s">
        <v>2368</v>
      </c>
      <c r="G84" s="44" t="s">
        <v>40</v>
      </c>
      <c r="H84" s="44">
        <v>70047</v>
      </c>
      <c r="I84" s="44">
        <v>72026</v>
      </c>
      <c r="J84" s="44" t="s">
        <v>28</v>
      </c>
      <c r="K84" s="44" t="s">
        <v>313</v>
      </c>
      <c r="L84" s="44" t="s">
        <v>29</v>
      </c>
      <c r="M84" s="44"/>
      <c r="N84" s="45">
        <v>1200</v>
      </c>
      <c r="O84" s="45">
        <v>1200</v>
      </c>
      <c r="P84" s="45">
        <v>1200</v>
      </c>
      <c r="Q84" s="45">
        <v>1200</v>
      </c>
      <c r="R84" s="45">
        <v>478</v>
      </c>
      <c r="S84" s="45">
        <v>478</v>
      </c>
      <c r="T84" s="45">
        <v>478</v>
      </c>
      <c r="U84" s="45">
        <v>478</v>
      </c>
      <c r="V84" s="46"/>
    </row>
    <row r="85" spans="2:22" ht="20" x14ac:dyDescent="0.25">
      <c r="B85" s="47" t="s">
        <v>313</v>
      </c>
      <c r="C85" s="47" t="s">
        <v>314</v>
      </c>
      <c r="D85" s="47" t="s">
        <v>311</v>
      </c>
      <c r="E85" s="47" t="s">
        <v>27</v>
      </c>
      <c r="F85" s="47" t="s">
        <v>2368</v>
      </c>
      <c r="G85" s="47" t="s">
        <v>40</v>
      </c>
      <c r="H85" s="47">
        <v>70047</v>
      </c>
      <c r="I85" s="47">
        <v>72026</v>
      </c>
      <c r="J85" s="47" t="s">
        <v>28</v>
      </c>
      <c r="K85" s="47" t="s">
        <v>1962</v>
      </c>
      <c r="L85" s="47" t="s">
        <v>39</v>
      </c>
      <c r="M85" s="47" t="s">
        <v>316</v>
      </c>
      <c r="N85" s="48">
        <v>1200</v>
      </c>
      <c r="O85" s="48">
        <v>1200</v>
      </c>
      <c r="P85" s="48">
        <v>1200</v>
      </c>
      <c r="Q85" s="48">
        <v>1200</v>
      </c>
      <c r="R85" s="48">
        <v>478</v>
      </c>
      <c r="S85" s="48">
        <v>478</v>
      </c>
      <c r="T85" s="48">
        <v>478</v>
      </c>
      <c r="U85" s="48">
        <v>478</v>
      </c>
      <c r="V85" s="48"/>
    </row>
    <row r="86" spans="2:22" ht="30" x14ac:dyDescent="0.25">
      <c r="B86" s="47" t="s">
        <v>313</v>
      </c>
      <c r="C86" s="47" t="s">
        <v>314</v>
      </c>
      <c r="D86" s="47" t="s">
        <v>311</v>
      </c>
      <c r="E86" s="47" t="s">
        <v>27</v>
      </c>
      <c r="F86" s="47" t="s">
        <v>2368</v>
      </c>
      <c r="G86" s="47" t="s">
        <v>40</v>
      </c>
      <c r="H86" s="47">
        <v>70047</v>
      </c>
      <c r="I86" s="47">
        <v>72026</v>
      </c>
      <c r="J86" s="47" t="s">
        <v>28</v>
      </c>
      <c r="K86" s="47" t="s">
        <v>2098</v>
      </c>
      <c r="L86" s="47" t="s">
        <v>36</v>
      </c>
      <c r="M86" s="47" t="s">
        <v>316</v>
      </c>
      <c r="N86" s="48">
        <v>1200</v>
      </c>
      <c r="O86" s="48">
        <v>1200</v>
      </c>
      <c r="P86" s="48">
        <v>1200</v>
      </c>
      <c r="Q86" s="48">
        <v>1200</v>
      </c>
      <c r="R86" s="48">
        <v>478</v>
      </c>
      <c r="S86" s="48">
        <v>478</v>
      </c>
      <c r="T86" s="48">
        <v>478</v>
      </c>
      <c r="U86" s="48">
        <v>478</v>
      </c>
      <c r="V86" s="48"/>
    </row>
    <row r="87" spans="2:22" ht="30" x14ac:dyDescent="0.25">
      <c r="B87" s="47" t="s">
        <v>313</v>
      </c>
      <c r="C87" s="47" t="s">
        <v>314</v>
      </c>
      <c r="D87" s="47" t="s">
        <v>311</v>
      </c>
      <c r="E87" s="47" t="s">
        <v>27</v>
      </c>
      <c r="F87" s="47" t="s">
        <v>2368</v>
      </c>
      <c r="G87" s="47" t="s">
        <v>40</v>
      </c>
      <c r="H87" s="47">
        <v>70047</v>
      </c>
      <c r="I87" s="47">
        <v>72026</v>
      </c>
      <c r="J87" s="47" t="s">
        <v>28</v>
      </c>
      <c r="K87" s="47" t="s">
        <v>2097</v>
      </c>
      <c r="L87" s="47" t="s">
        <v>36</v>
      </c>
      <c r="M87" s="47" t="s">
        <v>316</v>
      </c>
      <c r="N87" s="48">
        <v>1200</v>
      </c>
      <c r="O87" s="48">
        <v>1200</v>
      </c>
      <c r="P87" s="48">
        <v>1200</v>
      </c>
      <c r="Q87" s="48">
        <v>1200</v>
      </c>
      <c r="R87" s="48">
        <v>478</v>
      </c>
      <c r="S87" s="48">
        <v>478</v>
      </c>
      <c r="T87" s="48">
        <v>478</v>
      </c>
      <c r="U87" s="48">
        <v>478</v>
      </c>
      <c r="V87" s="48"/>
    </row>
    <row r="88" spans="2:22" ht="20" x14ac:dyDescent="0.25">
      <c r="B88" s="47" t="s">
        <v>313</v>
      </c>
      <c r="C88" s="47" t="s">
        <v>314</v>
      </c>
      <c r="D88" s="47" t="s">
        <v>311</v>
      </c>
      <c r="E88" s="47" t="s">
        <v>27</v>
      </c>
      <c r="F88" s="47" t="s">
        <v>2368</v>
      </c>
      <c r="G88" s="47" t="s">
        <v>40</v>
      </c>
      <c r="H88" s="47">
        <v>70047</v>
      </c>
      <c r="I88" s="47">
        <v>72026</v>
      </c>
      <c r="J88" s="47" t="s">
        <v>28</v>
      </c>
      <c r="K88" s="47" t="s">
        <v>1961</v>
      </c>
      <c r="L88" s="47" t="s">
        <v>39</v>
      </c>
      <c r="M88" s="47" t="s">
        <v>316</v>
      </c>
      <c r="N88" s="48">
        <v>1200</v>
      </c>
      <c r="O88" s="48">
        <v>1200</v>
      </c>
      <c r="P88" s="48">
        <v>1200</v>
      </c>
      <c r="Q88" s="48">
        <v>1200</v>
      </c>
      <c r="R88" s="48">
        <v>478</v>
      </c>
      <c r="S88" s="48">
        <v>478</v>
      </c>
      <c r="T88" s="48">
        <v>478</v>
      </c>
      <c r="U88" s="48">
        <v>478</v>
      </c>
      <c r="V88" s="48"/>
    </row>
    <row r="89" spans="2:22" ht="23" x14ac:dyDescent="0.25">
      <c r="B89" s="44" t="s">
        <v>2631</v>
      </c>
      <c r="C89" s="44" t="s">
        <v>954</v>
      </c>
      <c r="D89" s="44" t="s">
        <v>603</v>
      </c>
      <c r="E89" s="44" t="s">
        <v>27</v>
      </c>
      <c r="F89" s="44" t="s">
        <v>2632</v>
      </c>
      <c r="G89" s="44" t="s">
        <v>27</v>
      </c>
      <c r="H89" s="44">
        <v>79003</v>
      </c>
      <c r="I89" s="44">
        <v>2203</v>
      </c>
      <c r="J89" s="44" t="s">
        <v>28</v>
      </c>
      <c r="K89" s="44" t="s">
        <v>2631</v>
      </c>
      <c r="L89" s="44" t="s">
        <v>29</v>
      </c>
      <c r="M89" s="44"/>
      <c r="N89" s="45">
        <v>433</v>
      </c>
      <c r="O89" s="45">
        <v>476</v>
      </c>
      <c r="P89" s="45">
        <v>477</v>
      </c>
      <c r="Q89" s="45">
        <v>525</v>
      </c>
      <c r="R89" s="45">
        <v>86</v>
      </c>
      <c r="S89" s="45">
        <v>95</v>
      </c>
      <c r="T89" s="45">
        <v>95</v>
      </c>
      <c r="U89" s="45">
        <v>105</v>
      </c>
      <c r="V89" s="46"/>
    </row>
    <row r="90" spans="2:22" x14ac:dyDescent="0.25">
      <c r="B90" s="47" t="s">
        <v>2631</v>
      </c>
      <c r="C90" s="47" t="s">
        <v>954</v>
      </c>
      <c r="D90" s="47" t="s">
        <v>603</v>
      </c>
      <c r="E90" s="47" t="s">
        <v>27</v>
      </c>
      <c r="F90" s="47" t="s">
        <v>2632</v>
      </c>
      <c r="G90" s="47" t="s">
        <v>27</v>
      </c>
      <c r="H90" s="47">
        <v>79003</v>
      </c>
      <c r="I90" s="47">
        <v>2203</v>
      </c>
      <c r="J90" s="47" t="s">
        <v>28</v>
      </c>
      <c r="K90" s="47" t="s">
        <v>2631</v>
      </c>
      <c r="L90" s="47" t="s">
        <v>30</v>
      </c>
      <c r="M90" s="47" t="s">
        <v>954</v>
      </c>
      <c r="N90" s="48">
        <v>433</v>
      </c>
      <c r="O90" s="48">
        <v>476</v>
      </c>
      <c r="P90" s="48">
        <v>477</v>
      </c>
      <c r="Q90" s="48">
        <v>525</v>
      </c>
      <c r="R90" s="48">
        <v>86</v>
      </c>
      <c r="S90" s="48">
        <v>95</v>
      </c>
      <c r="T90" s="48">
        <v>95</v>
      </c>
      <c r="U90" s="48">
        <v>105</v>
      </c>
      <c r="V90" s="48"/>
    </row>
    <row r="91" spans="2:22" ht="34.5" x14ac:dyDescent="0.25">
      <c r="B91" s="44" t="s">
        <v>317</v>
      </c>
      <c r="C91" s="44" t="s">
        <v>318</v>
      </c>
      <c r="D91" s="44" t="s">
        <v>319</v>
      </c>
      <c r="E91" s="44" t="s">
        <v>27</v>
      </c>
      <c r="F91" s="44" t="s">
        <v>320</v>
      </c>
      <c r="G91" s="44" t="s">
        <v>27</v>
      </c>
      <c r="H91" s="44">
        <v>79006</v>
      </c>
      <c r="I91" s="44">
        <v>79092</v>
      </c>
      <c r="J91" s="44" t="s">
        <v>42</v>
      </c>
      <c r="K91" s="44" t="s">
        <v>317</v>
      </c>
      <c r="L91" s="44" t="s">
        <v>29</v>
      </c>
      <c r="M91" s="44"/>
      <c r="N91" s="45">
        <v>600</v>
      </c>
      <c r="O91" s="45">
        <v>600</v>
      </c>
      <c r="P91" s="45">
        <v>600</v>
      </c>
      <c r="Q91" s="45">
        <v>600</v>
      </c>
      <c r="R91" s="45">
        <v>120</v>
      </c>
      <c r="S91" s="45">
        <v>120</v>
      </c>
      <c r="T91" s="45">
        <v>120</v>
      </c>
      <c r="U91" s="45">
        <v>120</v>
      </c>
      <c r="V91" s="46"/>
    </row>
    <row r="92" spans="2:22" ht="20" x14ac:dyDescent="0.25">
      <c r="B92" s="47" t="s">
        <v>317</v>
      </c>
      <c r="C92" s="47" t="s">
        <v>318</v>
      </c>
      <c r="D92" s="47" t="s">
        <v>319</v>
      </c>
      <c r="E92" s="47" t="s">
        <v>27</v>
      </c>
      <c r="F92" s="47" t="s">
        <v>320</v>
      </c>
      <c r="G92" s="47" t="s">
        <v>27</v>
      </c>
      <c r="H92" s="47">
        <v>79006</v>
      </c>
      <c r="I92" s="47">
        <v>79092</v>
      </c>
      <c r="J92" s="47" t="s">
        <v>42</v>
      </c>
      <c r="K92" s="47" t="s">
        <v>321</v>
      </c>
      <c r="L92" s="47" t="s">
        <v>39</v>
      </c>
      <c r="M92" s="47" t="s">
        <v>322</v>
      </c>
      <c r="N92" s="48">
        <v>600</v>
      </c>
      <c r="O92" s="48">
        <v>600</v>
      </c>
      <c r="P92" s="48">
        <v>600</v>
      </c>
      <c r="Q92" s="48">
        <v>600</v>
      </c>
      <c r="R92" s="48">
        <v>120</v>
      </c>
      <c r="S92" s="48">
        <v>120</v>
      </c>
      <c r="T92" s="48">
        <v>120</v>
      </c>
      <c r="U92" s="48">
        <v>120</v>
      </c>
      <c r="V92" s="48"/>
    </row>
    <row r="93" spans="2:22" ht="20" x14ac:dyDescent="0.25">
      <c r="B93" s="47" t="s">
        <v>317</v>
      </c>
      <c r="C93" s="47" t="s">
        <v>318</v>
      </c>
      <c r="D93" s="47" t="s">
        <v>319</v>
      </c>
      <c r="E93" s="47" t="s">
        <v>27</v>
      </c>
      <c r="F93" s="47" t="s">
        <v>320</v>
      </c>
      <c r="G93" s="47" t="s">
        <v>27</v>
      </c>
      <c r="H93" s="47">
        <v>79006</v>
      </c>
      <c r="I93" s="47">
        <v>79092</v>
      </c>
      <c r="J93" s="47" t="s">
        <v>42</v>
      </c>
      <c r="K93" s="47" t="s">
        <v>2139</v>
      </c>
      <c r="L93" s="47" t="s">
        <v>34</v>
      </c>
      <c r="M93" s="47" t="s">
        <v>1963</v>
      </c>
      <c r="N93" s="48">
        <v>600</v>
      </c>
      <c r="O93" s="47">
        <v>775</v>
      </c>
      <c r="P93" s="47">
        <v>743</v>
      </c>
      <c r="Q93" s="47">
        <v>890</v>
      </c>
      <c r="R93" s="48">
        <v>120</v>
      </c>
      <c r="S93" s="47">
        <v>154</v>
      </c>
      <c r="T93" s="47">
        <v>148</v>
      </c>
      <c r="U93" s="47">
        <v>177</v>
      </c>
      <c r="V93" s="47"/>
    </row>
    <row r="94" spans="2:22" ht="20" x14ac:dyDescent="0.25">
      <c r="B94" s="47" t="s">
        <v>317</v>
      </c>
      <c r="C94" s="47" t="s">
        <v>318</v>
      </c>
      <c r="D94" s="47" t="s">
        <v>319</v>
      </c>
      <c r="E94" s="47" t="s">
        <v>27</v>
      </c>
      <c r="F94" s="47" t="s">
        <v>320</v>
      </c>
      <c r="G94" s="47" t="s">
        <v>27</v>
      </c>
      <c r="H94" s="47">
        <v>79006</v>
      </c>
      <c r="I94" s="47">
        <v>79092</v>
      </c>
      <c r="J94" s="47" t="s">
        <v>42</v>
      </c>
      <c r="K94" s="47" t="s">
        <v>2137</v>
      </c>
      <c r="L94" s="47" t="s">
        <v>34</v>
      </c>
      <c r="M94" s="47" t="s">
        <v>1963</v>
      </c>
      <c r="N94" s="48">
        <v>600</v>
      </c>
      <c r="O94" s="47">
        <v>775</v>
      </c>
      <c r="P94" s="47">
        <v>743</v>
      </c>
      <c r="Q94" s="47">
        <v>890</v>
      </c>
      <c r="R94" s="48">
        <v>120</v>
      </c>
      <c r="S94" s="47">
        <v>154</v>
      </c>
      <c r="T94" s="47">
        <v>148</v>
      </c>
      <c r="U94" s="47">
        <v>177</v>
      </c>
      <c r="V94" s="47"/>
    </row>
    <row r="95" spans="2:22" ht="20" x14ac:dyDescent="0.25">
      <c r="B95" s="47" t="s">
        <v>317</v>
      </c>
      <c r="C95" s="47" t="s">
        <v>318</v>
      </c>
      <c r="D95" s="47" t="s">
        <v>319</v>
      </c>
      <c r="E95" s="47" t="s">
        <v>27</v>
      </c>
      <c r="F95" s="47" t="s">
        <v>320</v>
      </c>
      <c r="G95" s="47" t="s">
        <v>27</v>
      </c>
      <c r="H95" s="47">
        <v>79006</v>
      </c>
      <c r="I95" s="47">
        <v>79092</v>
      </c>
      <c r="J95" s="47" t="s">
        <v>42</v>
      </c>
      <c r="K95" s="47" t="s">
        <v>2136</v>
      </c>
      <c r="L95" s="47" t="s">
        <v>34</v>
      </c>
      <c r="M95" s="47" t="s">
        <v>1963</v>
      </c>
      <c r="N95" s="48">
        <v>600</v>
      </c>
      <c r="O95" s="47">
        <v>775</v>
      </c>
      <c r="P95" s="47">
        <v>743</v>
      </c>
      <c r="Q95" s="47">
        <v>890</v>
      </c>
      <c r="R95" s="48">
        <v>120</v>
      </c>
      <c r="S95" s="47">
        <v>154</v>
      </c>
      <c r="T95" s="47">
        <v>148</v>
      </c>
      <c r="U95" s="47">
        <v>177</v>
      </c>
      <c r="V95" s="47"/>
    </row>
    <row r="96" spans="2:22" ht="20" x14ac:dyDescent="0.25">
      <c r="B96" s="47" t="s">
        <v>317</v>
      </c>
      <c r="C96" s="47" t="s">
        <v>318</v>
      </c>
      <c r="D96" s="47" t="s">
        <v>319</v>
      </c>
      <c r="E96" s="47" t="s">
        <v>27</v>
      </c>
      <c r="F96" s="47" t="s">
        <v>320</v>
      </c>
      <c r="G96" s="47" t="s">
        <v>27</v>
      </c>
      <c r="H96" s="47">
        <v>79006</v>
      </c>
      <c r="I96" s="47">
        <v>79092</v>
      </c>
      <c r="J96" s="47" t="s">
        <v>42</v>
      </c>
      <c r="K96" s="47" t="s">
        <v>2131</v>
      </c>
      <c r="L96" s="47" t="s">
        <v>34</v>
      </c>
      <c r="M96" s="47" t="s">
        <v>1963</v>
      </c>
      <c r="N96" s="48">
        <v>600</v>
      </c>
      <c r="O96" s="47">
        <v>775</v>
      </c>
      <c r="P96" s="47">
        <v>743</v>
      </c>
      <c r="Q96" s="47">
        <v>890</v>
      </c>
      <c r="R96" s="48">
        <v>120</v>
      </c>
      <c r="S96" s="47">
        <v>154</v>
      </c>
      <c r="T96" s="47">
        <v>148</v>
      </c>
      <c r="U96" s="47">
        <v>177</v>
      </c>
      <c r="V96" s="47"/>
    </row>
    <row r="97" spans="2:22" ht="20" x14ac:dyDescent="0.25">
      <c r="B97" s="47" t="s">
        <v>317</v>
      </c>
      <c r="C97" s="47" t="s">
        <v>318</v>
      </c>
      <c r="D97" s="47" t="s">
        <v>319</v>
      </c>
      <c r="E97" s="47" t="s">
        <v>27</v>
      </c>
      <c r="F97" s="47" t="s">
        <v>320</v>
      </c>
      <c r="G97" s="47" t="s">
        <v>27</v>
      </c>
      <c r="H97" s="47">
        <v>79006</v>
      </c>
      <c r="I97" s="47">
        <v>79092</v>
      </c>
      <c r="J97" s="47" t="s">
        <v>42</v>
      </c>
      <c r="K97" s="47" t="s">
        <v>2135</v>
      </c>
      <c r="L97" s="47" t="s">
        <v>34</v>
      </c>
      <c r="M97" s="47" t="s">
        <v>1963</v>
      </c>
      <c r="N97" s="48">
        <v>600</v>
      </c>
      <c r="O97" s="47">
        <v>775</v>
      </c>
      <c r="P97" s="47">
        <v>743</v>
      </c>
      <c r="Q97" s="47">
        <v>890</v>
      </c>
      <c r="R97" s="48">
        <v>120</v>
      </c>
      <c r="S97" s="47">
        <v>154</v>
      </c>
      <c r="T97" s="47">
        <v>148</v>
      </c>
      <c r="U97" s="47">
        <v>177</v>
      </c>
      <c r="V97" s="47"/>
    </row>
    <row r="98" spans="2:22" ht="20" x14ac:dyDescent="0.25">
      <c r="B98" s="47" t="s">
        <v>317</v>
      </c>
      <c r="C98" s="47" t="s">
        <v>318</v>
      </c>
      <c r="D98" s="47" t="s">
        <v>319</v>
      </c>
      <c r="E98" s="47" t="s">
        <v>27</v>
      </c>
      <c r="F98" s="47" t="s">
        <v>320</v>
      </c>
      <c r="G98" s="47" t="s">
        <v>27</v>
      </c>
      <c r="H98" s="47">
        <v>79006</v>
      </c>
      <c r="I98" s="47">
        <v>79092</v>
      </c>
      <c r="J98" s="47" t="s">
        <v>42</v>
      </c>
      <c r="K98" s="47" t="s">
        <v>2138</v>
      </c>
      <c r="L98" s="47" t="s">
        <v>34</v>
      </c>
      <c r="M98" s="47" t="s">
        <v>322</v>
      </c>
      <c r="N98" s="48">
        <v>600</v>
      </c>
      <c r="O98" s="47">
        <v>775</v>
      </c>
      <c r="P98" s="47">
        <v>743</v>
      </c>
      <c r="Q98" s="47">
        <v>890</v>
      </c>
      <c r="R98" s="48">
        <v>120</v>
      </c>
      <c r="S98" s="47">
        <v>154</v>
      </c>
      <c r="T98" s="47">
        <v>148</v>
      </c>
      <c r="U98" s="47">
        <v>177</v>
      </c>
      <c r="V98" s="47"/>
    </row>
    <row r="99" spans="2:22" ht="20" x14ac:dyDescent="0.25">
      <c r="B99" s="47" t="s">
        <v>317</v>
      </c>
      <c r="C99" s="47" t="s">
        <v>318</v>
      </c>
      <c r="D99" s="47" t="s">
        <v>319</v>
      </c>
      <c r="E99" s="47" t="s">
        <v>27</v>
      </c>
      <c r="F99" s="47" t="s">
        <v>320</v>
      </c>
      <c r="G99" s="47" t="s">
        <v>27</v>
      </c>
      <c r="H99" s="47">
        <v>79006</v>
      </c>
      <c r="I99" s="47">
        <v>79092</v>
      </c>
      <c r="J99" s="47" t="s">
        <v>42</v>
      </c>
      <c r="K99" s="47" t="s">
        <v>2132</v>
      </c>
      <c r="L99" s="47" t="s">
        <v>34</v>
      </c>
      <c r="M99" s="47" t="s">
        <v>322</v>
      </c>
      <c r="N99" s="48">
        <v>600</v>
      </c>
      <c r="O99" s="47">
        <v>775</v>
      </c>
      <c r="P99" s="47">
        <v>743</v>
      </c>
      <c r="Q99" s="47">
        <v>890</v>
      </c>
      <c r="R99" s="48">
        <v>120</v>
      </c>
      <c r="S99" s="47">
        <v>154</v>
      </c>
      <c r="T99" s="47">
        <v>148</v>
      </c>
      <c r="U99" s="47">
        <v>177</v>
      </c>
      <c r="V99" s="47"/>
    </row>
    <row r="100" spans="2:22" ht="20" x14ac:dyDescent="0.25">
      <c r="B100" s="47" t="s">
        <v>317</v>
      </c>
      <c r="C100" s="47" t="s">
        <v>318</v>
      </c>
      <c r="D100" s="47" t="s">
        <v>319</v>
      </c>
      <c r="E100" s="47" t="s">
        <v>27</v>
      </c>
      <c r="F100" s="47" t="s">
        <v>320</v>
      </c>
      <c r="G100" s="47" t="s">
        <v>27</v>
      </c>
      <c r="H100" s="47">
        <v>79006</v>
      </c>
      <c r="I100" s="47">
        <v>79092</v>
      </c>
      <c r="J100" s="47" t="s">
        <v>42</v>
      </c>
      <c r="K100" s="47" t="s">
        <v>2133</v>
      </c>
      <c r="L100" s="47" t="s">
        <v>34</v>
      </c>
      <c r="M100" s="47" t="s">
        <v>1963</v>
      </c>
      <c r="N100" s="48">
        <v>600</v>
      </c>
      <c r="O100" s="47">
        <v>775</v>
      </c>
      <c r="P100" s="47">
        <v>743</v>
      </c>
      <c r="Q100" s="47">
        <v>890</v>
      </c>
      <c r="R100" s="48">
        <v>120</v>
      </c>
      <c r="S100" s="47">
        <v>154</v>
      </c>
      <c r="T100" s="47">
        <v>148</v>
      </c>
      <c r="U100" s="47">
        <v>177</v>
      </c>
      <c r="V100" s="47"/>
    </row>
    <row r="101" spans="2:22" ht="20" x14ac:dyDescent="0.25">
      <c r="B101" s="47" t="s">
        <v>317</v>
      </c>
      <c r="C101" s="47" t="s">
        <v>318</v>
      </c>
      <c r="D101" s="47" t="s">
        <v>319</v>
      </c>
      <c r="E101" s="47" t="s">
        <v>27</v>
      </c>
      <c r="F101" s="47" t="s">
        <v>320</v>
      </c>
      <c r="G101" s="47" t="s">
        <v>27</v>
      </c>
      <c r="H101" s="47">
        <v>79006</v>
      </c>
      <c r="I101" s="47">
        <v>79092</v>
      </c>
      <c r="J101" s="47" t="s">
        <v>42</v>
      </c>
      <c r="K101" s="47" t="s">
        <v>2134</v>
      </c>
      <c r="L101" s="47" t="s">
        <v>34</v>
      </c>
      <c r="M101" s="47" t="s">
        <v>1963</v>
      </c>
      <c r="N101" s="48">
        <v>600</v>
      </c>
      <c r="O101" s="47">
        <v>775</v>
      </c>
      <c r="P101" s="47">
        <v>743</v>
      </c>
      <c r="Q101" s="47">
        <v>890</v>
      </c>
      <c r="R101" s="48">
        <v>120</v>
      </c>
      <c r="S101" s="47">
        <v>154</v>
      </c>
      <c r="T101" s="47">
        <v>148</v>
      </c>
      <c r="U101" s="47">
        <v>177</v>
      </c>
      <c r="V101" s="47"/>
    </row>
    <row r="102" spans="2:22" ht="34.5" x14ac:dyDescent="0.25">
      <c r="B102" s="44" t="s">
        <v>170</v>
      </c>
      <c r="C102" s="44" t="s">
        <v>171</v>
      </c>
      <c r="D102" s="44" t="s">
        <v>319</v>
      </c>
      <c r="E102" s="44" t="s">
        <v>27</v>
      </c>
      <c r="F102" s="44" t="s">
        <v>2551</v>
      </c>
      <c r="G102" s="44" t="s">
        <v>40</v>
      </c>
      <c r="H102" s="44">
        <v>79006</v>
      </c>
      <c r="I102" s="44">
        <v>77643</v>
      </c>
      <c r="J102" s="44" t="s">
        <v>42</v>
      </c>
      <c r="K102" s="44" t="s">
        <v>170</v>
      </c>
      <c r="L102" s="44" t="s">
        <v>29</v>
      </c>
      <c r="M102" s="44"/>
      <c r="N102" s="45">
        <v>600</v>
      </c>
      <c r="O102" s="45">
        <v>600</v>
      </c>
      <c r="P102" s="45">
        <v>600</v>
      </c>
      <c r="Q102" s="45">
        <v>600</v>
      </c>
      <c r="R102" s="45">
        <v>120</v>
      </c>
      <c r="S102" s="45">
        <v>120</v>
      </c>
      <c r="T102" s="45">
        <v>120</v>
      </c>
      <c r="U102" s="45">
        <v>120</v>
      </c>
      <c r="V102" s="46"/>
    </row>
    <row r="103" spans="2:22" ht="20" x14ac:dyDescent="0.25">
      <c r="B103" s="47" t="s">
        <v>170</v>
      </c>
      <c r="C103" s="47" t="s">
        <v>171</v>
      </c>
      <c r="D103" s="47" t="s">
        <v>319</v>
      </c>
      <c r="E103" s="47" t="s">
        <v>27</v>
      </c>
      <c r="F103" s="47" t="s">
        <v>2551</v>
      </c>
      <c r="G103" s="47" t="s">
        <v>40</v>
      </c>
      <c r="H103" s="47">
        <v>79006</v>
      </c>
      <c r="I103" s="47">
        <v>77643</v>
      </c>
      <c r="J103" s="47" t="s">
        <v>42</v>
      </c>
      <c r="K103" s="47" t="s">
        <v>328</v>
      </c>
      <c r="L103" s="47" t="s">
        <v>39</v>
      </c>
      <c r="M103" s="47" t="s">
        <v>322</v>
      </c>
      <c r="N103" s="48">
        <v>600</v>
      </c>
      <c r="O103" s="48">
        <v>600</v>
      </c>
      <c r="P103" s="48">
        <v>600</v>
      </c>
      <c r="Q103" s="48">
        <v>600</v>
      </c>
      <c r="R103" s="48">
        <v>120</v>
      </c>
      <c r="S103" s="48">
        <v>120</v>
      </c>
      <c r="T103" s="48">
        <v>120</v>
      </c>
      <c r="U103" s="48">
        <v>120</v>
      </c>
      <c r="V103" s="48"/>
    </row>
    <row r="104" spans="2:22" ht="20" x14ac:dyDescent="0.25">
      <c r="B104" s="47" t="s">
        <v>170</v>
      </c>
      <c r="C104" s="47" t="s">
        <v>171</v>
      </c>
      <c r="D104" s="47" t="s">
        <v>319</v>
      </c>
      <c r="E104" s="47" t="s">
        <v>27</v>
      </c>
      <c r="F104" s="47" t="s">
        <v>2551</v>
      </c>
      <c r="G104" s="47" t="s">
        <v>40</v>
      </c>
      <c r="H104" s="47">
        <v>79006</v>
      </c>
      <c r="I104" s="47">
        <v>77643</v>
      </c>
      <c r="J104" s="47" t="s">
        <v>42</v>
      </c>
      <c r="K104" s="47" t="s">
        <v>213</v>
      </c>
      <c r="L104" s="47" t="s">
        <v>213</v>
      </c>
      <c r="M104" s="47" t="s">
        <v>329</v>
      </c>
      <c r="N104" s="48">
        <v>600</v>
      </c>
      <c r="O104" s="48">
        <v>600</v>
      </c>
      <c r="P104" s="47">
        <v>743</v>
      </c>
      <c r="Q104" s="47">
        <v>743</v>
      </c>
      <c r="R104" s="48">
        <v>120</v>
      </c>
      <c r="S104" s="48">
        <v>120</v>
      </c>
      <c r="T104" s="47">
        <v>148</v>
      </c>
      <c r="U104" s="47">
        <v>148</v>
      </c>
      <c r="V104" s="47"/>
    </row>
    <row r="105" spans="2:22" ht="20" x14ac:dyDescent="0.25">
      <c r="B105" s="47" t="s">
        <v>170</v>
      </c>
      <c r="C105" s="47" t="s">
        <v>171</v>
      </c>
      <c r="D105" s="47" t="s">
        <v>319</v>
      </c>
      <c r="E105" s="47" t="s">
        <v>27</v>
      </c>
      <c r="F105" s="47" t="s">
        <v>2551</v>
      </c>
      <c r="G105" s="47" t="s">
        <v>40</v>
      </c>
      <c r="H105" s="47">
        <v>79006</v>
      </c>
      <c r="I105" s="47">
        <v>77643</v>
      </c>
      <c r="J105" s="47" t="s">
        <v>42</v>
      </c>
      <c r="K105" s="47" t="s">
        <v>1964</v>
      </c>
      <c r="L105" s="47" t="s">
        <v>34</v>
      </c>
      <c r="M105" s="47" t="s">
        <v>322</v>
      </c>
      <c r="N105" s="48">
        <v>600</v>
      </c>
      <c r="O105" s="47">
        <v>775</v>
      </c>
      <c r="P105" s="47">
        <v>743</v>
      </c>
      <c r="Q105" s="47">
        <v>890</v>
      </c>
      <c r="R105" s="48">
        <v>120</v>
      </c>
      <c r="S105" s="47">
        <v>154</v>
      </c>
      <c r="T105" s="47">
        <v>148</v>
      </c>
      <c r="U105" s="47">
        <v>177</v>
      </c>
      <c r="V105" s="47"/>
    </row>
    <row r="106" spans="2:22" ht="34.5" x14ac:dyDescent="0.25">
      <c r="B106" s="44" t="s">
        <v>105</v>
      </c>
      <c r="C106" s="44" t="s">
        <v>106</v>
      </c>
      <c r="D106" s="44" t="s">
        <v>43</v>
      </c>
      <c r="E106" s="44" t="s">
        <v>27</v>
      </c>
      <c r="F106" s="44" t="s">
        <v>330</v>
      </c>
      <c r="G106" s="44" t="s">
        <v>27</v>
      </c>
      <c r="H106" s="44">
        <v>70399</v>
      </c>
      <c r="I106" s="44">
        <v>73192</v>
      </c>
      <c r="J106" s="44" t="s">
        <v>42</v>
      </c>
      <c r="K106" s="44" t="s">
        <v>105</v>
      </c>
      <c r="L106" s="44" t="s">
        <v>29</v>
      </c>
      <c r="M106" s="44"/>
      <c r="N106" s="45">
        <v>695</v>
      </c>
      <c r="O106" s="45">
        <v>695</v>
      </c>
      <c r="P106" s="45">
        <v>695</v>
      </c>
      <c r="Q106" s="45">
        <v>695</v>
      </c>
      <c r="R106" s="45">
        <v>277</v>
      </c>
      <c r="S106" s="45">
        <v>277</v>
      </c>
      <c r="T106" s="45">
        <v>277</v>
      </c>
      <c r="U106" s="45">
        <v>277</v>
      </c>
      <c r="V106" s="46"/>
    </row>
    <row r="107" spans="2:22" ht="20" x14ac:dyDescent="0.25">
      <c r="B107" s="47" t="s">
        <v>105</v>
      </c>
      <c r="C107" s="47" t="s">
        <v>106</v>
      </c>
      <c r="D107" s="47" t="s">
        <v>43</v>
      </c>
      <c r="E107" s="47" t="s">
        <v>27</v>
      </c>
      <c r="F107" s="47" t="s">
        <v>330</v>
      </c>
      <c r="G107" s="47" t="s">
        <v>27</v>
      </c>
      <c r="H107" s="47">
        <v>70399</v>
      </c>
      <c r="I107" s="47">
        <v>73192</v>
      </c>
      <c r="J107" s="47" t="s">
        <v>42</v>
      </c>
      <c r="K107" s="47" t="s">
        <v>213</v>
      </c>
      <c r="L107" s="47" t="s">
        <v>213</v>
      </c>
      <c r="M107" s="47" t="s">
        <v>331</v>
      </c>
      <c r="N107" s="48">
        <v>695</v>
      </c>
      <c r="O107" s="48">
        <v>695</v>
      </c>
      <c r="P107" s="48">
        <v>695</v>
      </c>
      <c r="Q107" s="48">
        <v>695</v>
      </c>
      <c r="R107" s="48">
        <v>277</v>
      </c>
      <c r="S107" s="48">
        <v>277</v>
      </c>
      <c r="T107" s="48">
        <v>277</v>
      </c>
      <c r="U107" s="48">
        <v>277</v>
      </c>
      <c r="V107" s="48"/>
    </row>
    <row r="108" spans="2:22" ht="23" x14ac:dyDescent="0.25">
      <c r="B108" s="44" t="s">
        <v>332</v>
      </c>
      <c r="C108" s="44" t="s">
        <v>333</v>
      </c>
      <c r="D108" s="44" t="s">
        <v>334</v>
      </c>
      <c r="E108" s="44" t="s">
        <v>27</v>
      </c>
      <c r="F108" s="44" t="s">
        <v>335</v>
      </c>
      <c r="G108" s="44" t="s">
        <v>27</v>
      </c>
      <c r="H108" s="44">
        <v>70058</v>
      </c>
      <c r="I108" s="44">
        <v>70295</v>
      </c>
      <c r="J108" s="44" t="s">
        <v>28</v>
      </c>
      <c r="K108" s="44" t="s">
        <v>332</v>
      </c>
      <c r="L108" s="44" t="s">
        <v>29</v>
      </c>
      <c r="M108" s="44"/>
      <c r="N108" s="45">
        <v>912</v>
      </c>
      <c r="O108" s="45">
        <v>1063</v>
      </c>
      <c r="P108" s="45">
        <v>1087</v>
      </c>
      <c r="Q108" s="45">
        <v>1200</v>
      </c>
      <c r="R108" s="45">
        <v>182</v>
      </c>
      <c r="S108" s="45">
        <v>212</v>
      </c>
      <c r="T108" s="45">
        <v>217</v>
      </c>
      <c r="U108" s="45">
        <v>239</v>
      </c>
      <c r="V108" s="46"/>
    </row>
    <row r="109" spans="2:22" ht="20" x14ac:dyDescent="0.25">
      <c r="B109" s="47" t="s">
        <v>332</v>
      </c>
      <c r="C109" s="47" t="s">
        <v>333</v>
      </c>
      <c r="D109" s="47" t="s">
        <v>334</v>
      </c>
      <c r="E109" s="47" t="s">
        <v>27</v>
      </c>
      <c r="F109" s="47" t="s">
        <v>335</v>
      </c>
      <c r="G109" s="47" t="s">
        <v>27</v>
      </c>
      <c r="H109" s="47">
        <v>70058</v>
      </c>
      <c r="I109" s="47">
        <v>70295</v>
      </c>
      <c r="J109" s="47" t="s">
        <v>28</v>
      </c>
      <c r="K109" s="47" t="s">
        <v>239</v>
      </c>
      <c r="L109" s="47" t="s">
        <v>31</v>
      </c>
      <c r="M109" s="47" t="s">
        <v>2176</v>
      </c>
      <c r="N109" s="48">
        <v>912</v>
      </c>
      <c r="O109" s="48">
        <v>1063</v>
      </c>
      <c r="P109" s="48">
        <v>1087</v>
      </c>
      <c r="Q109" s="47">
        <v>1210</v>
      </c>
      <c r="R109" s="48">
        <v>182</v>
      </c>
      <c r="S109" s="48">
        <v>212</v>
      </c>
      <c r="T109" s="48">
        <v>217</v>
      </c>
      <c r="U109" s="47">
        <v>241</v>
      </c>
      <c r="V109" s="47"/>
    </row>
    <row r="110" spans="2:22" ht="30" x14ac:dyDescent="0.25">
      <c r="B110" s="47" t="s">
        <v>332</v>
      </c>
      <c r="C110" s="47" t="s">
        <v>333</v>
      </c>
      <c r="D110" s="47" t="s">
        <v>334</v>
      </c>
      <c r="E110" s="47" t="s">
        <v>27</v>
      </c>
      <c r="F110" s="47" t="s">
        <v>335</v>
      </c>
      <c r="G110" s="47" t="s">
        <v>27</v>
      </c>
      <c r="H110" s="47">
        <v>70058</v>
      </c>
      <c r="I110" s="47">
        <v>70295</v>
      </c>
      <c r="J110" s="47" t="s">
        <v>28</v>
      </c>
      <c r="K110" s="47" t="s">
        <v>2226</v>
      </c>
      <c r="L110" s="47" t="s">
        <v>36</v>
      </c>
      <c r="M110" s="47" t="s">
        <v>2225</v>
      </c>
      <c r="N110" s="47">
        <v>1200</v>
      </c>
      <c r="O110" s="47">
        <v>1200</v>
      </c>
      <c r="P110" s="47">
        <v>1200</v>
      </c>
      <c r="Q110" s="48">
        <v>1200</v>
      </c>
      <c r="R110" s="47">
        <v>239</v>
      </c>
      <c r="S110" s="47">
        <v>239</v>
      </c>
      <c r="T110" s="47">
        <v>239</v>
      </c>
      <c r="U110" s="48">
        <v>239</v>
      </c>
      <c r="V110" s="48"/>
    </row>
    <row r="111" spans="2:22" ht="30" x14ac:dyDescent="0.25">
      <c r="B111" s="47" t="s">
        <v>332</v>
      </c>
      <c r="C111" s="47" t="s">
        <v>333</v>
      </c>
      <c r="D111" s="47" t="s">
        <v>334</v>
      </c>
      <c r="E111" s="47" t="s">
        <v>27</v>
      </c>
      <c r="F111" s="47" t="s">
        <v>335</v>
      </c>
      <c r="G111" s="47" t="s">
        <v>27</v>
      </c>
      <c r="H111" s="47">
        <v>70058</v>
      </c>
      <c r="I111" s="47">
        <v>70295</v>
      </c>
      <c r="J111" s="47" t="s">
        <v>28</v>
      </c>
      <c r="K111" s="47" t="s">
        <v>2224</v>
      </c>
      <c r="L111" s="47" t="s">
        <v>36</v>
      </c>
      <c r="M111" s="47" t="s">
        <v>2225</v>
      </c>
      <c r="N111" s="47">
        <v>1200</v>
      </c>
      <c r="O111" s="47">
        <v>1200</v>
      </c>
      <c r="P111" s="47">
        <v>1200</v>
      </c>
      <c r="Q111" s="48">
        <v>1200</v>
      </c>
      <c r="R111" s="47">
        <v>239</v>
      </c>
      <c r="S111" s="47">
        <v>239</v>
      </c>
      <c r="T111" s="47">
        <v>239</v>
      </c>
      <c r="U111" s="48">
        <v>239</v>
      </c>
      <c r="V111" s="48"/>
    </row>
    <row r="112" spans="2:22" ht="34.5" x14ac:dyDescent="0.25">
      <c r="B112" s="44" t="s">
        <v>336</v>
      </c>
      <c r="C112" s="44" t="s">
        <v>337</v>
      </c>
      <c r="D112" s="44" t="s">
        <v>334</v>
      </c>
      <c r="E112" s="44" t="s">
        <v>27</v>
      </c>
      <c r="F112" s="44" t="s">
        <v>338</v>
      </c>
      <c r="G112" s="44" t="s">
        <v>27</v>
      </c>
      <c r="H112" s="44">
        <v>70058</v>
      </c>
      <c r="I112" s="44">
        <v>70424</v>
      </c>
      <c r="J112" s="44" t="s">
        <v>28</v>
      </c>
      <c r="K112" s="44" t="s">
        <v>336</v>
      </c>
      <c r="L112" s="44" t="s">
        <v>29</v>
      </c>
      <c r="M112" s="44"/>
      <c r="N112" s="45">
        <v>627</v>
      </c>
      <c r="O112" s="45">
        <v>689</v>
      </c>
      <c r="P112" s="45">
        <v>712</v>
      </c>
      <c r="Q112" s="45">
        <v>783</v>
      </c>
      <c r="R112" s="45">
        <v>125</v>
      </c>
      <c r="S112" s="45">
        <v>137</v>
      </c>
      <c r="T112" s="45">
        <v>142</v>
      </c>
      <c r="U112" s="45">
        <v>156</v>
      </c>
      <c r="V112" s="46"/>
    </row>
    <row r="113" spans="2:22" ht="20" x14ac:dyDescent="0.25">
      <c r="B113" s="47" t="s">
        <v>336</v>
      </c>
      <c r="C113" s="47" t="s">
        <v>337</v>
      </c>
      <c r="D113" s="47" t="s">
        <v>334</v>
      </c>
      <c r="E113" s="47" t="s">
        <v>27</v>
      </c>
      <c r="F113" s="47" t="s">
        <v>338</v>
      </c>
      <c r="G113" s="47" t="s">
        <v>27</v>
      </c>
      <c r="H113" s="47">
        <v>70058</v>
      </c>
      <c r="I113" s="47">
        <v>70424</v>
      </c>
      <c r="J113" s="47" t="s">
        <v>28</v>
      </c>
      <c r="K113" s="47" t="s">
        <v>339</v>
      </c>
      <c r="L113" s="47" t="s">
        <v>31</v>
      </c>
      <c r="M113" s="47" t="s">
        <v>340</v>
      </c>
      <c r="N113" s="48">
        <v>627</v>
      </c>
      <c r="O113" s="48">
        <v>689</v>
      </c>
      <c r="P113" s="48">
        <v>712</v>
      </c>
      <c r="Q113" s="48">
        <v>783</v>
      </c>
      <c r="R113" s="48">
        <v>125</v>
      </c>
      <c r="S113" s="48">
        <v>137</v>
      </c>
      <c r="T113" s="48">
        <v>142</v>
      </c>
      <c r="U113" s="48">
        <v>156</v>
      </c>
      <c r="V113" s="48"/>
    </row>
    <row r="114" spans="2:22" ht="23" x14ac:dyDescent="0.25">
      <c r="B114" s="44" t="s">
        <v>1965</v>
      </c>
      <c r="C114" s="44" t="s">
        <v>1966</v>
      </c>
      <c r="D114" s="44" t="s">
        <v>1967</v>
      </c>
      <c r="E114" s="44" t="s">
        <v>40</v>
      </c>
      <c r="F114" s="44" t="s">
        <v>350</v>
      </c>
      <c r="G114" s="44" t="s">
        <v>27</v>
      </c>
      <c r="H114" s="44">
        <v>70875</v>
      </c>
      <c r="I114" s="44">
        <v>70122</v>
      </c>
      <c r="J114" s="44" t="s">
        <v>42</v>
      </c>
      <c r="K114" s="44" t="s">
        <v>1965</v>
      </c>
      <c r="L114" s="44" t="s">
        <v>29</v>
      </c>
      <c r="M114" s="44"/>
      <c r="N114" s="45">
        <v>665</v>
      </c>
      <c r="O114" s="45">
        <v>665</v>
      </c>
      <c r="P114" s="45">
        <v>665</v>
      </c>
      <c r="Q114" s="45">
        <v>665</v>
      </c>
      <c r="R114" s="45">
        <v>265</v>
      </c>
      <c r="S114" s="45">
        <v>265</v>
      </c>
      <c r="T114" s="45">
        <v>265</v>
      </c>
      <c r="U114" s="45">
        <v>265</v>
      </c>
      <c r="V114" s="46"/>
    </row>
    <row r="115" spans="2:22" ht="20" x14ac:dyDescent="0.25">
      <c r="B115" s="47" t="s">
        <v>1965</v>
      </c>
      <c r="C115" s="47" t="s">
        <v>1966</v>
      </c>
      <c r="D115" s="47" t="s">
        <v>1967</v>
      </c>
      <c r="E115" s="47" t="s">
        <v>40</v>
      </c>
      <c r="F115" s="47" t="s">
        <v>350</v>
      </c>
      <c r="G115" s="47" t="s">
        <v>27</v>
      </c>
      <c r="H115" s="47">
        <v>70875</v>
      </c>
      <c r="I115" s="47">
        <v>70122</v>
      </c>
      <c r="J115" s="47" t="s">
        <v>42</v>
      </c>
      <c r="K115" s="47" t="s">
        <v>213</v>
      </c>
      <c r="L115" s="47" t="s">
        <v>213</v>
      </c>
      <c r="M115" s="47" t="s">
        <v>1968</v>
      </c>
      <c r="N115" s="48">
        <v>665</v>
      </c>
      <c r="O115" s="48">
        <v>665</v>
      </c>
      <c r="P115" s="48">
        <v>665</v>
      </c>
      <c r="Q115" s="48">
        <v>665</v>
      </c>
      <c r="R115" s="48">
        <v>265</v>
      </c>
      <c r="S115" s="48">
        <v>265</v>
      </c>
      <c r="T115" s="48">
        <v>265</v>
      </c>
      <c r="U115" s="48">
        <v>265</v>
      </c>
      <c r="V115" s="48"/>
    </row>
    <row r="116" spans="2:22" ht="23" x14ac:dyDescent="0.25">
      <c r="B116" s="44" t="s">
        <v>341</v>
      </c>
      <c r="C116" s="44" t="s">
        <v>342</v>
      </c>
      <c r="D116" s="44" t="s">
        <v>343</v>
      </c>
      <c r="E116" s="44" t="s">
        <v>27</v>
      </c>
      <c r="F116" s="44" t="s">
        <v>344</v>
      </c>
      <c r="G116" s="44" t="s">
        <v>27</v>
      </c>
      <c r="H116" s="44">
        <v>70052</v>
      </c>
      <c r="I116" s="44">
        <v>70287</v>
      </c>
      <c r="J116" s="44" t="s">
        <v>42</v>
      </c>
      <c r="K116" s="44" t="s">
        <v>341</v>
      </c>
      <c r="L116" s="44" t="s">
        <v>29</v>
      </c>
      <c r="M116" s="44"/>
      <c r="N116" s="45">
        <v>767</v>
      </c>
      <c r="O116" s="45">
        <v>792</v>
      </c>
      <c r="P116" s="45">
        <v>836</v>
      </c>
      <c r="Q116" s="45">
        <v>836</v>
      </c>
      <c r="R116" s="45">
        <v>153</v>
      </c>
      <c r="S116" s="45">
        <v>158</v>
      </c>
      <c r="T116" s="45">
        <v>167</v>
      </c>
      <c r="U116" s="45">
        <v>167</v>
      </c>
      <c r="V116" s="46"/>
    </row>
    <row r="117" spans="2:22" ht="20" x14ac:dyDescent="0.25">
      <c r="B117" s="47" t="s">
        <v>341</v>
      </c>
      <c r="C117" s="47" t="s">
        <v>342</v>
      </c>
      <c r="D117" s="47" t="s">
        <v>343</v>
      </c>
      <c r="E117" s="47" t="s">
        <v>27</v>
      </c>
      <c r="F117" s="47" t="s">
        <v>344</v>
      </c>
      <c r="G117" s="47" t="s">
        <v>27</v>
      </c>
      <c r="H117" s="47">
        <v>70052</v>
      </c>
      <c r="I117" s="47">
        <v>70287</v>
      </c>
      <c r="J117" s="47" t="s">
        <v>42</v>
      </c>
      <c r="K117" s="47" t="s">
        <v>32</v>
      </c>
      <c r="L117" s="47" t="s">
        <v>31</v>
      </c>
      <c r="M117" s="47" t="s">
        <v>345</v>
      </c>
      <c r="N117" s="48">
        <v>767</v>
      </c>
      <c r="O117" s="47">
        <v>844</v>
      </c>
      <c r="P117" s="47">
        <v>874</v>
      </c>
      <c r="Q117" s="47">
        <v>962</v>
      </c>
      <c r="R117" s="48">
        <v>153</v>
      </c>
      <c r="S117" s="47">
        <v>168</v>
      </c>
      <c r="T117" s="47">
        <v>174</v>
      </c>
      <c r="U117" s="47">
        <v>192</v>
      </c>
      <c r="V117" s="47"/>
    </row>
    <row r="118" spans="2:22" ht="20" x14ac:dyDescent="0.25">
      <c r="B118" s="47" t="s">
        <v>341</v>
      </c>
      <c r="C118" s="47" t="s">
        <v>342</v>
      </c>
      <c r="D118" s="47" t="s">
        <v>343</v>
      </c>
      <c r="E118" s="47" t="s">
        <v>27</v>
      </c>
      <c r="F118" s="47" t="s">
        <v>344</v>
      </c>
      <c r="G118" s="47" t="s">
        <v>27</v>
      </c>
      <c r="H118" s="47">
        <v>70052</v>
      </c>
      <c r="I118" s="47">
        <v>70287</v>
      </c>
      <c r="J118" s="47" t="s">
        <v>42</v>
      </c>
      <c r="K118" s="47"/>
      <c r="L118" s="47" t="s">
        <v>301</v>
      </c>
      <c r="M118" s="47" t="s">
        <v>346</v>
      </c>
      <c r="N118" s="47">
        <v>792</v>
      </c>
      <c r="O118" s="48">
        <v>792</v>
      </c>
      <c r="P118" s="48">
        <v>836</v>
      </c>
      <c r="Q118" s="48">
        <v>836</v>
      </c>
      <c r="R118" s="47">
        <v>158</v>
      </c>
      <c r="S118" s="48">
        <v>158</v>
      </c>
      <c r="T118" s="48">
        <v>167</v>
      </c>
      <c r="U118" s="48">
        <v>167</v>
      </c>
      <c r="V118" s="48"/>
    </row>
    <row r="119" spans="2:22" ht="23" x14ac:dyDescent="0.25">
      <c r="B119" s="44" t="s">
        <v>347</v>
      </c>
      <c r="C119" s="44" t="s">
        <v>348</v>
      </c>
      <c r="D119" s="44" t="s">
        <v>349</v>
      </c>
      <c r="E119" s="44" t="s">
        <v>27</v>
      </c>
      <c r="F119" s="44" t="s">
        <v>350</v>
      </c>
      <c r="G119" s="44" t="s">
        <v>27</v>
      </c>
      <c r="H119" s="44">
        <v>70061</v>
      </c>
      <c r="I119" s="44">
        <v>70122</v>
      </c>
      <c r="J119" s="44" t="s">
        <v>28</v>
      </c>
      <c r="K119" s="44" t="s">
        <v>347</v>
      </c>
      <c r="L119" s="44" t="s">
        <v>29</v>
      </c>
      <c r="M119" s="44"/>
      <c r="N119" s="45">
        <v>800</v>
      </c>
      <c r="O119" s="45">
        <v>800</v>
      </c>
      <c r="P119" s="45">
        <v>800</v>
      </c>
      <c r="Q119" s="45">
        <v>800</v>
      </c>
      <c r="R119" s="45">
        <v>319</v>
      </c>
      <c r="S119" s="45">
        <v>319</v>
      </c>
      <c r="T119" s="45">
        <v>319</v>
      </c>
      <c r="U119" s="45">
        <v>319</v>
      </c>
      <c r="V119" s="46"/>
    </row>
    <row r="120" spans="2:22" ht="20" x14ac:dyDescent="0.25">
      <c r="B120" s="47" t="s">
        <v>347</v>
      </c>
      <c r="C120" s="47" t="s">
        <v>348</v>
      </c>
      <c r="D120" s="47" t="s">
        <v>349</v>
      </c>
      <c r="E120" s="47" t="s">
        <v>27</v>
      </c>
      <c r="F120" s="47" t="s">
        <v>350</v>
      </c>
      <c r="G120" s="47" t="s">
        <v>27</v>
      </c>
      <c r="H120" s="47">
        <v>70061</v>
      </c>
      <c r="I120" s="47">
        <v>70122</v>
      </c>
      <c r="J120" s="47" t="s">
        <v>28</v>
      </c>
      <c r="K120" s="47" t="s">
        <v>1826</v>
      </c>
      <c r="L120" s="47" t="s">
        <v>39</v>
      </c>
      <c r="M120" s="47" t="s">
        <v>354</v>
      </c>
      <c r="N120" s="48">
        <v>800</v>
      </c>
      <c r="O120" s="48">
        <v>800</v>
      </c>
      <c r="P120" s="48">
        <v>800</v>
      </c>
      <c r="Q120" s="48">
        <v>800</v>
      </c>
      <c r="R120" s="48">
        <v>319</v>
      </c>
      <c r="S120" s="48">
        <v>319</v>
      </c>
      <c r="T120" s="48">
        <v>319</v>
      </c>
      <c r="U120" s="48">
        <v>319</v>
      </c>
      <c r="V120" s="48"/>
    </row>
    <row r="121" spans="2:22" ht="34.5" x14ac:dyDescent="0.25">
      <c r="B121" s="44" t="s">
        <v>351</v>
      </c>
      <c r="C121" s="44" t="s">
        <v>352</v>
      </c>
      <c r="D121" s="44" t="s">
        <v>349</v>
      </c>
      <c r="E121" s="44" t="s">
        <v>27</v>
      </c>
      <c r="F121" s="44" t="s">
        <v>44</v>
      </c>
      <c r="G121" s="44" t="s">
        <v>27</v>
      </c>
      <c r="H121" s="44">
        <v>70061</v>
      </c>
      <c r="I121" s="44">
        <v>70254</v>
      </c>
      <c r="J121" s="44" t="s">
        <v>42</v>
      </c>
      <c r="K121" s="44" t="s">
        <v>351</v>
      </c>
      <c r="L121" s="44" t="s">
        <v>29</v>
      </c>
      <c r="M121" s="44"/>
      <c r="N121" s="45">
        <v>1200</v>
      </c>
      <c r="O121" s="45">
        <v>1200</v>
      </c>
      <c r="P121" s="45">
        <v>1200</v>
      </c>
      <c r="Q121" s="45">
        <v>1200</v>
      </c>
      <c r="R121" s="45">
        <v>478</v>
      </c>
      <c r="S121" s="45">
        <v>478</v>
      </c>
      <c r="T121" s="45">
        <v>478</v>
      </c>
      <c r="U121" s="45">
        <v>478</v>
      </c>
      <c r="V121" s="46"/>
    </row>
    <row r="122" spans="2:22" ht="30" x14ac:dyDescent="0.25">
      <c r="B122" s="47" t="s">
        <v>351</v>
      </c>
      <c r="C122" s="47" t="s">
        <v>352</v>
      </c>
      <c r="D122" s="47" t="s">
        <v>349</v>
      </c>
      <c r="E122" s="47" t="s">
        <v>27</v>
      </c>
      <c r="F122" s="47" t="s">
        <v>44</v>
      </c>
      <c r="G122" s="47" t="s">
        <v>27</v>
      </c>
      <c r="H122" s="47">
        <v>70061</v>
      </c>
      <c r="I122" s="47">
        <v>70254</v>
      </c>
      <c r="J122" s="47" t="s">
        <v>42</v>
      </c>
      <c r="K122" s="47" t="s">
        <v>2228</v>
      </c>
      <c r="L122" s="47" t="s">
        <v>36</v>
      </c>
      <c r="M122" s="47" t="s">
        <v>354</v>
      </c>
      <c r="N122" s="48">
        <v>1200</v>
      </c>
      <c r="O122" s="48">
        <v>1200</v>
      </c>
      <c r="P122" s="48">
        <v>1200</v>
      </c>
      <c r="Q122" s="48">
        <v>1200</v>
      </c>
      <c r="R122" s="48">
        <v>478</v>
      </c>
      <c r="S122" s="48">
        <v>478</v>
      </c>
      <c r="T122" s="48">
        <v>478</v>
      </c>
      <c r="U122" s="48">
        <v>478</v>
      </c>
      <c r="V122" s="48"/>
    </row>
    <row r="123" spans="2:22" ht="30" x14ac:dyDescent="0.25">
      <c r="B123" s="47" t="s">
        <v>351</v>
      </c>
      <c r="C123" s="47" t="s">
        <v>352</v>
      </c>
      <c r="D123" s="47" t="s">
        <v>349</v>
      </c>
      <c r="E123" s="47" t="s">
        <v>27</v>
      </c>
      <c r="F123" s="47" t="s">
        <v>44</v>
      </c>
      <c r="G123" s="47" t="s">
        <v>27</v>
      </c>
      <c r="H123" s="47">
        <v>70061</v>
      </c>
      <c r="I123" s="47">
        <v>70254</v>
      </c>
      <c r="J123" s="47" t="s">
        <v>42</v>
      </c>
      <c r="K123" s="47" t="s">
        <v>2231</v>
      </c>
      <c r="L123" s="47" t="s">
        <v>36</v>
      </c>
      <c r="M123" s="47" t="s">
        <v>354</v>
      </c>
      <c r="N123" s="48">
        <v>1200</v>
      </c>
      <c r="O123" s="48">
        <v>1200</v>
      </c>
      <c r="P123" s="48">
        <v>1200</v>
      </c>
      <c r="Q123" s="48">
        <v>1200</v>
      </c>
      <c r="R123" s="48">
        <v>478</v>
      </c>
      <c r="S123" s="48">
        <v>478</v>
      </c>
      <c r="T123" s="48">
        <v>478</v>
      </c>
      <c r="U123" s="48">
        <v>478</v>
      </c>
      <c r="V123" s="48"/>
    </row>
    <row r="124" spans="2:22" ht="20" x14ac:dyDescent="0.25">
      <c r="B124" s="47" t="s">
        <v>351</v>
      </c>
      <c r="C124" s="47" t="s">
        <v>352</v>
      </c>
      <c r="D124" s="47" t="s">
        <v>349</v>
      </c>
      <c r="E124" s="47" t="s">
        <v>27</v>
      </c>
      <c r="F124" s="47" t="s">
        <v>44</v>
      </c>
      <c r="G124" s="47" t="s">
        <v>27</v>
      </c>
      <c r="H124" s="47">
        <v>70061</v>
      </c>
      <c r="I124" s="47">
        <v>70254</v>
      </c>
      <c r="J124" s="47" t="s">
        <v>42</v>
      </c>
      <c r="K124" s="47" t="s">
        <v>355</v>
      </c>
      <c r="L124" s="47" t="s">
        <v>39</v>
      </c>
      <c r="M124" s="47" t="s">
        <v>354</v>
      </c>
      <c r="N124" s="48">
        <v>1200</v>
      </c>
      <c r="O124" s="48">
        <v>1200</v>
      </c>
      <c r="P124" s="48">
        <v>1200</v>
      </c>
      <c r="Q124" s="48">
        <v>1200</v>
      </c>
      <c r="R124" s="48">
        <v>478</v>
      </c>
      <c r="S124" s="48">
        <v>478</v>
      </c>
      <c r="T124" s="48">
        <v>478</v>
      </c>
      <c r="U124" s="48">
        <v>478</v>
      </c>
      <c r="V124" s="48"/>
    </row>
    <row r="125" spans="2:22" ht="20" x14ac:dyDescent="0.25">
      <c r="B125" s="47" t="s">
        <v>351</v>
      </c>
      <c r="C125" s="47" t="s">
        <v>352</v>
      </c>
      <c r="D125" s="47" t="s">
        <v>349</v>
      </c>
      <c r="E125" s="47" t="s">
        <v>27</v>
      </c>
      <c r="F125" s="47" t="s">
        <v>44</v>
      </c>
      <c r="G125" s="47" t="s">
        <v>27</v>
      </c>
      <c r="H125" s="47">
        <v>70061</v>
      </c>
      <c r="I125" s="47">
        <v>70254</v>
      </c>
      <c r="J125" s="47" t="s">
        <v>42</v>
      </c>
      <c r="K125" s="47" t="s">
        <v>353</v>
      </c>
      <c r="L125" s="47" t="s">
        <v>39</v>
      </c>
      <c r="M125" s="47" t="s">
        <v>354</v>
      </c>
      <c r="N125" s="48">
        <v>1200</v>
      </c>
      <c r="O125" s="48">
        <v>1200</v>
      </c>
      <c r="P125" s="48">
        <v>1200</v>
      </c>
      <c r="Q125" s="48">
        <v>1200</v>
      </c>
      <c r="R125" s="48">
        <v>478</v>
      </c>
      <c r="S125" s="48">
        <v>478</v>
      </c>
      <c r="T125" s="48">
        <v>478</v>
      </c>
      <c r="U125" s="48">
        <v>478</v>
      </c>
      <c r="V125" s="48"/>
    </row>
    <row r="126" spans="2:22" ht="30" x14ac:dyDescent="0.25">
      <c r="B126" s="47" t="s">
        <v>351</v>
      </c>
      <c r="C126" s="47" t="s">
        <v>352</v>
      </c>
      <c r="D126" s="47" t="s">
        <v>349</v>
      </c>
      <c r="E126" s="47" t="s">
        <v>27</v>
      </c>
      <c r="F126" s="47" t="s">
        <v>44</v>
      </c>
      <c r="G126" s="47" t="s">
        <v>27</v>
      </c>
      <c r="H126" s="47">
        <v>70061</v>
      </c>
      <c r="I126" s="47">
        <v>70254</v>
      </c>
      <c r="J126" s="47" t="s">
        <v>42</v>
      </c>
      <c r="K126" s="47" t="s">
        <v>2233</v>
      </c>
      <c r="L126" s="47" t="s">
        <v>36</v>
      </c>
      <c r="M126" s="47" t="s">
        <v>354</v>
      </c>
      <c r="N126" s="48">
        <v>1200</v>
      </c>
      <c r="O126" s="48">
        <v>1200</v>
      </c>
      <c r="P126" s="48">
        <v>1200</v>
      </c>
      <c r="Q126" s="48">
        <v>1200</v>
      </c>
      <c r="R126" s="48">
        <v>478</v>
      </c>
      <c r="S126" s="48">
        <v>478</v>
      </c>
      <c r="T126" s="48">
        <v>478</v>
      </c>
      <c r="U126" s="48">
        <v>478</v>
      </c>
      <c r="V126" s="48"/>
    </row>
    <row r="127" spans="2:22" ht="30" x14ac:dyDescent="0.25">
      <c r="B127" s="47" t="s">
        <v>351</v>
      </c>
      <c r="C127" s="47" t="s">
        <v>352</v>
      </c>
      <c r="D127" s="47" t="s">
        <v>349</v>
      </c>
      <c r="E127" s="47" t="s">
        <v>27</v>
      </c>
      <c r="F127" s="47" t="s">
        <v>44</v>
      </c>
      <c r="G127" s="47" t="s">
        <v>27</v>
      </c>
      <c r="H127" s="47">
        <v>70061</v>
      </c>
      <c r="I127" s="47">
        <v>70254</v>
      </c>
      <c r="J127" s="47" t="s">
        <v>42</v>
      </c>
      <c r="K127" s="47" t="s">
        <v>2229</v>
      </c>
      <c r="L127" s="47" t="s">
        <v>36</v>
      </c>
      <c r="M127" s="47" t="s">
        <v>354</v>
      </c>
      <c r="N127" s="48">
        <v>1200</v>
      </c>
      <c r="O127" s="48">
        <v>1200</v>
      </c>
      <c r="P127" s="48">
        <v>1200</v>
      </c>
      <c r="Q127" s="48">
        <v>1200</v>
      </c>
      <c r="R127" s="48">
        <v>478</v>
      </c>
      <c r="S127" s="48">
        <v>478</v>
      </c>
      <c r="T127" s="48">
        <v>478</v>
      </c>
      <c r="U127" s="48">
        <v>478</v>
      </c>
      <c r="V127" s="48"/>
    </row>
    <row r="128" spans="2:22" ht="30" x14ac:dyDescent="0.25">
      <c r="B128" s="47" t="s">
        <v>351</v>
      </c>
      <c r="C128" s="47" t="s">
        <v>352</v>
      </c>
      <c r="D128" s="47" t="s">
        <v>349</v>
      </c>
      <c r="E128" s="47" t="s">
        <v>27</v>
      </c>
      <c r="F128" s="47" t="s">
        <v>44</v>
      </c>
      <c r="G128" s="47" t="s">
        <v>27</v>
      </c>
      <c r="H128" s="47">
        <v>70061</v>
      </c>
      <c r="I128" s="47">
        <v>70254</v>
      </c>
      <c r="J128" s="47" t="s">
        <v>42</v>
      </c>
      <c r="K128" s="47" t="s">
        <v>2230</v>
      </c>
      <c r="L128" s="47" t="s">
        <v>36</v>
      </c>
      <c r="M128" s="47" t="s">
        <v>354</v>
      </c>
      <c r="N128" s="48">
        <v>1200</v>
      </c>
      <c r="O128" s="48">
        <v>1200</v>
      </c>
      <c r="P128" s="48">
        <v>1200</v>
      </c>
      <c r="Q128" s="48">
        <v>1200</v>
      </c>
      <c r="R128" s="48">
        <v>478</v>
      </c>
      <c r="S128" s="48">
        <v>478</v>
      </c>
      <c r="T128" s="48">
        <v>478</v>
      </c>
      <c r="U128" s="48">
        <v>478</v>
      </c>
      <c r="V128" s="48"/>
    </row>
    <row r="129" spans="2:22" ht="30" x14ac:dyDescent="0.25">
      <c r="B129" s="47" t="s">
        <v>351</v>
      </c>
      <c r="C129" s="47" t="s">
        <v>352</v>
      </c>
      <c r="D129" s="47" t="s">
        <v>349</v>
      </c>
      <c r="E129" s="47" t="s">
        <v>27</v>
      </c>
      <c r="F129" s="47" t="s">
        <v>44</v>
      </c>
      <c r="G129" s="47" t="s">
        <v>27</v>
      </c>
      <c r="H129" s="47">
        <v>70061</v>
      </c>
      <c r="I129" s="47">
        <v>70254</v>
      </c>
      <c r="J129" s="47" t="s">
        <v>42</v>
      </c>
      <c r="K129" s="47" t="s">
        <v>2232</v>
      </c>
      <c r="L129" s="47" t="s">
        <v>36</v>
      </c>
      <c r="M129" s="47" t="s">
        <v>354</v>
      </c>
      <c r="N129" s="48">
        <v>1200</v>
      </c>
      <c r="O129" s="48">
        <v>1200</v>
      </c>
      <c r="P129" s="48">
        <v>1200</v>
      </c>
      <c r="Q129" s="48">
        <v>1200</v>
      </c>
      <c r="R129" s="48">
        <v>478</v>
      </c>
      <c r="S129" s="48">
        <v>478</v>
      </c>
      <c r="T129" s="48">
        <v>478</v>
      </c>
      <c r="U129" s="48">
        <v>478</v>
      </c>
      <c r="V129" s="48"/>
    </row>
    <row r="130" spans="2:22" ht="20" x14ac:dyDescent="0.25">
      <c r="B130" s="47" t="s">
        <v>351</v>
      </c>
      <c r="C130" s="47" t="s">
        <v>352</v>
      </c>
      <c r="D130" s="47" t="s">
        <v>349</v>
      </c>
      <c r="E130" s="47" t="s">
        <v>27</v>
      </c>
      <c r="F130" s="47" t="s">
        <v>44</v>
      </c>
      <c r="G130" s="47" t="s">
        <v>27</v>
      </c>
      <c r="H130" s="47">
        <v>70061</v>
      </c>
      <c r="I130" s="47">
        <v>70254</v>
      </c>
      <c r="J130" s="47" t="s">
        <v>42</v>
      </c>
      <c r="K130" s="47" t="s">
        <v>356</v>
      </c>
      <c r="L130" s="47" t="s">
        <v>39</v>
      </c>
      <c r="M130" s="47" t="s">
        <v>354</v>
      </c>
      <c r="N130" s="48">
        <v>1200</v>
      </c>
      <c r="O130" s="48">
        <v>1200</v>
      </c>
      <c r="P130" s="48">
        <v>1200</v>
      </c>
      <c r="Q130" s="48">
        <v>1200</v>
      </c>
      <c r="R130" s="48">
        <v>478</v>
      </c>
      <c r="S130" s="48">
        <v>478</v>
      </c>
      <c r="T130" s="48">
        <v>478</v>
      </c>
      <c r="U130" s="48">
        <v>478</v>
      </c>
      <c r="V130" s="48"/>
    </row>
    <row r="131" spans="2:22" ht="30" x14ac:dyDescent="0.25">
      <c r="B131" s="47" t="s">
        <v>351</v>
      </c>
      <c r="C131" s="47" t="s">
        <v>352</v>
      </c>
      <c r="D131" s="47" t="s">
        <v>349</v>
      </c>
      <c r="E131" s="47" t="s">
        <v>27</v>
      </c>
      <c r="F131" s="47" t="s">
        <v>44</v>
      </c>
      <c r="G131" s="47" t="s">
        <v>27</v>
      </c>
      <c r="H131" s="47">
        <v>70061</v>
      </c>
      <c r="I131" s="47">
        <v>70254</v>
      </c>
      <c r="J131" s="47" t="s">
        <v>42</v>
      </c>
      <c r="K131" s="47" t="s">
        <v>2227</v>
      </c>
      <c r="L131" s="47" t="s">
        <v>36</v>
      </c>
      <c r="M131" s="47" t="s">
        <v>354</v>
      </c>
      <c r="N131" s="48">
        <v>1200</v>
      </c>
      <c r="O131" s="48">
        <v>1200</v>
      </c>
      <c r="P131" s="48">
        <v>1200</v>
      </c>
      <c r="Q131" s="48">
        <v>1200</v>
      </c>
      <c r="R131" s="48">
        <v>478</v>
      </c>
      <c r="S131" s="48">
        <v>478</v>
      </c>
      <c r="T131" s="48">
        <v>478</v>
      </c>
      <c r="U131" s="48">
        <v>478</v>
      </c>
      <c r="V131" s="48"/>
    </row>
    <row r="132" spans="2:22" ht="20" x14ac:dyDescent="0.25">
      <c r="B132" s="47" t="s">
        <v>351</v>
      </c>
      <c r="C132" s="47" t="s">
        <v>352</v>
      </c>
      <c r="D132" s="47" t="s">
        <v>349</v>
      </c>
      <c r="E132" s="47" t="s">
        <v>27</v>
      </c>
      <c r="F132" s="47" t="s">
        <v>44</v>
      </c>
      <c r="G132" s="47" t="s">
        <v>27</v>
      </c>
      <c r="H132" s="47">
        <v>70061</v>
      </c>
      <c r="I132" s="47">
        <v>70254</v>
      </c>
      <c r="J132" s="47" t="s">
        <v>42</v>
      </c>
      <c r="K132" s="47" t="s">
        <v>1827</v>
      </c>
      <c r="L132" s="47" t="s">
        <v>34</v>
      </c>
      <c r="M132" s="47" t="s">
        <v>354</v>
      </c>
      <c r="N132" s="48">
        <v>1200</v>
      </c>
      <c r="O132" s="47">
        <v>1549</v>
      </c>
      <c r="P132" s="47">
        <v>1486</v>
      </c>
      <c r="Q132" s="47">
        <v>1780</v>
      </c>
      <c r="R132" s="48">
        <v>478</v>
      </c>
      <c r="S132" s="47">
        <v>617</v>
      </c>
      <c r="T132" s="47">
        <v>592</v>
      </c>
      <c r="U132" s="47">
        <v>709</v>
      </c>
      <c r="V132" s="47"/>
    </row>
    <row r="133" spans="2:22" ht="20" x14ac:dyDescent="0.25">
      <c r="B133" s="47" t="s">
        <v>351</v>
      </c>
      <c r="C133" s="47" t="s">
        <v>352</v>
      </c>
      <c r="D133" s="47" t="s">
        <v>349</v>
      </c>
      <c r="E133" s="47" t="s">
        <v>27</v>
      </c>
      <c r="F133" s="47" t="s">
        <v>44</v>
      </c>
      <c r="G133" s="47" t="s">
        <v>27</v>
      </c>
      <c r="H133" s="47">
        <v>70061</v>
      </c>
      <c r="I133" s="47">
        <v>70254</v>
      </c>
      <c r="J133" s="47" t="s">
        <v>42</v>
      </c>
      <c r="K133" s="47" t="s">
        <v>2235</v>
      </c>
      <c r="L133" s="47" t="s">
        <v>34</v>
      </c>
      <c r="M133" s="47" t="s">
        <v>354</v>
      </c>
      <c r="N133" s="48">
        <v>1200</v>
      </c>
      <c r="O133" s="47">
        <v>1549</v>
      </c>
      <c r="P133" s="47">
        <v>1486</v>
      </c>
      <c r="Q133" s="47">
        <v>1780</v>
      </c>
      <c r="R133" s="48">
        <v>478</v>
      </c>
      <c r="S133" s="47">
        <v>617</v>
      </c>
      <c r="T133" s="47">
        <v>592</v>
      </c>
      <c r="U133" s="47">
        <v>709</v>
      </c>
      <c r="V133" s="47"/>
    </row>
    <row r="134" spans="2:22" ht="20" x14ac:dyDescent="0.25">
      <c r="B134" s="47" t="s">
        <v>351</v>
      </c>
      <c r="C134" s="47" t="s">
        <v>352</v>
      </c>
      <c r="D134" s="47" t="s">
        <v>349</v>
      </c>
      <c r="E134" s="47" t="s">
        <v>27</v>
      </c>
      <c r="F134" s="47" t="s">
        <v>44</v>
      </c>
      <c r="G134" s="47" t="s">
        <v>27</v>
      </c>
      <c r="H134" s="47">
        <v>70061</v>
      </c>
      <c r="I134" s="47">
        <v>70254</v>
      </c>
      <c r="J134" s="47" t="s">
        <v>42</v>
      </c>
      <c r="K134" s="47" t="s">
        <v>2234</v>
      </c>
      <c r="L134" s="47" t="s">
        <v>34</v>
      </c>
      <c r="M134" s="47" t="s">
        <v>354</v>
      </c>
      <c r="N134" s="48">
        <v>1200</v>
      </c>
      <c r="O134" s="47">
        <v>1549</v>
      </c>
      <c r="P134" s="47">
        <v>1486</v>
      </c>
      <c r="Q134" s="47">
        <v>1780</v>
      </c>
      <c r="R134" s="48">
        <v>478</v>
      </c>
      <c r="S134" s="47">
        <v>617</v>
      </c>
      <c r="T134" s="47">
        <v>592</v>
      </c>
      <c r="U134" s="47">
        <v>709</v>
      </c>
      <c r="V134" s="47"/>
    </row>
    <row r="135" spans="2:22" ht="20" x14ac:dyDescent="0.25">
      <c r="B135" s="47" t="s">
        <v>351</v>
      </c>
      <c r="C135" s="47" t="s">
        <v>352</v>
      </c>
      <c r="D135" s="47" t="s">
        <v>349</v>
      </c>
      <c r="E135" s="47" t="s">
        <v>27</v>
      </c>
      <c r="F135" s="47" t="s">
        <v>44</v>
      </c>
      <c r="G135" s="47" t="s">
        <v>27</v>
      </c>
      <c r="H135" s="47">
        <v>70061</v>
      </c>
      <c r="I135" s="47">
        <v>70254</v>
      </c>
      <c r="J135" s="47" t="s">
        <v>42</v>
      </c>
      <c r="K135" s="47" t="s">
        <v>1829</v>
      </c>
      <c r="L135" s="47" t="s">
        <v>34</v>
      </c>
      <c r="M135" s="47" t="s">
        <v>354</v>
      </c>
      <c r="N135" s="48">
        <v>1200</v>
      </c>
      <c r="O135" s="47">
        <v>1549</v>
      </c>
      <c r="P135" s="47">
        <v>1486</v>
      </c>
      <c r="Q135" s="47">
        <v>1780</v>
      </c>
      <c r="R135" s="48">
        <v>478</v>
      </c>
      <c r="S135" s="47">
        <v>617</v>
      </c>
      <c r="T135" s="47">
        <v>592</v>
      </c>
      <c r="U135" s="47">
        <v>709</v>
      </c>
      <c r="V135" s="47"/>
    </row>
    <row r="136" spans="2:22" ht="20" x14ac:dyDescent="0.25">
      <c r="B136" s="47" t="s">
        <v>351</v>
      </c>
      <c r="C136" s="47" t="s">
        <v>352</v>
      </c>
      <c r="D136" s="47" t="s">
        <v>349</v>
      </c>
      <c r="E136" s="47" t="s">
        <v>27</v>
      </c>
      <c r="F136" s="47" t="s">
        <v>44</v>
      </c>
      <c r="G136" s="47" t="s">
        <v>27</v>
      </c>
      <c r="H136" s="47">
        <v>70061</v>
      </c>
      <c r="I136" s="47">
        <v>70254</v>
      </c>
      <c r="J136" s="47" t="s">
        <v>42</v>
      </c>
      <c r="K136" s="47" t="s">
        <v>1828</v>
      </c>
      <c r="L136" s="47" t="s">
        <v>34</v>
      </c>
      <c r="M136" s="47" t="s">
        <v>354</v>
      </c>
      <c r="N136" s="48">
        <v>1200</v>
      </c>
      <c r="O136" s="47">
        <v>1549</v>
      </c>
      <c r="P136" s="47">
        <v>1486</v>
      </c>
      <c r="Q136" s="47">
        <v>1780</v>
      </c>
      <c r="R136" s="48">
        <v>478</v>
      </c>
      <c r="S136" s="47">
        <v>617</v>
      </c>
      <c r="T136" s="47">
        <v>592</v>
      </c>
      <c r="U136" s="47">
        <v>709</v>
      </c>
      <c r="V136" s="47"/>
    </row>
    <row r="137" spans="2:22" ht="20" x14ac:dyDescent="0.25">
      <c r="B137" s="47" t="s">
        <v>351</v>
      </c>
      <c r="C137" s="47" t="s">
        <v>352</v>
      </c>
      <c r="D137" s="47" t="s">
        <v>349</v>
      </c>
      <c r="E137" s="47" t="s">
        <v>27</v>
      </c>
      <c r="F137" s="47" t="s">
        <v>44</v>
      </c>
      <c r="G137" s="47" t="s">
        <v>27</v>
      </c>
      <c r="H137" s="47">
        <v>70061</v>
      </c>
      <c r="I137" s="47">
        <v>70254</v>
      </c>
      <c r="J137" s="47" t="s">
        <v>42</v>
      </c>
      <c r="K137" s="47" t="s">
        <v>2236</v>
      </c>
      <c r="L137" s="47" t="s">
        <v>34</v>
      </c>
      <c r="M137" s="47" t="s">
        <v>354</v>
      </c>
      <c r="N137" s="48">
        <v>1200</v>
      </c>
      <c r="O137" s="47">
        <v>1549</v>
      </c>
      <c r="P137" s="47">
        <v>1486</v>
      </c>
      <c r="Q137" s="47">
        <v>1780</v>
      </c>
      <c r="R137" s="48">
        <v>478</v>
      </c>
      <c r="S137" s="47">
        <v>617</v>
      </c>
      <c r="T137" s="47">
        <v>592</v>
      </c>
      <c r="U137" s="47">
        <v>709</v>
      </c>
      <c r="V137" s="47"/>
    </row>
    <row r="138" spans="2:22" ht="23" x14ac:dyDescent="0.25">
      <c r="B138" s="44" t="s">
        <v>358</v>
      </c>
      <c r="C138" s="44" t="s">
        <v>359</v>
      </c>
      <c r="D138" s="44" t="s">
        <v>349</v>
      </c>
      <c r="E138" s="44" t="s">
        <v>27</v>
      </c>
      <c r="F138" s="44" t="s">
        <v>45</v>
      </c>
      <c r="G138" s="44" t="s">
        <v>27</v>
      </c>
      <c r="H138" s="44">
        <v>70061</v>
      </c>
      <c r="I138" s="44">
        <v>70286</v>
      </c>
      <c r="J138" s="44" t="s">
        <v>28</v>
      </c>
      <c r="K138" s="44" t="s">
        <v>358</v>
      </c>
      <c r="L138" s="44" t="s">
        <v>29</v>
      </c>
      <c r="M138" s="44"/>
      <c r="N138" s="45">
        <v>800</v>
      </c>
      <c r="O138" s="45">
        <v>800</v>
      </c>
      <c r="P138" s="45">
        <v>800</v>
      </c>
      <c r="Q138" s="45">
        <v>800</v>
      </c>
      <c r="R138" s="45">
        <v>319</v>
      </c>
      <c r="S138" s="45">
        <v>319</v>
      </c>
      <c r="T138" s="45">
        <v>319</v>
      </c>
      <c r="U138" s="45">
        <v>319</v>
      </c>
      <c r="V138" s="46"/>
    </row>
    <row r="139" spans="2:22" ht="20" x14ac:dyDescent="0.25">
      <c r="B139" s="47" t="s">
        <v>358</v>
      </c>
      <c r="C139" s="47" t="s">
        <v>359</v>
      </c>
      <c r="D139" s="47" t="s">
        <v>349</v>
      </c>
      <c r="E139" s="47" t="s">
        <v>27</v>
      </c>
      <c r="F139" s="47" t="s">
        <v>45</v>
      </c>
      <c r="G139" s="47" t="s">
        <v>27</v>
      </c>
      <c r="H139" s="47">
        <v>70061</v>
      </c>
      <c r="I139" s="47">
        <v>70286</v>
      </c>
      <c r="J139" s="47" t="s">
        <v>28</v>
      </c>
      <c r="K139" s="47" t="s">
        <v>1830</v>
      </c>
      <c r="L139" s="47" t="s">
        <v>39</v>
      </c>
      <c r="M139" s="47" t="s">
        <v>354</v>
      </c>
      <c r="N139" s="48">
        <v>800</v>
      </c>
      <c r="O139" s="48">
        <v>800</v>
      </c>
      <c r="P139" s="48">
        <v>800</v>
      </c>
      <c r="Q139" s="48">
        <v>800</v>
      </c>
      <c r="R139" s="48">
        <v>319</v>
      </c>
      <c r="S139" s="48">
        <v>319</v>
      </c>
      <c r="T139" s="48">
        <v>319</v>
      </c>
      <c r="U139" s="48">
        <v>319</v>
      </c>
      <c r="V139" s="48"/>
    </row>
    <row r="140" spans="2:22" ht="23" x14ac:dyDescent="0.25">
      <c r="B140" s="44" t="s">
        <v>363</v>
      </c>
      <c r="C140" s="44" t="s">
        <v>364</v>
      </c>
      <c r="D140" s="44" t="s">
        <v>245</v>
      </c>
      <c r="E140" s="44" t="s">
        <v>27</v>
      </c>
      <c r="F140" s="44" t="s">
        <v>365</v>
      </c>
      <c r="G140" s="44" t="s">
        <v>27</v>
      </c>
      <c r="H140" s="44">
        <v>70064</v>
      </c>
      <c r="I140" s="44">
        <v>70156</v>
      </c>
      <c r="J140" s="44" t="s">
        <v>28</v>
      </c>
      <c r="K140" s="44" t="s">
        <v>363</v>
      </c>
      <c r="L140" s="44" t="s">
        <v>29</v>
      </c>
      <c r="M140" s="44"/>
      <c r="N140" s="45">
        <v>1200</v>
      </c>
      <c r="O140" s="45">
        <v>1200</v>
      </c>
      <c r="P140" s="45">
        <v>1200</v>
      </c>
      <c r="Q140" s="45">
        <v>1200</v>
      </c>
      <c r="R140" s="45">
        <v>478</v>
      </c>
      <c r="S140" s="45">
        <v>478</v>
      </c>
      <c r="T140" s="45">
        <v>478</v>
      </c>
      <c r="U140" s="45">
        <v>478</v>
      </c>
      <c r="V140" s="46"/>
    </row>
    <row r="141" spans="2:22" ht="20" x14ac:dyDescent="0.25">
      <c r="B141" s="47" t="s">
        <v>363</v>
      </c>
      <c r="C141" s="47" t="s">
        <v>364</v>
      </c>
      <c r="D141" s="47" t="s">
        <v>245</v>
      </c>
      <c r="E141" s="47" t="s">
        <v>27</v>
      </c>
      <c r="F141" s="47" t="s">
        <v>365</v>
      </c>
      <c r="G141" s="47" t="s">
        <v>27</v>
      </c>
      <c r="H141" s="47">
        <v>70064</v>
      </c>
      <c r="I141" s="47">
        <v>70156</v>
      </c>
      <c r="J141" s="47" t="s">
        <v>28</v>
      </c>
      <c r="K141" s="47" t="s">
        <v>2369</v>
      </c>
      <c r="L141" s="47" t="s">
        <v>39</v>
      </c>
      <c r="M141" s="47" t="s">
        <v>366</v>
      </c>
      <c r="N141" s="48">
        <v>1200</v>
      </c>
      <c r="O141" s="48">
        <v>1200</v>
      </c>
      <c r="P141" s="48">
        <v>1200</v>
      </c>
      <c r="Q141" s="48">
        <v>1200</v>
      </c>
      <c r="R141" s="48">
        <v>478</v>
      </c>
      <c r="S141" s="48">
        <v>478</v>
      </c>
      <c r="T141" s="48">
        <v>478</v>
      </c>
      <c r="U141" s="48">
        <v>478</v>
      </c>
      <c r="V141" s="48"/>
    </row>
    <row r="142" spans="2:22" ht="20" x14ac:dyDescent="0.25">
      <c r="B142" s="47" t="s">
        <v>363</v>
      </c>
      <c r="C142" s="47" t="s">
        <v>364</v>
      </c>
      <c r="D142" s="47" t="s">
        <v>245</v>
      </c>
      <c r="E142" s="47" t="s">
        <v>27</v>
      </c>
      <c r="F142" s="47" t="s">
        <v>365</v>
      </c>
      <c r="G142" s="47" t="s">
        <v>27</v>
      </c>
      <c r="H142" s="47">
        <v>70064</v>
      </c>
      <c r="I142" s="47">
        <v>70156</v>
      </c>
      <c r="J142" s="47" t="s">
        <v>28</v>
      </c>
      <c r="K142" s="47" t="s">
        <v>2370</v>
      </c>
      <c r="L142" s="47" t="s">
        <v>39</v>
      </c>
      <c r="M142" s="47" t="s">
        <v>366</v>
      </c>
      <c r="N142" s="48">
        <v>1200</v>
      </c>
      <c r="O142" s="48">
        <v>1200</v>
      </c>
      <c r="P142" s="48">
        <v>1200</v>
      </c>
      <c r="Q142" s="48">
        <v>1200</v>
      </c>
      <c r="R142" s="48">
        <v>478</v>
      </c>
      <c r="S142" s="48">
        <v>478</v>
      </c>
      <c r="T142" s="48">
        <v>478</v>
      </c>
      <c r="U142" s="48">
        <v>478</v>
      </c>
      <c r="V142" s="48"/>
    </row>
    <row r="143" spans="2:22" ht="34.5" x14ac:dyDescent="0.25">
      <c r="B143" s="44" t="s">
        <v>367</v>
      </c>
      <c r="C143" s="44" t="s">
        <v>368</v>
      </c>
      <c r="D143" s="44" t="s">
        <v>369</v>
      </c>
      <c r="E143" s="44" t="s">
        <v>27</v>
      </c>
      <c r="F143" s="44" t="s">
        <v>370</v>
      </c>
      <c r="G143" s="44" t="s">
        <v>27</v>
      </c>
      <c r="H143" s="44">
        <v>70065</v>
      </c>
      <c r="I143" s="44">
        <v>70174</v>
      </c>
      <c r="J143" s="44" t="s">
        <v>28</v>
      </c>
      <c r="K143" s="44" t="s">
        <v>367</v>
      </c>
      <c r="L143" s="44" t="s">
        <v>29</v>
      </c>
      <c r="M143" s="44"/>
      <c r="N143" s="45">
        <v>797</v>
      </c>
      <c r="O143" s="45">
        <v>876</v>
      </c>
      <c r="P143" s="45">
        <v>906</v>
      </c>
      <c r="Q143" s="45">
        <v>997</v>
      </c>
      <c r="R143" s="45">
        <v>159</v>
      </c>
      <c r="S143" s="45">
        <v>174</v>
      </c>
      <c r="T143" s="45">
        <v>180</v>
      </c>
      <c r="U143" s="45">
        <v>199</v>
      </c>
      <c r="V143" s="46"/>
    </row>
    <row r="144" spans="2:22" ht="20" x14ac:dyDescent="0.25">
      <c r="B144" s="47" t="s">
        <v>367</v>
      </c>
      <c r="C144" s="47" t="s">
        <v>368</v>
      </c>
      <c r="D144" s="47" t="s">
        <v>369</v>
      </c>
      <c r="E144" s="47" t="s">
        <v>27</v>
      </c>
      <c r="F144" s="47" t="s">
        <v>370</v>
      </c>
      <c r="G144" s="47" t="s">
        <v>27</v>
      </c>
      <c r="H144" s="47">
        <v>70065</v>
      </c>
      <c r="I144" s="47">
        <v>70174</v>
      </c>
      <c r="J144" s="47" t="s">
        <v>28</v>
      </c>
      <c r="K144" s="47" t="s">
        <v>367</v>
      </c>
      <c r="L144" s="47" t="s">
        <v>30</v>
      </c>
      <c r="M144" s="47" t="s">
        <v>368</v>
      </c>
      <c r="N144" s="48">
        <v>797</v>
      </c>
      <c r="O144" s="48">
        <v>876</v>
      </c>
      <c r="P144" s="48">
        <v>906</v>
      </c>
      <c r="Q144" s="48">
        <v>997</v>
      </c>
      <c r="R144" s="48">
        <v>159</v>
      </c>
      <c r="S144" s="48">
        <v>174</v>
      </c>
      <c r="T144" s="48">
        <v>180</v>
      </c>
      <c r="U144" s="48">
        <v>199</v>
      </c>
      <c r="V144" s="48"/>
    </row>
    <row r="145" spans="2:22" ht="23" x14ac:dyDescent="0.25">
      <c r="B145" s="44" t="s">
        <v>371</v>
      </c>
      <c r="C145" s="44" t="s">
        <v>203</v>
      </c>
      <c r="D145" s="44" t="s">
        <v>369</v>
      </c>
      <c r="E145" s="44" t="s">
        <v>27</v>
      </c>
      <c r="F145" s="44" t="s">
        <v>372</v>
      </c>
      <c r="G145" s="44" t="s">
        <v>27</v>
      </c>
      <c r="H145" s="44">
        <v>70065</v>
      </c>
      <c r="I145" s="44">
        <v>70269</v>
      </c>
      <c r="J145" s="44" t="s">
        <v>28</v>
      </c>
      <c r="K145" s="44" t="s">
        <v>371</v>
      </c>
      <c r="L145" s="44" t="s">
        <v>29</v>
      </c>
      <c r="M145" s="44"/>
      <c r="N145" s="45">
        <v>792</v>
      </c>
      <c r="O145" s="45">
        <v>792</v>
      </c>
      <c r="P145" s="45">
        <v>836</v>
      </c>
      <c r="Q145" s="45">
        <v>836</v>
      </c>
      <c r="R145" s="45">
        <v>158</v>
      </c>
      <c r="S145" s="45">
        <v>158</v>
      </c>
      <c r="T145" s="45">
        <v>167</v>
      </c>
      <c r="U145" s="45">
        <v>167</v>
      </c>
      <c r="V145" s="46"/>
    </row>
    <row r="146" spans="2:22" ht="20" x14ac:dyDescent="0.25">
      <c r="B146" s="47" t="s">
        <v>371</v>
      </c>
      <c r="C146" s="47" t="s">
        <v>203</v>
      </c>
      <c r="D146" s="47" t="s">
        <v>369</v>
      </c>
      <c r="E146" s="47" t="s">
        <v>27</v>
      </c>
      <c r="F146" s="47" t="s">
        <v>372</v>
      </c>
      <c r="G146" s="47" t="s">
        <v>27</v>
      </c>
      <c r="H146" s="47">
        <v>70065</v>
      </c>
      <c r="I146" s="47">
        <v>70269</v>
      </c>
      <c r="J146" s="47" t="s">
        <v>28</v>
      </c>
      <c r="K146" s="47"/>
      <c r="L146" s="47" t="s">
        <v>301</v>
      </c>
      <c r="M146" s="47" t="s">
        <v>373</v>
      </c>
      <c r="N146" s="48">
        <v>792</v>
      </c>
      <c r="O146" s="48">
        <v>792</v>
      </c>
      <c r="P146" s="48">
        <v>836</v>
      </c>
      <c r="Q146" s="48">
        <v>836</v>
      </c>
      <c r="R146" s="48">
        <v>158</v>
      </c>
      <c r="S146" s="48">
        <v>158</v>
      </c>
      <c r="T146" s="48">
        <v>167</v>
      </c>
      <c r="U146" s="48">
        <v>167</v>
      </c>
      <c r="V146" s="48"/>
    </row>
    <row r="147" spans="2:22" ht="23" x14ac:dyDescent="0.25">
      <c r="B147" s="44" t="s">
        <v>374</v>
      </c>
      <c r="C147" s="44" t="s">
        <v>375</v>
      </c>
      <c r="D147" s="44" t="s">
        <v>369</v>
      </c>
      <c r="E147" s="44" t="s">
        <v>27</v>
      </c>
      <c r="F147" s="44" t="s">
        <v>376</v>
      </c>
      <c r="G147" s="44" t="s">
        <v>27</v>
      </c>
      <c r="H147" s="44">
        <v>70065</v>
      </c>
      <c r="I147" s="44">
        <v>70382</v>
      </c>
      <c r="J147" s="44" t="s">
        <v>28</v>
      </c>
      <c r="K147" s="44" t="s">
        <v>374</v>
      </c>
      <c r="L147" s="44" t="s">
        <v>29</v>
      </c>
      <c r="M147" s="44"/>
      <c r="N147" s="45">
        <v>797</v>
      </c>
      <c r="O147" s="45">
        <v>877</v>
      </c>
      <c r="P147" s="45">
        <v>900</v>
      </c>
      <c r="Q147" s="45">
        <v>900</v>
      </c>
      <c r="R147" s="45">
        <v>159</v>
      </c>
      <c r="S147" s="45">
        <v>175</v>
      </c>
      <c r="T147" s="45">
        <v>179</v>
      </c>
      <c r="U147" s="45">
        <v>179</v>
      </c>
      <c r="V147" s="46"/>
    </row>
    <row r="148" spans="2:22" ht="20" x14ac:dyDescent="0.25">
      <c r="B148" s="47" t="s">
        <v>374</v>
      </c>
      <c r="C148" s="47" t="s">
        <v>375</v>
      </c>
      <c r="D148" s="47" t="s">
        <v>369</v>
      </c>
      <c r="E148" s="47" t="s">
        <v>27</v>
      </c>
      <c r="F148" s="47" t="s">
        <v>376</v>
      </c>
      <c r="G148" s="47" t="s">
        <v>27</v>
      </c>
      <c r="H148" s="47">
        <v>70065</v>
      </c>
      <c r="I148" s="47">
        <v>70382</v>
      </c>
      <c r="J148" s="47" t="s">
        <v>28</v>
      </c>
      <c r="K148" s="47" t="s">
        <v>374</v>
      </c>
      <c r="L148" s="47" t="s">
        <v>30</v>
      </c>
      <c r="M148" s="47" t="s">
        <v>375</v>
      </c>
      <c r="N148" s="48">
        <v>797</v>
      </c>
      <c r="O148" s="48">
        <v>877</v>
      </c>
      <c r="P148" s="47">
        <v>907</v>
      </c>
      <c r="Q148" s="47">
        <v>998</v>
      </c>
      <c r="R148" s="48">
        <v>159</v>
      </c>
      <c r="S148" s="48">
        <v>175</v>
      </c>
      <c r="T148" s="47">
        <v>181</v>
      </c>
      <c r="U148" s="47">
        <v>199</v>
      </c>
      <c r="V148" s="47"/>
    </row>
    <row r="149" spans="2:22" ht="30" x14ac:dyDescent="0.25">
      <c r="B149" s="47" t="s">
        <v>374</v>
      </c>
      <c r="C149" s="47" t="s">
        <v>375</v>
      </c>
      <c r="D149" s="47" t="s">
        <v>369</v>
      </c>
      <c r="E149" s="47" t="s">
        <v>27</v>
      </c>
      <c r="F149" s="47" t="s">
        <v>376</v>
      </c>
      <c r="G149" s="47" t="s">
        <v>27</v>
      </c>
      <c r="H149" s="47">
        <v>70065</v>
      </c>
      <c r="I149" s="47">
        <v>70382</v>
      </c>
      <c r="J149" s="47" t="s">
        <v>28</v>
      </c>
      <c r="K149" s="47" t="s">
        <v>2140</v>
      </c>
      <c r="L149" s="47" t="s">
        <v>36</v>
      </c>
      <c r="M149" s="47" t="s">
        <v>378</v>
      </c>
      <c r="N149" s="47">
        <v>900</v>
      </c>
      <c r="O149" s="47">
        <v>900</v>
      </c>
      <c r="P149" s="48">
        <v>900</v>
      </c>
      <c r="Q149" s="48">
        <v>900</v>
      </c>
      <c r="R149" s="47">
        <v>179</v>
      </c>
      <c r="S149" s="47">
        <v>179</v>
      </c>
      <c r="T149" s="48">
        <v>179</v>
      </c>
      <c r="U149" s="48">
        <v>179</v>
      </c>
      <c r="V149" s="48"/>
    </row>
    <row r="150" spans="2:22" ht="34.5" x14ac:dyDescent="0.25">
      <c r="B150" s="44" t="s">
        <v>379</v>
      </c>
      <c r="C150" s="44" t="s">
        <v>380</v>
      </c>
      <c r="D150" s="44" t="s">
        <v>369</v>
      </c>
      <c r="E150" s="44" t="s">
        <v>27</v>
      </c>
      <c r="F150" s="44" t="s">
        <v>381</v>
      </c>
      <c r="G150" s="44" t="s">
        <v>27</v>
      </c>
      <c r="H150" s="44">
        <v>70065</v>
      </c>
      <c r="I150" s="44">
        <v>70440</v>
      </c>
      <c r="J150" s="44" t="s">
        <v>28</v>
      </c>
      <c r="K150" s="44" t="s">
        <v>379</v>
      </c>
      <c r="L150" s="44" t="s">
        <v>29</v>
      </c>
      <c r="M150" s="44"/>
      <c r="N150" s="45">
        <v>1440</v>
      </c>
      <c r="O150" s="45">
        <v>1584</v>
      </c>
      <c r="P150" s="45">
        <v>1642</v>
      </c>
      <c r="Q150" s="45">
        <v>1673</v>
      </c>
      <c r="R150" s="45">
        <v>287</v>
      </c>
      <c r="S150" s="45">
        <v>316</v>
      </c>
      <c r="T150" s="45">
        <v>327</v>
      </c>
      <c r="U150" s="45">
        <v>333</v>
      </c>
      <c r="V150" s="46"/>
    </row>
    <row r="151" spans="2:22" ht="30" x14ac:dyDescent="0.25">
      <c r="B151" s="47" t="s">
        <v>379</v>
      </c>
      <c r="C151" s="47" t="s">
        <v>380</v>
      </c>
      <c r="D151" s="47" t="s">
        <v>369</v>
      </c>
      <c r="E151" s="47" t="s">
        <v>27</v>
      </c>
      <c r="F151" s="47" t="s">
        <v>381</v>
      </c>
      <c r="G151" s="47" t="s">
        <v>27</v>
      </c>
      <c r="H151" s="47">
        <v>70065</v>
      </c>
      <c r="I151" s="47">
        <v>70440</v>
      </c>
      <c r="J151" s="47" t="s">
        <v>28</v>
      </c>
      <c r="K151" s="47" t="s">
        <v>379</v>
      </c>
      <c r="L151" s="47" t="s">
        <v>30</v>
      </c>
      <c r="M151" s="47" t="s">
        <v>380</v>
      </c>
      <c r="N151" s="48">
        <v>1440</v>
      </c>
      <c r="O151" s="48">
        <v>1584</v>
      </c>
      <c r="P151" s="48">
        <v>1642</v>
      </c>
      <c r="Q151" s="47">
        <v>1806</v>
      </c>
      <c r="R151" s="48">
        <v>287</v>
      </c>
      <c r="S151" s="48">
        <v>316</v>
      </c>
      <c r="T151" s="48">
        <v>327</v>
      </c>
      <c r="U151" s="47">
        <v>360</v>
      </c>
      <c r="V151" s="47"/>
    </row>
    <row r="152" spans="2:22" ht="30" x14ac:dyDescent="0.25">
      <c r="B152" s="47" t="s">
        <v>379</v>
      </c>
      <c r="C152" s="47" t="s">
        <v>380</v>
      </c>
      <c r="D152" s="47" t="s">
        <v>369</v>
      </c>
      <c r="E152" s="47" t="s">
        <v>27</v>
      </c>
      <c r="F152" s="47" t="s">
        <v>381</v>
      </c>
      <c r="G152" s="47" t="s">
        <v>27</v>
      </c>
      <c r="H152" s="47">
        <v>70065</v>
      </c>
      <c r="I152" s="47">
        <v>70440</v>
      </c>
      <c r="J152" s="47" t="s">
        <v>28</v>
      </c>
      <c r="K152" s="47"/>
      <c r="L152" s="47" t="s">
        <v>301</v>
      </c>
      <c r="M152" s="47" t="s">
        <v>382</v>
      </c>
      <c r="N152" s="47">
        <v>1584</v>
      </c>
      <c r="O152" s="48">
        <v>1584</v>
      </c>
      <c r="P152" s="47">
        <v>1673</v>
      </c>
      <c r="Q152" s="48">
        <v>1673</v>
      </c>
      <c r="R152" s="47">
        <v>316</v>
      </c>
      <c r="S152" s="48">
        <v>316</v>
      </c>
      <c r="T152" s="47">
        <v>333</v>
      </c>
      <c r="U152" s="48">
        <v>333</v>
      </c>
      <c r="V152" s="48"/>
    </row>
    <row r="153" spans="2:22" ht="34.5" x14ac:dyDescent="0.25">
      <c r="B153" s="44" t="s">
        <v>174</v>
      </c>
      <c r="C153" s="44" t="s">
        <v>175</v>
      </c>
      <c r="D153" s="44" t="s">
        <v>383</v>
      </c>
      <c r="E153" s="44" t="s">
        <v>27</v>
      </c>
      <c r="F153" s="44" t="s">
        <v>384</v>
      </c>
      <c r="G153" s="44" t="s">
        <v>40</v>
      </c>
      <c r="H153" s="44">
        <v>2003</v>
      </c>
      <c r="I153" s="44">
        <v>2004</v>
      </c>
      <c r="J153" s="44" t="s">
        <v>28</v>
      </c>
      <c r="K153" s="44" t="s">
        <v>174</v>
      </c>
      <c r="L153" s="44" t="s">
        <v>29</v>
      </c>
      <c r="M153" s="44"/>
      <c r="N153" s="45">
        <v>402</v>
      </c>
      <c r="O153" s="45">
        <v>402</v>
      </c>
      <c r="P153" s="45">
        <v>402</v>
      </c>
      <c r="Q153" s="45">
        <v>402</v>
      </c>
      <c r="R153" s="45">
        <v>80</v>
      </c>
      <c r="S153" s="45">
        <v>80</v>
      </c>
      <c r="T153" s="45">
        <v>80</v>
      </c>
      <c r="U153" s="45">
        <v>80</v>
      </c>
      <c r="V153" s="46"/>
    </row>
    <row r="154" spans="2:22" ht="20" x14ac:dyDescent="0.25">
      <c r="B154" s="47" t="s">
        <v>174</v>
      </c>
      <c r="C154" s="47" t="s">
        <v>175</v>
      </c>
      <c r="D154" s="47" t="s">
        <v>383</v>
      </c>
      <c r="E154" s="47" t="s">
        <v>27</v>
      </c>
      <c r="F154" s="47" t="s">
        <v>384</v>
      </c>
      <c r="G154" s="47" t="s">
        <v>40</v>
      </c>
      <c r="H154" s="47">
        <v>2003</v>
      </c>
      <c r="I154" s="47">
        <v>2004</v>
      </c>
      <c r="J154" s="47" t="s">
        <v>28</v>
      </c>
      <c r="K154" s="47" t="s">
        <v>213</v>
      </c>
      <c r="L154" s="47" t="s">
        <v>213</v>
      </c>
      <c r="M154" s="47" t="s">
        <v>385</v>
      </c>
      <c r="N154" s="48">
        <v>402</v>
      </c>
      <c r="O154" s="48">
        <v>402</v>
      </c>
      <c r="P154" s="48">
        <v>402</v>
      </c>
      <c r="Q154" s="48">
        <v>402</v>
      </c>
      <c r="R154" s="48">
        <v>80</v>
      </c>
      <c r="S154" s="48">
        <v>80</v>
      </c>
      <c r="T154" s="48">
        <v>80</v>
      </c>
      <c r="U154" s="48">
        <v>80</v>
      </c>
      <c r="V154" s="48"/>
    </row>
    <row r="155" spans="2:22" ht="34.5" x14ac:dyDescent="0.25">
      <c r="B155" s="44" t="s">
        <v>386</v>
      </c>
      <c r="C155" s="44" t="s">
        <v>387</v>
      </c>
      <c r="D155" s="44" t="s">
        <v>383</v>
      </c>
      <c r="E155" s="44" t="s">
        <v>27</v>
      </c>
      <c r="F155" s="44" t="s">
        <v>43</v>
      </c>
      <c r="G155" s="44" t="s">
        <v>27</v>
      </c>
      <c r="H155" s="44">
        <v>70005</v>
      </c>
      <c r="I155" s="44">
        <v>70397</v>
      </c>
      <c r="J155" s="44" t="s">
        <v>28</v>
      </c>
      <c r="K155" s="44" t="s">
        <v>386</v>
      </c>
      <c r="L155" s="44" t="s">
        <v>29</v>
      </c>
      <c r="M155" s="44"/>
      <c r="N155" s="45">
        <v>1200</v>
      </c>
      <c r="O155" s="45">
        <v>1200</v>
      </c>
      <c r="P155" s="45">
        <v>1200</v>
      </c>
      <c r="Q155" s="45">
        <v>1200</v>
      </c>
      <c r="R155" s="45">
        <v>239</v>
      </c>
      <c r="S155" s="45">
        <v>239</v>
      </c>
      <c r="T155" s="45">
        <v>239</v>
      </c>
      <c r="U155" s="45">
        <v>239</v>
      </c>
      <c r="V155" s="46"/>
    </row>
    <row r="156" spans="2:22" ht="20" x14ac:dyDescent="0.25">
      <c r="B156" s="47" t="s">
        <v>386</v>
      </c>
      <c r="C156" s="47" t="s">
        <v>387</v>
      </c>
      <c r="D156" s="47" t="s">
        <v>383</v>
      </c>
      <c r="E156" s="47" t="s">
        <v>27</v>
      </c>
      <c r="F156" s="47" t="s">
        <v>43</v>
      </c>
      <c r="G156" s="47" t="s">
        <v>27</v>
      </c>
      <c r="H156" s="47">
        <v>70005</v>
      </c>
      <c r="I156" s="47">
        <v>70397</v>
      </c>
      <c r="J156" s="47" t="s">
        <v>28</v>
      </c>
      <c r="K156" s="47" t="s">
        <v>2374</v>
      </c>
      <c r="L156" s="47" t="s">
        <v>39</v>
      </c>
      <c r="M156" s="47" t="s">
        <v>47</v>
      </c>
      <c r="N156" s="48">
        <v>1200</v>
      </c>
      <c r="O156" s="48">
        <v>1200</v>
      </c>
      <c r="P156" s="48">
        <v>1200</v>
      </c>
      <c r="Q156" s="48">
        <v>1200</v>
      </c>
      <c r="R156" s="48">
        <v>239</v>
      </c>
      <c r="S156" s="48">
        <v>239</v>
      </c>
      <c r="T156" s="48">
        <v>239</v>
      </c>
      <c r="U156" s="48">
        <v>239</v>
      </c>
      <c r="V156" s="48"/>
    </row>
    <row r="157" spans="2:22" ht="20" x14ac:dyDescent="0.25">
      <c r="B157" s="47" t="s">
        <v>386</v>
      </c>
      <c r="C157" s="47" t="s">
        <v>387</v>
      </c>
      <c r="D157" s="47" t="s">
        <v>383</v>
      </c>
      <c r="E157" s="47" t="s">
        <v>27</v>
      </c>
      <c r="F157" s="47" t="s">
        <v>43</v>
      </c>
      <c r="G157" s="47" t="s">
        <v>27</v>
      </c>
      <c r="H157" s="47">
        <v>70005</v>
      </c>
      <c r="I157" s="47">
        <v>70397</v>
      </c>
      <c r="J157" s="47" t="s">
        <v>28</v>
      </c>
      <c r="K157" s="47" t="s">
        <v>2371</v>
      </c>
      <c r="L157" s="47" t="s">
        <v>39</v>
      </c>
      <c r="M157" s="47" t="s">
        <v>47</v>
      </c>
      <c r="N157" s="48">
        <v>1200</v>
      </c>
      <c r="O157" s="48">
        <v>1200</v>
      </c>
      <c r="P157" s="48">
        <v>1200</v>
      </c>
      <c r="Q157" s="48">
        <v>1200</v>
      </c>
      <c r="R157" s="48">
        <v>239</v>
      </c>
      <c r="S157" s="48">
        <v>239</v>
      </c>
      <c r="T157" s="48">
        <v>239</v>
      </c>
      <c r="U157" s="48">
        <v>239</v>
      </c>
      <c r="V157" s="48"/>
    </row>
    <row r="158" spans="2:22" ht="20" x14ac:dyDescent="0.25">
      <c r="B158" s="47" t="s">
        <v>386</v>
      </c>
      <c r="C158" s="47" t="s">
        <v>387</v>
      </c>
      <c r="D158" s="47" t="s">
        <v>383</v>
      </c>
      <c r="E158" s="47" t="s">
        <v>27</v>
      </c>
      <c r="F158" s="47" t="s">
        <v>43</v>
      </c>
      <c r="G158" s="47" t="s">
        <v>27</v>
      </c>
      <c r="H158" s="47">
        <v>70005</v>
      </c>
      <c r="I158" s="47">
        <v>70397</v>
      </c>
      <c r="J158" s="47" t="s">
        <v>28</v>
      </c>
      <c r="K158" s="47" t="s">
        <v>2373</v>
      </c>
      <c r="L158" s="47" t="s">
        <v>39</v>
      </c>
      <c r="M158" s="47" t="s">
        <v>47</v>
      </c>
      <c r="N158" s="48">
        <v>1200</v>
      </c>
      <c r="O158" s="48">
        <v>1200</v>
      </c>
      <c r="P158" s="48">
        <v>1200</v>
      </c>
      <c r="Q158" s="48">
        <v>1200</v>
      </c>
      <c r="R158" s="48">
        <v>239</v>
      </c>
      <c r="S158" s="48">
        <v>239</v>
      </c>
      <c r="T158" s="48">
        <v>239</v>
      </c>
      <c r="U158" s="48">
        <v>239</v>
      </c>
      <c r="V158" s="48"/>
    </row>
    <row r="159" spans="2:22" ht="20" x14ac:dyDescent="0.25">
      <c r="B159" s="47" t="s">
        <v>386</v>
      </c>
      <c r="C159" s="47" t="s">
        <v>387</v>
      </c>
      <c r="D159" s="47" t="s">
        <v>383</v>
      </c>
      <c r="E159" s="47" t="s">
        <v>27</v>
      </c>
      <c r="F159" s="47" t="s">
        <v>43</v>
      </c>
      <c r="G159" s="47" t="s">
        <v>27</v>
      </c>
      <c r="H159" s="47">
        <v>70005</v>
      </c>
      <c r="I159" s="47">
        <v>70397</v>
      </c>
      <c r="J159" s="47" t="s">
        <v>28</v>
      </c>
      <c r="K159" s="47" t="s">
        <v>2372</v>
      </c>
      <c r="L159" s="47" t="s">
        <v>39</v>
      </c>
      <c r="M159" s="47" t="s">
        <v>47</v>
      </c>
      <c r="N159" s="48">
        <v>1200</v>
      </c>
      <c r="O159" s="48">
        <v>1200</v>
      </c>
      <c r="P159" s="48">
        <v>1200</v>
      </c>
      <c r="Q159" s="48">
        <v>1200</v>
      </c>
      <c r="R159" s="48">
        <v>239</v>
      </c>
      <c r="S159" s="48">
        <v>239</v>
      </c>
      <c r="T159" s="48">
        <v>239</v>
      </c>
      <c r="U159" s="48">
        <v>239</v>
      </c>
      <c r="V159" s="48"/>
    </row>
    <row r="160" spans="2:22" ht="34.5" x14ac:dyDescent="0.25">
      <c r="B160" s="44" t="s">
        <v>391</v>
      </c>
      <c r="C160" s="44" t="s">
        <v>392</v>
      </c>
      <c r="D160" s="44" t="s">
        <v>383</v>
      </c>
      <c r="E160" s="44" t="s">
        <v>27</v>
      </c>
      <c r="F160" s="44" t="s">
        <v>43</v>
      </c>
      <c r="G160" s="44" t="s">
        <v>27</v>
      </c>
      <c r="H160" s="44">
        <v>70005</v>
      </c>
      <c r="I160" s="44">
        <v>70397</v>
      </c>
      <c r="J160" s="44" t="s">
        <v>28</v>
      </c>
      <c r="K160" s="44" t="s">
        <v>391</v>
      </c>
      <c r="L160" s="44" t="s">
        <v>29</v>
      </c>
      <c r="M160" s="44"/>
      <c r="N160" s="45">
        <v>1200</v>
      </c>
      <c r="O160" s="45">
        <v>1200</v>
      </c>
      <c r="P160" s="45">
        <v>1200</v>
      </c>
      <c r="Q160" s="45">
        <v>1200</v>
      </c>
      <c r="R160" s="45">
        <v>239</v>
      </c>
      <c r="S160" s="45">
        <v>239</v>
      </c>
      <c r="T160" s="45">
        <v>239</v>
      </c>
      <c r="U160" s="45">
        <v>239</v>
      </c>
      <c r="V160" s="46"/>
    </row>
    <row r="161" spans="2:22" ht="30" x14ac:dyDescent="0.25">
      <c r="B161" s="47" t="s">
        <v>391</v>
      </c>
      <c r="C161" s="47" t="s">
        <v>392</v>
      </c>
      <c r="D161" s="47" t="s">
        <v>383</v>
      </c>
      <c r="E161" s="47" t="s">
        <v>27</v>
      </c>
      <c r="F161" s="47" t="s">
        <v>43</v>
      </c>
      <c r="G161" s="47" t="s">
        <v>27</v>
      </c>
      <c r="H161" s="47">
        <v>70005</v>
      </c>
      <c r="I161" s="47">
        <v>70397</v>
      </c>
      <c r="J161" s="47" t="s">
        <v>28</v>
      </c>
      <c r="K161" s="47" t="s">
        <v>2375</v>
      </c>
      <c r="L161" s="47" t="s">
        <v>36</v>
      </c>
      <c r="M161" s="47" t="s">
        <v>47</v>
      </c>
      <c r="N161" s="48">
        <v>1200</v>
      </c>
      <c r="O161" s="48">
        <v>1200</v>
      </c>
      <c r="P161" s="48">
        <v>1200</v>
      </c>
      <c r="Q161" s="48">
        <v>1200</v>
      </c>
      <c r="R161" s="48">
        <v>239</v>
      </c>
      <c r="S161" s="48">
        <v>239</v>
      </c>
      <c r="T161" s="48">
        <v>239</v>
      </c>
      <c r="U161" s="48">
        <v>239</v>
      </c>
      <c r="V161" s="48"/>
    </row>
    <row r="162" spans="2:22" ht="20" x14ac:dyDescent="0.25">
      <c r="B162" s="47" t="s">
        <v>391</v>
      </c>
      <c r="C162" s="47" t="s">
        <v>392</v>
      </c>
      <c r="D162" s="47" t="s">
        <v>383</v>
      </c>
      <c r="E162" s="47" t="s">
        <v>27</v>
      </c>
      <c r="F162" s="47" t="s">
        <v>43</v>
      </c>
      <c r="G162" s="47" t="s">
        <v>27</v>
      </c>
      <c r="H162" s="47">
        <v>70005</v>
      </c>
      <c r="I162" s="47">
        <v>70397</v>
      </c>
      <c r="J162" s="47" t="s">
        <v>28</v>
      </c>
      <c r="K162" s="47" t="s">
        <v>2371</v>
      </c>
      <c r="L162" s="47" t="s">
        <v>39</v>
      </c>
      <c r="M162" s="47" t="s">
        <v>47</v>
      </c>
      <c r="N162" s="48">
        <v>1200</v>
      </c>
      <c r="O162" s="48">
        <v>1200</v>
      </c>
      <c r="P162" s="48">
        <v>1200</v>
      </c>
      <c r="Q162" s="48">
        <v>1200</v>
      </c>
      <c r="R162" s="48">
        <v>239</v>
      </c>
      <c r="S162" s="48">
        <v>239</v>
      </c>
      <c r="T162" s="48">
        <v>239</v>
      </c>
      <c r="U162" s="48">
        <v>239</v>
      </c>
      <c r="V162" s="48"/>
    </row>
    <row r="163" spans="2:22" ht="20" x14ac:dyDescent="0.25">
      <c r="B163" s="47" t="s">
        <v>391</v>
      </c>
      <c r="C163" s="47" t="s">
        <v>392</v>
      </c>
      <c r="D163" s="47" t="s">
        <v>383</v>
      </c>
      <c r="E163" s="47" t="s">
        <v>27</v>
      </c>
      <c r="F163" s="47" t="s">
        <v>43</v>
      </c>
      <c r="G163" s="47" t="s">
        <v>27</v>
      </c>
      <c r="H163" s="47">
        <v>70005</v>
      </c>
      <c r="I163" s="47">
        <v>70397</v>
      </c>
      <c r="J163" s="47" t="s">
        <v>28</v>
      </c>
      <c r="K163" s="47" t="s">
        <v>2373</v>
      </c>
      <c r="L163" s="47" t="s">
        <v>39</v>
      </c>
      <c r="M163" s="47" t="s">
        <v>47</v>
      </c>
      <c r="N163" s="48">
        <v>1200</v>
      </c>
      <c r="O163" s="48">
        <v>1200</v>
      </c>
      <c r="P163" s="48">
        <v>1200</v>
      </c>
      <c r="Q163" s="48">
        <v>1200</v>
      </c>
      <c r="R163" s="48">
        <v>239</v>
      </c>
      <c r="S163" s="48">
        <v>239</v>
      </c>
      <c r="T163" s="48">
        <v>239</v>
      </c>
      <c r="U163" s="48">
        <v>239</v>
      </c>
      <c r="V163" s="48"/>
    </row>
    <row r="164" spans="2:22" ht="20" x14ac:dyDescent="0.25">
      <c r="B164" s="47" t="s">
        <v>391</v>
      </c>
      <c r="C164" s="47" t="s">
        <v>392</v>
      </c>
      <c r="D164" s="47" t="s">
        <v>383</v>
      </c>
      <c r="E164" s="47" t="s">
        <v>27</v>
      </c>
      <c r="F164" s="47" t="s">
        <v>43</v>
      </c>
      <c r="G164" s="47" t="s">
        <v>27</v>
      </c>
      <c r="H164" s="47">
        <v>70005</v>
      </c>
      <c r="I164" s="47">
        <v>70397</v>
      </c>
      <c r="J164" s="47" t="s">
        <v>28</v>
      </c>
      <c r="K164" s="47" t="s">
        <v>2374</v>
      </c>
      <c r="L164" s="47" t="s">
        <v>39</v>
      </c>
      <c r="M164" s="47" t="s">
        <v>47</v>
      </c>
      <c r="N164" s="48">
        <v>1200</v>
      </c>
      <c r="O164" s="48">
        <v>1200</v>
      </c>
      <c r="P164" s="48">
        <v>1200</v>
      </c>
      <c r="Q164" s="48">
        <v>1200</v>
      </c>
      <c r="R164" s="48">
        <v>239</v>
      </c>
      <c r="S164" s="48">
        <v>239</v>
      </c>
      <c r="T164" s="48">
        <v>239</v>
      </c>
      <c r="U164" s="48">
        <v>239</v>
      </c>
      <c r="V164" s="48"/>
    </row>
    <row r="165" spans="2:22" ht="20" x14ac:dyDescent="0.25">
      <c r="B165" s="47" t="s">
        <v>391</v>
      </c>
      <c r="C165" s="47" t="s">
        <v>392</v>
      </c>
      <c r="D165" s="47" t="s">
        <v>383</v>
      </c>
      <c r="E165" s="47" t="s">
        <v>27</v>
      </c>
      <c r="F165" s="47" t="s">
        <v>43</v>
      </c>
      <c r="G165" s="47" t="s">
        <v>27</v>
      </c>
      <c r="H165" s="47">
        <v>70005</v>
      </c>
      <c r="I165" s="47">
        <v>70397</v>
      </c>
      <c r="J165" s="47" t="s">
        <v>28</v>
      </c>
      <c r="K165" s="47" t="s">
        <v>2372</v>
      </c>
      <c r="L165" s="47" t="s">
        <v>39</v>
      </c>
      <c r="M165" s="47" t="s">
        <v>47</v>
      </c>
      <c r="N165" s="48">
        <v>1200</v>
      </c>
      <c r="O165" s="48">
        <v>1200</v>
      </c>
      <c r="P165" s="48">
        <v>1200</v>
      </c>
      <c r="Q165" s="48">
        <v>1200</v>
      </c>
      <c r="R165" s="48">
        <v>239</v>
      </c>
      <c r="S165" s="48">
        <v>239</v>
      </c>
      <c r="T165" s="48">
        <v>239</v>
      </c>
      <c r="U165" s="48">
        <v>239</v>
      </c>
      <c r="V165" s="48"/>
    </row>
    <row r="166" spans="2:22" ht="34.5" x14ac:dyDescent="0.25">
      <c r="B166" s="44" t="s">
        <v>393</v>
      </c>
      <c r="C166" s="44" t="s">
        <v>394</v>
      </c>
      <c r="D166" s="44" t="s">
        <v>383</v>
      </c>
      <c r="E166" s="44" t="s">
        <v>27</v>
      </c>
      <c r="F166" s="44" t="s">
        <v>395</v>
      </c>
      <c r="G166" s="44" t="s">
        <v>27</v>
      </c>
      <c r="H166" s="44">
        <v>2003</v>
      </c>
      <c r="I166" s="44">
        <v>2005</v>
      </c>
      <c r="J166" s="44" t="s">
        <v>28</v>
      </c>
      <c r="K166" s="44" t="s">
        <v>393</v>
      </c>
      <c r="L166" s="44" t="s">
        <v>29</v>
      </c>
      <c r="M166" s="44"/>
      <c r="N166" s="45">
        <v>800</v>
      </c>
      <c r="O166" s="45">
        <v>800</v>
      </c>
      <c r="P166" s="45">
        <v>800</v>
      </c>
      <c r="Q166" s="45">
        <v>800</v>
      </c>
      <c r="R166" s="45">
        <v>159</v>
      </c>
      <c r="S166" s="45">
        <v>159</v>
      </c>
      <c r="T166" s="45">
        <v>159</v>
      </c>
      <c r="U166" s="45">
        <v>159</v>
      </c>
      <c r="V166" s="46"/>
    </row>
    <row r="167" spans="2:22" ht="20" x14ac:dyDescent="0.25">
      <c r="B167" s="47" t="s">
        <v>393</v>
      </c>
      <c r="C167" s="47" t="s">
        <v>394</v>
      </c>
      <c r="D167" s="47" t="s">
        <v>383</v>
      </c>
      <c r="E167" s="47" t="s">
        <v>27</v>
      </c>
      <c r="F167" s="47" t="s">
        <v>395</v>
      </c>
      <c r="G167" s="47" t="s">
        <v>27</v>
      </c>
      <c r="H167" s="47">
        <v>2003</v>
      </c>
      <c r="I167" s="47">
        <v>2005</v>
      </c>
      <c r="J167" s="47" t="s">
        <v>28</v>
      </c>
      <c r="K167" s="47" t="s">
        <v>1831</v>
      </c>
      <c r="L167" s="47" t="s">
        <v>39</v>
      </c>
      <c r="M167" s="47" t="s">
        <v>397</v>
      </c>
      <c r="N167" s="48">
        <v>800</v>
      </c>
      <c r="O167" s="48">
        <v>800</v>
      </c>
      <c r="P167" s="48">
        <v>800</v>
      </c>
      <c r="Q167" s="48">
        <v>800</v>
      </c>
      <c r="R167" s="48">
        <v>159</v>
      </c>
      <c r="S167" s="48">
        <v>159</v>
      </c>
      <c r="T167" s="48">
        <v>159</v>
      </c>
      <c r="U167" s="48">
        <v>159</v>
      </c>
      <c r="V167" s="48"/>
    </row>
    <row r="168" spans="2:22" ht="30" x14ac:dyDescent="0.25">
      <c r="B168" s="47" t="s">
        <v>393</v>
      </c>
      <c r="C168" s="47" t="s">
        <v>394</v>
      </c>
      <c r="D168" s="47" t="s">
        <v>383</v>
      </c>
      <c r="E168" s="47" t="s">
        <v>27</v>
      </c>
      <c r="F168" s="47" t="s">
        <v>395</v>
      </c>
      <c r="G168" s="47" t="s">
        <v>27</v>
      </c>
      <c r="H168" s="47">
        <v>2003</v>
      </c>
      <c r="I168" s="47">
        <v>2005</v>
      </c>
      <c r="J168" s="47" t="s">
        <v>28</v>
      </c>
      <c r="K168" s="47" t="s">
        <v>396</v>
      </c>
      <c r="L168" s="47" t="s">
        <v>36</v>
      </c>
      <c r="M168" s="47" t="s">
        <v>397</v>
      </c>
      <c r="N168" s="48">
        <v>800</v>
      </c>
      <c r="O168" s="48">
        <v>800</v>
      </c>
      <c r="P168" s="48">
        <v>800</v>
      </c>
      <c r="Q168" s="48">
        <v>800</v>
      </c>
      <c r="R168" s="48">
        <v>159</v>
      </c>
      <c r="S168" s="48">
        <v>159</v>
      </c>
      <c r="T168" s="48">
        <v>159</v>
      </c>
      <c r="U168" s="48">
        <v>159</v>
      </c>
      <c r="V168" s="48"/>
    </row>
    <row r="169" spans="2:22" ht="20" x14ac:dyDescent="0.25">
      <c r="B169" s="47" t="s">
        <v>393</v>
      </c>
      <c r="C169" s="47" t="s">
        <v>394</v>
      </c>
      <c r="D169" s="47" t="s">
        <v>383</v>
      </c>
      <c r="E169" s="47" t="s">
        <v>27</v>
      </c>
      <c r="F169" s="47" t="s">
        <v>395</v>
      </c>
      <c r="G169" s="47" t="s">
        <v>27</v>
      </c>
      <c r="H169" s="47">
        <v>2003</v>
      </c>
      <c r="I169" s="47">
        <v>2005</v>
      </c>
      <c r="J169" s="47" t="s">
        <v>28</v>
      </c>
      <c r="K169" s="47" t="s">
        <v>1832</v>
      </c>
      <c r="L169" s="47" t="s">
        <v>39</v>
      </c>
      <c r="M169" s="47" t="s">
        <v>397</v>
      </c>
      <c r="N169" s="48">
        <v>800</v>
      </c>
      <c r="O169" s="48">
        <v>800</v>
      </c>
      <c r="P169" s="48">
        <v>800</v>
      </c>
      <c r="Q169" s="48">
        <v>800</v>
      </c>
      <c r="R169" s="48">
        <v>159</v>
      </c>
      <c r="S169" s="48">
        <v>159</v>
      </c>
      <c r="T169" s="48">
        <v>159</v>
      </c>
      <c r="U169" s="48">
        <v>159</v>
      </c>
      <c r="V169" s="48"/>
    </row>
    <row r="170" spans="2:22" ht="20" x14ac:dyDescent="0.25">
      <c r="B170" s="47" t="s">
        <v>393</v>
      </c>
      <c r="C170" s="47" t="s">
        <v>394</v>
      </c>
      <c r="D170" s="47" t="s">
        <v>383</v>
      </c>
      <c r="E170" s="47" t="s">
        <v>27</v>
      </c>
      <c r="F170" s="47" t="s">
        <v>395</v>
      </c>
      <c r="G170" s="47" t="s">
        <v>27</v>
      </c>
      <c r="H170" s="47">
        <v>2003</v>
      </c>
      <c r="I170" s="47">
        <v>2005</v>
      </c>
      <c r="J170" s="47" t="s">
        <v>28</v>
      </c>
      <c r="K170" s="47" t="s">
        <v>1833</v>
      </c>
      <c r="L170" s="47" t="s">
        <v>39</v>
      </c>
      <c r="M170" s="47" t="s">
        <v>397</v>
      </c>
      <c r="N170" s="48">
        <v>800</v>
      </c>
      <c r="O170" s="48">
        <v>800</v>
      </c>
      <c r="P170" s="48">
        <v>800</v>
      </c>
      <c r="Q170" s="48">
        <v>800</v>
      </c>
      <c r="R170" s="48">
        <v>159</v>
      </c>
      <c r="S170" s="48">
        <v>159</v>
      </c>
      <c r="T170" s="48">
        <v>159</v>
      </c>
      <c r="U170" s="48">
        <v>159</v>
      </c>
      <c r="V170" s="48"/>
    </row>
    <row r="171" spans="2:22" ht="30" x14ac:dyDescent="0.25">
      <c r="B171" s="47" t="s">
        <v>393</v>
      </c>
      <c r="C171" s="47" t="s">
        <v>394</v>
      </c>
      <c r="D171" s="47" t="s">
        <v>383</v>
      </c>
      <c r="E171" s="47" t="s">
        <v>27</v>
      </c>
      <c r="F171" s="47" t="s">
        <v>395</v>
      </c>
      <c r="G171" s="47" t="s">
        <v>27</v>
      </c>
      <c r="H171" s="47">
        <v>2003</v>
      </c>
      <c r="I171" s="47">
        <v>2005</v>
      </c>
      <c r="J171" s="47" t="s">
        <v>28</v>
      </c>
      <c r="K171" s="47" t="s">
        <v>399</v>
      </c>
      <c r="L171" s="47" t="s">
        <v>36</v>
      </c>
      <c r="M171" s="47" t="s">
        <v>397</v>
      </c>
      <c r="N171" s="48">
        <v>800</v>
      </c>
      <c r="O171" s="48">
        <v>800</v>
      </c>
      <c r="P171" s="48">
        <v>800</v>
      </c>
      <c r="Q171" s="48">
        <v>800</v>
      </c>
      <c r="R171" s="48">
        <v>159</v>
      </c>
      <c r="S171" s="48">
        <v>159</v>
      </c>
      <c r="T171" s="48">
        <v>159</v>
      </c>
      <c r="U171" s="48">
        <v>159</v>
      </c>
      <c r="V171" s="48"/>
    </row>
    <row r="172" spans="2:22" ht="30" x14ac:dyDescent="0.25">
      <c r="B172" s="47" t="s">
        <v>393</v>
      </c>
      <c r="C172" s="47" t="s">
        <v>394</v>
      </c>
      <c r="D172" s="47" t="s">
        <v>383</v>
      </c>
      <c r="E172" s="47" t="s">
        <v>27</v>
      </c>
      <c r="F172" s="47" t="s">
        <v>395</v>
      </c>
      <c r="G172" s="47" t="s">
        <v>27</v>
      </c>
      <c r="H172" s="47">
        <v>2003</v>
      </c>
      <c r="I172" s="47">
        <v>2005</v>
      </c>
      <c r="J172" s="47" t="s">
        <v>28</v>
      </c>
      <c r="K172" s="47" t="s">
        <v>402</v>
      </c>
      <c r="L172" s="47" t="s">
        <v>36</v>
      </c>
      <c r="M172" s="47" t="s">
        <v>397</v>
      </c>
      <c r="N172" s="48">
        <v>800</v>
      </c>
      <c r="O172" s="48">
        <v>800</v>
      </c>
      <c r="P172" s="48">
        <v>800</v>
      </c>
      <c r="Q172" s="48">
        <v>800</v>
      </c>
      <c r="R172" s="48">
        <v>159</v>
      </c>
      <c r="S172" s="48">
        <v>159</v>
      </c>
      <c r="T172" s="48">
        <v>159</v>
      </c>
      <c r="U172" s="48">
        <v>159</v>
      </c>
      <c r="V172" s="48"/>
    </row>
    <row r="173" spans="2:22" ht="34.5" x14ac:dyDescent="0.25">
      <c r="B173" s="44" t="s">
        <v>403</v>
      </c>
      <c r="C173" s="44" t="s">
        <v>404</v>
      </c>
      <c r="D173" s="44" t="s">
        <v>383</v>
      </c>
      <c r="E173" s="44" t="s">
        <v>27</v>
      </c>
      <c r="F173" s="44" t="s">
        <v>395</v>
      </c>
      <c r="G173" s="44" t="s">
        <v>27</v>
      </c>
      <c r="H173" s="44">
        <v>2003</v>
      </c>
      <c r="I173" s="44">
        <v>2150</v>
      </c>
      <c r="J173" s="44" t="s">
        <v>28</v>
      </c>
      <c r="K173" s="44" t="s">
        <v>403</v>
      </c>
      <c r="L173" s="44" t="s">
        <v>29</v>
      </c>
      <c r="M173" s="44"/>
      <c r="N173" s="45">
        <v>600</v>
      </c>
      <c r="O173" s="45">
        <v>600</v>
      </c>
      <c r="P173" s="45">
        <v>600</v>
      </c>
      <c r="Q173" s="45">
        <v>600</v>
      </c>
      <c r="R173" s="45">
        <v>120</v>
      </c>
      <c r="S173" s="45">
        <v>120</v>
      </c>
      <c r="T173" s="45">
        <v>120</v>
      </c>
      <c r="U173" s="45">
        <v>120</v>
      </c>
      <c r="V173" s="46"/>
    </row>
    <row r="174" spans="2:22" ht="20" x14ac:dyDescent="0.25">
      <c r="B174" s="47" t="s">
        <v>403</v>
      </c>
      <c r="C174" s="47" t="s">
        <v>404</v>
      </c>
      <c r="D174" s="47" t="s">
        <v>383</v>
      </c>
      <c r="E174" s="47" t="s">
        <v>27</v>
      </c>
      <c r="F174" s="47" t="s">
        <v>395</v>
      </c>
      <c r="G174" s="47" t="s">
        <v>27</v>
      </c>
      <c r="H174" s="47">
        <v>2003</v>
      </c>
      <c r="I174" s="47">
        <v>2150</v>
      </c>
      <c r="J174" s="47" t="s">
        <v>28</v>
      </c>
      <c r="K174" s="47" t="s">
        <v>1835</v>
      </c>
      <c r="L174" s="47" t="s">
        <v>39</v>
      </c>
      <c r="M174" s="47" t="s">
        <v>397</v>
      </c>
      <c r="N174" s="48">
        <v>600</v>
      </c>
      <c r="O174" s="48">
        <v>600</v>
      </c>
      <c r="P174" s="48">
        <v>600</v>
      </c>
      <c r="Q174" s="48">
        <v>600</v>
      </c>
      <c r="R174" s="48">
        <v>120</v>
      </c>
      <c r="S174" s="48">
        <v>120</v>
      </c>
      <c r="T174" s="48">
        <v>120</v>
      </c>
      <c r="U174" s="48">
        <v>120</v>
      </c>
      <c r="V174" s="48"/>
    </row>
    <row r="175" spans="2:22" ht="20" x14ac:dyDescent="0.25">
      <c r="B175" s="47" t="s">
        <v>403</v>
      </c>
      <c r="C175" s="47" t="s">
        <v>404</v>
      </c>
      <c r="D175" s="47" t="s">
        <v>383</v>
      </c>
      <c r="E175" s="47" t="s">
        <v>27</v>
      </c>
      <c r="F175" s="47" t="s">
        <v>395</v>
      </c>
      <c r="G175" s="47" t="s">
        <v>27</v>
      </c>
      <c r="H175" s="47">
        <v>2003</v>
      </c>
      <c r="I175" s="47">
        <v>2150</v>
      </c>
      <c r="J175" s="47" t="s">
        <v>28</v>
      </c>
      <c r="K175" s="47" t="s">
        <v>1834</v>
      </c>
      <c r="L175" s="47" t="s">
        <v>39</v>
      </c>
      <c r="M175" s="47" t="s">
        <v>397</v>
      </c>
      <c r="N175" s="48">
        <v>600</v>
      </c>
      <c r="O175" s="48">
        <v>600</v>
      </c>
      <c r="P175" s="48">
        <v>600</v>
      </c>
      <c r="Q175" s="48">
        <v>600</v>
      </c>
      <c r="R175" s="48">
        <v>120</v>
      </c>
      <c r="S175" s="48">
        <v>120</v>
      </c>
      <c r="T175" s="48">
        <v>120</v>
      </c>
      <c r="U175" s="48">
        <v>120</v>
      </c>
      <c r="V175" s="48"/>
    </row>
    <row r="176" spans="2:22" ht="20" x14ac:dyDescent="0.25">
      <c r="B176" s="47" t="s">
        <v>403</v>
      </c>
      <c r="C176" s="47" t="s">
        <v>404</v>
      </c>
      <c r="D176" s="47" t="s">
        <v>383</v>
      </c>
      <c r="E176" s="47" t="s">
        <v>27</v>
      </c>
      <c r="F176" s="47" t="s">
        <v>395</v>
      </c>
      <c r="G176" s="47" t="s">
        <v>27</v>
      </c>
      <c r="H176" s="47">
        <v>2003</v>
      </c>
      <c r="I176" s="47">
        <v>2150</v>
      </c>
      <c r="J176" s="47" t="s">
        <v>28</v>
      </c>
      <c r="K176" s="47" t="s">
        <v>1836</v>
      </c>
      <c r="L176" s="47" t="s">
        <v>39</v>
      </c>
      <c r="M176" s="47" t="s">
        <v>397</v>
      </c>
      <c r="N176" s="48">
        <v>600</v>
      </c>
      <c r="O176" s="48">
        <v>600</v>
      </c>
      <c r="P176" s="48">
        <v>600</v>
      </c>
      <c r="Q176" s="48">
        <v>600</v>
      </c>
      <c r="R176" s="48">
        <v>120</v>
      </c>
      <c r="S176" s="48">
        <v>120</v>
      </c>
      <c r="T176" s="48">
        <v>120</v>
      </c>
      <c r="U176" s="48">
        <v>120</v>
      </c>
      <c r="V176" s="48"/>
    </row>
    <row r="177" spans="2:22" ht="23" x14ac:dyDescent="0.25">
      <c r="B177" s="94" t="s">
        <v>2596</v>
      </c>
      <c r="C177" s="44" t="s">
        <v>2597</v>
      </c>
      <c r="D177" s="44" t="s">
        <v>2598</v>
      </c>
      <c r="E177" s="44" t="s">
        <v>27</v>
      </c>
      <c r="F177" s="44" t="s">
        <v>220</v>
      </c>
      <c r="G177" s="44" t="s">
        <v>27</v>
      </c>
      <c r="H177" s="44">
        <v>70264</v>
      </c>
      <c r="I177" s="44">
        <v>70078</v>
      </c>
      <c r="J177" s="44" t="s">
        <v>28</v>
      </c>
      <c r="K177" s="44" t="s">
        <v>2596</v>
      </c>
      <c r="L177" s="44" t="s">
        <v>29</v>
      </c>
      <c r="M177" s="44"/>
      <c r="N177" s="45">
        <v>1095</v>
      </c>
      <c r="O177" s="45">
        <v>1205</v>
      </c>
      <c r="P177" s="97">
        <v>1247</v>
      </c>
      <c r="Q177" s="97">
        <v>1372</v>
      </c>
      <c r="R177" s="45">
        <v>436</v>
      </c>
      <c r="S177" s="45">
        <v>480</v>
      </c>
      <c r="T177" s="97">
        <v>497</v>
      </c>
      <c r="U177" s="97">
        <v>547</v>
      </c>
      <c r="V177" s="46"/>
    </row>
    <row r="178" spans="2:22" x14ac:dyDescent="0.25">
      <c r="B178" s="96" t="s">
        <v>2596</v>
      </c>
      <c r="C178" s="47" t="s">
        <v>2597</v>
      </c>
      <c r="D178" s="47" t="s">
        <v>2598</v>
      </c>
      <c r="E178" s="47" t="s">
        <v>27</v>
      </c>
      <c r="F178" s="47" t="s">
        <v>220</v>
      </c>
      <c r="G178" s="47" t="s">
        <v>27</v>
      </c>
      <c r="H178" s="47">
        <v>70264</v>
      </c>
      <c r="I178" s="47">
        <v>70078</v>
      </c>
      <c r="J178" s="47" t="s">
        <v>28</v>
      </c>
      <c r="K178" s="47" t="s">
        <v>2596</v>
      </c>
      <c r="L178" s="47" t="s">
        <v>30</v>
      </c>
      <c r="M178" s="47" t="s">
        <v>2597</v>
      </c>
      <c r="N178" s="48">
        <v>1095</v>
      </c>
      <c r="O178" s="48">
        <v>1205</v>
      </c>
      <c r="P178" s="95">
        <v>1247</v>
      </c>
      <c r="Q178" s="95">
        <v>1372</v>
      </c>
      <c r="R178" s="48">
        <v>436</v>
      </c>
      <c r="S178" s="48">
        <v>480</v>
      </c>
      <c r="T178" s="95">
        <v>497</v>
      </c>
      <c r="U178" s="95">
        <v>547</v>
      </c>
      <c r="V178" s="48"/>
    </row>
    <row r="179" spans="2:22" ht="23" x14ac:dyDescent="0.25">
      <c r="B179" s="44" t="s">
        <v>2599</v>
      </c>
      <c r="C179" s="44" t="s">
        <v>455</v>
      </c>
      <c r="D179" s="44" t="s">
        <v>2598</v>
      </c>
      <c r="E179" s="44" t="s">
        <v>27</v>
      </c>
      <c r="F179" s="44" t="s">
        <v>456</v>
      </c>
      <c r="G179" s="44" t="s">
        <v>27</v>
      </c>
      <c r="H179" s="44">
        <v>70264</v>
      </c>
      <c r="I179" s="44">
        <v>70309</v>
      </c>
      <c r="J179" s="44" t="s">
        <v>28</v>
      </c>
      <c r="K179" s="44" t="s">
        <v>2599</v>
      </c>
      <c r="L179" s="44" t="s">
        <v>29</v>
      </c>
      <c r="M179" s="44"/>
      <c r="N179" s="45">
        <v>996</v>
      </c>
      <c r="O179" s="45">
        <v>996</v>
      </c>
      <c r="P179" s="45">
        <v>996</v>
      </c>
      <c r="Q179" s="45">
        <v>996</v>
      </c>
      <c r="R179" s="45">
        <v>397</v>
      </c>
      <c r="S179" s="45">
        <v>397</v>
      </c>
      <c r="T179" s="45">
        <v>397</v>
      </c>
      <c r="U179" s="45">
        <v>397</v>
      </c>
      <c r="V179" s="46"/>
    </row>
    <row r="180" spans="2:22" ht="20" x14ac:dyDescent="0.25">
      <c r="B180" s="47" t="s">
        <v>2599</v>
      </c>
      <c r="C180" s="47" t="s">
        <v>455</v>
      </c>
      <c r="D180" s="47" t="s">
        <v>2598</v>
      </c>
      <c r="E180" s="47" t="s">
        <v>27</v>
      </c>
      <c r="F180" s="47" t="s">
        <v>456</v>
      </c>
      <c r="G180" s="47" t="s">
        <v>27</v>
      </c>
      <c r="H180" s="47">
        <v>70264</v>
      </c>
      <c r="I180" s="47">
        <v>70309</v>
      </c>
      <c r="J180" s="47" t="s">
        <v>28</v>
      </c>
      <c r="K180" s="47" t="s">
        <v>1970</v>
      </c>
      <c r="L180" s="47" t="s">
        <v>39</v>
      </c>
      <c r="M180" s="47" t="s">
        <v>457</v>
      </c>
      <c r="N180" s="48">
        <v>996</v>
      </c>
      <c r="O180" s="48">
        <v>996</v>
      </c>
      <c r="P180" s="48">
        <v>996</v>
      </c>
      <c r="Q180" s="48">
        <v>996</v>
      </c>
      <c r="R180" s="48">
        <v>397</v>
      </c>
      <c r="S180" s="48">
        <v>397</v>
      </c>
      <c r="T180" s="48">
        <v>397</v>
      </c>
      <c r="U180" s="48">
        <v>397</v>
      </c>
      <c r="V180" s="48"/>
    </row>
    <row r="181" spans="2:22" ht="20" x14ac:dyDescent="0.25">
      <c r="B181" s="47" t="s">
        <v>2599</v>
      </c>
      <c r="C181" s="47" t="s">
        <v>455</v>
      </c>
      <c r="D181" s="47" t="s">
        <v>2598</v>
      </c>
      <c r="E181" s="47" t="s">
        <v>27</v>
      </c>
      <c r="F181" s="47" t="s">
        <v>456</v>
      </c>
      <c r="G181" s="47" t="s">
        <v>27</v>
      </c>
      <c r="H181" s="47">
        <v>70264</v>
      </c>
      <c r="I181" s="47">
        <v>70309</v>
      </c>
      <c r="J181" s="47" t="s">
        <v>28</v>
      </c>
      <c r="K181" s="47" t="s">
        <v>1969</v>
      </c>
      <c r="L181" s="47" t="s">
        <v>39</v>
      </c>
      <c r="M181" s="47" t="s">
        <v>457</v>
      </c>
      <c r="N181" s="48">
        <v>996</v>
      </c>
      <c r="O181" s="48">
        <v>996</v>
      </c>
      <c r="P181" s="48">
        <v>996</v>
      </c>
      <c r="Q181" s="48">
        <v>996</v>
      </c>
      <c r="R181" s="48">
        <v>397</v>
      </c>
      <c r="S181" s="48">
        <v>397</v>
      </c>
      <c r="T181" s="48">
        <v>397</v>
      </c>
      <c r="U181" s="48">
        <v>397</v>
      </c>
      <c r="V181" s="48"/>
    </row>
    <row r="182" spans="2:22" ht="34.5" x14ac:dyDescent="0.25">
      <c r="B182" s="44" t="s">
        <v>406</v>
      </c>
      <c r="C182" s="44" t="s">
        <v>337</v>
      </c>
      <c r="D182" s="44" t="s">
        <v>407</v>
      </c>
      <c r="E182" s="44" t="s">
        <v>27</v>
      </c>
      <c r="F182" s="44" t="s">
        <v>338</v>
      </c>
      <c r="G182" s="44" t="s">
        <v>27</v>
      </c>
      <c r="H182" s="44">
        <v>70059</v>
      </c>
      <c r="I182" s="44">
        <v>70424</v>
      </c>
      <c r="J182" s="44" t="s">
        <v>28</v>
      </c>
      <c r="K182" s="44" t="s">
        <v>406</v>
      </c>
      <c r="L182" s="44" t="s">
        <v>29</v>
      </c>
      <c r="M182" s="44"/>
      <c r="N182" s="45">
        <v>627</v>
      </c>
      <c r="O182" s="45">
        <v>689</v>
      </c>
      <c r="P182" s="45">
        <v>712</v>
      </c>
      <c r="Q182" s="45">
        <v>783</v>
      </c>
      <c r="R182" s="45">
        <v>125</v>
      </c>
      <c r="S182" s="45">
        <v>137</v>
      </c>
      <c r="T182" s="45">
        <v>142</v>
      </c>
      <c r="U182" s="45">
        <v>156</v>
      </c>
      <c r="V182" s="46"/>
    </row>
    <row r="183" spans="2:22" ht="20" x14ac:dyDescent="0.25">
      <c r="B183" s="47" t="s">
        <v>406</v>
      </c>
      <c r="C183" s="47" t="s">
        <v>337</v>
      </c>
      <c r="D183" s="47" t="s">
        <v>407</v>
      </c>
      <c r="E183" s="47" t="s">
        <v>27</v>
      </c>
      <c r="F183" s="47" t="s">
        <v>338</v>
      </c>
      <c r="G183" s="47" t="s">
        <v>27</v>
      </c>
      <c r="H183" s="47">
        <v>70059</v>
      </c>
      <c r="I183" s="47">
        <v>70424</v>
      </c>
      <c r="J183" s="47" t="s">
        <v>28</v>
      </c>
      <c r="K183" s="47" t="s">
        <v>339</v>
      </c>
      <c r="L183" s="47" t="s">
        <v>31</v>
      </c>
      <c r="M183" s="47" t="s">
        <v>340</v>
      </c>
      <c r="N183" s="48">
        <v>627</v>
      </c>
      <c r="O183" s="48">
        <v>689</v>
      </c>
      <c r="P183" s="48">
        <v>712</v>
      </c>
      <c r="Q183" s="48">
        <v>783</v>
      </c>
      <c r="R183" s="48">
        <v>125</v>
      </c>
      <c r="S183" s="48">
        <v>137</v>
      </c>
      <c r="T183" s="48">
        <v>142</v>
      </c>
      <c r="U183" s="48">
        <v>156</v>
      </c>
      <c r="V183" s="48"/>
    </row>
    <row r="184" spans="2:22" ht="34.5" x14ac:dyDescent="0.25">
      <c r="B184" s="44" t="s">
        <v>408</v>
      </c>
      <c r="C184" s="44" t="s">
        <v>409</v>
      </c>
      <c r="D184" s="44" t="s">
        <v>407</v>
      </c>
      <c r="E184" s="44" t="s">
        <v>27</v>
      </c>
      <c r="F184" s="44" t="s">
        <v>381</v>
      </c>
      <c r="G184" s="44" t="s">
        <v>27</v>
      </c>
      <c r="H184" s="44">
        <v>70059</v>
      </c>
      <c r="I184" s="44">
        <v>70440</v>
      </c>
      <c r="J184" s="44" t="s">
        <v>28</v>
      </c>
      <c r="K184" s="44" t="s">
        <v>408</v>
      </c>
      <c r="L184" s="44" t="s">
        <v>29</v>
      </c>
      <c r="M184" s="44"/>
      <c r="N184" s="45">
        <v>799</v>
      </c>
      <c r="O184" s="45">
        <v>879</v>
      </c>
      <c r="P184" s="45">
        <v>908</v>
      </c>
      <c r="Q184" s="45">
        <v>999</v>
      </c>
      <c r="R184" s="45">
        <v>159</v>
      </c>
      <c r="S184" s="45">
        <v>175</v>
      </c>
      <c r="T184" s="45">
        <v>181</v>
      </c>
      <c r="U184" s="45">
        <v>199</v>
      </c>
      <c r="V184" s="46"/>
    </row>
    <row r="185" spans="2:22" ht="30" x14ac:dyDescent="0.25">
      <c r="B185" s="47" t="s">
        <v>408</v>
      </c>
      <c r="C185" s="47" t="s">
        <v>409</v>
      </c>
      <c r="D185" s="47" t="s">
        <v>407</v>
      </c>
      <c r="E185" s="47" t="s">
        <v>27</v>
      </c>
      <c r="F185" s="47" t="s">
        <v>381</v>
      </c>
      <c r="G185" s="47" t="s">
        <v>27</v>
      </c>
      <c r="H185" s="47">
        <v>70059</v>
      </c>
      <c r="I185" s="47">
        <v>70440</v>
      </c>
      <c r="J185" s="47" t="s">
        <v>28</v>
      </c>
      <c r="K185" s="47" t="s">
        <v>32</v>
      </c>
      <c r="L185" s="47" t="s">
        <v>31</v>
      </c>
      <c r="M185" s="47" t="s">
        <v>410</v>
      </c>
      <c r="N185" s="48">
        <v>799</v>
      </c>
      <c r="O185" s="48">
        <v>879</v>
      </c>
      <c r="P185" s="48">
        <v>908</v>
      </c>
      <c r="Q185" s="48">
        <v>999</v>
      </c>
      <c r="R185" s="48">
        <v>159</v>
      </c>
      <c r="S185" s="48">
        <v>175</v>
      </c>
      <c r="T185" s="48">
        <v>181</v>
      </c>
      <c r="U185" s="48">
        <v>199</v>
      </c>
      <c r="V185" s="48"/>
    </row>
    <row r="186" spans="2:22" ht="30" x14ac:dyDescent="0.25">
      <c r="B186" s="47" t="s">
        <v>408</v>
      </c>
      <c r="C186" s="47" t="s">
        <v>409</v>
      </c>
      <c r="D186" s="47" t="s">
        <v>407</v>
      </c>
      <c r="E186" s="47" t="s">
        <v>27</v>
      </c>
      <c r="F186" s="47" t="s">
        <v>381</v>
      </c>
      <c r="G186" s="47" t="s">
        <v>27</v>
      </c>
      <c r="H186" s="47">
        <v>70059</v>
      </c>
      <c r="I186" s="47">
        <v>70440</v>
      </c>
      <c r="J186" s="47" t="s">
        <v>28</v>
      </c>
      <c r="K186" s="47" t="s">
        <v>408</v>
      </c>
      <c r="L186" s="47" t="s">
        <v>30</v>
      </c>
      <c r="M186" s="47" t="s">
        <v>409</v>
      </c>
      <c r="N186" s="48">
        <v>799</v>
      </c>
      <c r="O186" s="48">
        <v>879</v>
      </c>
      <c r="P186" s="48">
        <v>908</v>
      </c>
      <c r="Q186" s="48">
        <v>999</v>
      </c>
      <c r="R186" s="48">
        <v>159</v>
      </c>
      <c r="S186" s="48">
        <v>175</v>
      </c>
      <c r="T186" s="48">
        <v>181</v>
      </c>
      <c r="U186" s="48">
        <v>199</v>
      </c>
      <c r="V186" s="48"/>
    </row>
    <row r="187" spans="2:22" ht="34.5" x14ac:dyDescent="0.25">
      <c r="B187" s="44" t="s">
        <v>413</v>
      </c>
      <c r="C187" s="44" t="s">
        <v>414</v>
      </c>
      <c r="D187" s="44" t="s">
        <v>407</v>
      </c>
      <c r="E187" s="44" t="s">
        <v>27</v>
      </c>
      <c r="F187" s="44" t="s">
        <v>381</v>
      </c>
      <c r="G187" s="44" t="s">
        <v>27</v>
      </c>
      <c r="H187" s="44">
        <v>70059</v>
      </c>
      <c r="I187" s="44">
        <v>70444</v>
      </c>
      <c r="J187" s="44" t="s">
        <v>28</v>
      </c>
      <c r="K187" s="44" t="s">
        <v>413</v>
      </c>
      <c r="L187" s="44" t="s">
        <v>29</v>
      </c>
      <c r="M187" s="44"/>
      <c r="N187" s="45">
        <v>750</v>
      </c>
      <c r="O187" s="45">
        <v>750</v>
      </c>
      <c r="P187" s="45">
        <v>750</v>
      </c>
      <c r="Q187" s="45">
        <v>750</v>
      </c>
      <c r="R187" s="45">
        <v>149</v>
      </c>
      <c r="S187" s="45">
        <v>149</v>
      </c>
      <c r="T187" s="45">
        <v>149</v>
      </c>
      <c r="U187" s="45">
        <v>149</v>
      </c>
      <c r="V187" s="46"/>
    </row>
    <row r="188" spans="2:22" ht="30" x14ac:dyDescent="0.25">
      <c r="B188" s="47" t="s">
        <v>413</v>
      </c>
      <c r="C188" s="47" t="s">
        <v>414</v>
      </c>
      <c r="D188" s="47" t="s">
        <v>407</v>
      </c>
      <c r="E188" s="47" t="s">
        <v>27</v>
      </c>
      <c r="F188" s="47" t="s">
        <v>381</v>
      </c>
      <c r="G188" s="47" t="s">
        <v>27</v>
      </c>
      <c r="H188" s="47">
        <v>70059</v>
      </c>
      <c r="I188" s="47">
        <v>70444</v>
      </c>
      <c r="J188" s="47" t="s">
        <v>28</v>
      </c>
      <c r="K188" s="47" t="s">
        <v>2376</v>
      </c>
      <c r="L188" s="47" t="s">
        <v>39</v>
      </c>
      <c r="M188" s="47" t="s">
        <v>410</v>
      </c>
      <c r="N188" s="48">
        <v>750</v>
      </c>
      <c r="O188" s="48">
        <v>750</v>
      </c>
      <c r="P188" s="48">
        <v>750</v>
      </c>
      <c r="Q188" s="48">
        <v>750</v>
      </c>
      <c r="R188" s="48">
        <v>149</v>
      </c>
      <c r="S188" s="48">
        <v>149</v>
      </c>
      <c r="T188" s="48">
        <v>149</v>
      </c>
      <c r="U188" s="48">
        <v>149</v>
      </c>
      <c r="V188" s="48"/>
    </row>
    <row r="189" spans="2:22" ht="23" x14ac:dyDescent="0.25">
      <c r="B189" s="44" t="s">
        <v>416</v>
      </c>
      <c r="C189" s="44" t="s">
        <v>417</v>
      </c>
      <c r="D189" s="44" t="s">
        <v>419</v>
      </c>
      <c r="E189" s="44" t="s">
        <v>27</v>
      </c>
      <c r="F189" s="44" t="s">
        <v>418</v>
      </c>
      <c r="G189" s="44" t="s">
        <v>27</v>
      </c>
      <c r="H189" s="44">
        <v>70067</v>
      </c>
      <c r="I189" s="44">
        <v>70512</v>
      </c>
      <c r="J189" s="44" t="s">
        <v>28</v>
      </c>
      <c r="K189" s="44" t="s">
        <v>416</v>
      </c>
      <c r="L189" s="44" t="s">
        <v>29</v>
      </c>
      <c r="M189" s="44"/>
      <c r="N189" s="45">
        <v>1265</v>
      </c>
      <c r="O189" s="45">
        <v>1391</v>
      </c>
      <c r="P189" s="45">
        <v>1441</v>
      </c>
      <c r="Q189" s="45">
        <v>1585</v>
      </c>
      <c r="R189" s="45">
        <v>504</v>
      </c>
      <c r="S189" s="45">
        <v>554</v>
      </c>
      <c r="T189" s="45">
        <v>574</v>
      </c>
      <c r="U189" s="45">
        <v>631</v>
      </c>
      <c r="V189" s="46"/>
    </row>
    <row r="190" spans="2:22" ht="20" x14ac:dyDescent="0.25">
      <c r="B190" s="47" t="s">
        <v>416</v>
      </c>
      <c r="C190" s="47" t="s">
        <v>417</v>
      </c>
      <c r="D190" s="47" t="s">
        <v>419</v>
      </c>
      <c r="E190" s="47" t="s">
        <v>27</v>
      </c>
      <c r="F190" s="47" t="s">
        <v>418</v>
      </c>
      <c r="G190" s="47" t="s">
        <v>27</v>
      </c>
      <c r="H190" s="47">
        <v>70067</v>
      </c>
      <c r="I190" s="47">
        <v>70512</v>
      </c>
      <c r="J190" s="47" t="s">
        <v>28</v>
      </c>
      <c r="K190" s="47" t="s">
        <v>416</v>
      </c>
      <c r="L190" s="47" t="s">
        <v>30</v>
      </c>
      <c r="M190" s="47" t="s">
        <v>417</v>
      </c>
      <c r="N190" s="48">
        <v>1265</v>
      </c>
      <c r="O190" s="48">
        <v>1391</v>
      </c>
      <c r="P190" s="48">
        <v>1441</v>
      </c>
      <c r="Q190" s="48">
        <v>1585</v>
      </c>
      <c r="R190" s="48">
        <v>504</v>
      </c>
      <c r="S190" s="48">
        <v>554</v>
      </c>
      <c r="T190" s="48">
        <v>574</v>
      </c>
      <c r="U190" s="48">
        <v>631</v>
      </c>
      <c r="V190" s="48"/>
    </row>
    <row r="191" spans="2:22" ht="23" x14ac:dyDescent="0.25">
      <c r="B191" s="44" t="s">
        <v>420</v>
      </c>
      <c r="C191" s="44" t="s">
        <v>421</v>
      </c>
      <c r="D191" s="44" t="s">
        <v>419</v>
      </c>
      <c r="E191" s="44" t="s">
        <v>27</v>
      </c>
      <c r="F191" s="44" t="s">
        <v>422</v>
      </c>
      <c r="G191" s="44" t="s">
        <v>27</v>
      </c>
      <c r="H191" s="44">
        <v>70067</v>
      </c>
      <c r="I191" s="44">
        <v>70396</v>
      </c>
      <c r="J191" s="44" t="s">
        <v>28</v>
      </c>
      <c r="K191" s="44" t="s">
        <v>420</v>
      </c>
      <c r="L191" s="44" t="s">
        <v>29</v>
      </c>
      <c r="M191" s="44"/>
      <c r="N191" s="45">
        <v>1200</v>
      </c>
      <c r="O191" s="45">
        <v>1200</v>
      </c>
      <c r="P191" s="45">
        <v>1200</v>
      </c>
      <c r="Q191" s="45">
        <v>1200</v>
      </c>
      <c r="R191" s="45">
        <v>478</v>
      </c>
      <c r="S191" s="45">
        <v>478</v>
      </c>
      <c r="T191" s="45">
        <v>478</v>
      </c>
      <c r="U191" s="45">
        <v>478</v>
      </c>
      <c r="V191" s="46"/>
    </row>
    <row r="192" spans="2:22" ht="30" x14ac:dyDescent="0.25">
      <c r="B192" s="47" t="s">
        <v>420</v>
      </c>
      <c r="C192" s="47" t="s">
        <v>421</v>
      </c>
      <c r="D192" s="47" t="s">
        <v>419</v>
      </c>
      <c r="E192" s="47" t="s">
        <v>27</v>
      </c>
      <c r="F192" s="47" t="s">
        <v>422</v>
      </c>
      <c r="G192" s="47" t="s">
        <v>27</v>
      </c>
      <c r="H192" s="47">
        <v>70067</v>
      </c>
      <c r="I192" s="47">
        <v>70396</v>
      </c>
      <c r="J192" s="47" t="s">
        <v>28</v>
      </c>
      <c r="K192" s="47" t="s">
        <v>423</v>
      </c>
      <c r="L192" s="47" t="s">
        <v>36</v>
      </c>
      <c r="M192" s="47" t="s">
        <v>424</v>
      </c>
      <c r="N192" s="48">
        <v>1200</v>
      </c>
      <c r="O192" s="48">
        <v>1200</v>
      </c>
      <c r="P192" s="48">
        <v>1200</v>
      </c>
      <c r="Q192" s="48">
        <v>1200</v>
      </c>
      <c r="R192" s="48">
        <v>478</v>
      </c>
      <c r="S192" s="48">
        <v>478</v>
      </c>
      <c r="T192" s="48">
        <v>478</v>
      </c>
      <c r="U192" s="48">
        <v>478</v>
      </c>
      <c r="V192" s="48"/>
    </row>
    <row r="193" spans="2:22" ht="30" x14ac:dyDescent="0.25">
      <c r="B193" s="47" t="s">
        <v>420</v>
      </c>
      <c r="C193" s="47" t="s">
        <v>421</v>
      </c>
      <c r="D193" s="47" t="s">
        <v>419</v>
      </c>
      <c r="E193" s="47" t="s">
        <v>27</v>
      </c>
      <c r="F193" s="47" t="s">
        <v>422</v>
      </c>
      <c r="G193" s="47" t="s">
        <v>27</v>
      </c>
      <c r="H193" s="47">
        <v>70067</v>
      </c>
      <c r="I193" s="47">
        <v>70396</v>
      </c>
      <c r="J193" s="47" t="s">
        <v>28</v>
      </c>
      <c r="K193" s="47" t="s">
        <v>2377</v>
      </c>
      <c r="L193" s="47" t="s">
        <v>36</v>
      </c>
      <c r="M193" s="47" t="s">
        <v>424</v>
      </c>
      <c r="N193" s="48">
        <v>1200</v>
      </c>
      <c r="O193" s="48">
        <v>1200</v>
      </c>
      <c r="P193" s="48">
        <v>1200</v>
      </c>
      <c r="Q193" s="48">
        <v>1200</v>
      </c>
      <c r="R193" s="48">
        <v>478</v>
      </c>
      <c r="S193" s="48">
        <v>478</v>
      </c>
      <c r="T193" s="48">
        <v>478</v>
      </c>
      <c r="U193" s="48">
        <v>478</v>
      </c>
      <c r="V193" s="48"/>
    </row>
    <row r="194" spans="2:22" ht="23" x14ac:dyDescent="0.25">
      <c r="B194" s="44" t="s">
        <v>425</v>
      </c>
      <c r="C194" s="44" t="s">
        <v>417</v>
      </c>
      <c r="D194" s="44" t="s">
        <v>419</v>
      </c>
      <c r="E194" s="44" t="s">
        <v>27</v>
      </c>
      <c r="F194" s="44" t="s">
        <v>422</v>
      </c>
      <c r="G194" s="44" t="s">
        <v>27</v>
      </c>
      <c r="H194" s="44">
        <v>70046</v>
      </c>
      <c r="I194" s="44">
        <v>70396</v>
      </c>
      <c r="J194" s="44" t="s">
        <v>28</v>
      </c>
      <c r="K194" s="44" t="s">
        <v>425</v>
      </c>
      <c r="L194" s="44" t="s">
        <v>29</v>
      </c>
      <c r="M194" s="44"/>
      <c r="N194" s="45">
        <v>1262</v>
      </c>
      <c r="O194" s="45">
        <v>1388</v>
      </c>
      <c r="P194" s="45">
        <v>1438</v>
      </c>
      <c r="Q194" s="45">
        <v>1581</v>
      </c>
      <c r="R194" s="45">
        <v>503</v>
      </c>
      <c r="S194" s="45">
        <v>553</v>
      </c>
      <c r="T194" s="45">
        <v>573</v>
      </c>
      <c r="U194" s="45">
        <v>630</v>
      </c>
      <c r="V194" s="46"/>
    </row>
    <row r="195" spans="2:22" ht="20" x14ac:dyDescent="0.25">
      <c r="B195" s="47" t="s">
        <v>425</v>
      </c>
      <c r="C195" s="47" t="s">
        <v>417</v>
      </c>
      <c r="D195" s="47" t="s">
        <v>419</v>
      </c>
      <c r="E195" s="47" t="s">
        <v>27</v>
      </c>
      <c r="F195" s="47" t="s">
        <v>422</v>
      </c>
      <c r="G195" s="47" t="s">
        <v>27</v>
      </c>
      <c r="H195" s="47">
        <v>70046</v>
      </c>
      <c r="I195" s="47">
        <v>70396</v>
      </c>
      <c r="J195" s="47" t="s">
        <v>28</v>
      </c>
      <c r="K195" s="47" t="s">
        <v>425</v>
      </c>
      <c r="L195" s="47" t="s">
        <v>30</v>
      </c>
      <c r="M195" s="47" t="s">
        <v>417</v>
      </c>
      <c r="N195" s="48">
        <v>1262</v>
      </c>
      <c r="O195" s="48">
        <v>1388</v>
      </c>
      <c r="P195" s="48">
        <v>1438</v>
      </c>
      <c r="Q195" s="48">
        <v>1581</v>
      </c>
      <c r="R195" s="48">
        <v>503</v>
      </c>
      <c r="S195" s="48">
        <v>553</v>
      </c>
      <c r="T195" s="48">
        <v>573</v>
      </c>
      <c r="U195" s="48">
        <v>630</v>
      </c>
      <c r="V195" s="48"/>
    </row>
    <row r="196" spans="2:22" ht="23" x14ac:dyDescent="0.25">
      <c r="B196" s="44" t="s">
        <v>426</v>
      </c>
      <c r="C196" s="44" t="s">
        <v>421</v>
      </c>
      <c r="D196" s="44" t="s">
        <v>419</v>
      </c>
      <c r="E196" s="44" t="s">
        <v>27</v>
      </c>
      <c r="F196" s="44" t="s">
        <v>427</v>
      </c>
      <c r="G196" s="44" t="s">
        <v>27</v>
      </c>
      <c r="H196" s="44">
        <v>70046</v>
      </c>
      <c r="I196" s="44">
        <v>70491</v>
      </c>
      <c r="J196" s="44" t="s">
        <v>28</v>
      </c>
      <c r="K196" s="44" t="s">
        <v>426</v>
      </c>
      <c r="L196" s="44" t="s">
        <v>29</v>
      </c>
      <c r="M196" s="44"/>
      <c r="N196" s="45">
        <v>1214</v>
      </c>
      <c r="O196" s="45">
        <v>1392</v>
      </c>
      <c r="P196" s="45">
        <v>1442</v>
      </c>
      <c r="Q196" s="45">
        <v>1586</v>
      </c>
      <c r="R196" s="45">
        <v>484</v>
      </c>
      <c r="S196" s="45">
        <v>555</v>
      </c>
      <c r="T196" s="45">
        <v>574</v>
      </c>
      <c r="U196" s="45">
        <v>632</v>
      </c>
      <c r="V196" s="46"/>
    </row>
    <row r="197" spans="2:22" ht="20" x14ac:dyDescent="0.25">
      <c r="B197" s="47" t="s">
        <v>426</v>
      </c>
      <c r="C197" s="47" t="s">
        <v>421</v>
      </c>
      <c r="D197" s="47" t="s">
        <v>419</v>
      </c>
      <c r="E197" s="47" t="s">
        <v>27</v>
      </c>
      <c r="F197" s="47" t="s">
        <v>427</v>
      </c>
      <c r="G197" s="47" t="s">
        <v>27</v>
      </c>
      <c r="H197" s="47">
        <v>70046</v>
      </c>
      <c r="I197" s="47">
        <v>70491</v>
      </c>
      <c r="J197" s="47" t="s">
        <v>28</v>
      </c>
      <c r="K197" s="47" t="s">
        <v>388</v>
      </c>
      <c r="L197" s="47" t="s">
        <v>31</v>
      </c>
      <c r="M197" s="47" t="s">
        <v>428</v>
      </c>
      <c r="N197" s="48">
        <v>1214</v>
      </c>
      <c r="O197" s="47">
        <v>1421</v>
      </c>
      <c r="P197" s="47">
        <v>1450</v>
      </c>
      <c r="Q197" s="47">
        <v>1619</v>
      </c>
      <c r="R197" s="48">
        <v>484</v>
      </c>
      <c r="S197" s="47">
        <v>566</v>
      </c>
      <c r="T197" s="47">
        <v>578</v>
      </c>
      <c r="U197" s="47">
        <v>645</v>
      </c>
      <c r="V197" s="47"/>
    </row>
    <row r="198" spans="2:22" ht="20" x14ac:dyDescent="0.25">
      <c r="B198" s="47" t="s">
        <v>426</v>
      </c>
      <c r="C198" s="47" t="s">
        <v>421</v>
      </c>
      <c r="D198" s="47" t="s">
        <v>419</v>
      </c>
      <c r="E198" s="47" t="s">
        <v>27</v>
      </c>
      <c r="F198" s="47" t="s">
        <v>427</v>
      </c>
      <c r="G198" s="47" t="s">
        <v>27</v>
      </c>
      <c r="H198" s="47">
        <v>70046</v>
      </c>
      <c r="I198" s="47">
        <v>70491</v>
      </c>
      <c r="J198" s="47" t="s">
        <v>28</v>
      </c>
      <c r="K198" s="47" t="s">
        <v>426</v>
      </c>
      <c r="L198" s="47" t="s">
        <v>30</v>
      </c>
      <c r="M198" s="47" t="s">
        <v>421</v>
      </c>
      <c r="N198" s="47">
        <v>1265</v>
      </c>
      <c r="O198" s="48">
        <v>1392</v>
      </c>
      <c r="P198" s="48">
        <v>1442</v>
      </c>
      <c r="Q198" s="48">
        <v>1586</v>
      </c>
      <c r="R198" s="47">
        <v>504</v>
      </c>
      <c r="S198" s="48">
        <v>555</v>
      </c>
      <c r="T198" s="48">
        <v>574</v>
      </c>
      <c r="U198" s="48">
        <v>632</v>
      </c>
      <c r="V198" s="48"/>
    </row>
    <row r="199" spans="2:22" ht="31.5" x14ac:dyDescent="0.25">
      <c r="B199" s="44" t="s">
        <v>161</v>
      </c>
      <c r="C199" s="44" t="s">
        <v>162</v>
      </c>
      <c r="D199" s="44" t="s">
        <v>221</v>
      </c>
      <c r="E199" s="44" t="s">
        <v>27</v>
      </c>
      <c r="F199" s="44" t="s">
        <v>222</v>
      </c>
      <c r="G199" s="44" t="s">
        <v>27</v>
      </c>
      <c r="H199" s="44">
        <v>70056</v>
      </c>
      <c r="I199" s="44">
        <v>70312</v>
      </c>
      <c r="J199" s="44" t="s">
        <v>28</v>
      </c>
      <c r="K199" s="44" t="s">
        <v>161</v>
      </c>
      <c r="L199" s="44" t="s">
        <v>29</v>
      </c>
      <c r="M199" s="44"/>
      <c r="N199" s="45"/>
      <c r="O199" s="45"/>
      <c r="P199" s="45"/>
      <c r="Q199" s="45"/>
      <c r="R199" s="45"/>
      <c r="S199" s="45"/>
      <c r="T199" s="45"/>
      <c r="U199" s="45"/>
      <c r="V199" s="46" t="s">
        <v>1316</v>
      </c>
    </row>
    <row r="200" spans="2:22" ht="34.5" x14ac:dyDescent="0.25">
      <c r="B200" s="44" t="s">
        <v>429</v>
      </c>
      <c r="C200" s="44" t="s">
        <v>430</v>
      </c>
      <c r="D200" s="44" t="s">
        <v>431</v>
      </c>
      <c r="E200" s="44" t="s">
        <v>27</v>
      </c>
      <c r="F200" s="44" t="s">
        <v>365</v>
      </c>
      <c r="G200" s="44" t="s">
        <v>27</v>
      </c>
      <c r="H200" s="44">
        <v>70072</v>
      </c>
      <c r="I200" s="44">
        <v>70156</v>
      </c>
      <c r="J200" s="44" t="s">
        <v>28</v>
      </c>
      <c r="K200" s="44" t="s">
        <v>429</v>
      </c>
      <c r="L200" s="44" t="s">
        <v>29</v>
      </c>
      <c r="M200" s="44"/>
      <c r="N200" s="45">
        <v>1584</v>
      </c>
      <c r="O200" s="45">
        <v>1584</v>
      </c>
      <c r="P200" s="45">
        <v>1673</v>
      </c>
      <c r="Q200" s="45">
        <v>1673</v>
      </c>
      <c r="R200" s="45">
        <v>631</v>
      </c>
      <c r="S200" s="45">
        <v>631</v>
      </c>
      <c r="T200" s="45">
        <v>666</v>
      </c>
      <c r="U200" s="45">
        <v>666</v>
      </c>
      <c r="V200" s="46"/>
    </row>
    <row r="201" spans="2:22" ht="20" x14ac:dyDescent="0.25">
      <c r="B201" s="47" t="s">
        <v>429</v>
      </c>
      <c r="C201" s="47" t="s">
        <v>430</v>
      </c>
      <c r="D201" s="47" t="s">
        <v>431</v>
      </c>
      <c r="E201" s="47" t="s">
        <v>27</v>
      </c>
      <c r="F201" s="47" t="s">
        <v>365</v>
      </c>
      <c r="G201" s="47" t="s">
        <v>27</v>
      </c>
      <c r="H201" s="47">
        <v>70072</v>
      </c>
      <c r="I201" s="47">
        <v>70156</v>
      </c>
      <c r="J201" s="47" t="s">
        <v>28</v>
      </c>
      <c r="K201" s="47"/>
      <c r="L201" s="47" t="s">
        <v>301</v>
      </c>
      <c r="M201" s="47" t="s">
        <v>366</v>
      </c>
      <c r="N201" s="48">
        <v>1584</v>
      </c>
      <c r="O201" s="48">
        <v>1584</v>
      </c>
      <c r="P201" s="48">
        <v>1673</v>
      </c>
      <c r="Q201" s="48">
        <v>1673</v>
      </c>
      <c r="R201" s="48">
        <v>631</v>
      </c>
      <c r="S201" s="48">
        <v>631</v>
      </c>
      <c r="T201" s="48">
        <v>666</v>
      </c>
      <c r="U201" s="48">
        <v>666</v>
      </c>
      <c r="V201" s="48"/>
    </row>
    <row r="202" spans="2:22" ht="34.5" x14ac:dyDescent="0.25">
      <c r="B202" s="44" t="s">
        <v>432</v>
      </c>
      <c r="C202" s="44" t="s">
        <v>433</v>
      </c>
      <c r="D202" s="44" t="s">
        <v>431</v>
      </c>
      <c r="E202" s="44" t="s">
        <v>27</v>
      </c>
      <c r="F202" s="44" t="s">
        <v>434</v>
      </c>
      <c r="G202" s="44" t="s">
        <v>27</v>
      </c>
      <c r="H202" s="44">
        <v>70071</v>
      </c>
      <c r="I202" s="44">
        <v>70197</v>
      </c>
      <c r="J202" s="44" t="s">
        <v>28</v>
      </c>
      <c r="K202" s="44" t="s">
        <v>432</v>
      </c>
      <c r="L202" s="44" t="s">
        <v>29</v>
      </c>
      <c r="M202" s="44"/>
      <c r="N202" s="45">
        <v>600</v>
      </c>
      <c r="O202" s="45">
        <v>775</v>
      </c>
      <c r="P202" s="45">
        <v>743</v>
      </c>
      <c r="Q202" s="45">
        <v>890</v>
      </c>
      <c r="R202" s="45">
        <v>120</v>
      </c>
      <c r="S202" s="45">
        <v>154</v>
      </c>
      <c r="T202" s="45">
        <v>148</v>
      </c>
      <c r="U202" s="45">
        <v>177</v>
      </c>
      <c r="V202" s="46"/>
    </row>
    <row r="203" spans="2:22" ht="20" x14ac:dyDescent="0.25">
      <c r="B203" s="47" t="s">
        <v>432</v>
      </c>
      <c r="C203" s="47" t="s">
        <v>433</v>
      </c>
      <c r="D203" s="47" t="s">
        <v>431</v>
      </c>
      <c r="E203" s="47" t="s">
        <v>27</v>
      </c>
      <c r="F203" s="47" t="s">
        <v>434</v>
      </c>
      <c r="G203" s="47" t="s">
        <v>27</v>
      </c>
      <c r="H203" s="47">
        <v>70071</v>
      </c>
      <c r="I203" s="47">
        <v>70197</v>
      </c>
      <c r="J203" s="47" t="s">
        <v>28</v>
      </c>
      <c r="K203" s="47" t="s">
        <v>437</v>
      </c>
      <c r="L203" s="47" t="s">
        <v>34</v>
      </c>
      <c r="M203" s="47" t="s">
        <v>438</v>
      </c>
      <c r="N203" s="48">
        <v>600</v>
      </c>
      <c r="O203" s="48">
        <v>775</v>
      </c>
      <c r="P203" s="48">
        <v>743</v>
      </c>
      <c r="Q203" s="48">
        <v>890</v>
      </c>
      <c r="R203" s="48">
        <v>120</v>
      </c>
      <c r="S203" s="48">
        <v>154</v>
      </c>
      <c r="T203" s="48">
        <v>148</v>
      </c>
      <c r="U203" s="48">
        <v>177</v>
      </c>
      <c r="V203" s="48"/>
    </row>
    <row r="204" spans="2:22" ht="34.5" x14ac:dyDescent="0.25">
      <c r="B204" s="44" t="s">
        <v>439</v>
      </c>
      <c r="C204" s="44" t="s">
        <v>440</v>
      </c>
      <c r="D204" s="44" t="s">
        <v>431</v>
      </c>
      <c r="E204" s="44" t="s">
        <v>27</v>
      </c>
      <c r="F204" s="44" t="s">
        <v>441</v>
      </c>
      <c r="G204" s="44" t="s">
        <v>27</v>
      </c>
      <c r="H204" s="44">
        <v>70072</v>
      </c>
      <c r="I204" s="44">
        <v>70237</v>
      </c>
      <c r="J204" s="44" t="s">
        <v>28</v>
      </c>
      <c r="K204" s="44" t="s">
        <v>439</v>
      </c>
      <c r="L204" s="44" t="s">
        <v>29</v>
      </c>
      <c r="M204" s="44"/>
      <c r="N204" s="45">
        <v>1188</v>
      </c>
      <c r="O204" s="45">
        <v>1394</v>
      </c>
      <c r="P204" s="45">
        <v>1415</v>
      </c>
      <c r="Q204" s="45">
        <v>1556</v>
      </c>
      <c r="R204" s="45">
        <v>473</v>
      </c>
      <c r="S204" s="45">
        <v>555</v>
      </c>
      <c r="T204" s="45">
        <v>564</v>
      </c>
      <c r="U204" s="45">
        <v>620</v>
      </c>
      <c r="V204" s="46"/>
    </row>
    <row r="205" spans="2:22" ht="20" x14ac:dyDescent="0.25">
      <c r="B205" s="47" t="s">
        <v>439</v>
      </c>
      <c r="C205" s="47" t="s">
        <v>440</v>
      </c>
      <c r="D205" s="47" t="s">
        <v>431</v>
      </c>
      <c r="E205" s="47" t="s">
        <v>27</v>
      </c>
      <c r="F205" s="47" t="s">
        <v>441</v>
      </c>
      <c r="G205" s="47" t="s">
        <v>27</v>
      </c>
      <c r="H205" s="47">
        <v>70072</v>
      </c>
      <c r="I205" s="47">
        <v>70237</v>
      </c>
      <c r="J205" s="47" t="s">
        <v>28</v>
      </c>
      <c r="K205" s="47" t="s">
        <v>388</v>
      </c>
      <c r="L205" s="47" t="s">
        <v>31</v>
      </c>
      <c r="M205" s="47" t="s">
        <v>442</v>
      </c>
      <c r="N205" s="48">
        <v>1188</v>
      </c>
      <c r="O205" s="48">
        <v>1394</v>
      </c>
      <c r="P205" s="47">
        <v>1422</v>
      </c>
      <c r="Q205" s="47">
        <v>1590</v>
      </c>
      <c r="R205" s="48">
        <v>473</v>
      </c>
      <c r="S205" s="48">
        <v>555</v>
      </c>
      <c r="T205" s="47">
        <v>567</v>
      </c>
      <c r="U205" s="47">
        <v>633</v>
      </c>
      <c r="V205" s="47"/>
    </row>
    <row r="206" spans="2:22" ht="20" x14ac:dyDescent="0.25">
      <c r="B206" s="47" t="s">
        <v>439</v>
      </c>
      <c r="C206" s="47" t="s">
        <v>440</v>
      </c>
      <c r="D206" s="47" t="s">
        <v>431</v>
      </c>
      <c r="E206" s="47" t="s">
        <v>27</v>
      </c>
      <c r="F206" s="47" t="s">
        <v>441</v>
      </c>
      <c r="G206" s="47" t="s">
        <v>27</v>
      </c>
      <c r="H206" s="47">
        <v>70072</v>
      </c>
      <c r="I206" s="47">
        <v>70237</v>
      </c>
      <c r="J206" s="47" t="s">
        <v>28</v>
      </c>
      <c r="K206" s="47" t="s">
        <v>439</v>
      </c>
      <c r="L206" s="47" t="s">
        <v>30</v>
      </c>
      <c r="M206" s="47" t="s">
        <v>440</v>
      </c>
      <c r="N206" s="47">
        <v>1285</v>
      </c>
      <c r="O206" s="47">
        <v>1414</v>
      </c>
      <c r="P206" s="48">
        <v>1415</v>
      </c>
      <c r="Q206" s="48">
        <v>1556</v>
      </c>
      <c r="R206" s="47">
        <v>512</v>
      </c>
      <c r="S206" s="47">
        <v>563</v>
      </c>
      <c r="T206" s="48">
        <v>564</v>
      </c>
      <c r="U206" s="48">
        <v>620</v>
      </c>
      <c r="V206" s="48"/>
    </row>
    <row r="207" spans="2:22" ht="34.5" x14ac:dyDescent="0.25">
      <c r="B207" s="44" t="s">
        <v>443</v>
      </c>
      <c r="C207" s="44" t="s">
        <v>444</v>
      </c>
      <c r="D207" s="44" t="s">
        <v>431</v>
      </c>
      <c r="E207" s="44" t="s">
        <v>27</v>
      </c>
      <c r="F207" s="44" t="s">
        <v>445</v>
      </c>
      <c r="G207" s="44" t="s">
        <v>27</v>
      </c>
      <c r="H207" s="44">
        <v>70072</v>
      </c>
      <c r="I207" s="44">
        <v>70266</v>
      </c>
      <c r="J207" s="44" t="s">
        <v>28</v>
      </c>
      <c r="K207" s="44" t="s">
        <v>443</v>
      </c>
      <c r="L207" s="44" t="s">
        <v>29</v>
      </c>
      <c r="M207" s="44"/>
      <c r="N207" s="45">
        <v>1188</v>
      </c>
      <c r="O207" s="45">
        <v>1188</v>
      </c>
      <c r="P207" s="45">
        <v>1255</v>
      </c>
      <c r="Q207" s="45">
        <v>1255</v>
      </c>
      <c r="R207" s="45">
        <v>473</v>
      </c>
      <c r="S207" s="45">
        <v>473</v>
      </c>
      <c r="T207" s="45">
        <v>500</v>
      </c>
      <c r="U207" s="45">
        <v>500</v>
      </c>
      <c r="V207" s="46"/>
    </row>
    <row r="208" spans="2:22" ht="20" x14ac:dyDescent="0.25">
      <c r="B208" s="47" t="s">
        <v>443</v>
      </c>
      <c r="C208" s="47" t="s">
        <v>444</v>
      </c>
      <c r="D208" s="47" t="s">
        <v>431</v>
      </c>
      <c r="E208" s="47" t="s">
        <v>27</v>
      </c>
      <c r="F208" s="47" t="s">
        <v>445</v>
      </c>
      <c r="G208" s="47" t="s">
        <v>27</v>
      </c>
      <c r="H208" s="47">
        <v>70072</v>
      </c>
      <c r="I208" s="47">
        <v>70266</v>
      </c>
      <c r="J208" s="47" t="s">
        <v>28</v>
      </c>
      <c r="K208" s="47"/>
      <c r="L208" s="47" t="s">
        <v>301</v>
      </c>
      <c r="M208" s="47" t="s">
        <v>447</v>
      </c>
      <c r="N208" s="48">
        <v>1188</v>
      </c>
      <c r="O208" s="48">
        <v>1188</v>
      </c>
      <c r="P208" s="48">
        <v>1255</v>
      </c>
      <c r="Q208" s="48">
        <v>1255</v>
      </c>
      <c r="R208" s="48">
        <v>473</v>
      </c>
      <c r="S208" s="48">
        <v>473</v>
      </c>
      <c r="T208" s="48">
        <v>500</v>
      </c>
      <c r="U208" s="48">
        <v>500</v>
      </c>
      <c r="V208" s="48"/>
    </row>
    <row r="209" spans="2:22" x14ac:dyDescent="0.25">
      <c r="B209" s="94" t="s">
        <v>2719</v>
      </c>
      <c r="C209" s="94" t="s">
        <v>2718</v>
      </c>
      <c r="D209" s="94" t="s">
        <v>2676</v>
      </c>
      <c r="E209" s="94" t="s">
        <v>27</v>
      </c>
      <c r="F209" s="94" t="s">
        <v>2696</v>
      </c>
      <c r="G209" s="94" t="s">
        <v>27</v>
      </c>
      <c r="H209" s="94">
        <v>70915</v>
      </c>
      <c r="I209" s="94">
        <v>70918</v>
      </c>
      <c r="J209" s="94" t="s">
        <v>28</v>
      </c>
      <c r="K209" s="94" t="s">
        <v>2719</v>
      </c>
      <c r="L209" s="94" t="s">
        <v>29</v>
      </c>
      <c r="M209" s="94"/>
      <c r="N209" s="97">
        <v>2897</v>
      </c>
      <c r="O209" s="97">
        <v>2970</v>
      </c>
      <c r="P209" s="97">
        <v>3000</v>
      </c>
      <c r="Q209" s="97">
        <v>3000</v>
      </c>
      <c r="R209" s="97">
        <v>1731</v>
      </c>
      <c r="S209" s="97">
        <v>1775</v>
      </c>
      <c r="T209" s="97">
        <v>1793</v>
      </c>
      <c r="U209" s="97">
        <v>1793</v>
      </c>
      <c r="V209" s="98"/>
    </row>
    <row r="210" spans="2:22" x14ac:dyDescent="0.25">
      <c r="B210" s="96" t="s">
        <v>2719</v>
      </c>
      <c r="C210" s="96" t="s">
        <v>2718</v>
      </c>
      <c r="D210" s="96" t="s">
        <v>2676</v>
      </c>
      <c r="E210" s="96" t="s">
        <v>27</v>
      </c>
      <c r="F210" s="96" t="s">
        <v>2696</v>
      </c>
      <c r="G210" s="96" t="s">
        <v>27</v>
      </c>
      <c r="H210" s="96">
        <v>70915</v>
      </c>
      <c r="I210" s="96">
        <v>70918</v>
      </c>
      <c r="J210" s="96" t="s">
        <v>28</v>
      </c>
      <c r="K210" s="96" t="s">
        <v>2719</v>
      </c>
      <c r="L210" s="96" t="s">
        <v>30</v>
      </c>
      <c r="M210" s="96" t="s">
        <v>2718</v>
      </c>
      <c r="N210" s="95">
        <v>2897</v>
      </c>
      <c r="O210" s="96">
        <v>3187</v>
      </c>
      <c r="P210" s="96">
        <v>3302</v>
      </c>
      <c r="Q210" s="96">
        <v>3633</v>
      </c>
      <c r="R210" s="95">
        <v>1731</v>
      </c>
      <c r="S210" s="96">
        <v>1904</v>
      </c>
      <c r="T210" s="96">
        <v>1973</v>
      </c>
      <c r="U210" s="96">
        <v>2171</v>
      </c>
      <c r="V210" s="96"/>
    </row>
    <row r="211" spans="2:22" x14ac:dyDescent="0.25">
      <c r="B211" s="96" t="s">
        <v>2719</v>
      </c>
      <c r="C211" s="96" t="s">
        <v>2718</v>
      </c>
      <c r="D211" s="96" t="s">
        <v>2676</v>
      </c>
      <c r="E211" s="96" t="s">
        <v>27</v>
      </c>
      <c r="F211" s="96" t="s">
        <v>2696</v>
      </c>
      <c r="G211" s="96" t="s">
        <v>27</v>
      </c>
      <c r="H211" s="96">
        <v>70915</v>
      </c>
      <c r="I211" s="96">
        <v>70918</v>
      </c>
      <c r="J211" s="96" t="s">
        <v>28</v>
      </c>
      <c r="K211" s="96"/>
      <c r="L211" s="96" t="s">
        <v>301</v>
      </c>
      <c r="M211" s="96" t="s">
        <v>2703</v>
      </c>
      <c r="N211" s="96">
        <v>2970</v>
      </c>
      <c r="O211" s="95">
        <v>2970</v>
      </c>
      <c r="P211" s="96">
        <v>3136</v>
      </c>
      <c r="Q211" s="96">
        <v>3136</v>
      </c>
      <c r="R211" s="96">
        <v>1775</v>
      </c>
      <c r="S211" s="95">
        <v>1775</v>
      </c>
      <c r="T211" s="96">
        <v>1874</v>
      </c>
      <c r="U211" s="96">
        <v>1874</v>
      </c>
      <c r="V211" s="96"/>
    </row>
    <row r="212" spans="2:22" x14ac:dyDescent="0.25">
      <c r="B212" s="96" t="s">
        <v>2719</v>
      </c>
      <c r="C212" s="96" t="s">
        <v>2718</v>
      </c>
      <c r="D212" s="96" t="s">
        <v>2676</v>
      </c>
      <c r="E212" s="96" t="s">
        <v>27</v>
      </c>
      <c r="F212" s="96" t="s">
        <v>2696</v>
      </c>
      <c r="G212" s="96" t="s">
        <v>27</v>
      </c>
      <c r="H212" s="96">
        <v>70915</v>
      </c>
      <c r="I212" s="96">
        <v>70918</v>
      </c>
      <c r="J212" s="96" t="s">
        <v>28</v>
      </c>
      <c r="K212" s="96"/>
      <c r="L212" s="96" t="s">
        <v>301</v>
      </c>
      <c r="M212" s="96" t="s">
        <v>2677</v>
      </c>
      <c r="N212" s="96">
        <v>2970</v>
      </c>
      <c r="O212" s="95">
        <v>2970</v>
      </c>
      <c r="P212" s="96">
        <v>3136</v>
      </c>
      <c r="Q212" s="96">
        <v>3136</v>
      </c>
      <c r="R212" s="96">
        <v>1775</v>
      </c>
      <c r="S212" s="95">
        <v>1775</v>
      </c>
      <c r="T212" s="96">
        <v>1874</v>
      </c>
      <c r="U212" s="96">
        <v>1874</v>
      </c>
      <c r="V212" s="96"/>
    </row>
    <row r="213" spans="2:22" x14ac:dyDescent="0.25">
      <c r="B213" s="96" t="s">
        <v>2719</v>
      </c>
      <c r="C213" s="96" t="s">
        <v>2718</v>
      </c>
      <c r="D213" s="96" t="s">
        <v>2676</v>
      </c>
      <c r="E213" s="96" t="s">
        <v>27</v>
      </c>
      <c r="F213" s="96" t="s">
        <v>2696</v>
      </c>
      <c r="G213" s="96" t="s">
        <v>27</v>
      </c>
      <c r="H213" s="96">
        <v>70915</v>
      </c>
      <c r="I213" s="96">
        <v>70918</v>
      </c>
      <c r="J213" s="96" t="s">
        <v>28</v>
      </c>
      <c r="K213" s="96" t="s">
        <v>2708</v>
      </c>
      <c r="L213" s="96" t="s">
        <v>49</v>
      </c>
      <c r="M213" s="96" t="s">
        <v>2703</v>
      </c>
      <c r="N213" s="96">
        <v>3000</v>
      </c>
      <c r="O213" s="96">
        <v>3000</v>
      </c>
      <c r="P213" s="95">
        <v>3000</v>
      </c>
      <c r="Q213" s="95">
        <v>3000</v>
      </c>
      <c r="R213" s="96">
        <v>1793</v>
      </c>
      <c r="S213" s="96">
        <v>1793</v>
      </c>
      <c r="T213" s="95">
        <v>1793</v>
      </c>
      <c r="U213" s="95">
        <v>1793</v>
      </c>
      <c r="V213" s="95"/>
    </row>
    <row r="214" spans="2:22" x14ac:dyDescent="0.25">
      <c r="B214" s="96" t="s">
        <v>2719</v>
      </c>
      <c r="C214" s="96" t="s">
        <v>2718</v>
      </c>
      <c r="D214" s="96" t="s">
        <v>2676</v>
      </c>
      <c r="E214" s="96" t="s">
        <v>27</v>
      </c>
      <c r="F214" s="96" t="s">
        <v>2696</v>
      </c>
      <c r="G214" s="96" t="s">
        <v>27</v>
      </c>
      <c r="H214" s="96">
        <v>70915</v>
      </c>
      <c r="I214" s="96">
        <v>70918</v>
      </c>
      <c r="J214" s="96" t="s">
        <v>28</v>
      </c>
      <c r="K214" s="96" t="s">
        <v>2720</v>
      </c>
      <c r="L214" s="96" t="s">
        <v>49</v>
      </c>
      <c r="M214" s="96" t="s">
        <v>2677</v>
      </c>
      <c r="N214" s="96">
        <v>3000</v>
      </c>
      <c r="O214" s="96">
        <v>3000</v>
      </c>
      <c r="P214" s="95">
        <v>3000</v>
      </c>
      <c r="Q214" s="95">
        <v>3000</v>
      </c>
      <c r="R214" s="96">
        <v>1793</v>
      </c>
      <c r="S214" s="96">
        <v>1793</v>
      </c>
      <c r="T214" s="95">
        <v>1793</v>
      </c>
      <c r="U214" s="95">
        <v>1793</v>
      </c>
      <c r="V214" s="95"/>
    </row>
    <row r="215" spans="2:22" x14ac:dyDescent="0.25">
      <c r="B215" s="96" t="s">
        <v>2719</v>
      </c>
      <c r="C215" s="96" t="s">
        <v>2718</v>
      </c>
      <c r="D215" s="96" t="s">
        <v>2676</v>
      </c>
      <c r="E215" s="96" t="s">
        <v>27</v>
      </c>
      <c r="F215" s="96" t="s">
        <v>2696</v>
      </c>
      <c r="G215" s="96" t="s">
        <v>27</v>
      </c>
      <c r="H215" s="96">
        <v>70915</v>
      </c>
      <c r="I215" s="96">
        <v>70918</v>
      </c>
      <c r="J215" s="96" t="s">
        <v>28</v>
      </c>
      <c r="K215" s="96" t="s">
        <v>2718</v>
      </c>
      <c r="L215" s="96" t="s">
        <v>49</v>
      </c>
      <c r="M215" s="96" t="s">
        <v>2677</v>
      </c>
      <c r="N215" s="96">
        <v>3000</v>
      </c>
      <c r="O215" s="96">
        <v>3000</v>
      </c>
      <c r="P215" s="95">
        <v>3000</v>
      </c>
      <c r="Q215" s="95">
        <v>3000</v>
      </c>
      <c r="R215" s="96">
        <v>1793</v>
      </c>
      <c r="S215" s="96">
        <v>1793</v>
      </c>
      <c r="T215" s="95">
        <v>1793</v>
      </c>
      <c r="U215" s="95">
        <v>1793</v>
      </c>
      <c r="V215" s="95"/>
    </row>
    <row r="216" spans="2:22" x14ac:dyDescent="0.25">
      <c r="B216" s="96" t="s">
        <v>2719</v>
      </c>
      <c r="C216" s="96" t="s">
        <v>2718</v>
      </c>
      <c r="D216" s="96" t="s">
        <v>2676</v>
      </c>
      <c r="E216" s="96" t="s">
        <v>27</v>
      </c>
      <c r="F216" s="96" t="s">
        <v>2696</v>
      </c>
      <c r="G216" s="96" t="s">
        <v>27</v>
      </c>
      <c r="H216" s="96">
        <v>70915</v>
      </c>
      <c r="I216" s="96">
        <v>70918</v>
      </c>
      <c r="J216" s="96" t="s">
        <v>28</v>
      </c>
      <c r="K216" s="96" t="s">
        <v>2718</v>
      </c>
      <c r="L216" s="96" t="s">
        <v>49</v>
      </c>
      <c r="M216" s="96" t="s">
        <v>2703</v>
      </c>
      <c r="N216" s="96">
        <v>3000</v>
      </c>
      <c r="O216" s="96">
        <v>3000</v>
      </c>
      <c r="P216" s="95">
        <v>3000</v>
      </c>
      <c r="Q216" s="95">
        <v>3000</v>
      </c>
      <c r="R216" s="96">
        <v>1793</v>
      </c>
      <c r="S216" s="96">
        <v>1793</v>
      </c>
      <c r="T216" s="95">
        <v>1793</v>
      </c>
      <c r="U216" s="95">
        <v>1793</v>
      </c>
      <c r="V216" s="95"/>
    </row>
    <row r="217" spans="2:22" x14ac:dyDescent="0.25">
      <c r="B217" s="94" t="s">
        <v>2716</v>
      </c>
      <c r="C217" s="94" t="s">
        <v>2715</v>
      </c>
      <c r="D217" s="94" t="s">
        <v>2676</v>
      </c>
      <c r="E217" s="94" t="s">
        <v>27</v>
      </c>
      <c r="F217" s="94" t="s">
        <v>2696</v>
      </c>
      <c r="G217" s="94" t="s">
        <v>27</v>
      </c>
      <c r="H217" s="94">
        <v>70915</v>
      </c>
      <c r="I217" s="94">
        <v>70918</v>
      </c>
      <c r="J217" s="94" t="s">
        <v>28</v>
      </c>
      <c r="K217" s="94" t="s">
        <v>2716</v>
      </c>
      <c r="L217" s="94" t="s">
        <v>29</v>
      </c>
      <c r="M217" s="94"/>
      <c r="N217" s="97">
        <v>2897</v>
      </c>
      <c r="O217" s="97">
        <v>2970</v>
      </c>
      <c r="P217" s="97">
        <v>3000</v>
      </c>
      <c r="Q217" s="97">
        <v>3000</v>
      </c>
      <c r="R217" s="97">
        <v>1731</v>
      </c>
      <c r="S217" s="97">
        <v>1775</v>
      </c>
      <c r="T217" s="97">
        <v>1793</v>
      </c>
      <c r="U217" s="97">
        <v>1793</v>
      </c>
      <c r="V217" s="98"/>
    </row>
    <row r="218" spans="2:22" x14ac:dyDescent="0.25">
      <c r="B218" s="96" t="s">
        <v>2716</v>
      </c>
      <c r="C218" s="96" t="s">
        <v>2715</v>
      </c>
      <c r="D218" s="96" t="s">
        <v>2676</v>
      </c>
      <c r="E218" s="96" t="s">
        <v>27</v>
      </c>
      <c r="F218" s="96" t="s">
        <v>2696</v>
      </c>
      <c r="G218" s="96" t="s">
        <v>27</v>
      </c>
      <c r="H218" s="96">
        <v>70915</v>
      </c>
      <c r="I218" s="96">
        <v>70918</v>
      </c>
      <c r="J218" s="96" t="s">
        <v>28</v>
      </c>
      <c r="K218" s="96" t="s">
        <v>2716</v>
      </c>
      <c r="L218" s="96" t="s">
        <v>30</v>
      </c>
      <c r="M218" s="96" t="s">
        <v>2715</v>
      </c>
      <c r="N218" s="95">
        <v>2897</v>
      </c>
      <c r="O218" s="96">
        <v>3187</v>
      </c>
      <c r="P218" s="96">
        <v>3302</v>
      </c>
      <c r="Q218" s="96">
        <v>3633</v>
      </c>
      <c r="R218" s="95">
        <v>1731</v>
      </c>
      <c r="S218" s="96">
        <v>1904</v>
      </c>
      <c r="T218" s="96">
        <v>1973</v>
      </c>
      <c r="U218" s="96">
        <v>2171</v>
      </c>
      <c r="V218" s="96"/>
    </row>
    <row r="219" spans="2:22" x14ac:dyDescent="0.25">
      <c r="B219" s="96" t="s">
        <v>2716</v>
      </c>
      <c r="C219" s="96" t="s">
        <v>2715</v>
      </c>
      <c r="D219" s="96" t="s">
        <v>2676</v>
      </c>
      <c r="E219" s="96" t="s">
        <v>27</v>
      </c>
      <c r="F219" s="96" t="s">
        <v>2696</v>
      </c>
      <c r="G219" s="96" t="s">
        <v>27</v>
      </c>
      <c r="H219" s="96">
        <v>70915</v>
      </c>
      <c r="I219" s="96">
        <v>70918</v>
      </c>
      <c r="J219" s="96" t="s">
        <v>28</v>
      </c>
      <c r="K219" s="96"/>
      <c r="L219" s="96" t="s">
        <v>301</v>
      </c>
      <c r="M219" s="96" t="s">
        <v>2677</v>
      </c>
      <c r="N219" s="96">
        <v>2970</v>
      </c>
      <c r="O219" s="95">
        <v>2970</v>
      </c>
      <c r="P219" s="96">
        <v>3136</v>
      </c>
      <c r="Q219" s="96">
        <v>3136</v>
      </c>
      <c r="R219" s="96">
        <v>1775</v>
      </c>
      <c r="S219" s="95">
        <v>1775</v>
      </c>
      <c r="T219" s="96">
        <v>1874</v>
      </c>
      <c r="U219" s="96">
        <v>1874</v>
      </c>
      <c r="V219" s="96"/>
    </row>
    <row r="220" spans="2:22" x14ac:dyDescent="0.25">
      <c r="B220" s="96" t="s">
        <v>2716</v>
      </c>
      <c r="C220" s="96" t="s">
        <v>2715</v>
      </c>
      <c r="D220" s="96" t="s">
        <v>2676</v>
      </c>
      <c r="E220" s="96" t="s">
        <v>27</v>
      </c>
      <c r="F220" s="96" t="s">
        <v>2696</v>
      </c>
      <c r="G220" s="96" t="s">
        <v>27</v>
      </c>
      <c r="H220" s="96">
        <v>70915</v>
      </c>
      <c r="I220" s="96">
        <v>70918</v>
      </c>
      <c r="J220" s="96" t="s">
        <v>28</v>
      </c>
      <c r="K220" s="96"/>
      <c r="L220" s="96" t="s">
        <v>301</v>
      </c>
      <c r="M220" s="96" t="s">
        <v>2703</v>
      </c>
      <c r="N220" s="96">
        <v>2970</v>
      </c>
      <c r="O220" s="95">
        <v>2970</v>
      </c>
      <c r="P220" s="96">
        <v>3136</v>
      </c>
      <c r="Q220" s="96">
        <v>3136</v>
      </c>
      <c r="R220" s="96">
        <v>1775</v>
      </c>
      <c r="S220" s="95">
        <v>1775</v>
      </c>
      <c r="T220" s="96">
        <v>1874</v>
      </c>
      <c r="U220" s="96">
        <v>1874</v>
      </c>
      <c r="V220" s="96"/>
    </row>
    <row r="221" spans="2:22" x14ac:dyDescent="0.25">
      <c r="B221" s="96" t="s">
        <v>2716</v>
      </c>
      <c r="C221" s="96" t="s">
        <v>2715</v>
      </c>
      <c r="D221" s="96" t="s">
        <v>2676</v>
      </c>
      <c r="E221" s="96" t="s">
        <v>27</v>
      </c>
      <c r="F221" s="96" t="s">
        <v>2696</v>
      </c>
      <c r="G221" s="96" t="s">
        <v>27</v>
      </c>
      <c r="H221" s="96">
        <v>70915</v>
      </c>
      <c r="I221" s="96">
        <v>70918</v>
      </c>
      <c r="J221" s="96" t="s">
        <v>28</v>
      </c>
      <c r="K221" s="96" t="s">
        <v>2704</v>
      </c>
      <c r="L221" s="96" t="s">
        <v>49</v>
      </c>
      <c r="M221" s="96" t="s">
        <v>2703</v>
      </c>
      <c r="N221" s="96">
        <v>3000</v>
      </c>
      <c r="O221" s="96">
        <v>3000</v>
      </c>
      <c r="P221" s="95">
        <v>3000</v>
      </c>
      <c r="Q221" s="95">
        <v>3000</v>
      </c>
      <c r="R221" s="96">
        <v>1793</v>
      </c>
      <c r="S221" s="96">
        <v>1793</v>
      </c>
      <c r="T221" s="95">
        <v>1793</v>
      </c>
      <c r="U221" s="95">
        <v>1793</v>
      </c>
      <c r="V221" s="95"/>
    </row>
    <row r="222" spans="2:22" x14ac:dyDescent="0.25">
      <c r="B222" s="96" t="s">
        <v>2716</v>
      </c>
      <c r="C222" s="96" t="s">
        <v>2715</v>
      </c>
      <c r="D222" s="96" t="s">
        <v>2676</v>
      </c>
      <c r="E222" s="96" t="s">
        <v>27</v>
      </c>
      <c r="F222" s="96" t="s">
        <v>2696</v>
      </c>
      <c r="G222" s="96" t="s">
        <v>27</v>
      </c>
      <c r="H222" s="96">
        <v>70915</v>
      </c>
      <c r="I222" s="96">
        <v>70918</v>
      </c>
      <c r="J222" s="96" t="s">
        <v>28</v>
      </c>
      <c r="K222" s="96" t="s">
        <v>2715</v>
      </c>
      <c r="L222" s="96" t="s">
        <v>49</v>
      </c>
      <c r="M222" s="96" t="s">
        <v>2703</v>
      </c>
      <c r="N222" s="96">
        <v>3000</v>
      </c>
      <c r="O222" s="96">
        <v>3000</v>
      </c>
      <c r="P222" s="95">
        <v>3000</v>
      </c>
      <c r="Q222" s="95">
        <v>3000</v>
      </c>
      <c r="R222" s="96">
        <v>1793</v>
      </c>
      <c r="S222" s="96">
        <v>1793</v>
      </c>
      <c r="T222" s="95">
        <v>1793</v>
      </c>
      <c r="U222" s="95">
        <v>1793</v>
      </c>
      <c r="V222" s="95"/>
    </row>
    <row r="223" spans="2:22" x14ac:dyDescent="0.25">
      <c r="B223" s="96" t="s">
        <v>2716</v>
      </c>
      <c r="C223" s="96" t="s">
        <v>2715</v>
      </c>
      <c r="D223" s="96" t="s">
        <v>2676</v>
      </c>
      <c r="E223" s="96" t="s">
        <v>27</v>
      </c>
      <c r="F223" s="96" t="s">
        <v>2696</v>
      </c>
      <c r="G223" s="96" t="s">
        <v>27</v>
      </c>
      <c r="H223" s="96">
        <v>70915</v>
      </c>
      <c r="I223" s="96">
        <v>70918</v>
      </c>
      <c r="J223" s="96" t="s">
        <v>28</v>
      </c>
      <c r="K223" s="96" t="s">
        <v>2717</v>
      </c>
      <c r="L223" s="96" t="s">
        <v>49</v>
      </c>
      <c r="M223" s="96" t="s">
        <v>2677</v>
      </c>
      <c r="N223" s="96">
        <v>3000</v>
      </c>
      <c r="O223" s="96">
        <v>3000</v>
      </c>
      <c r="P223" s="95">
        <v>3000</v>
      </c>
      <c r="Q223" s="95">
        <v>3000</v>
      </c>
      <c r="R223" s="96">
        <v>1793</v>
      </c>
      <c r="S223" s="96">
        <v>1793</v>
      </c>
      <c r="T223" s="95">
        <v>1793</v>
      </c>
      <c r="U223" s="95">
        <v>1793</v>
      </c>
      <c r="V223" s="95"/>
    </row>
    <row r="224" spans="2:22" x14ac:dyDescent="0.25">
      <c r="B224" s="96" t="s">
        <v>2716</v>
      </c>
      <c r="C224" s="96" t="s">
        <v>2715</v>
      </c>
      <c r="D224" s="96" t="s">
        <v>2676</v>
      </c>
      <c r="E224" s="96" t="s">
        <v>27</v>
      </c>
      <c r="F224" s="96" t="s">
        <v>2696</v>
      </c>
      <c r="G224" s="96" t="s">
        <v>27</v>
      </c>
      <c r="H224" s="96">
        <v>70915</v>
      </c>
      <c r="I224" s="96">
        <v>70918</v>
      </c>
      <c r="J224" s="96" t="s">
        <v>28</v>
      </c>
      <c r="K224" s="96" t="s">
        <v>2715</v>
      </c>
      <c r="L224" s="96" t="s">
        <v>49</v>
      </c>
      <c r="M224" s="96" t="s">
        <v>2677</v>
      </c>
      <c r="N224" s="96">
        <v>3000</v>
      </c>
      <c r="O224" s="96">
        <v>3000</v>
      </c>
      <c r="P224" s="95">
        <v>3000</v>
      </c>
      <c r="Q224" s="95">
        <v>3000</v>
      </c>
      <c r="R224" s="96">
        <v>1793</v>
      </c>
      <c r="S224" s="96">
        <v>1793</v>
      </c>
      <c r="T224" s="95">
        <v>1793</v>
      </c>
      <c r="U224" s="95">
        <v>1793</v>
      </c>
      <c r="V224" s="95"/>
    </row>
    <row r="225" spans="2:22" x14ac:dyDescent="0.25">
      <c r="B225" s="94" t="s">
        <v>2674</v>
      </c>
      <c r="C225" s="94" t="s">
        <v>2675</v>
      </c>
      <c r="D225" s="94" t="s">
        <v>2676</v>
      </c>
      <c r="E225" s="94" t="s">
        <v>27</v>
      </c>
      <c r="F225" s="94" t="s">
        <v>636</v>
      </c>
      <c r="G225" s="94" t="s">
        <v>27</v>
      </c>
      <c r="H225" s="94">
        <v>70915</v>
      </c>
      <c r="I225" s="94">
        <v>70624</v>
      </c>
      <c r="J225" s="94" t="s">
        <v>28</v>
      </c>
      <c r="K225" s="94" t="s">
        <v>2674</v>
      </c>
      <c r="L225" s="94" t="s">
        <v>29</v>
      </c>
      <c r="M225" s="94"/>
      <c r="N225" s="97">
        <v>2425</v>
      </c>
      <c r="O225" s="97">
        <v>2838</v>
      </c>
      <c r="P225" s="97">
        <v>2897</v>
      </c>
      <c r="Q225" s="97">
        <v>3000</v>
      </c>
      <c r="R225" s="97">
        <v>1449</v>
      </c>
      <c r="S225" s="97">
        <v>1696</v>
      </c>
      <c r="T225" s="97">
        <v>1731</v>
      </c>
      <c r="U225" s="97">
        <v>1793</v>
      </c>
      <c r="V225" s="98"/>
    </row>
    <row r="226" spans="2:22" ht="20" x14ac:dyDescent="0.25">
      <c r="B226" s="96" t="s">
        <v>2674</v>
      </c>
      <c r="C226" s="96" t="s">
        <v>2675</v>
      </c>
      <c r="D226" s="96" t="s">
        <v>2676</v>
      </c>
      <c r="E226" s="96" t="s">
        <v>27</v>
      </c>
      <c r="F226" s="96" t="s">
        <v>636</v>
      </c>
      <c r="G226" s="96" t="s">
        <v>27</v>
      </c>
      <c r="H226" s="96">
        <v>70915</v>
      </c>
      <c r="I226" s="96">
        <v>70624</v>
      </c>
      <c r="J226" s="96" t="s">
        <v>28</v>
      </c>
      <c r="K226" s="96" t="s">
        <v>388</v>
      </c>
      <c r="L226" s="96" t="s">
        <v>31</v>
      </c>
      <c r="M226" s="96" t="s">
        <v>640</v>
      </c>
      <c r="N226" s="95">
        <v>2425</v>
      </c>
      <c r="O226" s="95">
        <v>2838</v>
      </c>
      <c r="P226" s="95">
        <v>2897</v>
      </c>
      <c r="Q226" s="96">
        <v>3233</v>
      </c>
      <c r="R226" s="95">
        <v>1449</v>
      </c>
      <c r="S226" s="95">
        <v>1696</v>
      </c>
      <c r="T226" s="95">
        <v>1731</v>
      </c>
      <c r="U226" s="96">
        <v>1932</v>
      </c>
      <c r="V226" s="96"/>
    </row>
    <row r="227" spans="2:22" x14ac:dyDescent="0.25">
      <c r="B227" s="96" t="s">
        <v>2674</v>
      </c>
      <c r="C227" s="96" t="s">
        <v>2675</v>
      </c>
      <c r="D227" s="96" t="s">
        <v>2676</v>
      </c>
      <c r="E227" s="96" t="s">
        <v>27</v>
      </c>
      <c r="F227" s="96" t="s">
        <v>636</v>
      </c>
      <c r="G227" s="96" t="s">
        <v>27</v>
      </c>
      <c r="H227" s="96">
        <v>70915</v>
      </c>
      <c r="I227" s="96">
        <v>70624</v>
      </c>
      <c r="J227" s="96" t="s">
        <v>28</v>
      </c>
      <c r="K227" s="96" t="s">
        <v>2678</v>
      </c>
      <c r="L227" s="96" t="s">
        <v>49</v>
      </c>
      <c r="M227" s="96" t="s">
        <v>2677</v>
      </c>
      <c r="N227" s="96">
        <v>3000</v>
      </c>
      <c r="O227" s="96">
        <v>3000</v>
      </c>
      <c r="P227" s="96">
        <v>3000</v>
      </c>
      <c r="Q227" s="95">
        <v>3000</v>
      </c>
      <c r="R227" s="96">
        <v>1793</v>
      </c>
      <c r="S227" s="96">
        <v>1793</v>
      </c>
      <c r="T227" s="96">
        <v>1793</v>
      </c>
      <c r="U227" s="95">
        <v>1793</v>
      </c>
      <c r="V227" s="95"/>
    </row>
    <row r="228" spans="2:22" x14ac:dyDescent="0.25">
      <c r="B228" s="96" t="s">
        <v>2674</v>
      </c>
      <c r="C228" s="96" t="s">
        <v>2675</v>
      </c>
      <c r="D228" s="96" t="s">
        <v>2676</v>
      </c>
      <c r="E228" s="96" t="s">
        <v>27</v>
      </c>
      <c r="F228" s="96" t="s">
        <v>636</v>
      </c>
      <c r="G228" s="96" t="s">
        <v>27</v>
      </c>
      <c r="H228" s="96">
        <v>70915</v>
      </c>
      <c r="I228" s="96">
        <v>70624</v>
      </c>
      <c r="J228" s="96" t="s">
        <v>28</v>
      </c>
      <c r="K228" s="96" t="s">
        <v>2161</v>
      </c>
      <c r="L228" s="96" t="s">
        <v>49</v>
      </c>
      <c r="M228" s="96" t="s">
        <v>640</v>
      </c>
      <c r="N228" s="96">
        <v>3000</v>
      </c>
      <c r="O228" s="96">
        <v>3000</v>
      </c>
      <c r="P228" s="96">
        <v>3000</v>
      </c>
      <c r="Q228" s="95">
        <v>3000</v>
      </c>
      <c r="R228" s="96">
        <v>1793</v>
      </c>
      <c r="S228" s="96">
        <v>1793</v>
      </c>
      <c r="T228" s="96">
        <v>1793</v>
      </c>
      <c r="U228" s="95">
        <v>1793</v>
      </c>
      <c r="V228" s="95"/>
    </row>
    <row r="229" spans="2:22" x14ac:dyDescent="0.25">
      <c r="B229" s="96" t="s">
        <v>2674</v>
      </c>
      <c r="C229" s="96" t="s">
        <v>2675</v>
      </c>
      <c r="D229" s="96" t="s">
        <v>2676</v>
      </c>
      <c r="E229" s="96" t="s">
        <v>27</v>
      </c>
      <c r="F229" s="96" t="s">
        <v>636</v>
      </c>
      <c r="G229" s="96" t="s">
        <v>27</v>
      </c>
      <c r="H229" s="96">
        <v>70915</v>
      </c>
      <c r="I229" s="96">
        <v>70624</v>
      </c>
      <c r="J229" s="96" t="s">
        <v>28</v>
      </c>
      <c r="K229" s="96" t="s">
        <v>2675</v>
      </c>
      <c r="L229" s="96" t="s">
        <v>49</v>
      </c>
      <c r="M229" s="96" t="s">
        <v>640</v>
      </c>
      <c r="N229" s="96">
        <v>3000</v>
      </c>
      <c r="O229" s="96">
        <v>3000</v>
      </c>
      <c r="P229" s="96">
        <v>3000</v>
      </c>
      <c r="Q229" s="95">
        <v>3000</v>
      </c>
      <c r="R229" s="96">
        <v>1793</v>
      </c>
      <c r="S229" s="96">
        <v>1793</v>
      </c>
      <c r="T229" s="96">
        <v>1793</v>
      </c>
      <c r="U229" s="95">
        <v>1793</v>
      </c>
      <c r="V229" s="95"/>
    </row>
    <row r="230" spans="2:22" x14ac:dyDescent="0.25">
      <c r="B230" s="96" t="s">
        <v>2674</v>
      </c>
      <c r="C230" s="96" t="s">
        <v>2675</v>
      </c>
      <c r="D230" s="96" t="s">
        <v>2676</v>
      </c>
      <c r="E230" s="96" t="s">
        <v>27</v>
      </c>
      <c r="F230" s="96" t="s">
        <v>636</v>
      </c>
      <c r="G230" s="96" t="s">
        <v>27</v>
      </c>
      <c r="H230" s="96">
        <v>70915</v>
      </c>
      <c r="I230" s="96">
        <v>70624</v>
      </c>
      <c r="J230" s="96" t="s">
        <v>28</v>
      </c>
      <c r="K230" s="96" t="s">
        <v>2675</v>
      </c>
      <c r="L230" s="96" t="s">
        <v>49</v>
      </c>
      <c r="M230" s="96" t="s">
        <v>2677</v>
      </c>
      <c r="N230" s="96">
        <v>3000</v>
      </c>
      <c r="O230" s="96">
        <v>3000</v>
      </c>
      <c r="P230" s="96">
        <v>3000</v>
      </c>
      <c r="Q230" s="95">
        <v>3000</v>
      </c>
      <c r="R230" s="96">
        <v>1793</v>
      </c>
      <c r="S230" s="96">
        <v>1793</v>
      </c>
      <c r="T230" s="96">
        <v>1793</v>
      </c>
      <c r="U230" s="95">
        <v>1793</v>
      </c>
      <c r="V230" s="95"/>
    </row>
    <row r="231" spans="2:22" x14ac:dyDescent="0.25">
      <c r="B231" s="94" t="s">
        <v>2679</v>
      </c>
      <c r="C231" s="94" t="s">
        <v>2680</v>
      </c>
      <c r="D231" s="94" t="s">
        <v>2676</v>
      </c>
      <c r="E231" s="94" t="s">
        <v>27</v>
      </c>
      <c r="F231" s="94" t="s">
        <v>636</v>
      </c>
      <c r="G231" s="94" t="s">
        <v>27</v>
      </c>
      <c r="H231" s="94">
        <v>70915</v>
      </c>
      <c r="I231" s="94">
        <v>70624</v>
      </c>
      <c r="J231" s="94" t="s">
        <v>28</v>
      </c>
      <c r="K231" s="94" t="s">
        <v>2679</v>
      </c>
      <c r="L231" s="94" t="s">
        <v>29</v>
      </c>
      <c r="M231" s="94"/>
      <c r="N231" s="97">
        <v>2821</v>
      </c>
      <c r="O231" s="97">
        <v>2970</v>
      </c>
      <c r="P231" s="97">
        <v>3000</v>
      </c>
      <c r="Q231" s="97">
        <v>3000</v>
      </c>
      <c r="R231" s="97">
        <v>1686</v>
      </c>
      <c r="S231" s="97">
        <v>1775</v>
      </c>
      <c r="T231" s="97">
        <v>1793</v>
      </c>
      <c r="U231" s="97">
        <v>1793</v>
      </c>
      <c r="V231" s="98"/>
    </row>
    <row r="232" spans="2:22" ht="20" x14ac:dyDescent="0.25">
      <c r="B232" s="96" t="s">
        <v>2679</v>
      </c>
      <c r="C232" s="96" t="s">
        <v>2680</v>
      </c>
      <c r="D232" s="96" t="s">
        <v>2676</v>
      </c>
      <c r="E232" s="96" t="s">
        <v>27</v>
      </c>
      <c r="F232" s="96" t="s">
        <v>636</v>
      </c>
      <c r="G232" s="96" t="s">
        <v>27</v>
      </c>
      <c r="H232" s="96">
        <v>70915</v>
      </c>
      <c r="I232" s="96">
        <v>70624</v>
      </c>
      <c r="J232" s="96" t="s">
        <v>28</v>
      </c>
      <c r="K232" s="96" t="s">
        <v>388</v>
      </c>
      <c r="L232" s="96" t="s">
        <v>31</v>
      </c>
      <c r="M232" s="96" t="s">
        <v>640</v>
      </c>
      <c r="N232" s="95">
        <v>2821</v>
      </c>
      <c r="O232" s="96">
        <v>3103</v>
      </c>
      <c r="P232" s="96">
        <v>3214</v>
      </c>
      <c r="Q232" s="96">
        <v>3536</v>
      </c>
      <c r="R232" s="95">
        <v>1686</v>
      </c>
      <c r="S232" s="96">
        <v>1854</v>
      </c>
      <c r="T232" s="96">
        <v>1921</v>
      </c>
      <c r="U232" s="96">
        <v>2113</v>
      </c>
      <c r="V232" s="96"/>
    </row>
    <row r="233" spans="2:22" x14ac:dyDescent="0.25">
      <c r="B233" s="96" t="s">
        <v>2679</v>
      </c>
      <c r="C233" s="96" t="s">
        <v>2680</v>
      </c>
      <c r="D233" s="96" t="s">
        <v>2676</v>
      </c>
      <c r="E233" s="96" t="s">
        <v>27</v>
      </c>
      <c r="F233" s="96" t="s">
        <v>636</v>
      </c>
      <c r="G233" s="96" t="s">
        <v>27</v>
      </c>
      <c r="H233" s="96">
        <v>70915</v>
      </c>
      <c r="I233" s="96">
        <v>70624</v>
      </c>
      <c r="J233" s="96" t="s">
        <v>28</v>
      </c>
      <c r="K233" s="96"/>
      <c r="L233" s="96" t="s">
        <v>301</v>
      </c>
      <c r="M233" s="96" t="s">
        <v>640</v>
      </c>
      <c r="N233" s="96">
        <v>2970</v>
      </c>
      <c r="O233" s="95">
        <v>2970</v>
      </c>
      <c r="P233" s="96">
        <v>3136</v>
      </c>
      <c r="Q233" s="96">
        <v>3136</v>
      </c>
      <c r="R233" s="96">
        <v>1775</v>
      </c>
      <c r="S233" s="95">
        <v>1775</v>
      </c>
      <c r="T233" s="96">
        <v>1874</v>
      </c>
      <c r="U233" s="96">
        <v>1874</v>
      </c>
      <c r="V233" s="96"/>
    </row>
    <row r="234" spans="2:22" x14ac:dyDescent="0.25">
      <c r="B234" s="96" t="s">
        <v>2679</v>
      </c>
      <c r="C234" s="96" t="s">
        <v>2680</v>
      </c>
      <c r="D234" s="96" t="s">
        <v>2676</v>
      </c>
      <c r="E234" s="96" t="s">
        <v>27</v>
      </c>
      <c r="F234" s="96" t="s">
        <v>636</v>
      </c>
      <c r="G234" s="96" t="s">
        <v>27</v>
      </c>
      <c r="H234" s="96">
        <v>70915</v>
      </c>
      <c r="I234" s="96">
        <v>70624</v>
      </c>
      <c r="J234" s="96" t="s">
        <v>28</v>
      </c>
      <c r="K234" s="96"/>
      <c r="L234" s="96" t="s">
        <v>301</v>
      </c>
      <c r="M234" s="96" t="s">
        <v>2677</v>
      </c>
      <c r="N234" s="96">
        <v>2970</v>
      </c>
      <c r="O234" s="95">
        <v>2970</v>
      </c>
      <c r="P234" s="96">
        <v>3136</v>
      </c>
      <c r="Q234" s="96">
        <v>3136</v>
      </c>
      <c r="R234" s="96">
        <v>1775</v>
      </c>
      <c r="S234" s="95">
        <v>1775</v>
      </c>
      <c r="T234" s="96">
        <v>1874</v>
      </c>
      <c r="U234" s="96">
        <v>1874</v>
      </c>
      <c r="V234" s="96"/>
    </row>
    <row r="235" spans="2:22" x14ac:dyDescent="0.25">
      <c r="B235" s="96" t="s">
        <v>2679</v>
      </c>
      <c r="C235" s="96" t="s">
        <v>2680</v>
      </c>
      <c r="D235" s="96" t="s">
        <v>2676</v>
      </c>
      <c r="E235" s="96" t="s">
        <v>27</v>
      </c>
      <c r="F235" s="96" t="s">
        <v>636</v>
      </c>
      <c r="G235" s="96" t="s">
        <v>27</v>
      </c>
      <c r="H235" s="96">
        <v>70915</v>
      </c>
      <c r="I235" s="96">
        <v>70624</v>
      </c>
      <c r="J235" s="96" t="s">
        <v>28</v>
      </c>
      <c r="K235" s="96" t="s">
        <v>2681</v>
      </c>
      <c r="L235" s="96" t="s">
        <v>49</v>
      </c>
      <c r="M235" s="96" t="s">
        <v>2677</v>
      </c>
      <c r="N235" s="96">
        <v>3000</v>
      </c>
      <c r="O235" s="96">
        <v>3000</v>
      </c>
      <c r="P235" s="95">
        <v>3000</v>
      </c>
      <c r="Q235" s="95">
        <v>3000</v>
      </c>
      <c r="R235" s="96">
        <v>1793</v>
      </c>
      <c r="S235" s="96">
        <v>1793</v>
      </c>
      <c r="T235" s="95">
        <v>1793</v>
      </c>
      <c r="U235" s="95">
        <v>1793</v>
      </c>
      <c r="V235" s="95"/>
    </row>
    <row r="236" spans="2:22" x14ac:dyDescent="0.25">
      <c r="B236" s="96" t="s">
        <v>2679</v>
      </c>
      <c r="C236" s="96" t="s">
        <v>2680</v>
      </c>
      <c r="D236" s="96" t="s">
        <v>2676</v>
      </c>
      <c r="E236" s="96" t="s">
        <v>27</v>
      </c>
      <c r="F236" s="96" t="s">
        <v>636</v>
      </c>
      <c r="G236" s="96" t="s">
        <v>27</v>
      </c>
      <c r="H236" s="96">
        <v>70915</v>
      </c>
      <c r="I236" s="96">
        <v>70624</v>
      </c>
      <c r="J236" s="96" t="s">
        <v>28</v>
      </c>
      <c r="K236" s="96" t="s">
        <v>2680</v>
      </c>
      <c r="L236" s="96" t="s">
        <v>49</v>
      </c>
      <c r="M236" s="96" t="s">
        <v>2677</v>
      </c>
      <c r="N236" s="96">
        <v>3000</v>
      </c>
      <c r="O236" s="96">
        <v>3000</v>
      </c>
      <c r="P236" s="95">
        <v>3000</v>
      </c>
      <c r="Q236" s="95">
        <v>3000</v>
      </c>
      <c r="R236" s="96">
        <v>1793</v>
      </c>
      <c r="S236" s="96">
        <v>1793</v>
      </c>
      <c r="T236" s="95">
        <v>1793</v>
      </c>
      <c r="U236" s="95">
        <v>1793</v>
      </c>
      <c r="V236" s="95"/>
    </row>
    <row r="237" spans="2:22" x14ac:dyDescent="0.25">
      <c r="B237" s="94" t="s">
        <v>2682</v>
      </c>
      <c r="C237" s="94" t="s">
        <v>1135</v>
      </c>
      <c r="D237" s="94" t="s">
        <v>2676</v>
      </c>
      <c r="E237" s="94" t="s">
        <v>27</v>
      </c>
      <c r="F237" s="94" t="s">
        <v>783</v>
      </c>
      <c r="G237" s="94" t="s">
        <v>27</v>
      </c>
      <c r="H237" s="94">
        <v>70915</v>
      </c>
      <c r="I237" s="94">
        <v>70598</v>
      </c>
      <c r="J237" s="94" t="s">
        <v>28</v>
      </c>
      <c r="K237" s="94" t="s">
        <v>2682</v>
      </c>
      <c r="L237" s="94" t="s">
        <v>29</v>
      </c>
      <c r="M237" s="94"/>
      <c r="N237" s="97">
        <v>2867</v>
      </c>
      <c r="O237" s="97">
        <v>2970</v>
      </c>
      <c r="P237" s="97">
        <v>3000</v>
      </c>
      <c r="Q237" s="97">
        <v>3000</v>
      </c>
      <c r="R237" s="97">
        <v>1713</v>
      </c>
      <c r="S237" s="97">
        <v>1775</v>
      </c>
      <c r="T237" s="97">
        <v>1793</v>
      </c>
      <c r="U237" s="97">
        <v>1793</v>
      </c>
      <c r="V237" s="98"/>
    </row>
    <row r="238" spans="2:22" ht="20" x14ac:dyDescent="0.25">
      <c r="B238" s="96" t="s">
        <v>2682</v>
      </c>
      <c r="C238" s="96" t="s">
        <v>1135</v>
      </c>
      <c r="D238" s="96" t="s">
        <v>2676</v>
      </c>
      <c r="E238" s="96" t="s">
        <v>27</v>
      </c>
      <c r="F238" s="96" t="s">
        <v>783</v>
      </c>
      <c r="G238" s="96" t="s">
        <v>27</v>
      </c>
      <c r="H238" s="96">
        <v>70915</v>
      </c>
      <c r="I238" s="96">
        <v>70598</v>
      </c>
      <c r="J238" s="96" t="s">
        <v>28</v>
      </c>
      <c r="K238" s="96" t="s">
        <v>388</v>
      </c>
      <c r="L238" s="96" t="s">
        <v>31</v>
      </c>
      <c r="M238" s="96" t="s">
        <v>785</v>
      </c>
      <c r="N238" s="95">
        <v>2867</v>
      </c>
      <c r="O238" s="96">
        <v>3154</v>
      </c>
      <c r="P238" s="96">
        <v>3265</v>
      </c>
      <c r="Q238" s="96">
        <v>3592</v>
      </c>
      <c r="R238" s="95">
        <v>1713</v>
      </c>
      <c r="S238" s="96">
        <v>1885</v>
      </c>
      <c r="T238" s="96">
        <v>1951</v>
      </c>
      <c r="U238" s="96">
        <v>2146</v>
      </c>
      <c r="V238" s="96"/>
    </row>
    <row r="239" spans="2:22" x14ac:dyDescent="0.25">
      <c r="B239" s="96" t="s">
        <v>2682</v>
      </c>
      <c r="C239" s="96" t="s">
        <v>1135</v>
      </c>
      <c r="D239" s="96" t="s">
        <v>2676</v>
      </c>
      <c r="E239" s="96" t="s">
        <v>27</v>
      </c>
      <c r="F239" s="96" t="s">
        <v>783</v>
      </c>
      <c r="G239" s="96" t="s">
        <v>27</v>
      </c>
      <c r="H239" s="96">
        <v>70915</v>
      </c>
      <c r="I239" s="96">
        <v>70598</v>
      </c>
      <c r="J239" s="96" t="s">
        <v>28</v>
      </c>
      <c r="K239" s="96"/>
      <c r="L239" s="96" t="s">
        <v>301</v>
      </c>
      <c r="M239" s="96" t="s">
        <v>2677</v>
      </c>
      <c r="N239" s="96">
        <v>2970</v>
      </c>
      <c r="O239" s="95">
        <v>2970</v>
      </c>
      <c r="P239" s="96">
        <v>3136</v>
      </c>
      <c r="Q239" s="96">
        <v>3136</v>
      </c>
      <c r="R239" s="96">
        <v>1775</v>
      </c>
      <c r="S239" s="95">
        <v>1775</v>
      </c>
      <c r="T239" s="96">
        <v>1874</v>
      </c>
      <c r="U239" s="96">
        <v>1874</v>
      </c>
      <c r="V239" s="96"/>
    </row>
    <row r="240" spans="2:22" x14ac:dyDescent="0.25">
      <c r="B240" s="96" t="s">
        <v>2682</v>
      </c>
      <c r="C240" s="96" t="s">
        <v>1135</v>
      </c>
      <c r="D240" s="96" t="s">
        <v>2676</v>
      </c>
      <c r="E240" s="96" t="s">
        <v>27</v>
      </c>
      <c r="F240" s="96" t="s">
        <v>783</v>
      </c>
      <c r="G240" s="96" t="s">
        <v>27</v>
      </c>
      <c r="H240" s="96">
        <v>70915</v>
      </c>
      <c r="I240" s="96">
        <v>70598</v>
      </c>
      <c r="J240" s="96" t="s">
        <v>28</v>
      </c>
      <c r="K240" s="96" t="s">
        <v>2684</v>
      </c>
      <c r="L240" s="96" t="s">
        <v>49</v>
      </c>
      <c r="M240" s="96" t="s">
        <v>785</v>
      </c>
      <c r="N240" s="96">
        <v>3000</v>
      </c>
      <c r="O240" s="96">
        <v>3000</v>
      </c>
      <c r="P240" s="95">
        <v>3000</v>
      </c>
      <c r="Q240" s="95">
        <v>3000</v>
      </c>
      <c r="R240" s="96">
        <v>1793</v>
      </c>
      <c r="S240" s="96">
        <v>1793</v>
      </c>
      <c r="T240" s="95">
        <v>1793</v>
      </c>
      <c r="U240" s="95">
        <v>1793</v>
      </c>
      <c r="V240" s="95"/>
    </row>
    <row r="241" spans="2:22" x14ac:dyDescent="0.25">
      <c r="B241" s="96" t="s">
        <v>2682</v>
      </c>
      <c r="C241" s="96" t="s">
        <v>1135</v>
      </c>
      <c r="D241" s="96" t="s">
        <v>2676</v>
      </c>
      <c r="E241" s="96" t="s">
        <v>27</v>
      </c>
      <c r="F241" s="96" t="s">
        <v>783</v>
      </c>
      <c r="G241" s="96" t="s">
        <v>27</v>
      </c>
      <c r="H241" s="96">
        <v>70915</v>
      </c>
      <c r="I241" s="96">
        <v>70598</v>
      </c>
      <c r="J241" s="96" t="s">
        <v>28</v>
      </c>
      <c r="K241" s="96" t="s">
        <v>2683</v>
      </c>
      <c r="L241" s="96" t="s">
        <v>49</v>
      </c>
      <c r="M241" s="96" t="s">
        <v>2677</v>
      </c>
      <c r="N241" s="96">
        <v>3000</v>
      </c>
      <c r="O241" s="96">
        <v>3000</v>
      </c>
      <c r="P241" s="95">
        <v>3000</v>
      </c>
      <c r="Q241" s="95">
        <v>3000</v>
      </c>
      <c r="R241" s="96">
        <v>1793</v>
      </c>
      <c r="S241" s="96">
        <v>1793</v>
      </c>
      <c r="T241" s="95">
        <v>1793</v>
      </c>
      <c r="U241" s="95">
        <v>1793</v>
      </c>
      <c r="V241" s="95"/>
    </row>
    <row r="242" spans="2:22" x14ac:dyDescent="0.25">
      <c r="B242" s="96" t="s">
        <v>2682</v>
      </c>
      <c r="C242" s="96" t="s">
        <v>1135</v>
      </c>
      <c r="D242" s="96" t="s">
        <v>2676</v>
      </c>
      <c r="E242" s="96" t="s">
        <v>27</v>
      </c>
      <c r="F242" s="96" t="s">
        <v>783</v>
      </c>
      <c r="G242" s="96" t="s">
        <v>27</v>
      </c>
      <c r="H242" s="96">
        <v>70915</v>
      </c>
      <c r="I242" s="96">
        <v>70598</v>
      </c>
      <c r="J242" s="96" t="s">
        <v>28</v>
      </c>
      <c r="K242" s="96" t="s">
        <v>1135</v>
      </c>
      <c r="L242" s="96" t="s">
        <v>49</v>
      </c>
      <c r="M242" s="96" t="s">
        <v>2677</v>
      </c>
      <c r="N242" s="96">
        <v>3000</v>
      </c>
      <c r="O242" s="96">
        <v>3000</v>
      </c>
      <c r="P242" s="95">
        <v>3000</v>
      </c>
      <c r="Q242" s="95">
        <v>3000</v>
      </c>
      <c r="R242" s="96">
        <v>1793</v>
      </c>
      <c r="S242" s="96">
        <v>1793</v>
      </c>
      <c r="T242" s="95">
        <v>1793</v>
      </c>
      <c r="U242" s="95">
        <v>1793</v>
      </c>
      <c r="V242" s="95"/>
    </row>
    <row r="243" spans="2:22" x14ac:dyDescent="0.25">
      <c r="B243" s="94" t="s">
        <v>2685</v>
      </c>
      <c r="C243" s="94" t="s">
        <v>2686</v>
      </c>
      <c r="D243" s="94" t="s">
        <v>2676</v>
      </c>
      <c r="E243" s="94" t="s">
        <v>27</v>
      </c>
      <c r="F243" s="94" t="s">
        <v>783</v>
      </c>
      <c r="G243" s="94" t="s">
        <v>27</v>
      </c>
      <c r="H243" s="94">
        <v>70915</v>
      </c>
      <c r="I243" s="94">
        <v>70598</v>
      </c>
      <c r="J243" s="94" t="s">
        <v>28</v>
      </c>
      <c r="K243" s="94" t="s">
        <v>2685</v>
      </c>
      <c r="L243" s="94" t="s">
        <v>29</v>
      </c>
      <c r="M243" s="94"/>
      <c r="N243" s="97">
        <v>2867</v>
      </c>
      <c r="O243" s="97">
        <v>2970</v>
      </c>
      <c r="P243" s="97">
        <v>3000</v>
      </c>
      <c r="Q243" s="97">
        <v>3000</v>
      </c>
      <c r="R243" s="97">
        <v>1713</v>
      </c>
      <c r="S243" s="97">
        <v>1775</v>
      </c>
      <c r="T243" s="97">
        <v>1793</v>
      </c>
      <c r="U243" s="97">
        <v>1793</v>
      </c>
      <c r="V243" s="98"/>
    </row>
    <row r="244" spans="2:22" ht="20" x14ac:dyDescent="0.25">
      <c r="B244" s="96" t="s">
        <v>2685</v>
      </c>
      <c r="C244" s="96" t="s">
        <v>2686</v>
      </c>
      <c r="D244" s="96" t="s">
        <v>2676</v>
      </c>
      <c r="E244" s="96" t="s">
        <v>27</v>
      </c>
      <c r="F244" s="96" t="s">
        <v>783</v>
      </c>
      <c r="G244" s="96" t="s">
        <v>27</v>
      </c>
      <c r="H244" s="96">
        <v>70915</v>
      </c>
      <c r="I244" s="96">
        <v>70598</v>
      </c>
      <c r="J244" s="96" t="s">
        <v>28</v>
      </c>
      <c r="K244" s="96" t="s">
        <v>388</v>
      </c>
      <c r="L244" s="96" t="s">
        <v>31</v>
      </c>
      <c r="M244" s="96" t="s">
        <v>785</v>
      </c>
      <c r="N244" s="95">
        <v>2867</v>
      </c>
      <c r="O244" s="96">
        <v>3154</v>
      </c>
      <c r="P244" s="96">
        <v>3265</v>
      </c>
      <c r="Q244" s="96">
        <v>3592</v>
      </c>
      <c r="R244" s="95">
        <v>1713</v>
      </c>
      <c r="S244" s="96">
        <v>1885</v>
      </c>
      <c r="T244" s="96">
        <v>1951</v>
      </c>
      <c r="U244" s="96">
        <v>2146</v>
      </c>
      <c r="V244" s="96"/>
    </row>
    <row r="245" spans="2:22" x14ac:dyDescent="0.25">
      <c r="B245" s="96" t="s">
        <v>2685</v>
      </c>
      <c r="C245" s="96" t="s">
        <v>2686</v>
      </c>
      <c r="D245" s="96" t="s">
        <v>2676</v>
      </c>
      <c r="E245" s="96" t="s">
        <v>27</v>
      </c>
      <c r="F245" s="96" t="s">
        <v>783</v>
      </c>
      <c r="G245" s="96" t="s">
        <v>27</v>
      </c>
      <c r="H245" s="96">
        <v>70915</v>
      </c>
      <c r="I245" s="96">
        <v>70598</v>
      </c>
      <c r="J245" s="96" t="s">
        <v>28</v>
      </c>
      <c r="K245" s="96"/>
      <c r="L245" s="96" t="s">
        <v>301</v>
      </c>
      <c r="M245" s="96" t="s">
        <v>2677</v>
      </c>
      <c r="N245" s="96">
        <v>2970</v>
      </c>
      <c r="O245" s="95">
        <v>2970</v>
      </c>
      <c r="P245" s="96">
        <v>3136</v>
      </c>
      <c r="Q245" s="96">
        <v>3136</v>
      </c>
      <c r="R245" s="96">
        <v>1775</v>
      </c>
      <c r="S245" s="95">
        <v>1775</v>
      </c>
      <c r="T245" s="96">
        <v>1874</v>
      </c>
      <c r="U245" s="96">
        <v>1874</v>
      </c>
      <c r="V245" s="96"/>
    </row>
    <row r="246" spans="2:22" x14ac:dyDescent="0.25">
      <c r="B246" s="96" t="s">
        <v>2685</v>
      </c>
      <c r="C246" s="96" t="s">
        <v>2686</v>
      </c>
      <c r="D246" s="96" t="s">
        <v>2676</v>
      </c>
      <c r="E246" s="96" t="s">
        <v>27</v>
      </c>
      <c r="F246" s="96" t="s">
        <v>783</v>
      </c>
      <c r="G246" s="96" t="s">
        <v>27</v>
      </c>
      <c r="H246" s="96">
        <v>70915</v>
      </c>
      <c r="I246" s="96">
        <v>70598</v>
      </c>
      <c r="J246" s="96" t="s">
        <v>28</v>
      </c>
      <c r="K246" s="96" t="s">
        <v>2687</v>
      </c>
      <c r="L246" s="96" t="s">
        <v>49</v>
      </c>
      <c r="M246" s="96" t="s">
        <v>2677</v>
      </c>
      <c r="N246" s="96">
        <v>3000</v>
      </c>
      <c r="O246" s="96">
        <v>3000</v>
      </c>
      <c r="P246" s="95">
        <v>3000</v>
      </c>
      <c r="Q246" s="95">
        <v>3000</v>
      </c>
      <c r="R246" s="96">
        <v>1793</v>
      </c>
      <c r="S246" s="96">
        <v>1793</v>
      </c>
      <c r="T246" s="95">
        <v>1793</v>
      </c>
      <c r="U246" s="95">
        <v>1793</v>
      </c>
      <c r="V246" s="95"/>
    </row>
    <row r="247" spans="2:22" x14ac:dyDescent="0.25">
      <c r="B247" s="96" t="s">
        <v>2685</v>
      </c>
      <c r="C247" s="96" t="s">
        <v>2686</v>
      </c>
      <c r="D247" s="96" t="s">
        <v>2676</v>
      </c>
      <c r="E247" s="96" t="s">
        <v>27</v>
      </c>
      <c r="F247" s="96" t="s">
        <v>783</v>
      </c>
      <c r="G247" s="96" t="s">
        <v>27</v>
      </c>
      <c r="H247" s="96">
        <v>70915</v>
      </c>
      <c r="I247" s="96">
        <v>70598</v>
      </c>
      <c r="J247" s="96" t="s">
        <v>28</v>
      </c>
      <c r="K247" s="96" t="s">
        <v>2686</v>
      </c>
      <c r="L247" s="96" t="s">
        <v>49</v>
      </c>
      <c r="M247" s="96" t="s">
        <v>2677</v>
      </c>
      <c r="N247" s="96">
        <v>3000</v>
      </c>
      <c r="O247" s="96">
        <v>3000</v>
      </c>
      <c r="P247" s="95">
        <v>3000</v>
      </c>
      <c r="Q247" s="95">
        <v>3000</v>
      </c>
      <c r="R247" s="96">
        <v>1793</v>
      </c>
      <c r="S247" s="96">
        <v>1793</v>
      </c>
      <c r="T247" s="95">
        <v>1793</v>
      </c>
      <c r="U247" s="95">
        <v>1793</v>
      </c>
      <c r="V247" s="95"/>
    </row>
    <row r="248" spans="2:22" ht="34.5" x14ac:dyDescent="0.25">
      <c r="B248" s="44" t="s">
        <v>449</v>
      </c>
      <c r="C248" s="44" t="s">
        <v>450</v>
      </c>
      <c r="D248" s="44" t="s">
        <v>451</v>
      </c>
      <c r="E248" s="44" t="s">
        <v>27</v>
      </c>
      <c r="F248" s="44" t="s">
        <v>294</v>
      </c>
      <c r="G248" s="44" t="s">
        <v>27</v>
      </c>
      <c r="H248" s="44">
        <v>70073</v>
      </c>
      <c r="I248" s="44">
        <v>70108</v>
      </c>
      <c r="J248" s="44" t="s">
        <v>28</v>
      </c>
      <c r="K248" s="44" t="s">
        <v>449</v>
      </c>
      <c r="L248" s="44" t="s">
        <v>29</v>
      </c>
      <c r="M248" s="44"/>
      <c r="N248" s="45">
        <v>770</v>
      </c>
      <c r="O248" s="45">
        <v>908</v>
      </c>
      <c r="P248" s="45">
        <v>925</v>
      </c>
      <c r="Q248" s="45">
        <v>1037</v>
      </c>
      <c r="R248" s="45">
        <v>153</v>
      </c>
      <c r="S248" s="45">
        <v>181</v>
      </c>
      <c r="T248" s="45">
        <v>184</v>
      </c>
      <c r="U248" s="45">
        <v>207</v>
      </c>
      <c r="V248" s="46"/>
    </row>
    <row r="249" spans="2:22" ht="30" x14ac:dyDescent="0.25">
      <c r="B249" s="47" t="s">
        <v>449</v>
      </c>
      <c r="C249" s="47" t="s">
        <v>450</v>
      </c>
      <c r="D249" s="47" t="s">
        <v>451</v>
      </c>
      <c r="E249" s="47" t="s">
        <v>27</v>
      </c>
      <c r="F249" s="47" t="s">
        <v>294</v>
      </c>
      <c r="G249" s="47" t="s">
        <v>27</v>
      </c>
      <c r="H249" s="47">
        <v>70073</v>
      </c>
      <c r="I249" s="47">
        <v>70108</v>
      </c>
      <c r="J249" s="47" t="s">
        <v>28</v>
      </c>
      <c r="K249" s="47" t="s">
        <v>239</v>
      </c>
      <c r="L249" s="47" t="s">
        <v>31</v>
      </c>
      <c r="M249" s="47" t="s">
        <v>2552</v>
      </c>
      <c r="N249" s="48">
        <v>770</v>
      </c>
      <c r="O249" s="48">
        <v>908</v>
      </c>
      <c r="P249" s="48">
        <v>925</v>
      </c>
      <c r="Q249" s="48">
        <v>1037</v>
      </c>
      <c r="R249" s="48">
        <v>153</v>
      </c>
      <c r="S249" s="48">
        <v>181</v>
      </c>
      <c r="T249" s="48">
        <v>184</v>
      </c>
      <c r="U249" s="48">
        <v>207</v>
      </c>
      <c r="V249" s="48"/>
    </row>
    <row r="250" spans="2:22" ht="23" x14ac:dyDescent="0.25">
      <c r="B250" s="44" t="s">
        <v>452</v>
      </c>
      <c r="C250" s="44" t="s">
        <v>450</v>
      </c>
      <c r="D250" s="44" t="s">
        <v>451</v>
      </c>
      <c r="E250" s="44" t="s">
        <v>27</v>
      </c>
      <c r="F250" s="44" t="s">
        <v>453</v>
      </c>
      <c r="G250" s="44" t="s">
        <v>27</v>
      </c>
      <c r="H250" s="44">
        <v>70073</v>
      </c>
      <c r="I250" s="44">
        <v>70182</v>
      </c>
      <c r="J250" s="44" t="s">
        <v>28</v>
      </c>
      <c r="K250" s="44" t="s">
        <v>452</v>
      </c>
      <c r="L250" s="44" t="s">
        <v>29</v>
      </c>
      <c r="M250" s="44"/>
      <c r="N250" s="45">
        <v>728</v>
      </c>
      <c r="O250" s="45">
        <v>801</v>
      </c>
      <c r="P250" s="45">
        <v>728</v>
      </c>
      <c r="Q250" s="45">
        <v>801</v>
      </c>
      <c r="R250" s="45">
        <v>145</v>
      </c>
      <c r="S250" s="45">
        <v>160</v>
      </c>
      <c r="T250" s="45">
        <v>145</v>
      </c>
      <c r="U250" s="45">
        <v>160</v>
      </c>
      <c r="V250" s="46"/>
    </row>
    <row r="251" spans="2:22" ht="20" x14ac:dyDescent="0.25">
      <c r="B251" s="47" t="s">
        <v>452</v>
      </c>
      <c r="C251" s="47" t="s">
        <v>450</v>
      </c>
      <c r="D251" s="47" t="s">
        <v>451</v>
      </c>
      <c r="E251" s="47" t="s">
        <v>27</v>
      </c>
      <c r="F251" s="47" t="s">
        <v>453</v>
      </c>
      <c r="G251" s="47" t="s">
        <v>27</v>
      </c>
      <c r="H251" s="47">
        <v>70073</v>
      </c>
      <c r="I251" s="47">
        <v>70182</v>
      </c>
      <c r="J251" s="47" t="s">
        <v>28</v>
      </c>
      <c r="K251" s="47" t="s">
        <v>452</v>
      </c>
      <c r="L251" s="47" t="s">
        <v>30</v>
      </c>
      <c r="M251" s="47" t="s">
        <v>450</v>
      </c>
      <c r="N251" s="48">
        <v>728</v>
      </c>
      <c r="O251" s="48">
        <v>801</v>
      </c>
      <c r="P251" s="48">
        <v>728</v>
      </c>
      <c r="Q251" s="48">
        <v>801</v>
      </c>
      <c r="R251" s="48">
        <v>145</v>
      </c>
      <c r="S251" s="48">
        <v>160</v>
      </c>
      <c r="T251" s="48">
        <v>145</v>
      </c>
      <c r="U251" s="48">
        <v>160</v>
      </c>
      <c r="V251" s="48"/>
    </row>
    <row r="252" spans="2:22" ht="23" x14ac:dyDescent="0.25">
      <c r="B252" s="94" t="s">
        <v>134</v>
      </c>
      <c r="C252" s="44" t="s">
        <v>135</v>
      </c>
      <c r="D252" s="44" t="s">
        <v>220</v>
      </c>
      <c r="E252" s="44" t="s">
        <v>27</v>
      </c>
      <c r="F252" s="44" t="s">
        <v>218</v>
      </c>
      <c r="G252" s="44" t="s">
        <v>27</v>
      </c>
      <c r="H252" s="44">
        <v>70078</v>
      </c>
      <c r="I252" s="44">
        <v>70438</v>
      </c>
      <c r="J252" s="44" t="s">
        <v>28</v>
      </c>
      <c r="K252" s="44" t="s">
        <v>134</v>
      </c>
      <c r="L252" s="44" t="s">
        <v>29</v>
      </c>
      <c r="M252" s="44"/>
      <c r="N252" s="97">
        <v>800</v>
      </c>
      <c r="O252" s="97">
        <v>800</v>
      </c>
      <c r="P252" s="97">
        <v>800</v>
      </c>
      <c r="Q252" s="97">
        <v>800</v>
      </c>
      <c r="R252" s="97">
        <v>319</v>
      </c>
      <c r="S252" s="97">
        <v>319</v>
      </c>
      <c r="T252" s="97">
        <v>319</v>
      </c>
      <c r="U252" s="97">
        <v>319</v>
      </c>
      <c r="V252" s="46" t="s">
        <v>219</v>
      </c>
    </row>
    <row r="253" spans="2:22" x14ac:dyDescent="0.25">
      <c r="B253" s="96" t="s">
        <v>134</v>
      </c>
      <c r="C253" s="47" t="s">
        <v>135</v>
      </c>
      <c r="D253" s="47" t="s">
        <v>220</v>
      </c>
      <c r="E253" s="47" t="s">
        <v>27</v>
      </c>
      <c r="F253" s="47" t="s">
        <v>218</v>
      </c>
      <c r="G253" s="47" t="s">
        <v>27</v>
      </c>
      <c r="H253" s="47">
        <v>70078</v>
      </c>
      <c r="I253" s="47">
        <v>70438</v>
      </c>
      <c r="J253" s="47" t="s">
        <v>28</v>
      </c>
      <c r="K253" s="47" t="s">
        <v>134</v>
      </c>
      <c r="L253" s="47" t="s">
        <v>30</v>
      </c>
      <c r="M253" s="47" t="s">
        <v>135</v>
      </c>
      <c r="N253" s="95">
        <v>800</v>
      </c>
      <c r="O253" s="95">
        <v>800</v>
      </c>
      <c r="P253" s="95">
        <v>800</v>
      </c>
      <c r="Q253" s="95">
        <v>800</v>
      </c>
      <c r="R253" s="95">
        <v>319</v>
      </c>
      <c r="S253" s="95">
        <v>319</v>
      </c>
      <c r="T253" s="95">
        <v>319</v>
      </c>
      <c r="U253" s="95">
        <v>319</v>
      </c>
      <c r="V253" s="48"/>
    </row>
    <row r="254" spans="2:22" ht="23" x14ac:dyDescent="0.25">
      <c r="B254" s="44" t="s">
        <v>458</v>
      </c>
      <c r="C254" s="44" t="s">
        <v>459</v>
      </c>
      <c r="D254" s="44" t="s">
        <v>460</v>
      </c>
      <c r="E254" s="44" t="s">
        <v>27</v>
      </c>
      <c r="F254" s="44" t="s">
        <v>461</v>
      </c>
      <c r="G254" s="44" t="s">
        <v>27</v>
      </c>
      <c r="H254" s="44">
        <v>70087</v>
      </c>
      <c r="I254" s="44">
        <v>2050</v>
      </c>
      <c r="J254" s="44" t="s">
        <v>28</v>
      </c>
      <c r="K254" s="44" t="s">
        <v>458</v>
      </c>
      <c r="L254" s="44" t="s">
        <v>29</v>
      </c>
      <c r="M254" s="44"/>
      <c r="N254" s="45">
        <v>914</v>
      </c>
      <c r="O254" s="45">
        <v>1005</v>
      </c>
      <c r="P254" s="45">
        <v>914</v>
      </c>
      <c r="Q254" s="45">
        <v>1005</v>
      </c>
      <c r="R254" s="45">
        <v>182</v>
      </c>
      <c r="S254" s="45">
        <v>200</v>
      </c>
      <c r="T254" s="45">
        <v>182</v>
      </c>
      <c r="U254" s="45">
        <v>200</v>
      </c>
      <c r="V254" s="46"/>
    </row>
    <row r="255" spans="2:22" ht="20" x14ac:dyDescent="0.25">
      <c r="B255" s="47" t="s">
        <v>458</v>
      </c>
      <c r="C255" s="47" t="s">
        <v>459</v>
      </c>
      <c r="D255" s="47" t="s">
        <v>460</v>
      </c>
      <c r="E255" s="47" t="s">
        <v>27</v>
      </c>
      <c r="F255" s="47" t="s">
        <v>461</v>
      </c>
      <c r="G255" s="47" t="s">
        <v>27</v>
      </c>
      <c r="H255" s="47">
        <v>70087</v>
      </c>
      <c r="I255" s="47">
        <v>2050</v>
      </c>
      <c r="J255" s="47" t="s">
        <v>28</v>
      </c>
      <c r="K255" s="47" t="s">
        <v>458</v>
      </c>
      <c r="L255" s="47" t="s">
        <v>30</v>
      </c>
      <c r="M255" s="47" t="s">
        <v>459</v>
      </c>
      <c r="N255" s="48">
        <v>914</v>
      </c>
      <c r="O255" s="48">
        <v>1005</v>
      </c>
      <c r="P255" s="48">
        <v>914</v>
      </c>
      <c r="Q255" s="48">
        <v>1005</v>
      </c>
      <c r="R255" s="48">
        <v>182</v>
      </c>
      <c r="S255" s="48">
        <v>200</v>
      </c>
      <c r="T255" s="48">
        <v>182</v>
      </c>
      <c r="U255" s="48">
        <v>200</v>
      </c>
      <c r="V255" s="48"/>
    </row>
    <row r="256" spans="2:22" ht="20" x14ac:dyDescent="0.25">
      <c r="B256" s="47" t="s">
        <v>458</v>
      </c>
      <c r="C256" s="47" t="s">
        <v>459</v>
      </c>
      <c r="D256" s="47" t="s">
        <v>460</v>
      </c>
      <c r="E256" s="47" t="s">
        <v>27</v>
      </c>
      <c r="F256" s="47" t="s">
        <v>461</v>
      </c>
      <c r="G256" s="47" t="s">
        <v>27</v>
      </c>
      <c r="H256" s="47">
        <v>70087</v>
      </c>
      <c r="I256" s="47">
        <v>2050</v>
      </c>
      <c r="J256" s="47" t="s">
        <v>28</v>
      </c>
      <c r="K256" s="47"/>
      <c r="L256" s="47" t="s">
        <v>1332</v>
      </c>
      <c r="M256" s="47" t="s">
        <v>1837</v>
      </c>
      <c r="N256" s="48">
        <v>914</v>
      </c>
      <c r="O256" s="47">
        <v>1006</v>
      </c>
      <c r="P256" s="48">
        <v>914</v>
      </c>
      <c r="Q256" s="47">
        <v>1006</v>
      </c>
      <c r="R256" s="48">
        <v>182</v>
      </c>
      <c r="S256" s="48">
        <v>200</v>
      </c>
      <c r="T256" s="48">
        <v>182</v>
      </c>
      <c r="U256" s="48">
        <v>200</v>
      </c>
      <c r="V256" s="47"/>
    </row>
    <row r="257" spans="2:22" ht="34.5" x14ac:dyDescent="0.25">
      <c r="B257" s="44" t="s">
        <v>462</v>
      </c>
      <c r="C257" s="44" t="s">
        <v>463</v>
      </c>
      <c r="D257" s="44" t="s">
        <v>460</v>
      </c>
      <c r="E257" s="44" t="s">
        <v>27</v>
      </c>
      <c r="F257" s="44" t="s">
        <v>277</v>
      </c>
      <c r="G257" s="44" t="s">
        <v>27</v>
      </c>
      <c r="H257" s="44">
        <v>70087</v>
      </c>
      <c r="I257" s="44">
        <v>70148</v>
      </c>
      <c r="J257" s="44" t="s">
        <v>28</v>
      </c>
      <c r="K257" s="44" t="s">
        <v>462</v>
      </c>
      <c r="L257" s="44" t="s">
        <v>29</v>
      </c>
      <c r="M257" s="44"/>
      <c r="N257" s="45">
        <v>660</v>
      </c>
      <c r="O257" s="45">
        <v>726</v>
      </c>
      <c r="P257" s="45">
        <v>660</v>
      </c>
      <c r="Q257" s="45">
        <v>726</v>
      </c>
      <c r="R257" s="45">
        <v>131</v>
      </c>
      <c r="S257" s="45">
        <v>145</v>
      </c>
      <c r="T257" s="45">
        <v>131</v>
      </c>
      <c r="U257" s="45">
        <v>145</v>
      </c>
      <c r="V257" s="46"/>
    </row>
    <row r="258" spans="2:22" ht="20" x14ac:dyDescent="0.25">
      <c r="B258" s="47" t="s">
        <v>462</v>
      </c>
      <c r="C258" s="47" t="s">
        <v>463</v>
      </c>
      <c r="D258" s="47" t="s">
        <v>460</v>
      </c>
      <c r="E258" s="47" t="s">
        <v>27</v>
      </c>
      <c r="F258" s="47" t="s">
        <v>277</v>
      </c>
      <c r="G258" s="47" t="s">
        <v>27</v>
      </c>
      <c r="H258" s="47">
        <v>70087</v>
      </c>
      <c r="I258" s="47">
        <v>70148</v>
      </c>
      <c r="J258" s="47" t="s">
        <v>28</v>
      </c>
      <c r="K258" s="47" t="s">
        <v>462</v>
      </c>
      <c r="L258" s="47" t="s">
        <v>30</v>
      </c>
      <c r="M258" s="47" t="s">
        <v>463</v>
      </c>
      <c r="N258" s="48">
        <v>660</v>
      </c>
      <c r="O258" s="48">
        <v>726</v>
      </c>
      <c r="P258" s="48">
        <v>660</v>
      </c>
      <c r="Q258" s="48">
        <v>726</v>
      </c>
      <c r="R258" s="48">
        <v>131</v>
      </c>
      <c r="S258" s="48">
        <v>145</v>
      </c>
      <c r="T258" s="48">
        <v>131</v>
      </c>
      <c r="U258" s="48">
        <v>145</v>
      </c>
      <c r="V258" s="48"/>
    </row>
    <row r="259" spans="2:22" ht="23" x14ac:dyDescent="0.25">
      <c r="B259" s="44" t="s">
        <v>464</v>
      </c>
      <c r="C259" s="44" t="s">
        <v>465</v>
      </c>
      <c r="D259" s="44" t="s">
        <v>460</v>
      </c>
      <c r="E259" s="44" t="s">
        <v>27</v>
      </c>
      <c r="F259" s="44" t="s">
        <v>453</v>
      </c>
      <c r="G259" s="44" t="s">
        <v>27</v>
      </c>
      <c r="H259" s="44">
        <v>70087</v>
      </c>
      <c r="I259" s="44">
        <v>70182</v>
      </c>
      <c r="J259" s="44" t="s">
        <v>28</v>
      </c>
      <c r="K259" s="44" t="s">
        <v>464</v>
      </c>
      <c r="L259" s="44" t="s">
        <v>29</v>
      </c>
      <c r="M259" s="44"/>
      <c r="N259" s="45">
        <v>1022</v>
      </c>
      <c r="O259" s="45">
        <v>1213</v>
      </c>
      <c r="P259" s="45">
        <v>1233</v>
      </c>
      <c r="Q259" s="45">
        <v>1260</v>
      </c>
      <c r="R259" s="45">
        <v>204</v>
      </c>
      <c r="S259" s="45">
        <v>242</v>
      </c>
      <c r="T259" s="45">
        <v>246</v>
      </c>
      <c r="U259" s="45">
        <v>251</v>
      </c>
      <c r="V259" s="46"/>
    </row>
    <row r="260" spans="2:22" ht="20" x14ac:dyDescent="0.25">
      <c r="B260" s="47" t="s">
        <v>464</v>
      </c>
      <c r="C260" s="47" t="s">
        <v>465</v>
      </c>
      <c r="D260" s="47" t="s">
        <v>460</v>
      </c>
      <c r="E260" s="47" t="s">
        <v>27</v>
      </c>
      <c r="F260" s="47" t="s">
        <v>453</v>
      </c>
      <c r="G260" s="47" t="s">
        <v>27</v>
      </c>
      <c r="H260" s="47">
        <v>70087</v>
      </c>
      <c r="I260" s="47">
        <v>70182</v>
      </c>
      <c r="J260" s="47" t="s">
        <v>28</v>
      </c>
      <c r="K260" s="47" t="s">
        <v>388</v>
      </c>
      <c r="L260" s="47" t="s">
        <v>31</v>
      </c>
      <c r="M260" s="47" t="s">
        <v>466</v>
      </c>
      <c r="N260" s="48">
        <v>1022</v>
      </c>
      <c r="O260" s="48">
        <v>1213</v>
      </c>
      <c r="P260" s="48">
        <v>1233</v>
      </c>
      <c r="Q260" s="47">
        <v>1388</v>
      </c>
      <c r="R260" s="48">
        <v>204</v>
      </c>
      <c r="S260" s="48">
        <v>242</v>
      </c>
      <c r="T260" s="48">
        <v>246</v>
      </c>
      <c r="U260" s="47">
        <v>276</v>
      </c>
      <c r="V260" s="47"/>
    </row>
    <row r="261" spans="2:22" ht="20" x14ac:dyDescent="0.25">
      <c r="B261" s="47" t="s">
        <v>464</v>
      </c>
      <c r="C261" s="47" t="s">
        <v>465</v>
      </c>
      <c r="D261" s="47" t="s">
        <v>460</v>
      </c>
      <c r="E261" s="47" t="s">
        <v>27</v>
      </c>
      <c r="F261" s="47" t="s">
        <v>453</v>
      </c>
      <c r="G261" s="47" t="s">
        <v>27</v>
      </c>
      <c r="H261" s="47">
        <v>70087</v>
      </c>
      <c r="I261" s="47">
        <v>70182</v>
      </c>
      <c r="J261" s="47" t="s">
        <v>28</v>
      </c>
      <c r="K261" s="47" t="s">
        <v>464</v>
      </c>
      <c r="L261" s="47" t="s">
        <v>30</v>
      </c>
      <c r="M261" s="47" t="s">
        <v>465</v>
      </c>
      <c r="N261" s="47">
        <v>1260</v>
      </c>
      <c r="O261" s="47">
        <v>1260</v>
      </c>
      <c r="P261" s="47">
        <v>1260</v>
      </c>
      <c r="Q261" s="48">
        <v>1260</v>
      </c>
      <c r="R261" s="47">
        <v>251</v>
      </c>
      <c r="S261" s="47">
        <v>251</v>
      </c>
      <c r="T261" s="47">
        <v>251</v>
      </c>
      <c r="U261" s="48">
        <v>251</v>
      </c>
      <c r="V261" s="48"/>
    </row>
    <row r="262" spans="2:22" ht="23" x14ac:dyDescent="0.25">
      <c r="B262" s="44" t="s">
        <v>467</v>
      </c>
      <c r="C262" s="44" t="s">
        <v>468</v>
      </c>
      <c r="D262" s="44" t="s">
        <v>469</v>
      </c>
      <c r="E262" s="44" t="s">
        <v>27</v>
      </c>
      <c r="F262" s="44" t="s">
        <v>470</v>
      </c>
      <c r="G262" s="44" t="s">
        <v>27</v>
      </c>
      <c r="H262" s="44">
        <v>70020</v>
      </c>
      <c r="I262" s="44">
        <v>70091</v>
      </c>
      <c r="J262" s="44" t="s">
        <v>28</v>
      </c>
      <c r="K262" s="44" t="s">
        <v>467</v>
      </c>
      <c r="L262" s="44" t="s">
        <v>29</v>
      </c>
      <c r="M262" s="44"/>
      <c r="N262" s="45">
        <v>900</v>
      </c>
      <c r="O262" s="45">
        <v>900</v>
      </c>
      <c r="P262" s="45">
        <v>900</v>
      </c>
      <c r="Q262" s="45">
        <v>900</v>
      </c>
      <c r="R262" s="45">
        <v>179</v>
      </c>
      <c r="S262" s="45">
        <v>179</v>
      </c>
      <c r="T262" s="45">
        <v>179</v>
      </c>
      <c r="U262" s="45">
        <v>179</v>
      </c>
      <c r="V262" s="46"/>
    </row>
    <row r="263" spans="2:22" ht="30" x14ac:dyDescent="0.25">
      <c r="B263" s="47" t="s">
        <v>467</v>
      </c>
      <c r="C263" s="47" t="s">
        <v>468</v>
      </c>
      <c r="D263" s="47" t="s">
        <v>469</v>
      </c>
      <c r="E263" s="47" t="s">
        <v>27</v>
      </c>
      <c r="F263" s="47" t="s">
        <v>470</v>
      </c>
      <c r="G263" s="47" t="s">
        <v>27</v>
      </c>
      <c r="H263" s="47">
        <v>70020</v>
      </c>
      <c r="I263" s="47">
        <v>70091</v>
      </c>
      <c r="J263" s="47" t="s">
        <v>28</v>
      </c>
      <c r="K263" s="47" t="s">
        <v>2630</v>
      </c>
      <c r="L263" s="47" t="s">
        <v>36</v>
      </c>
      <c r="M263" s="47" t="s">
        <v>478</v>
      </c>
      <c r="N263" s="48">
        <v>900</v>
      </c>
      <c r="O263" s="48">
        <v>900</v>
      </c>
      <c r="P263" s="48">
        <v>900</v>
      </c>
      <c r="Q263" s="48">
        <v>900</v>
      </c>
      <c r="R263" s="48">
        <v>179</v>
      </c>
      <c r="S263" s="48">
        <v>179</v>
      </c>
      <c r="T263" s="48">
        <v>179</v>
      </c>
      <c r="U263" s="48">
        <v>179</v>
      </c>
      <c r="V263" s="48"/>
    </row>
    <row r="264" spans="2:22" ht="23" x14ac:dyDescent="0.25">
      <c r="B264" s="44" t="s">
        <v>474</v>
      </c>
      <c r="C264" s="44" t="s">
        <v>468</v>
      </c>
      <c r="D264" s="44" t="s">
        <v>469</v>
      </c>
      <c r="E264" s="44" t="s">
        <v>27</v>
      </c>
      <c r="F264" s="44" t="s">
        <v>475</v>
      </c>
      <c r="G264" s="44" t="s">
        <v>27</v>
      </c>
      <c r="H264" s="44">
        <v>70020</v>
      </c>
      <c r="I264" s="44">
        <v>70308</v>
      </c>
      <c r="J264" s="44" t="s">
        <v>28</v>
      </c>
      <c r="K264" s="44" t="s">
        <v>474</v>
      </c>
      <c r="L264" s="44" t="s">
        <v>29</v>
      </c>
      <c r="M264" s="44"/>
      <c r="N264" s="45">
        <v>783</v>
      </c>
      <c r="O264" s="45">
        <v>861</v>
      </c>
      <c r="P264" s="45">
        <v>891</v>
      </c>
      <c r="Q264" s="45">
        <v>900</v>
      </c>
      <c r="R264" s="45">
        <v>156</v>
      </c>
      <c r="S264" s="45">
        <v>172</v>
      </c>
      <c r="T264" s="45">
        <v>178</v>
      </c>
      <c r="U264" s="45">
        <v>179</v>
      </c>
      <c r="V264" s="46"/>
    </row>
    <row r="265" spans="2:22" ht="20" x14ac:dyDescent="0.25">
      <c r="B265" s="47" t="s">
        <v>474</v>
      </c>
      <c r="C265" s="47" t="s">
        <v>468</v>
      </c>
      <c r="D265" s="47" t="s">
        <v>469</v>
      </c>
      <c r="E265" s="47" t="s">
        <v>27</v>
      </c>
      <c r="F265" s="47" t="s">
        <v>475</v>
      </c>
      <c r="G265" s="47" t="s">
        <v>27</v>
      </c>
      <c r="H265" s="47">
        <v>70020</v>
      </c>
      <c r="I265" s="47">
        <v>70308</v>
      </c>
      <c r="J265" s="47" t="s">
        <v>28</v>
      </c>
      <c r="K265" s="47" t="s">
        <v>32</v>
      </c>
      <c r="L265" s="47" t="s">
        <v>31</v>
      </c>
      <c r="M265" s="47" t="s">
        <v>2001</v>
      </c>
      <c r="N265" s="48">
        <v>783</v>
      </c>
      <c r="O265" s="48">
        <v>861</v>
      </c>
      <c r="P265" s="48">
        <v>891</v>
      </c>
      <c r="Q265" s="47">
        <v>980</v>
      </c>
      <c r="R265" s="48">
        <v>156</v>
      </c>
      <c r="S265" s="48">
        <v>172</v>
      </c>
      <c r="T265" s="48">
        <v>178</v>
      </c>
      <c r="U265" s="47">
        <v>195</v>
      </c>
      <c r="V265" s="47"/>
    </row>
    <row r="266" spans="2:22" ht="20" x14ac:dyDescent="0.25">
      <c r="B266" s="47" t="s">
        <v>474</v>
      </c>
      <c r="C266" s="47" t="s">
        <v>468</v>
      </c>
      <c r="D266" s="47" t="s">
        <v>469</v>
      </c>
      <c r="E266" s="47" t="s">
        <v>27</v>
      </c>
      <c r="F266" s="47" t="s">
        <v>475</v>
      </c>
      <c r="G266" s="47" t="s">
        <v>27</v>
      </c>
      <c r="H266" s="47">
        <v>70020</v>
      </c>
      <c r="I266" s="47">
        <v>70308</v>
      </c>
      <c r="J266" s="47" t="s">
        <v>28</v>
      </c>
      <c r="K266" s="47" t="s">
        <v>2628</v>
      </c>
      <c r="L266" s="47" t="s">
        <v>39</v>
      </c>
      <c r="M266" s="47" t="s">
        <v>2001</v>
      </c>
      <c r="N266" s="47">
        <v>900</v>
      </c>
      <c r="O266" s="47">
        <v>900</v>
      </c>
      <c r="P266" s="47">
        <v>900</v>
      </c>
      <c r="Q266" s="48">
        <v>900</v>
      </c>
      <c r="R266" s="47">
        <v>179</v>
      </c>
      <c r="S266" s="47">
        <v>179</v>
      </c>
      <c r="T266" s="47">
        <v>179</v>
      </c>
      <c r="U266" s="48">
        <v>179</v>
      </c>
      <c r="V266" s="48"/>
    </row>
    <row r="267" spans="2:22" ht="20" x14ac:dyDescent="0.25">
      <c r="B267" s="47" t="s">
        <v>474</v>
      </c>
      <c r="C267" s="47" t="s">
        <v>468</v>
      </c>
      <c r="D267" s="47" t="s">
        <v>469</v>
      </c>
      <c r="E267" s="47" t="s">
        <v>27</v>
      </c>
      <c r="F267" s="47" t="s">
        <v>475</v>
      </c>
      <c r="G267" s="47" t="s">
        <v>27</v>
      </c>
      <c r="H267" s="47">
        <v>70020</v>
      </c>
      <c r="I267" s="47">
        <v>70308</v>
      </c>
      <c r="J267" s="47" t="s">
        <v>28</v>
      </c>
      <c r="K267" s="47" t="s">
        <v>2629</v>
      </c>
      <c r="L267" s="47" t="s">
        <v>39</v>
      </c>
      <c r="M267" s="47" t="s">
        <v>2001</v>
      </c>
      <c r="N267" s="47">
        <v>900</v>
      </c>
      <c r="O267" s="47">
        <v>900</v>
      </c>
      <c r="P267" s="47">
        <v>900</v>
      </c>
      <c r="Q267" s="48">
        <v>900</v>
      </c>
      <c r="R267" s="47">
        <v>179</v>
      </c>
      <c r="S267" s="47">
        <v>179</v>
      </c>
      <c r="T267" s="47">
        <v>179</v>
      </c>
      <c r="U267" s="48">
        <v>179</v>
      </c>
      <c r="V267" s="48"/>
    </row>
    <row r="268" spans="2:22" ht="23" x14ac:dyDescent="0.25">
      <c r="B268" s="94" t="s">
        <v>476</v>
      </c>
      <c r="C268" s="44" t="s">
        <v>472</v>
      </c>
      <c r="D268" s="44" t="s">
        <v>473</v>
      </c>
      <c r="E268" s="44" t="s">
        <v>27</v>
      </c>
      <c r="F268" s="44" t="s">
        <v>470</v>
      </c>
      <c r="G268" s="44" t="s">
        <v>27</v>
      </c>
      <c r="H268" s="44">
        <v>70021</v>
      </c>
      <c r="I268" s="44">
        <v>70091</v>
      </c>
      <c r="J268" s="44" t="s">
        <v>28</v>
      </c>
      <c r="K268" s="44" t="s">
        <v>476</v>
      </c>
      <c r="L268" s="44" t="s">
        <v>29</v>
      </c>
      <c r="M268" s="44"/>
      <c r="N268" s="97">
        <v>800</v>
      </c>
      <c r="O268" s="97">
        <v>880</v>
      </c>
      <c r="P268" s="97">
        <v>900</v>
      </c>
      <c r="Q268" s="97">
        <v>900</v>
      </c>
      <c r="R268" s="97">
        <v>159</v>
      </c>
      <c r="S268" s="97">
        <v>175</v>
      </c>
      <c r="T268" s="97">
        <v>179</v>
      </c>
      <c r="U268" s="97">
        <v>179</v>
      </c>
      <c r="V268" s="46"/>
    </row>
    <row r="269" spans="2:22" ht="20" x14ac:dyDescent="0.25">
      <c r="B269" s="96" t="s">
        <v>476</v>
      </c>
      <c r="C269" s="47" t="s">
        <v>472</v>
      </c>
      <c r="D269" s="47" t="s">
        <v>473</v>
      </c>
      <c r="E269" s="47" t="s">
        <v>27</v>
      </c>
      <c r="F269" s="47" t="s">
        <v>470</v>
      </c>
      <c r="G269" s="47" t="s">
        <v>27</v>
      </c>
      <c r="H269" s="47">
        <v>70021</v>
      </c>
      <c r="I269" s="47">
        <v>70091</v>
      </c>
      <c r="J269" s="47" t="s">
        <v>28</v>
      </c>
      <c r="K269" s="47" t="s">
        <v>476</v>
      </c>
      <c r="L269" s="47" t="s">
        <v>30</v>
      </c>
      <c r="M269" s="47" t="s">
        <v>472</v>
      </c>
      <c r="N269" s="95">
        <v>800</v>
      </c>
      <c r="O269" s="95">
        <v>880</v>
      </c>
      <c r="P269" s="96">
        <v>910</v>
      </c>
      <c r="Q269" s="96">
        <v>1001</v>
      </c>
      <c r="R269" s="95">
        <v>159</v>
      </c>
      <c r="S269" s="95">
        <v>175</v>
      </c>
      <c r="T269" s="96">
        <v>181</v>
      </c>
      <c r="U269" s="96">
        <v>199</v>
      </c>
      <c r="V269" s="47"/>
    </row>
    <row r="270" spans="2:22" ht="30" x14ac:dyDescent="0.25">
      <c r="B270" s="47" t="s">
        <v>476</v>
      </c>
      <c r="C270" s="47" t="s">
        <v>472</v>
      </c>
      <c r="D270" s="47" t="s">
        <v>473</v>
      </c>
      <c r="E270" s="47" t="s">
        <v>27</v>
      </c>
      <c r="F270" s="47" t="s">
        <v>470</v>
      </c>
      <c r="G270" s="47" t="s">
        <v>27</v>
      </c>
      <c r="H270" s="47">
        <v>70021</v>
      </c>
      <c r="I270" s="47">
        <v>70091</v>
      </c>
      <c r="J270" s="47" t="s">
        <v>28</v>
      </c>
      <c r="K270" s="47" t="s">
        <v>2378</v>
      </c>
      <c r="L270" s="47" t="s">
        <v>36</v>
      </c>
      <c r="M270" s="47" t="s">
        <v>478</v>
      </c>
      <c r="N270" s="47">
        <v>900</v>
      </c>
      <c r="O270" s="47">
        <v>900</v>
      </c>
      <c r="P270" s="48">
        <v>900</v>
      </c>
      <c r="Q270" s="48">
        <v>900</v>
      </c>
      <c r="R270" s="47">
        <v>179</v>
      </c>
      <c r="S270" s="47">
        <v>179</v>
      </c>
      <c r="T270" s="48">
        <v>179</v>
      </c>
      <c r="U270" s="48">
        <v>179</v>
      </c>
      <c r="V270" s="48"/>
    </row>
    <row r="271" spans="2:22" ht="23" x14ac:dyDescent="0.25">
      <c r="B271" s="44" t="s">
        <v>479</v>
      </c>
      <c r="C271" s="44" t="s">
        <v>472</v>
      </c>
      <c r="D271" s="44" t="s">
        <v>473</v>
      </c>
      <c r="E271" s="44" t="s">
        <v>27</v>
      </c>
      <c r="F271" s="44" t="s">
        <v>480</v>
      </c>
      <c r="G271" s="44" t="s">
        <v>27</v>
      </c>
      <c r="H271" s="44">
        <v>70021</v>
      </c>
      <c r="I271" s="44">
        <v>70117</v>
      </c>
      <c r="J271" s="44" t="s">
        <v>28</v>
      </c>
      <c r="K271" s="44" t="s">
        <v>479</v>
      </c>
      <c r="L271" s="44" t="s">
        <v>29</v>
      </c>
      <c r="M271" s="44"/>
      <c r="N271" s="45">
        <v>1246</v>
      </c>
      <c r="O271" s="45">
        <v>1395</v>
      </c>
      <c r="P271" s="45">
        <v>1298</v>
      </c>
      <c r="Q271" s="45">
        <v>1436</v>
      </c>
      <c r="R271" s="45">
        <v>248</v>
      </c>
      <c r="S271" s="45">
        <v>278</v>
      </c>
      <c r="T271" s="45">
        <v>259</v>
      </c>
      <c r="U271" s="45">
        <v>286</v>
      </c>
      <c r="V271" s="46"/>
    </row>
    <row r="272" spans="2:22" x14ac:dyDescent="0.25">
      <c r="B272" s="47" t="s">
        <v>479</v>
      </c>
      <c r="C272" s="47" t="s">
        <v>472</v>
      </c>
      <c r="D272" s="47" t="s">
        <v>473</v>
      </c>
      <c r="E272" s="47" t="s">
        <v>27</v>
      </c>
      <c r="F272" s="47" t="s">
        <v>480</v>
      </c>
      <c r="G272" s="47" t="s">
        <v>27</v>
      </c>
      <c r="H272" s="47">
        <v>70021</v>
      </c>
      <c r="I272" s="47">
        <v>70117</v>
      </c>
      <c r="J272" s="47" t="s">
        <v>28</v>
      </c>
      <c r="K272" s="47" t="s">
        <v>479</v>
      </c>
      <c r="L272" s="47" t="s">
        <v>30</v>
      </c>
      <c r="M272" s="47" t="s">
        <v>472</v>
      </c>
      <c r="N272" s="48">
        <v>1246</v>
      </c>
      <c r="O272" s="48">
        <v>1395</v>
      </c>
      <c r="P272" s="48">
        <v>1298</v>
      </c>
      <c r="Q272" s="48">
        <v>1436</v>
      </c>
      <c r="R272" s="48">
        <v>248</v>
      </c>
      <c r="S272" s="48">
        <v>278</v>
      </c>
      <c r="T272" s="48">
        <v>259</v>
      </c>
      <c r="U272" s="48">
        <v>286</v>
      </c>
      <c r="V272" s="48"/>
    </row>
    <row r="273" spans="2:22" ht="23" x14ac:dyDescent="0.25">
      <c r="B273" s="44" t="s">
        <v>1971</v>
      </c>
      <c r="C273" s="44" t="s">
        <v>1839</v>
      </c>
      <c r="D273" s="44" t="s">
        <v>1840</v>
      </c>
      <c r="E273" s="44" t="s">
        <v>40</v>
      </c>
      <c r="F273" s="44" t="s">
        <v>1840</v>
      </c>
      <c r="G273" s="44" t="s">
        <v>40</v>
      </c>
      <c r="H273" s="44">
        <v>70821</v>
      </c>
      <c r="I273" s="44">
        <v>2123</v>
      </c>
      <c r="J273" s="44" t="s">
        <v>42</v>
      </c>
      <c r="K273" s="44" t="s">
        <v>1971</v>
      </c>
      <c r="L273" s="44" t="s">
        <v>29</v>
      </c>
      <c r="M273" s="44"/>
      <c r="N273" s="45">
        <v>2412</v>
      </c>
      <c r="O273" s="45">
        <v>2654</v>
      </c>
      <c r="P273" s="45">
        <v>2750</v>
      </c>
      <c r="Q273" s="45">
        <v>3026</v>
      </c>
      <c r="R273" s="45">
        <v>961</v>
      </c>
      <c r="S273" s="45">
        <v>1057</v>
      </c>
      <c r="T273" s="45">
        <v>1096</v>
      </c>
      <c r="U273" s="45">
        <v>1205</v>
      </c>
      <c r="V273" s="46"/>
    </row>
    <row r="274" spans="2:22" ht="20" x14ac:dyDescent="0.25">
      <c r="B274" s="47" t="s">
        <v>1971</v>
      </c>
      <c r="C274" s="47" t="s">
        <v>1839</v>
      </c>
      <c r="D274" s="47" t="s">
        <v>1840</v>
      </c>
      <c r="E274" s="47" t="s">
        <v>40</v>
      </c>
      <c r="F274" s="47" t="s">
        <v>1840</v>
      </c>
      <c r="G274" s="47" t="s">
        <v>40</v>
      </c>
      <c r="H274" s="47">
        <v>70821</v>
      </c>
      <c r="I274" s="47">
        <v>2123</v>
      </c>
      <c r="J274" s="47" t="s">
        <v>42</v>
      </c>
      <c r="K274" s="47" t="s">
        <v>1971</v>
      </c>
      <c r="L274" s="47" t="s">
        <v>30</v>
      </c>
      <c r="M274" s="47" t="s">
        <v>1839</v>
      </c>
      <c r="N274" s="48">
        <v>2412</v>
      </c>
      <c r="O274" s="48">
        <v>2654</v>
      </c>
      <c r="P274" s="48">
        <v>2750</v>
      </c>
      <c r="Q274" s="48">
        <v>3026</v>
      </c>
      <c r="R274" s="48">
        <v>961</v>
      </c>
      <c r="S274" s="48">
        <v>1057</v>
      </c>
      <c r="T274" s="48">
        <v>1096</v>
      </c>
      <c r="U274" s="48">
        <v>1205</v>
      </c>
      <c r="V274" s="48"/>
    </row>
    <row r="275" spans="2:22" ht="23" x14ac:dyDescent="0.25">
      <c r="B275" s="44" t="s">
        <v>1838</v>
      </c>
      <c r="C275" s="44" t="s">
        <v>1839</v>
      </c>
      <c r="D275" s="44" t="s">
        <v>1840</v>
      </c>
      <c r="E275" s="44" t="s">
        <v>40</v>
      </c>
      <c r="F275" s="44" t="s">
        <v>1841</v>
      </c>
      <c r="G275" s="44" t="s">
        <v>40</v>
      </c>
      <c r="H275" s="44">
        <v>70821</v>
      </c>
      <c r="I275" s="44">
        <v>2121</v>
      </c>
      <c r="J275" s="44" t="s">
        <v>42</v>
      </c>
      <c r="K275" s="44" t="s">
        <v>1838</v>
      </c>
      <c r="L275" s="44" t="s">
        <v>29</v>
      </c>
      <c r="M275" s="44"/>
      <c r="N275" s="45">
        <v>2412</v>
      </c>
      <c r="O275" s="45">
        <v>2654</v>
      </c>
      <c r="P275" s="45">
        <v>2750</v>
      </c>
      <c r="Q275" s="45">
        <v>3026</v>
      </c>
      <c r="R275" s="45">
        <v>961</v>
      </c>
      <c r="S275" s="45">
        <v>1057</v>
      </c>
      <c r="T275" s="45">
        <v>1096</v>
      </c>
      <c r="U275" s="45">
        <v>1205</v>
      </c>
      <c r="V275" s="46"/>
    </row>
    <row r="276" spans="2:22" ht="20" x14ac:dyDescent="0.25">
      <c r="B276" s="47" t="s">
        <v>1838</v>
      </c>
      <c r="C276" s="47" t="s">
        <v>1839</v>
      </c>
      <c r="D276" s="47" t="s">
        <v>1840</v>
      </c>
      <c r="E276" s="47" t="s">
        <v>40</v>
      </c>
      <c r="F276" s="47" t="s">
        <v>1841</v>
      </c>
      <c r="G276" s="47" t="s">
        <v>40</v>
      </c>
      <c r="H276" s="47">
        <v>70821</v>
      </c>
      <c r="I276" s="47">
        <v>2121</v>
      </c>
      <c r="J276" s="47" t="s">
        <v>42</v>
      </c>
      <c r="K276" s="47" t="s">
        <v>1838</v>
      </c>
      <c r="L276" s="47" t="s">
        <v>30</v>
      </c>
      <c r="M276" s="47" t="s">
        <v>1839</v>
      </c>
      <c r="N276" s="48">
        <v>2412</v>
      </c>
      <c r="O276" s="48">
        <v>2654</v>
      </c>
      <c r="P276" s="48">
        <v>2750</v>
      </c>
      <c r="Q276" s="48">
        <v>3026</v>
      </c>
      <c r="R276" s="48">
        <v>961</v>
      </c>
      <c r="S276" s="48">
        <v>1057</v>
      </c>
      <c r="T276" s="48">
        <v>1096</v>
      </c>
      <c r="U276" s="48">
        <v>1205</v>
      </c>
      <c r="V276" s="48"/>
    </row>
    <row r="277" spans="2:22" ht="23" x14ac:dyDescent="0.25">
      <c r="B277" s="44" t="s">
        <v>1856</v>
      </c>
      <c r="C277" s="44" t="s">
        <v>1839</v>
      </c>
      <c r="D277" s="44" t="s">
        <v>1840</v>
      </c>
      <c r="E277" s="44" t="s">
        <v>40</v>
      </c>
      <c r="F277" s="44" t="s">
        <v>809</v>
      </c>
      <c r="G277" s="44" t="s">
        <v>27</v>
      </c>
      <c r="H277" s="44">
        <v>70821</v>
      </c>
      <c r="I277" s="44">
        <v>70820</v>
      </c>
      <c r="J277" s="44" t="s">
        <v>42</v>
      </c>
      <c r="K277" s="44" t="s">
        <v>1856</v>
      </c>
      <c r="L277" s="44" t="s">
        <v>29</v>
      </c>
      <c r="M277" s="44"/>
      <c r="N277" s="45">
        <v>1980</v>
      </c>
      <c r="O277" s="45">
        <v>1980</v>
      </c>
      <c r="P277" s="45">
        <v>2091</v>
      </c>
      <c r="Q277" s="45">
        <v>2091</v>
      </c>
      <c r="R277" s="45">
        <v>789</v>
      </c>
      <c r="S277" s="45">
        <v>789</v>
      </c>
      <c r="T277" s="45">
        <v>833</v>
      </c>
      <c r="U277" s="45">
        <v>833</v>
      </c>
      <c r="V277" s="46"/>
    </row>
    <row r="278" spans="2:22" ht="20" x14ac:dyDescent="0.25">
      <c r="B278" s="47" t="s">
        <v>1856</v>
      </c>
      <c r="C278" s="47" t="s">
        <v>1839</v>
      </c>
      <c r="D278" s="47" t="s">
        <v>1840</v>
      </c>
      <c r="E278" s="47" t="s">
        <v>40</v>
      </c>
      <c r="F278" s="47" t="s">
        <v>809</v>
      </c>
      <c r="G278" s="47" t="s">
        <v>27</v>
      </c>
      <c r="H278" s="47">
        <v>70821</v>
      </c>
      <c r="I278" s="47">
        <v>70820</v>
      </c>
      <c r="J278" s="47" t="s">
        <v>42</v>
      </c>
      <c r="K278" s="47"/>
      <c r="L278" s="47" t="s">
        <v>301</v>
      </c>
      <c r="M278" s="47" t="s">
        <v>1857</v>
      </c>
      <c r="N278" s="48">
        <v>1980</v>
      </c>
      <c r="O278" s="48">
        <v>1980</v>
      </c>
      <c r="P278" s="48">
        <v>2091</v>
      </c>
      <c r="Q278" s="48">
        <v>2091</v>
      </c>
      <c r="R278" s="48">
        <v>789</v>
      </c>
      <c r="S278" s="48">
        <v>789</v>
      </c>
      <c r="T278" s="48">
        <v>833</v>
      </c>
      <c r="U278" s="48">
        <v>833</v>
      </c>
      <c r="V278" s="48"/>
    </row>
    <row r="279" spans="2:22" ht="23" x14ac:dyDescent="0.25">
      <c r="B279" s="44" t="s">
        <v>487</v>
      </c>
      <c r="C279" s="44" t="s">
        <v>488</v>
      </c>
      <c r="D279" s="44" t="s">
        <v>489</v>
      </c>
      <c r="E279" s="44" t="s">
        <v>27</v>
      </c>
      <c r="F279" s="44" t="s">
        <v>490</v>
      </c>
      <c r="G279" s="44" t="s">
        <v>27</v>
      </c>
      <c r="H279" s="44">
        <v>70100</v>
      </c>
      <c r="I279" s="44">
        <v>70464</v>
      </c>
      <c r="J279" s="44" t="s">
        <v>28</v>
      </c>
      <c r="K279" s="44" t="s">
        <v>487</v>
      </c>
      <c r="L279" s="44" t="s">
        <v>29</v>
      </c>
      <c r="M279" s="44"/>
      <c r="N279" s="45">
        <v>1200</v>
      </c>
      <c r="O279" s="45">
        <v>1387</v>
      </c>
      <c r="P279" s="45">
        <v>1437</v>
      </c>
      <c r="Q279" s="45">
        <v>1581</v>
      </c>
      <c r="R279" s="45">
        <v>478</v>
      </c>
      <c r="S279" s="45">
        <v>553</v>
      </c>
      <c r="T279" s="45">
        <v>572</v>
      </c>
      <c r="U279" s="45">
        <v>630</v>
      </c>
      <c r="V279" s="46"/>
    </row>
    <row r="280" spans="2:22" ht="20" x14ac:dyDescent="0.25">
      <c r="B280" s="47" t="s">
        <v>487</v>
      </c>
      <c r="C280" s="47" t="s">
        <v>488</v>
      </c>
      <c r="D280" s="47" t="s">
        <v>489</v>
      </c>
      <c r="E280" s="47" t="s">
        <v>27</v>
      </c>
      <c r="F280" s="47" t="s">
        <v>490</v>
      </c>
      <c r="G280" s="47" t="s">
        <v>27</v>
      </c>
      <c r="H280" s="47">
        <v>70100</v>
      </c>
      <c r="I280" s="47">
        <v>70464</v>
      </c>
      <c r="J280" s="47" t="s">
        <v>28</v>
      </c>
      <c r="K280" s="47" t="s">
        <v>1842</v>
      </c>
      <c r="L280" s="47" t="s">
        <v>34</v>
      </c>
      <c r="M280" s="47" t="s">
        <v>1057</v>
      </c>
      <c r="N280" s="48">
        <v>1200</v>
      </c>
      <c r="O280" s="47">
        <v>1549</v>
      </c>
      <c r="P280" s="47">
        <v>1486</v>
      </c>
      <c r="Q280" s="47">
        <v>1780</v>
      </c>
      <c r="R280" s="48">
        <v>478</v>
      </c>
      <c r="S280" s="47">
        <v>617</v>
      </c>
      <c r="T280" s="47">
        <v>592</v>
      </c>
      <c r="U280" s="47">
        <v>709</v>
      </c>
      <c r="V280" s="47"/>
    </row>
    <row r="281" spans="2:22" ht="20" x14ac:dyDescent="0.25">
      <c r="B281" s="47" t="s">
        <v>487</v>
      </c>
      <c r="C281" s="47" t="s">
        <v>488</v>
      </c>
      <c r="D281" s="47" t="s">
        <v>489</v>
      </c>
      <c r="E281" s="47" t="s">
        <v>27</v>
      </c>
      <c r="F281" s="47" t="s">
        <v>490</v>
      </c>
      <c r="G281" s="47" t="s">
        <v>27</v>
      </c>
      <c r="H281" s="47">
        <v>70100</v>
      </c>
      <c r="I281" s="47">
        <v>70464</v>
      </c>
      <c r="J281" s="47" t="s">
        <v>28</v>
      </c>
      <c r="K281" s="47" t="s">
        <v>487</v>
      </c>
      <c r="L281" s="47" t="s">
        <v>30</v>
      </c>
      <c r="M281" s="47" t="s">
        <v>488</v>
      </c>
      <c r="N281" s="47">
        <v>1261</v>
      </c>
      <c r="O281" s="48">
        <v>1387</v>
      </c>
      <c r="P281" s="48">
        <v>1437</v>
      </c>
      <c r="Q281" s="48">
        <v>1581</v>
      </c>
      <c r="R281" s="47">
        <v>502</v>
      </c>
      <c r="S281" s="48">
        <v>553</v>
      </c>
      <c r="T281" s="48">
        <v>572</v>
      </c>
      <c r="U281" s="48">
        <v>630</v>
      </c>
      <c r="V281" s="48"/>
    </row>
    <row r="282" spans="2:22" ht="34.5" x14ac:dyDescent="0.25">
      <c r="B282" s="44" t="s">
        <v>492</v>
      </c>
      <c r="C282" s="44" t="s">
        <v>493</v>
      </c>
      <c r="D282" s="44" t="s">
        <v>294</v>
      </c>
      <c r="E282" s="44" t="s">
        <v>27</v>
      </c>
      <c r="F282" s="44" t="s">
        <v>494</v>
      </c>
      <c r="G282" s="44" t="s">
        <v>27</v>
      </c>
      <c r="H282" s="44">
        <v>70110</v>
      </c>
      <c r="I282" s="44">
        <v>70126</v>
      </c>
      <c r="J282" s="44" t="s">
        <v>28</v>
      </c>
      <c r="K282" s="44" t="s">
        <v>492</v>
      </c>
      <c r="L282" s="44" t="s">
        <v>29</v>
      </c>
      <c r="M282" s="44"/>
      <c r="N282" s="45">
        <v>918</v>
      </c>
      <c r="O282" s="45">
        <v>1069</v>
      </c>
      <c r="P282" s="45">
        <v>1093</v>
      </c>
      <c r="Q282" s="45">
        <v>1154</v>
      </c>
      <c r="R282" s="45">
        <v>183</v>
      </c>
      <c r="S282" s="45">
        <v>213</v>
      </c>
      <c r="T282" s="45">
        <v>218</v>
      </c>
      <c r="U282" s="45">
        <v>230</v>
      </c>
      <c r="V282" s="46"/>
    </row>
    <row r="283" spans="2:22" ht="30" x14ac:dyDescent="0.25">
      <c r="B283" s="47" t="s">
        <v>492</v>
      </c>
      <c r="C283" s="47" t="s">
        <v>493</v>
      </c>
      <c r="D283" s="47" t="s">
        <v>294</v>
      </c>
      <c r="E283" s="47" t="s">
        <v>27</v>
      </c>
      <c r="F283" s="47" t="s">
        <v>494</v>
      </c>
      <c r="G283" s="47" t="s">
        <v>27</v>
      </c>
      <c r="H283" s="47">
        <v>70110</v>
      </c>
      <c r="I283" s="47">
        <v>70126</v>
      </c>
      <c r="J283" s="47" t="s">
        <v>28</v>
      </c>
      <c r="K283" s="47" t="s">
        <v>239</v>
      </c>
      <c r="L283" s="47" t="s">
        <v>31</v>
      </c>
      <c r="M283" s="47" t="s">
        <v>495</v>
      </c>
      <c r="N283" s="48">
        <v>918</v>
      </c>
      <c r="O283" s="48">
        <v>1069</v>
      </c>
      <c r="P283" s="48">
        <v>1093</v>
      </c>
      <c r="Q283" s="47">
        <v>1216</v>
      </c>
      <c r="R283" s="48">
        <v>183</v>
      </c>
      <c r="S283" s="48">
        <v>213</v>
      </c>
      <c r="T283" s="48">
        <v>218</v>
      </c>
      <c r="U283" s="47">
        <v>242</v>
      </c>
      <c r="V283" s="47"/>
    </row>
    <row r="284" spans="2:22" ht="30" x14ac:dyDescent="0.25">
      <c r="B284" s="47" t="s">
        <v>492</v>
      </c>
      <c r="C284" s="47" t="s">
        <v>493</v>
      </c>
      <c r="D284" s="47" t="s">
        <v>294</v>
      </c>
      <c r="E284" s="47" t="s">
        <v>27</v>
      </c>
      <c r="F284" s="47" t="s">
        <v>494</v>
      </c>
      <c r="G284" s="47" t="s">
        <v>27</v>
      </c>
      <c r="H284" s="47">
        <v>70110</v>
      </c>
      <c r="I284" s="47">
        <v>70126</v>
      </c>
      <c r="J284" s="47" t="s">
        <v>28</v>
      </c>
      <c r="K284" s="47" t="s">
        <v>492</v>
      </c>
      <c r="L284" s="47" t="s">
        <v>30</v>
      </c>
      <c r="M284" s="47" t="s">
        <v>493</v>
      </c>
      <c r="N284" s="47">
        <v>1081</v>
      </c>
      <c r="O284" s="47">
        <v>1081</v>
      </c>
      <c r="P284" s="47">
        <v>1154</v>
      </c>
      <c r="Q284" s="48">
        <v>1154</v>
      </c>
      <c r="R284" s="47">
        <v>215</v>
      </c>
      <c r="S284" s="47">
        <v>215</v>
      </c>
      <c r="T284" s="47">
        <v>230</v>
      </c>
      <c r="U284" s="48">
        <v>230</v>
      </c>
      <c r="V284" s="48"/>
    </row>
    <row r="285" spans="2:22" ht="34.5" x14ac:dyDescent="0.25">
      <c r="B285" s="44" t="s">
        <v>502</v>
      </c>
      <c r="C285" s="44" t="s">
        <v>287</v>
      </c>
      <c r="D285" s="44" t="s">
        <v>294</v>
      </c>
      <c r="E285" s="44" t="s">
        <v>27</v>
      </c>
      <c r="F285" s="44" t="s">
        <v>503</v>
      </c>
      <c r="G285" s="44" t="s">
        <v>27</v>
      </c>
      <c r="H285" s="44">
        <v>70110</v>
      </c>
      <c r="I285" s="44">
        <v>70153</v>
      </c>
      <c r="J285" s="44" t="s">
        <v>28</v>
      </c>
      <c r="K285" s="44" t="s">
        <v>502</v>
      </c>
      <c r="L285" s="44" t="s">
        <v>29</v>
      </c>
      <c r="M285" s="44"/>
      <c r="N285" s="45">
        <v>800</v>
      </c>
      <c r="O285" s="45">
        <v>880</v>
      </c>
      <c r="P285" s="45">
        <v>909</v>
      </c>
      <c r="Q285" s="45">
        <v>1000</v>
      </c>
      <c r="R285" s="45">
        <v>159</v>
      </c>
      <c r="S285" s="45">
        <v>175</v>
      </c>
      <c r="T285" s="45">
        <v>181</v>
      </c>
      <c r="U285" s="45">
        <v>199</v>
      </c>
      <c r="V285" s="46"/>
    </row>
    <row r="286" spans="2:22" ht="30" x14ac:dyDescent="0.25">
      <c r="B286" s="47" t="s">
        <v>502</v>
      </c>
      <c r="C286" s="47" t="s">
        <v>287</v>
      </c>
      <c r="D286" s="47" t="s">
        <v>294</v>
      </c>
      <c r="E286" s="47" t="s">
        <v>27</v>
      </c>
      <c r="F286" s="47" t="s">
        <v>503</v>
      </c>
      <c r="G286" s="47" t="s">
        <v>27</v>
      </c>
      <c r="H286" s="47">
        <v>70110</v>
      </c>
      <c r="I286" s="47">
        <v>70153</v>
      </c>
      <c r="J286" s="47" t="s">
        <v>28</v>
      </c>
      <c r="K286" s="47" t="s">
        <v>502</v>
      </c>
      <c r="L286" s="47" t="s">
        <v>30</v>
      </c>
      <c r="M286" s="47" t="s">
        <v>287</v>
      </c>
      <c r="N286" s="48">
        <v>800</v>
      </c>
      <c r="O286" s="48">
        <v>880</v>
      </c>
      <c r="P286" s="48">
        <v>909</v>
      </c>
      <c r="Q286" s="48">
        <v>1000</v>
      </c>
      <c r="R286" s="48">
        <v>159</v>
      </c>
      <c r="S286" s="48">
        <v>175</v>
      </c>
      <c r="T286" s="48">
        <v>181</v>
      </c>
      <c r="U286" s="48">
        <v>199</v>
      </c>
      <c r="V286" s="48"/>
    </row>
    <row r="287" spans="2:22" ht="34.5" x14ac:dyDescent="0.25">
      <c r="B287" s="44" t="s">
        <v>496</v>
      </c>
      <c r="C287" s="44" t="s">
        <v>497</v>
      </c>
      <c r="D287" s="44" t="s">
        <v>294</v>
      </c>
      <c r="E287" s="44" t="s">
        <v>27</v>
      </c>
      <c r="F287" s="44" t="s">
        <v>498</v>
      </c>
      <c r="G287" s="44" t="s">
        <v>27</v>
      </c>
      <c r="H287" s="44">
        <v>70110</v>
      </c>
      <c r="I287" s="44">
        <v>70154</v>
      </c>
      <c r="J287" s="44" t="s">
        <v>28</v>
      </c>
      <c r="K287" s="44" t="s">
        <v>496</v>
      </c>
      <c r="L287" s="44" t="s">
        <v>29</v>
      </c>
      <c r="M287" s="44"/>
      <c r="N287" s="45">
        <v>800</v>
      </c>
      <c r="O287" s="45">
        <v>880</v>
      </c>
      <c r="P287" s="45">
        <v>909</v>
      </c>
      <c r="Q287" s="45">
        <v>1000</v>
      </c>
      <c r="R287" s="45">
        <v>159</v>
      </c>
      <c r="S287" s="45">
        <v>175</v>
      </c>
      <c r="T287" s="45">
        <v>181</v>
      </c>
      <c r="U287" s="45">
        <v>199</v>
      </c>
      <c r="V287" s="46"/>
    </row>
    <row r="288" spans="2:22" ht="30" x14ac:dyDescent="0.25">
      <c r="B288" s="47" t="s">
        <v>496</v>
      </c>
      <c r="C288" s="47" t="s">
        <v>497</v>
      </c>
      <c r="D288" s="47" t="s">
        <v>294</v>
      </c>
      <c r="E288" s="47" t="s">
        <v>27</v>
      </c>
      <c r="F288" s="47" t="s">
        <v>498</v>
      </c>
      <c r="G288" s="47" t="s">
        <v>27</v>
      </c>
      <c r="H288" s="47">
        <v>70110</v>
      </c>
      <c r="I288" s="47">
        <v>70154</v>
      </c>
      <c r="J288" s="47" t="s">
        <v>28</v>
      </c>
      <c r="K288" s="47" t="s">
        <v>496</v>
      </c>
      <c r="L288" s="47" t="s">
        <v>30</v>
      </c>
      <c r="M288" s="47" t="s">
        <v>497</v>
      </c>
      <c r="N288" s="48">
        <v>800</v>
      </c>
      <c r="O288" s="48">
        <v>880</v>
      </c>
      <c r="P288" s="48">
        <v>909</v>
      </c>
      <c r="Q288" s="48">
        <v>1000</v>
      </c>
      <c r="R288" s="48">
        <v>159</v>
      </c>
      <c r="S288" s="48">
        <v>175</v>
      </c>
      <c r="T288" s="48">
        <v>181</v>
      </c>
      <c r="U288" s="48">
        <v>199</v>
      </c>
      <c r="V288" s="48"/>
    </row>
    <row r="289" spans="2:22" ht="34.5" x14ac:dyDescent="0.25">
      <c r="B289" s="44" t="s">
        <v>504</v>
      </c>
      <c r="C289" s="44" t="s">
        <v>368</v>
      </c>
      <c r="D289" s="44" t="s">
        <v>294</v>
      </c>
      <c r="E289" s="44" t="s">
        <v>27</v>
      </c>
      <c r="F289" s="44" t="s">
        <v>370</v>
      </c>
      <c r="G289" s="44" t="s">
        <v>27</v>
      </c>
      <c r="H289" s="44">
        <v>70110</v>
      </c>
      <c r="I289" s="44">
        <v>70174</v>
      </c>
      <c r="J289" s="44" t="s">
        <v>28</v>
      </c>
      <c r="K289" s="44" t="s">
        <v>504</v>
      </c>
      <c r="L289" s="44" t="s">
        <v>29</v>
      </c>
      <c r="M289" s="44"/>
      <c r="N289" s="45">
        <v>1030</v>
      </c>
      <c r="O289" s="45">
        <v>1133</v>
      </c>
      <c r="P289" s="45">
        <v>1107</v>
      </c>
      <c r="Q289" s="45">
        <v>1217</v>
      </c>
      <c r="R289" s="45">
        <v>205</v>
      </c>
      <c r="S289" s="45">
        <v>226</v>
      </c>
      <c r="T289" s="45">
        <v>220</v>
      </c>
      <c r="U289" s="45">
        <v>242</v>
      </c>
      <c r="V289" s="46"/>
    </row>
    <row r="290" spans="2:22" ht="30" x14ac:dyDescent="0.25">
      <c r="B290" s="47" t="s">
        <v>504</v>
      </c>
      <c r="C290" s="47" t="s">
        <v>368</v>
      </c>
      <c r="D290" s="47" t="s">
        <v>294</v>
      </c>
      <c r="E290" s="47" t="s">
        <v>27</v>
      </c>
      <c r="F290" s="47" t="s">
        <v>370</v>
      </c>
      <c r="G290" s="47" t="s">
        <v>27</v>
      </c>
      <c r="H290" s="47">
        <v>70110</v>
      </c>
      <c r="I290" s="47">
        <v>70174</v>
      </c>
      <c r="J290" s="47" t="s">
        <v>28</v>
      </c>
      <c r="K290" s="47" t="s">
        <v>504</v>
      </c>
      <c r="L290" s="47" t="s">
        <v>30</v>
      </c>
      <c r="M290" s="47" t="s">
        <v>368</v>
      </c>
      <c r="N290" s="48">
        <v>1030</v>
      </c>
      <c r="O290" s="48">
        <v>1133</v>
      </c>
      <c r="P290" s="48">
        <v>1107</v>
      </c>
      <c r="Q290" s="48">
        <v>1217</v>
      </c>
      <c r="R290" s="48">
        <v>205</v>
      </c>
      <c r="S290" s="48">
        <v>226</v>
      </c>
      <c r="T290" s="48">
        <v>220</v>
      </c>
      <c r="U290" s="48">
        <v>242</v>
      </c>
      <c r="V290" s="48"/>
    </row>
    <row r="291" spans="2:22" ht="34.5" x14ac:dyDescent="0.25">
      <c r="B291" s="44" t="s">
        <v>505</v>
      </c>
      <c r="C291" s="44" t="s">
        <v>506</v>
      </c>
      <c r="D291" s="44" t="s">
        <v>294</v>
      </c>
      <c r="E291" s="44" t="s">
        <v>27</v>
      </c>
      <c r="F291" s="44" t="s">
        <v>370</v>
      </c>
      <c r="G291" s="44" t="s">
        <v>27</v>
      </c>
      <c r="H291" s="44">
        <v>70110</v>
      </c>
      <c r="I291" s="44">
        <v>70175</v>
      </c>
      <c r="J291" s="44" t="s">
        <v>28</v>
      </c>
      <c r="K291" s="44" t="s">
        <v>505</v>
      </c>
      <c r="L291" s="44" t="s">
        <v>29</v>
      </c>
      <c r="M291" s="44"/>
      <c r="N291" s="45">
        <v>1030</v>
      </c>
      <c r="O291" s="45">
        <v>1133</v>
      </c>
      <c r="P291" s="45">
        <v>1107</v>
      </c>
      <c r="Q291" s="45">
        <v>1217</v>
      </c>
      <c r="R291" s="45">
        <v>205</v>
      </c>
      <c r="S291" s="45">
        <v>226</v>
      </c>
      <c r="T291" s="45">
        <v>220</v>
      </c>
      <c r="U291" s="45">
        <v>242</v>
      </c>
      <c r="V291" s="46"/>
    </row>
    <row r="292" spans="2:22" ht="30" x14ac:dyDescent="0.25">
      <c r="B292" s="47" t="s">
        <v>505</v>
      </c>
      <c r="C292" s="47" t="s">
        <v>506</v>
      </c>
      <c r="D292" s="47" t="s">
        <v>294</v>
      </c>
      <c r="E292" s="47" t="s">
        <v>27</v>
      </c>
      <c r="F292" s="47" t="s">
        <v>370</v>
      </c>
      <c r="G292" s="47" t="s">
        <v>27</v>
      </c>
      <c r="H292" s="47">
        <v>70110</v>
      </c>
      <c r="I292" s="47">
        <v>70175</v>
      </c>
      <c r="J292" s="47" t="s">
        <v>28</v>
      </c>
      <c r="K292" s="47" t="s">
        <v>505</v>
      </c>
      <c r="L292" s="47" t="s">
        <v>30</v>
      </c>
      <c r="M292" s="47" t="s">
        <v>506</v>
      </c>
      <c r="N292" s="48">
        <v>1030</v>
      </c>
      <c r="O292" s="48">
        <v>1133</v>
      </c>
      <c r="P292" s="48">
        <v>1107</v>
      </c>
      <c r="Q292" s="48">
        <v>1217</v>
      </c>
      <c r="R292" s="48">
        <v>205</v>
      </c>
      <c r="S292" s="48">
        <v>226</v>
      </c>
      <c r="T292" s="48">
        <v>220</v>
      </c>
      <c r="U292" s="48">
        <v>242</v>
      </c>
      <c r="V292" s="48"/>
    </row>
    <row r="293" spans="2:22" ht="34.5" x14ac:dyDescent="0.25">
      <c r="B293" s="44" t="s">
        <v>177</v>
      </c>
      <c r="C293" s="44" t="s">
        <v>120</v>
      </c>
      <c r="D293" s="44" t="s">
        <v>294</v>
      </c>
      <c r="E293" s="44" t="s">
        <v>27</v>
      </c>
      <c r="F293" s="44" t="s">
        <v>507</v>
      </c>
      <c r="G293" s="44" t="s">
        <v>27</v>
      </c>
      <c r="H293" s="44">
        <v>70107</v>
      </c>
      <c r="I293" s="44">
        <v>70200</v>
      </c>
      <c r="J293" s="44" t="s">
        <v>28</v>
      </c>
      <c r="K293" s="44" t="s">
        <v>177</v>
      </c>
      <c r="L293" s="44" t="s">
        <v>29</v>
      </c>
      <c r="M293" s="44"/>
      <c r="N293" s="45">
        <v>1091</v>
      </c>
      <c r="O293" s="45">
        <v>1271</v>
      </c>
      <c r="P293" s="45">
        <v>1303</v>
      </c>
      <c r="Q293" s="45">
        <v>1448</v>
      </c>
      <c r="R293" s="45">
        <v>435</v>
      </c>
      <c r="S293" s="45">
        <v>506</v>
      </c>
      <c r="T293" s="45">
        <v>519</v>
      </c>
      <c r="U293" s="45">
        <v>577</v>
      </c>
      <c r="V293" s="46"/>
    </row>
    <row r="294" spans="2:22" ht="30" x14ac:dyDescent="0.25">
      <c r="B294" s="47" t="s">
        <v>177</v>
      </c>
      <c r="C294" s="47" t="s">
        <v>120</v>
      </c>
      <c r="D294" s="47" t="s">
        <v>294</v>
      </c>
      <c r="E294" s="47" t="s">
        <v>27</v>
      </c>
      <c r="F294" s="47" t="s">
        <v>507</v>
      </c>
      <c r="G294" s="47" t="s">
        <v>27</v>
      </c>
      <c r="H294" s="47">
        <v>70107</v>
      </c>
      <c r="I294" s="47">
        <v>70200</v>
      </c>
      <c r="J294" s="47" t="s">
        <v>28</v>
      </c>
      <c r="K294" s="47" t="s">
        <v>249</v>
      </c>
      <c r="L294" s="47" t="s">
        <v>31</v>
      </c>
      <c r="M294" s="47" t="s">
        <v>515</v>
      </c>
      <c r="N294" s="48">
        <v>1091</v>
      </c>
      <c r="O294" s="48">
        <v>1271</v>
      </c>
      <c r="P294" s="48">
        <v>1303</v>
      </c>
      <c r="Q294" s="48">
        <v>1448</v>
      </c>
      <c r="R294" s="48">
        <v>435</v>
      </c>
      <c r="S294" s="48">
        <v>506</v>
      </c>
      <c r="T294" s="48">
        <v>519</v>
      </c>
      <c r="U294" s="48">
        <v>577</v>
      </c>
      <c r="V294" s="48"/>
    </row>
    <row r="295" spans="2:22" ht="34.5" x14ac:dyDescent="0.25">
      <c r="B295" s="94" t="s">
        <v>511</v>
      </c>
      <c r="C295" s="44" t="s">
        <v>512</v>
      </c>
      <c r="D295" s="44" t="s">
        <v>294</v>
      </c>
      <c r="E295" s="44" t="s">
        <v>27</v>
      </c>
      <c r="F295" s="44" t="s">
        <v>513</v>
      </c>
      <c r="G295" s="44" t="s">
        <v>27</v>
      </c>
      <c r="H295" s="44">
        <v>70107</v>
      </c>
      <c r="I295" s="44">
        <v>70324</v>
      </c>
      <c r="J295" s="44" t="s">
        <v>28</v>
      </c>
      <c r="K295" s="44" t="s">
        <v>511</v>
      </c>
      <c r="L295" s="44" t="s">
        <v>29</v>
      </c>
      <c r="M295" s="44"/>
      <c r="N295" s="45">
        <v>1091</v>
      </c>
      <c r="O295" s="45">
        <v>1271</v>
      </c>
      <c r="P295" s="45">
        <v>1303</v>
      </c>
      <c r="Q295" s="97">
        <v>1392</v>
      </c>
      <c r="R295" s="45">
        <v>435</v>
      </c>
      <c r="S295" s="45">
        <v>506</v>
      </c>
      <c r="T295" s="45">
        <v>519</v>
      </c>
      <c r="U295" s="97">
        <v>555</v>
      </c>
      <c r="V295" s="46"/>
    </row>
    <row r="296" spans="2:22" ht="30" x14ac:dyDescent="0.25">
      <c r="B296" s="47" t="s">
        <v>511</v>
      </c>
      <c r="C296" s="47" t="s">
        <v>512</v>
      </c>
      <c r="D296" s="47" t="s">
        <v>294</v>
      </c>
      <c r="E296" s="47" t="s">
        <v>27</v>
      </c>
      <c r="F296" s="47" t="s">
        <v>513</v>
      </c>
      <c r="G296" s="47" t="s">
        <v>27</v>
      </c>
      <c r="H296" s="47">
        <v>70107</v>
      </c>
      <c r="I296" s="47">
        <v>70324</v>
      </c>
      <c r="J296" s="47" t="s">
        <v>28</v>
      </c>
      <c r="K296" s="47" t="s">
        <v>249</v>
      </c>
      <c r="L296" s="47" t="s">
        <v>31</v>
      </c>
      <c r="M296" s="47" t="s">
        <v>515</v>
      </c>
      <c r="N296" s="48">
        <v>1091</v>
      </c>
      <c r="O296" s="48">
        <v>1271</v>
      </c>
      <c r="P296" s="48">
        <v>1303</v>
      </c>
      <c r="Q296" s="47">
        <v>1448</v>
      </c>
      <c r="R296" s="48">
        <v>435</v>
      </c>
      <c r="S296" s="48">
        <v>506</v>
      </c>
      <c r="T296" s="48">
        <v>519</v>
      </c>
      <c r="U296" s="47">
        <v>577</v>
      </c>
      <c r="V296" s="47"/>
    </row>
    <row r="297" spans="2:22" ht="30" x14ac:dyDescent="0.25">
      <c r="B297" s="96" t="s">
        <v>511</v>
      </c>
      <c r="C297" s="96" t="s">
        <v>512</v>
      </c>
      <c r="D297" s="96" t="s">
        <v>294</v>
      </c>
      <c r="E297" s="96" t="s">
        <v>27</v>
      </c>
      <c r="F297" s="96" t="s">
        <v>513</v>
      </c>
      <c r="G297" s="96" t="s">
        <v>27</v>
      </c>
      <c r="H297" s="96">
        <v>70107</v>
      </c>
      <c r="I297" s="96">
        <v>70324</v>
      </c>
      <c r="J297" s="96" t="s">
        <v>28</v>
      </c>
      <c r="K297" s="96" t="s">
        <v>511</v>
      </c>
      <c r="L297" s="96" t="s">
        <v>30</v>
      </c>
      <c r="M297" s="96" t="s">
        <v>512</v>
      </c>
      <c r="N297" s="96">
        <v>1392</v>
      </c>
      <c r="O297" s="96">
        <v>1392</v>
      </c>
      <c r="P297" s="96">
        <v>1392</v>
      </c>
      <c r="Q297" s="95">
        <v>1392</v>
      </c>
      <c r="R297" s="96">
        <v>555</v>
      </c>
      <c r="S297" s="96">
        <v>555</v>
      </c>
      <c r="T297" s="96">
        <v>555</v>
      </c>
      <c r="U297" s="95">
        <v>555</v>
      </c>
      <c r="V297" s="95"/>
    </row>
    <row r="298" spans="2:22" ht="34.5" x14ac:dyDescent="0.25">
      <c r="B298" s="44" t="s">
        <v>522</v>
      </c>
      <c r="C298" s="44" t="s">
        <v>523</v>
      </c>
      <c r="D298" s="44" t="s">
        <v>294</v>
      </c>
      <c r="E298" s="44" t="s">
        <v>27</v>
      </c>
      <c r="F298" s="44" t="s">
        <v>524</v>
      </c>
      <c r="G298" s="44" t="s">
        <v>27</v>
      </c>
      <c r="H298" s="44">
        <v>70108</v>
      </c>
      <c r="I298" s="44">
        <v>70276</v>
      </c>
      <c r="J298" s="44" t="s">
        <v>28</v>
      </c>
      <c r="K298" s="44" t="s">
        <v>522</v>
      </c>
      <c r="L298" s="44" t="s">
        <v>29</v>
      </c>
      <c r="M298" s="44"/>
      <c r="N298" s="45">
        <v>800</v>
      </c>
      <c r="O298" s="45">
        <v>880</v>
      </c>
      <c r="P298" s="45">
        <v>909</v>
      </c>
      <c r="Q298" s="45">
        <v>1000</v>
      </c>
      <c r="R298" s="45">
        <v>159</v>
      </c>
      <c r="S298" s="45">
        <v>175</v>
      </c>
      <c r="T298" s="45">
        <v>181</v>
      </c>
      <c r="U298" s="45">
        <v>199</v>
      </c>
      <c r="V298" s="46"/>
    </row>
    <row r="299" spans="2:22" ht="30" x14ac:dyDescent="0.25">
      <c r="B299" s="47" t="s">
        <v>522</v>
      </c>
      <c r="C299" s="47" t="s">
        <v>523</v>
      </c>
      <c r="D299" s="47" t="s">
        <v>294</v>
      </c>
      <c r="E299" s="47" t="s">
        <v>27</v>
      </c>
      <c r="F299" s="47" t="s">
        <v>524</v>
      </c>
      <c r="G299" s="47" t="s">
        <v>27</v>
      </c>
      <c r="H299" s="47">
        <v>70108</v>
      </c>
      <c r="I299" s="47">
        <v>70276</v>
      </c>
      <c r="J299" s="47" t="s">
        <v>28</v>
      </c>
      <c r="K299" s="47" t="s">
        <v>32</v>
      </c>
      <c r="L299" s="47" t="s">
        <v>31</v>
      </c>
      <c r="M299" s="47" t="s">
        <v>515</v>
      </c>
      <c r="N299" s="48">
        <v>800</v>
      </c>
      <c r="O299" s="48">
        <v>880</v>
      </c>
      <c r="P299" s="48">
        <v>909</v>
      </c>
      <c r="Q299" s="48">
        <v>1000</v>
      </c>
      <c r="R299" s="48">
        <v>159</v>
      </c>
      <c r="S299" s="48">
        <v>175</v>
      </c>
      <c r="T299" s="48">
        <v>181</v>
      </c>
      <c r="U299" s="48">
        <v>199</v>
      </c>
      <c r="V299" s="48"/>
    </row>
    <row r="300" spans="2:22" ht="34.5" x14ac:dyDescent="0.25">
      <c r="B300" s="44" t="s">
        <v>525</v>
      </c>
      <c r="C300" s="44" t="s">
        <v>459</v>
      </c>
      <c r="D300" s="44" t="s">
        <v>294</v>
      </c>
      <c r="E300" s="44" t="s">
        <v>27</v>
      </c>
      <c r="F300" s="44" t="s">
        <v>524</v>
      </c>
      <c r="G300" s="44" t="s">
        <v>27</v>
      </c>
      <c r="H300" s="44">
        <v>70108</v>
      </c>
      <c r="I300" s="44">
        <v>70277</v>
      </c>
      <c r="J300" s="44" t="s">
        <v>28</v>
      </c>
      <c r="K300" s="44" t="s">
        <v>525</v>
      </c>
      <c r="L300" s="44" t="s">
        <v>29</v>
      </c>
      <c r="M300" s="44"/>
      <c r="N300" s="45">
        <v>1200</v>
      </c>
      <c r="O300" s="45">
        <v>1200</v>
      </c>
      <c r="P300" s="45">
        <v>1200</v>
      </c>
      <c r="Q300" s="45">
        <v>1200</v>
      </c>
      <c r="R300" s="45">
        <v>239</v>
      </c>
      <c r="S300" s="45">
        <v>239</v>
      </c>
      <c r="T300" s="45">
        <v>239</v>
      </c>
      <c r="U300" s="45">
        <v>239</v>
      </c>
      <c r="V300" s="46"/>
    </row>
    <row r="301" spans="2:22" ht="30" x14ac:dyDescent="0.25">
      <c r="B301" s="47" t="s">
        <v>525</v>
      </c>
      <c r="C301" s="47" t="s">
        <v>459</v>
      </c>
      <c r="D301" s="47" t="s">
        <v>294</v>
      </c>
      <c r="E301" s="47" t="s">
        <v>27</v>
      </c>
      <c r="F301" s="47" t="s">
        <v>524</v>
      </c>
      <c r="G301" s="47" t="s">
        <v>27</v>
      </c>
      <c r="H301" s="47">
        <v>70108</v>
      </c>
      <c r="I301" s="47">
        <v>70277</v>
      </c>
      <c r="J301" s="47" t="s">
        <v>28</v>
      </c>
      <c r="K301" s="47" t="s">
        <v>526</v>
      </c>
      <c r="L301" s="47" t="s">
        <v>1315</v>
      </c>
      <c r="M301" s="47" t="s">
        <v>527</v>
      </c>
      <c r="N301" s="48">
        <v>1200</v>
      </c>
      <c r="O301" s="48">
        <v>1200</v>
      </c>
      <c r="P301" s="48">
        <v>1200</v>
      </c>
      <c r="Q301" s="48">
        <v>1200</v>
      </c>
      <c r="R301" s="48">
        <v>239</v>
      </c>
      <c r="S301" s="48">
        <v>239</v>
      </c>
      <c r="T301" s="48">
        <v>239</v>
      </c>
      <c r="U301" s="48">
        <v>239</v>
      </c>
      <c r="V301" s="48"/>
    </row>
    <row r="302" spans="2:22" ht="30" x14ac:dyDescent="0.25">
      <c r="B302" s="47" t="s">
        <v>525</v>
      </c>
      <c r="C302" s="47" t="s">
        <v>459</v>
      </c>
      <c r="D302" s="47" t="s">
        <v>294</v>
      </c>
      <c r="E302" s="47" t="s">
        <v>27</v>
      </c>
      <c r="F302" s="47" t="s">
        <v>524</v>
      </c>
      <c r="G302" s="47" t="s">
        <v>27</v>
      </c>
      <c r="H302" s="47">
        <v>70108</v>
      </c>
      <c r="I302" s="47">
        <v>70277</v>
      </c>
      <c r="J302" s="47" t="s">
        <v>28</v>
      </c>
      <c r="K302" s="47" t="s">
        <v>1978</v>
      </c>
      <c r="L302" s="47" t="s">
        <v>34</v>
      </c>
      <c r="M302" s="47" t="s">
        <v>515</v>
      </c>
      <c r="N302" s="48">
        <v>1200</v>
      </c>
      <c r="O302" s="47">
        <v>1549</v>
      </c>
      <c r="P302" s="47">
        <v>1486</v>
      </c>
      <c r="Q302" s="47">
        <v>1780</v>
      </c>
      <c r="R302" s="48">
        <v>239</v>
      </c>
      <c r="S302" s="47">
        <v>309</v>
      </c>
      <c r="T302" s="47">
        <v>296</v>
      </c>
      <c r="U302" s="47">
        <v>355</v>
      </c>
      <c r="V302" s="47"/>
    </row>
    <row r="303" spans="2:22" ht="30" x14ac:dyDescent="0.25">
      <c r="B303" s="47" t="s">
        <v>525</v>
      </c>
      <c r="C303" s="47" t="s">
        <v>459</v>
      </c>
      <c r="D303" s="47" t="s">
        <v>294</v>
      </c>
      <c r="E303" s="47" t="s">
        <v>27</v>
      </c>
      <c r="F303" s="47" t="s">
        <v>524</v>
      </c>
      <c r="G303" s="47" t="s">
        <v>27</v>
      </c>
      <c r="H303" s="47">
        <v>70108</v>
      </c>
      <c r="I303" s="47">
        <v>70277</v>
      </c>
      <c r="J303" s="47" t="s">
        <v>28</v>
      </c>
      <c r="K303" s="47" t="s">
        <v>1979</v>
      </c>
      <c r="L303" s="47" t="s">
        <v>34</v>
      </c>
      <c r="M303" s="47" t="s">
        <v>515</v>
      </c>
      <c r="N303" s="48">
        <v>1200</v>
      </c>
      <c r="O303" s="47">
        <v>1549</v>
      </c>
      <c r="P303" s="47">
        <v>1486</v>
      </c>
      <c r="Q303" s="47">
        <v>1780</v>
      </c>
      <c r="R303" s="48">
        <v>239</v>
      </c>
      <c r="S303" s="47">
        <v>309</v>
      </c>
      <c r="T303" s="47">
        <v>296</v>
      </c>
      <c r="U303" s="47">
        <v>355</v>
      </c>
      <c r="V303" s="47"/>
    </row>
    <row r="304" spans="2:22" ht="34.5" x14ac:dyDescent="0.25">
      <c r="B304" s="94" t="s">
        <v>2643</v>
      </c>
      <c r="C304" s="94" t="s">
        <v>536</v>
      </c>
      <c r="D304" s="94" t="s">
        <v>294</v>
      </c>
      <c r="E304" s="94" t="s">
        <v>27</v>
      </c>
      <c r="F304" s="94" t="s">
        <v>2640</v>
      </c>
      <c r="G304" s="94" t="s">
        <v>27</v>
      </c>
      <c r="H304" s="94">
        <v>70110</v>
      </c>
      <c r="I304" s="94">
        <v>70494</v>
      </c>
      <c r="J304" s="94" t="s">
        <v>28</v>
      </c>
      <c r="K304" s="94" t="s">
        <v>2643</v>
      </c>
      <c r="L304" s="94" t="s">
        <v>29</v>
      </c>
      <c r="M304" s="94"/>
      <c r="N304" s="97">
        <v>800</v>
      </c>
      <c r="O304" s="97">
        <v>880</v>
      </c>
      <c r="P304" s="97">
        <v>909</v>
      </c>
      <c r="Q304" s="97">
        <v>1000</v>
      </c>
      <c r="R304" s="97">
        <v>159</v>
      </c>
      <c r="S304" s="97">
        <v>175</v>
      </c>
      <c r="T304" s="97">
        <v>181</v>
      </c>
      <c r="U304" s="97">
        <v>199</v>
      </c>
      <c r="V304" s="98"/>
    </row>
    <row r="305" spans="2:22" ht="30" x14ac:dyDescent="0.25">
      <c r="B305" s="96" t="s">
        <v>2643</v>
      </c>
      <c r="C305" s="96" t="s">
        <v>536</v>
      </c>
      <c r="D305" s="96" t="s">
        <v>294</v>
      </c>
      <c r="E305" s="96" t="s">
        <v>27</v>
      </c>
      <c r="F305" s="96" t="s">
        <v>2640</v>
      </c>
      <c r="G305" s="96" t="s">
        <v>27</v>
      </c>
      <c r="H305" s="96">
        <v>70110</v>
      </c>
      <c r="I305" s="96">
        <v>70494</v>
      </c>
      <c r="J305" s="96" t="s">
        <v>28</v>
      </c>
      <c r="K305" s="96" t="s">
        <v>2643</v>
      </c>
      <c r="L305" s="96" t="s">
        <v>30</v>
      </c>
      <c r="M305" s="96" t="s">
        <v>536</v>
      </c>
      <c r="N305" s="95">
        <v>800</v>
      </c>
      <c r="O305" s="95">
        <v>880</v>
      </c>
      <c r="P305" s="95">
        <v>909</v>
      </c>
      <c r="Q305" s="95">
        <v>1000</v>
      </c>
      <c r="R305" s="95">
        <v>159</v>
      </c>
      <c r="S305" s="95">
        <v>175</v>
      </c>
      <c r="T305" s="95">
        <v>181</v>
      </c>
      <c r="U305" s="95">
        <v>199</v>
      </c>
      <c r="V305" s="95"/>
    </row>
    <row r="306" spans="2:22" ht="30" x14ac:dyDescent="0.25">
      <c r="B306" s="96" t="s">
        <v>2643</v>
      </c>
      <c r="C306" s="96" t="s">
        <v>536</v>
      </c>
      <c r="D306" s="96" t="s">
        <v>294</v>
      </c>
      <c r="E306" s="96" t="s">
        <v>27</v>
      </c>
      <c r="F306" s="96" t="s">
        <v>2640</v>
      </c>
      <c r="G306" s="96" t="s">
        <v>27</v>
      </c>
      <c r="H306" s="96">
        <v>70110</v>
      </c>
      <c r="I306" s="96">
        <v>70494</v>
      </c>
      <c r="J306" s="96" t="s">
        <v>28</v>
      </c>
      <c r="K306" s="96" t="s">
        <v>32</v>
      </c>
      <c r="L306" s="96" t="s">
        <v>31</v>
      </c>
      <c r="M306" s="96" t="s">
        <v>515</v>
      </c>
      <c r="N306" s="95">
        <v>800</v>
      </c>
      <c r="O306" s="95">
        <v>880</v>
      </c>
      <c r="P306" s="95">
        <v>909</v>
      </c>
      <c r="Q306" s="95">
        <v>1000</v>
      </c>
      <c r="R306" s="95">
        <v>159</v>
      </c>
      <c r="S306" s="95">
        <v>175</v>
      </c>
      <c r="T306" s="95">
        <v>181</v>
      </c>
      <c r="U306" s="95">
        <v>199</v>
      </c>
      <c r="V306" s="95"/>
    </row>
    <row r="307" spans="2:22" ht="34.5" x14ac:dyDescent="0.25">
      <c r="B307" s="44" t="s">
        <v>529</v>
      </c>
      <c r="C307" s="44" t="s">
        <v>530</v>
      </c>
      <c r="D307" s="44" t="s">
        <v>294</v>
      </c>
      <c r="E307" s="44" t="s">
        <v>27</v>
      </c>
      <c r="F307" s="44" t="s">
        <v>531</v>
      </c>
      <c r="G307" s="44" t="s">
        <v>27</v>
      </c>
      <c r="H307" s="44">
        <v>70107</v>
      </c>
      <c r="I307" s="44">
        <v>70362</v>
      </c>
      <c r="J307" s="44" t="s">
        <v>28</v>
      </c>
      <c r="K307" s="44" t="s">
        <v>529</v>
      </c>
      <c r="L307" s="44" t="s">
        <v>29</v>
      </c>
      <c r="M307" s="44"/>
      <c r="N307" s="45">
        <v>1220</v>
      </c>
      <c r="O307" s="45">
        <v>1398</v>
      </c>
      <c r="P307" s="45">
        <v>1448</v>
      </c>
      <c r="Q307" s="45">
        <v>1593</v>
      </c>
      <c r="R307" s="45">
        <v>486</v>
      </c>
      <c r="S307" s="45">
        <v>557</v>
      </c>
      <c r="T307" s="45">
        <v>577</v>
      </c>
      <c r="U307" s="45">
        <v>635</v>
      </c>
      <c r="V307" s="46"/>
    </row>
    <row r="308" spans="2:22" ht="30" x14ac:dyDescent="0.25">
      <c r="B308" s="47" t="s">
        <v>529</v>
      </c>
      <c r="C308" s="47" t="s">
        <v>530</v>
      </c>
      <c r="D308" s="47" t="s">
        <v>294</v>
      </c>
      <c r="E308" s="47" t="s">
        <v>27</v>
      </c>
      <c r="F308" s="47" t="s">
        <v>531</v>
      </c>
      <c r="G308" s="47" t="s">
        <v>27</v>
      </c>
      <c r="H308" s="47">
        <v>70107</v>
      </c>
      <c r="I308" s="47">
        <v>70362</v>
      </c>
      <c r="J308" s="47" t="s">
        <v>28</v>
      </c>
      <c r="K308" s="47" t="s">
        <v>388</v>
      </c>
      <c r="L308" s="47" t="s">
        <v>31</v>
      </c>
      <c r="M308" s="47" t="s">
        <v>515</v>
      </c>
      <c r="N308" s="48">
        <v>1220</v>
      </c>
      <c r="O308" s="47">
        <v>1427</v>
      </c>
      <c r="P308" s="47">
        <v>1458</v>
      </c>
      <c r="Q308" s="47">
        <v>1626</v>
      </c>
      <c r="R308" s="48">
        <v>486</v>
      </c>
      <c r="S308" s="47">
        <v>569</v>
      </c>
      <c r="T308" s="47">
        <v>581</v>
      </c>
      <c r="U308" s="47">
        <v>648</v>
      </c>
      <c r="V308" s="47"/>
    </row>
    <row r="309" spans="2:22" ht="30" x14ac:dyDescent="0.25">
      <c r="B309" s="47" t="s">
        <v>529</v>
      </c>
      <c r="C309" s="47" t="s">
        <v>530</v>
      </c>
      <c r="D309" s="47" t="s">
        <v>294</v>
      </c>
      <c r="E309" s="47" t="s">
        <v>27</v>
      </c>
      <c r="F309" s="47" t="s">
        <v>531</v>
      </c>
      <c r="G309" s="47" t="s">
        <v>27</v>
      </c>
      <c r="H309" s="47">
        <v>70107</v>
      </c>
      <c r="I309" s="47">
        <v>70362</v>
      </c>
      <c r="J309" s="47" t="s">
        <v>28</v>
      </c>
      <c r="K309" s="47" t="s">
        <v>529</v>
      </c>
      <c r="L309" s="47" t="s">
        <v>30</v>
      </c>
      <c r="M309" s="47" t="s">
        <v>530</v>
      </c>
      <c r="N309" s="47">
        <v>1271</v>
      </c>
      <c r="O309" s="48">
        <v>1398</v>
      </c>
      <c r="P309" s="48">
        <v>1448</v>
      </c>
      <c r="Q309" s="48">
        <v>1593</v>
      </c>
      <c r="R309" s="47">
        <v>506</v>
      </c>
      <c r="S309" s="48">
        <v>557</v>
      </c>
      <c r="T309" s="48">
        <v>577</v>
      </c>
      <c r="U309" s="48">
        <v>635</v>
      </c>
      <c r="V309" s="48"/>
    </row>
    <row r="310" spans="2:22" ht="34.5" x14ac:dyDescent="0.25">
      <c r="B310" s="44" t="s">
        <v>532</v>
      </c>
      <c r="C310" s="44" t="s">
        <v>533</v>
      </c>
      <c r="D310" s="44" t="s">
        <v>294</v>
      </c>
      <c r="E310" s="44" t="s">
        <v>27</v>
      </c>
      <c r="F310" s="44" t="s">
        <v>534</v>
      </c>
      <c r="G310" s="44" t="s">
        <v>27</v>
      </c>
      <c r="H310" s="44">
        <v>70107</v>
      </c>
      <c r="I310" s="44">
        <v>70609</v>
      </c>
      <c r="J310" s="44" t="s">
        <v>28</v>
      </c>
      <c r="K310" s="44" t="s">
        <v>532</v>
      </c>
      <c r="L310" s="44" t="s">
        <v>29</v>
      </c>
      <c r="M310" s="44"/>
      <c r="N310" s="45">
        <v>1220</v>
      </c>
      <c r="O310" s="45">
        <v>1398</v>
      </c>
      <c r="P310" s="45">
        <v>1448</v>
      </c>
      <c r="Q310" s="45">
        <v>1593</v>
      </c>
      <c r="R310" s="45">
        <v>486</v>
      </c>
      <c r="S310" s="45">
        <v>557</v>
      </c>
      <c r="T310" s="45">
        <v>577</v>
      </c>
      <c r="U310" s="45">
        <v>635</v>
      </c>
      <c r="V310" s="46"/>
    </row>
    <row r="311" spans="2:22" ht="30" x14ac:dyDescent="0.25">
      <c r="B311" s="47" t="s">
        <v>532</v>
      </c>
      <c r="C311" s="47" t="s">
        <v>533</v>
      </c>
      <c r="D311" s="47" t="s">
        <v>294</v>
      </c>
      <c r="E311" s="47" t="s">
        <v>27</v>
      </c>
      <c r="F311" s="47" t="s">
        <v>534</v>
      </c>
      <c r="G311" s="47" t="s">
        <v>27</v>
      </c>
      <c r="H311" s="47">
        <v>70107</v>
      </c>
      <c r="I311" s="47">
        <v>70609</v>
      </c>
      <c r="J311" s="47" t="s">
        <v>28</v>
      </c>
      <c r="K311" s="47" t="s">
        <v>388</v>
      </c>
      <c r="L311" s="47" t="s">
        <v>31</v>
      </c>
      <c r="M311" s="47" t="s">
        <v>515</v>
      </c>
      <c r="N311" s="48">
        <v>1220</v>
      </c>
      <c r="O311" s="47">
        <v>1427</v>
      </c>
      <c r="P311" s="47">
        <v>1458</v>
      </c>
      <c r="Q311" s="47">
        <v>1626</v>
      </c>
      <c r="R311" s="48">
        <v>486</v>
      </c>
      <c r="S311" s="47">
        <v>569</v>
      </c>
      <c r="T311" s="47">
        <v>581</v>
      </c>
      <c r="U311" s="47">
        <v>648</v>
      </c>
      <c r="V311" s="47"/>
    </row>
    <row r="312" spans="2:22" ht="30" x14ac:dyDescent="0.25">
      <c r="B312" s="47" t="s">
        <v>532</v>
      </c>
      <c r="C312" s="47" t="s">
        <v>533</v>
      </c>
      <c r="D312" s="47" t="s">
        <v>294</v>
      </c>
      <c r="E312" s="47" t="s">
        <v>27</v>
      </c>
      <c r="F312" s="47" t="s">
        <v>534</v>
      </c>
      <c r="G312" s="47" t="s">
        <v>27</v>
      </c>
      <c r="H312" s="47">
        <v>70107</v>
      </c>
      <c r="I312" s="47">
        <v>70609</v>
      </c>
      <c r="J312" s="47" t="s">
        <v>28</v>
      </c>
      <c r="K312" s="47" t="s">
        <v>532</v>
      </c>
      <c r="L312" s="47" t="s">
        <v>30</v>
      </c>
      <c r="M312" s="47" t="s">
        <v>533</v>
      </c>
      <c r="N312" s="47">
        <v>1271</v>
      </c>
      <c r="O312" s="48">
        <v>1398</v>
      </c>
      <c r="P312" s="48">
        <v>1448</v>
      </c>
      <c r="Q312" s="48">
        <v>1593</v>
      </c>
      <c r="R312" s="47">
        <v>506</v>
      </c>
      <c r="S312" s="48">
        <v>557</v>
      </c>
      <c r="T312" s="48">
        <v>577</v>
      </c>
      <c r="U312" s="48">
        <v>635</v>
      </c>
      <c r="V312" s="48"/>
    </row>
    <row r="313" spans="2:22" ht="30" x14ac:dyDescent="0.25">
      <c r="B313" s="47" t="s">
        <v>532</v>
      </c>
      <c r="C313" s="47" t="s">
        <v>533</v>
      </c>
      <c r="D313" s="47" t="s">
        <v>294</v>
      </c>
      <c r="E313" s="47" t="s">
        <v>27</v>
      </c>
      <c r="F313" s="47" t="s">
        <v>534</v>
      </c>
      <c r="G313" s="47" t="s">
        <v>27</v>
      </c>
      <c r="H313" s="47">
        <v>70107</v>
      </c>
      <c r="I313" s="47">
        <v>70609</v>
      </c>
      <c r="J313" s="47" t="s">
        <v>28</v>
      </c>
      <c r="K313" s="47" t="s">
        <v>2379</v>
      </c>
      <c r="L313" s="47" t="s">
        <v>31</v>
      </c>
      <c r="M313" s="47" t="s">
        <v>2380</v>
      </c>
      <c r="N313" s="47">
        <v>1271</v>
      </c>
      <c r="O313" s="48">
        <v>1398</v>
      </c>
      <c r="P313" s="48">
        <v>1448</v>
      </c>
      <c r="Q313" s="48">
        <v>1593</v>
      </c>
      <c r="R313" s="47">
        <v>506</v>
      </c>
      <c r="S313" s="48">
        <v>557</v>
      </c>
      <c r="T313" s="48">
        <v>577</v>
      </c>
      <c r="U313" s="48">
        <v>635</v>
      </c>
      <c r="V313" s="48"/>
    </row>
    <row r="314" spans="2:22" ht="23" x14ac:dyDescent="0.25">
      <c r="B314" s="44" t="s">
        <v>2712</v>
      </c>
      <c r="C314" s="44" t="s">
        <v>2711</v>
      </c>
      <c r="D314" s="44" t="s">
        <v>2710</v>
      </c>
      <c r="E314" s="44" t="s">
        <v>40</v>
      </c>
      <c r="F314" s="44" t="s">
        <v>2696</v>
      </c>
      <c r="G314" s="44" t="s">
        <v>27</v>
      </c>
      <c r="H314" s="44">
        <v>70632</v>
      </c>
      <c r="I314" s="44">
        <v>70918</v>
      </c>
      <c r="J314" s="44" t="s">
        <v>42</v>
      </c>
      <c r="K314" s="44" t="s">
        <v>2712</v>
      </c>
      <c r="L314" s="44" t="s">
        <v>29</v>
      </c>
      <c r="M314" s="44"/>
      <c r="N314" s="45">
        <v>1200</v>
      </c>
      <c r="O314" s="45">
        <v>1200</v>
      </c>
      <c r="P314" s="45">
        <v>1200</v>
      </c>
      <c r="Q314" s="45">
        <v>1200</v>
      </c>
      <c r="R314" s="45">
        <v>717</v>
      </c>
      <c r="S314" s="45">
        <v>717</v>
      </c>
      <c r="T314" s="45">
        <v>717</v>
      </c>
      <c r="U314" s="45">
        <v>717</v>
      </c>
      <c r="V314" s="46"/>
    </row>
    <row r="315" spans="2:22" ht="20" x14ac:dyDescent="0.25">
      <c r="B315" s="47" t="s">
        <v>2712</v>
      </c>
      <c r="C315" s="47" t="s">
        <v>2711</v>
      </c>
      <c r="D315" s="47" t="s">
        <v>2710</v>
      </c>
      <c r="E315" s="47" t="s">
        <v>40</v>
      </c>
      <c r="F315" s="47" t="s">
        <v>2696</v>
      </c>
      <c r="G315" s="47" t="s">
        <v>27</v>
      </c>
      <c r="H315" s="47">
        <v>70632</v>
      </c>
      <c r="I315" s="47">
        <v>70918</v>
      </c>
      <c r="J315" s="47" t="s">
        <v>42</v>
      </c>
      <c r="K315" s="47" t="s">
        <v>2714</v>
      </c>
      <c r="L315" s="47" t="s">
        <v>39</v>
      </c>
      <c r="M315" s="47" t="s">
        <v>2703</v>
      </c>
      <c r="N315" s="48">
        <v>1200</v>
      </c>
      <c r="O315" s="48">
        <v>1200</v>
      </c>
      <c r="P315" s="48">
        <v>1200</v>
      </c>
      <c r="Q315" s="48">
        <v>1200</v>
      </c>
      <c r="R315" s="48">
        <v>717</v>
      </c>
      <c r="S315" s="48">
        <v>717</v>
      </c>
      <c r="T315" s="48">
        <v>717</v>
      </c>
      <c r="U315" s="48">
        <v>717</v>
      </c>
      <c r="V315" s="48"/>
    </row>
    <row r="316" spans="2:22" ht="20" x14ac:dyDescent="0.25">
      <c r="B316" s="47" t="s">
        <v>2712</v>
      </c>
      <c r="C316" s="47" t="s">
        <v>2711</v>
      </c>
      <c r="D316" s="47" t="s">
        <v>2710</v>
      </c>
      <c r="E316" s="47" t="s">
        <v>40</v>
      </c>
      <c r="F316" s="47" t="s">
        <v>2696</v>
      </c>
      <c r="G316" s="47" t="s">
        <v>27</v>
      </c>
      <c r="H316" s="47">
        <v>70632</v>
      </c>
      <c r="I316" s="47">
        <v>70918</v>
      </c>
      <c r="J316" s="47" t="s">
        <v>42</v>
      </c>
      <c r="K316" s="47" t="s">
        <v>2713</v>
      </c>
      <c r="L316" s="47" t="s">
        <v>39</v>
      </c>
      <c r="M316" s="47" t="s">
        <v>2703</v>
      </c>
      <c r="N316" s="48">
        <v>1200</v>
      </c>
      <c r="O316" s="48">
        <v>1200</v>
      </c>
      <c r="P316" s="48">
        <v>1200</v>
      </c>
      <c r="Q316" s="48">
        <v>1200</v>
      </c>
      <c r="R316" s="48">
        <v>717</v>
      </c>
      <c r="S316" s="48">
        <v>717</v>
      </c>
      <c r="T316" s="48">
        <v>717</v>
      </c>
      <c r="U316" s="48">
        <v>717</v>
      </c>
      <c r="V316" s="48"/>
    </row>
    <row r="317" spans="2:22" ht="20" x14ac:dyDescent="0.25">
      <c r="B317" s="47" t="s">
        <v>2712</v>
      </c>
      <c r="C317" s="47" t="s">
        <v>2711</v>
      </c>
      <c r="D317" s="47" t="s">
        <v>2710</v>
      </c>
      <c r="E317" s="47" t="s">
        <v>40</v>
      </c>
      <c r="F317" s="47" t="s">
        <v>2696</v>
      </c>
      <c r="G317" s="47" t="s">
        <v>27</v>
      </c>
      <c r="H317" s="47">
        <v>70632</v>
      </c>
      <c r="I317" s="47">
        <v>70918</v>
      </c>
      <c r="J317" s="47" t="s">
        <v>42</v>
      </c>
      <c r="K317" s="47" t="s">
        <v>2709</v>
      </c>
      <c r="L317" s="47" t="s">
        <v>39</v>
      </c>
      <c r="M317" s="47" t="s">
        <v>2703</v>
      </c>
      <c r="N317" s="48">
        <v>1200</v>
      </c>
      <c r="O317" s="48">
        <v>1200</v>
      </c>
      <c r="P317" s="48">
        <v>1200</v>
      </c>
      <c r="Q317" s="48">
        <v>1200</v>
      </c>
      <c r="R317" s="48">
        <v>717</v>
      </c>
      <c r="S317" s="48">
        <v>717</v>
      </c>
      <c r="T317" s="48">
        <v>717</v>
      </c>
      <c r="U317" s="48">
        <v>717</v>
      </c>
      <c r="V317" s="48"/>
    </row>
    <row r="318" spans="2:22" ht="23" x14ac:dyDescent="0.25">
      <c r="B318" s="44" t="s">
        <v>545</v>
      </c>
      <c r="C318" s="44" t="s">
        <v>546</v>
      </c>
      <c r="D318" s="44" t="s">
        <v>547</v>
      </c>
      <c r="E318" s="44" t="s">
        <v>27</v>
      </c>
      <c r="F318" s="44" t="s">
        <v>548</v>
      </c>
      <c r="G318" s="44" t="s">
        <v>27</v>
      </c>
      <c r="H318" s="44">
        <v>70112</v>
      </c>
      <c r="I318" s="44">
        <v>70212</v>
      </c>
      <c r="J318" s="44" t="s">
        <v>28</v>
      </c>
      <c r="K318" s="44" t="s">
        <v>545</v>
      </c>
      <c r="L318" s="44" t="s">
        <v>29</v>
      </c>
      <c r="M318" s="44"/>
      <c r="N318" s="45">
        <v>920</v>
      </c>
      <c r="O318" s="45">
        <v>1012</v>
      </c>
      <c r="P318" s="45">
        <v>920</v>
      </c>
      <c r="Q318" s="45">
        <v>1012</v>
      </c>
      <c r="R318" s="45">
        <v>367</v>
      </c>
      <c r="S318" s="45">
        <v>403</v>
      </c>
      <c r="T318" s="45">
        <v>367</v>
      </c>
      <c r="U318" s="45">
        <v>403</v>
      </c>
      <c r="V318" s="46"/>
    </row>
    <row r="319" spans="2:22" ht="20" x14ac:dyDescent="0.25">
      <c r="B319" s="47" t="s">
        <v>545</v>
      </c>
      <c r="C319" s="47" t="s">
        <v>546</v>
      </c>
      <c r="D319" s="47" t="s">
        <v>547</v>
      </c>
      <c r="E319" s="47" t="s">
        <v>27</v>
      </c>
      <c r="F319" s="47" t="s">
        <v>548</v>
      </c>
      <c r="G319" s="47" t="s">
        <v>27</v>
      </c>
      <c r="H319" s="47">
        <v>70112</v>
      </c>
      <c r="I319" s="47">
        <v>70212</v>
      </c>
      <c r="J319" s="47" t="s">
        <v>28</v>
      </c>
      <c r="K319" s="47" t="s">
        <v>545</v>
      </c>
      <c r="L319" s="47" t="s">
        <v>30</v>
      </c>
      <c r="M319" s="47" t="s">
        <v>546</v>
      </c>
      <c r="N319" s="48">
        <v>920</v>
      </c>
      <c r="O319" s="48">
        <v>1012</v>
      </c>
      <c r="P319" s="48">
        <v>920</v>
      </c>
      <c r="Q319" s="48">
        <v>1012</v>
      </c>
      <c r="R319" s="48">
        <v>367</v>
      </c>
      <c r="S319" s="48">
        <v>403</v>
      </c>
      <c r="T319" s="48">
        <v>367</v>
      </c>
      <c r="U319" s="48">
        <v>403</v>
      </c>
      <c r="V319" s="48"/>
    </row>
    <row r="320" spans="2:22" ht="23" x14ac:dyDescent="0.25">
      <c r="B320" s="44" t="s">
        <v>549</v>
      </c>
      <c r="C320" s="44" t="s">
        <v>546</v>
      </c>
      <c r="D320" s="44" t="s">
        <v>547</v>
      </c>
      <c r="E320" s="44" t="s">
        <v>27</v>
      </c>
      <c r="F320" s="44" t="s">
        <v>550</v>
      </c>
      <c r="G320" s="44" t="s">
        <v>27</v>
      </c>
      <c r="H320" s="44">
        <v>70112</v>
      </c>
      <c r="I320" s="44">
        <v>70241</v>
      </c>
      <c r="J320" s="44" t="s">
        <v>28</v>
      </c>
      <c r="K320" s="44" t="s">
        <v>549</v>
      </c>
      <c r="L320" s="44" t="s">
        <v>29</v>
      </c>
      <c r="M320" s="44"/>
      <c r="N320" s="45">
        <v>830</v>
      </c>
      <c r="O320" s="45">
        <v>913</v>
      </c>
      <c r="P320" s="45">
        <v>830</v>
      </c>
      <c r="Q320" s="45">
        <v>913</v>
      </c>
      <c r="R320" s="45">
        <v>331</v>
      </c>
      <c r="S320" s="45">
        <v>364</v>
      </c>
      <c r="T320" s="45">
        <v>331</v>
      </c>
      <c r="U320" s="45">
        <v>364</v>
      </c>
      <c r="V320" s="46"/>
    </row>
    <row r="321" spans="2:22" ht="20" x14ac:dyDescent="0.25">
      <c r="B321" s="47" t="s">
        <v>549</v>
      </c>
      <c r="C321" s="47" t="s">
        <v>546</v>
      </c>
      <c r="D321" s="47" t="s">
        <v>547</v>
      </c>
      <c r="E321" s="47" t="s">
        <v>27</v>
      </c>
      <c r="F321" s="47" t="s">
        <v>550</v>
      </c>
      <c r="G321" s="47" t="s">
        <v>27</v>
      </c>
      <c r="H321" s="47">
        <v>70112</v>
      </c>
      <c r="I321" s="47">
        <v>70241</v>
      </c>
      <c r="J321" s="47" t="s">
        <v>28</v>
      </c>
      <c r="K321" s="47" t="s">
        <v>549</v>
      </c>
      <c r="L321" s="47" t="s">
        <v>30</v>
      </c>
      <c r="M321" s="47" t="s">
        <v>546</v>
      </c>
      <c r="N321" s="48">
        <v>830</v>
      </c>
      <c r="O321" s="48">
        <v>913</v>
      </c>
      <c r="P321" s="48">
        <v>830</v>
      </c>
      <c r="Q321" s="48">
        <v>913</v>
      </c>
      <c r="R321" s="48">
        <v>331</v>
      </c>
      <c r="S321" s="48">
        <v>364</v>
      </c>
      <c r="T321" s="48">
        <v>331</v>
      </c>
      <c r="U321" s="48">
        <v>364</v>
      </c>
      <c r="V321" s="48"/>
    </row>
    <row r="322" spans="2:22" ht="34.5" x14ac:dyDescent="0.25">
      <c r="B322" s="44" t="s">
        <v>188</v>
      </c>
      <c r="C322" s="44" t="s">
        <v>189</v>
      </c>
      <c r="D322" s="44" t="s">
        <v>551</v>
      </c>
      <c r="E322" s="44" t="s">
        <v>27</v>
      </c>
      <c r="F322" s="44" t="s">
        <v>552</v>
      </c>
      <c r="G322" s="44" t="s">
        <v>27</v>
      </c>
      <c r="H322" s="44">
        <v>70113</v>
      </c>
      <c r="I322" s="44">
        <v>70206</v>
      </c>
      <c r="J322" s="44" t="s">
        <v>28</v>
      </c>
      <c r="K322" s="44" t="s">
        <v>188</v>
      </c>
      <c r="L322" s="44" t="s">
        <v>29</v>
      </c>
      <c r="M322" s="44"/>
      <c r="N322" s="45">
        <v>1200</v>
      </c>
      <c r="O322" s="45">
        <v>1435</v>
      </c>
      <c r="P322" s="45">
        <v>1466</v>
      </c>
      <c r="Q322" s="45">
        <v>1600</v>
      </c>
      <c r="R322" s="45">
        <v>478</v>
      </c>
      <c r="S322" s="45">
        <v>571</v>
      </c>
      <c r="T322" s="45">
        <v>584</v>
      </c>
      <c r="U322" s="45">
        <v>637</v>
      </c>
      <c r="V322" s="46"/>
    </row>
    <row r="323" spans="2:22" ht="20" x14ac:dyDescent="0.25">
      <c r="B323" s="47" t="s">
        <v>188</v>
      </c>
      <c r="C323" s="47" t="s">
        <v>189</v>
      </c>
      <c r="D323" s="47" t="s">
        <v>551</v>
      </c>
      <c r="E323" s="47" t="s">
        <v>27</v>
      </c>
      <c r="F323" s="47" t="s">
        <v>552</v>
      </c>
      <c r="G323" s="47" t="s">
        <v>27</v>
      </c>
      <c r="H323" s="47">
        <v>70113</v>
      </c>
      <c r="I323" s="47">
        <v>70206</v>
      </c>
      <c r="J323" s="47" t="s">
        <v>28</v>
      </c>
      <c r="K323" s="47" t="s">
        <v>2141</v>
      </c>
      <c r="L323" s="47" t="s">
        <v>34</v>
      </c>
      <c r="M323" s="47" t="s">
        <v>553</v>
      </c>
      <c r="N323" s="48">
        <v>1200</v>
      </c>
      <c r="O323" s="47">
        <v>1549</v>
      </c>
      <c r="P323" s="47">
        <v>1486</v>
      </c>
      <c r="Q323" s="47">
        <v>1780</v>
      </c>
      <c r="R323" s="48">
        <v>478</v>
      </c>
      <c r="S323" s="47">
        <v>617</v>
      </c>
      <c r="T323" s="47">
        <v>592</v>
      </c>
      <c r="U323" s="47">
        <v>709</v>
      </c>
      <c r="V323" s="47"/>
    </row>
    <row r="324" spans="2:22" ht="20" x14ac:dyDescent="0.25">
      <c r="B324" s="47" t="s">
        <v>188</v>
      </c>
      <c r="C324" s="47" t="s">
        <v>189</v>
      </c>
      <c r="D324" s="47" t="s">
        <v>551</v>
      </c>
      <c r="E324" s="47" t="s">
        <v>27</v>
      </c>
      <c r="F324" s="47" t="s">
        <v>552</v>
      </c>
      <c r="G324" s="47" t="s">
        <v>27</v>
      </c>
      <c r="H324" s="47">
        <v>70113</v>
      </c>
      <c r="I324" s="47">
        <v>70206</v>
      </c>
      <c r="J324" s="47" t="s">
        <v>28</v>
      </c>
      <c r="K324" s="47" t="s">
        <v>388</v>
      </c>
      <c r="L324" s="47" t="s">
        <v>31</v>
      </c>
      <c r="M324" s="47" t="s">
        <v>553</v>
      </c>
      <c r="N324" s="47">
        <v>1227</v>
      </c>
      <c r="O324" s="48">
        <v>1435</v>
      </c>
      <c r="P324" s="48">
        <v>1466</v>
      </c>
      <c r="Q324" s="47">
        <v>1634</v>
      </c>
      <c r="R324" s="47">
        <v>489</v>
      </c>
      <c r="S324" s="48">
        <v>571</v>
      </c>
      <c r="T324" s="48">
        <v>584</v>
      </c>
      <c r="U324" s="47">
        <v>651</v>
      </c>
      <c r="V324" s="47"/>
    </row>
    <row r="325" spans="2:22" ht="20" x14ac:dyDescent="0.25">
      <c r="B325" s="47" t="s">
        <v>188</v>
      </c>
      <c r="C325" s="47" t="s">
        <v>189</v>
      </c>
      <c r="D325" s="47" t="s">
        <v>551</v>
      </c>
      <c r="E325" s="47" t="s">
        <v>27</v>
      </c>
      <c r="F325" s="47" t="s">
        <v>552</v>
      </c>
      <c r="G325" s="47" t="s">
        <v>27</v>
      </c>
      <c r="H325" s="47">
        <v>70113</v>
      </c>
      <c r="I325" s="47">
        <v>70206</v>
      </c>
      <c r="J325" s="47" t="s">
        <v>28</v>
      </c>
      <c r="K325" s="47" t="s">
        <v>190</v>
      </c>
      <c r="L325" s="47" t="s">
        <v>1315</v>
      </c>
      <c r="M325" s="47" t="s">
        <v>553</v>
      </c>
      <c r="N325" s="47">
        <v>1600</v>
      </c>
      <c r="O325" s="47">
        <v>1600</v>
      </c>
      <c r="P325" s="47">
        <v>1600</v>
      </c>
      <c r="Q325" s="48">
        <v>1600</v>
      </c>
      <c r="R325" s="47">
        <v>637</v>
      </c>
      <c r="S325" s="47">
        <v>637</v>
      </c>
      <c r="T325" s="47">
        <v>637</v>
      </c>
      <c r="U325" s="48">
        <v>637</v>
      </c>
      <c r="V325" s="48"/>
    </row>
    <row r="326" spans="2:22" ht="34.5" x14ac:dyDescent="0.25">
      <c r="B326" s="44" t="s">
        <v>559</v>
      </c>
      <c r="C326" s="44" t="s">
        <v>189</v>
      </c>
      <c r="D326" s="44" t="s">
        <v>551</v>
      </c>
      <c r="E326" s="44" t="s">
        <v>27</v>
      </c>
      <c r="F326" s="44" t="s">
        <v>560</v>
      </c>
      <c r="G326" s="44" t="s">
        <v>27</v>
      </c>
      <c r="H326" s="44">
        <v>70113</v>
      </c>
      <c r="I326" s="44">
        <v>70205</v>
      </c>
      <c r="J326" s="44" t="s">
        <v>28</v>
      </c>
      <c r="K326" s="44" t="s">
        <v>559</v>
      </c>
      <c r="L326" s="44" t="s">
        <v>29</v>
      </c>
      <c r="M326" s="44"/>
      <c r="N326" s="45">
        <v>1200</v>
      </c>
      <c r="O326" s="45">
        <v>1431</v>
      </c>
      <c r="P326" s="45">
        <v>1462</v>
      </c>
      <c r="Q326" s="45">
        <v>1600</v>
      </c>
      <c r="R326" s="45">
        <v>478</v>
      </c>
      <c r="S326" s="45">
        <v>570</v>
      </c>
      <c r="T326" s="45">
        <v>583</v>
      </c>
      <c r="U326" s="45">
        <v>637</v>
      </c>
      <c r="V326" s="46"/>
    </row>
    <row r="327" spans="2:22" ht="30" x14ac:dyDescent="0.25">
      <c r="B327" s="47" t="s">
        <v>559</v>
      </c>
      <c r="C327" s="47" t="s">
        <v>189</v>
      </c>
      <c r="D327" s="47" t="s">
        <v>551</v>
      </c>
      <c r="E327" s="47" t="s">
        <v>27</v>
      </c>
      <c r="F327" s="47" t="s">
        <v>560</v>
      </c>
      <c r="G327" s="47" t="s">
        <v>27</v>
      </c>
      <c r="H327" s="47">
        <v>70113</v>
      </c>
      <c r="I327" s="47">
        <v>70205</v>
      </c>
      <c r="J327" s="47" t="s">
        <v>28</v>
      </c>
      <c r="K327" s="47" t="s">
        <v>561</v>
      </c>
      <c r="L327" s="47" t="s">
        <v>34</v>
      </c>
      <c r="M327" s="47" t="s">
        <v>562</v>
      </c>
      <c r="N327" s="48">
        <v>1200</v>
      </c>
      <c r="O327" s="47">
        <v>1549</v>
      </c>
      <c r="P327" s="47">
        <v>1486</v>
      </c>
      <c r="Q327" s="47">
        <v>1780</v>
      </c>
      <c r="R327" s="48">
        <v>478</v>
      </c>
      <c r="S327" s="47">
        <v>617</v>
      </c>
      <c r="T327" s="47">
        <v>592</v>
      </c>
      <c r="U327" s="47">
        <v>709</v>
      </c>
      <c r="V327" s="47"/>
    </row>
    <row r="328" spans="2:22" ht="30" x14ac:dyDescent="0.25">
      <c r="B328" s="47" t="s">
        <v>559</v>
      </c>
      <c r="C328" s="47" t="s">
        <v>189</v>
      </c>
      <c r="D328" s="47" t="s">
        <v>551</v>
      </c>
      <c r="E328" s="47" t="s">
        <v>27</v>
      </c>
      <c r="F328" s="47" t="s">
        <v>560</v>
      </c>
      <c r="G328" s="47" t="s">
        <v>27</v>
      </c>
      <c r="H328" s="47">
        <v>70113</v>
      </c>
      <c r="I328" s="47">
        <v>70205</v>
      </c>
      <c r="J328" s="47" t="s">
        <v>28</v>
      </c>
      <c r="K328" s="47" t="s">
        <v>2141</v>
      </c>
      <c r="L328" s="47" t="s">
        <v>34</v>
      </c>
      <c r="M328" s="47" t="s">
        <v>553</v>
      </c>
      <c r="N328" s="48">
        <v>1200</v>
      </c>
      <c r="O328" s="47">
        <v>1549</v>
      </c>
      <c r="P328" s="47">
        <v>1486</v>
      </c>
      <c r="Q328" s="47">
        <v>1780</v>
      </c>
      <c r="R328" s="48">
        <v>478</v>
      </c>
      <c r="S328" s="47">
        <v>617</v>
      </c>
      <c r="T328" s="47">
        <v>592</v>
      </c>
      <c r="U328" s="47">
        <v>709</v>
      </c>
      <c r="V328" s="47"/>
    </row>
    <row r="329" spans="2:22" ht="30" x14ac:dyDescent="0.25">
      <c r="B329" s="47" t="s">
        <v>559</v>
      </c>
      <c r="C329" s="47" t="s">
        <v>189</v>
      </c>
      <c r="D329" s="47" t="s">
        <v>551</v>
      </c>
      <c r="E329" s="47" t="s">
        <v>27</v>
      </c>
      <c r="F329" s="47" t="s">
        <v>560</v>
      </c>
      <c r="G329" s="47" t="s">
        <v>27</v>
      </c>
      <c r="H329" s="47">
        <v>70113</v>
      </c>
      <c r="I329" s="47">
        <v>70205</v>
      </c>
      <c r="J329" s="47" t="s">
        <v>28</v>
      </c>
      <c r="K329" s="47" t="s">
        <v>388</v>
      </c>
      <c r="L329" s="47" t="s">
        <v>31</v>
      </c>
      <c r="M329" s="47" t="s">
        <v>562</v>
      </c>
      <c r="N329" s="47">
        <v>1224</v>
      </c>
      <c r="O329" s="48">
        <v>1431</v>
      </c>
      <c r="P329" s="48">
        <v>1462</v>
      </c>
      <c r="Q329" s="47">
        <v>1630</v>
      </c>
      <c r="R329" s="47">
        <v>488</v>
      </c>
      <c r="S329" s="48">
        <v>570</v>
      </c>
      <c r="T329" s="48">
        <v>583</v>
      </c>
      <c r="U329" s="47">
        <v>649</v>
      </c>
      <c r="V329" s="47"/>
    </row>
    <row r="330" spans="2:22" ht="30" x14ac:dyDescent="0.25">
      <c r="B330" s="47" t="s">
        <v>559</v>
      </c>
      <c r="C330" s="47" t="s">
        <v>189</v>
      </c>
      <c r="D330" s="47" t="s">
        <v>551</v>
      </c>
      <c r="E330" s="47" t="s">
        <v>27</v>
      </c>
      <c r="F330" s="47" t="s">
        <v>560</v>
      </c>
      <c r="G330" s="47" t="s">
        <v>27</v>
      </c>
      <c r="H330" s="47">
        <v>70113</v>
      </c>
      <c r="I330" s="47">
        <v>70205</v>
      </c>
      <c r="J330" s="47" t="s">
        <v>28</v>
      </c>
      <c r="K330" s="47" t="s">
        <v>2381</v>
      </c>
      <c r="L330" s="47" t="s">
        <v>1315</v>
      </c>
      <c r="M330" s="47" t="s">
        <v>553</v>
      </c>
      <c r="N330" s="47">
        <v>1600</v>
      </c>
      <c r="O330" s="47">
        <v>1600</v>
      </c>
      <c r="P330" s="47">
        <v>1600</v>
      </c>
      <c r="Q330" s="48">
        <v>1600</v>
      </c>
      <c r="R330" s="47">
        <v>637</v>
      </c>
      <c r="S330" s="47">
        <v>637</v>
      </c>
      <c r="T330" s="47">
        <v>637</v>
      </c>
      <c r="U330" s="48">
        <v>637</v>
      </c>
      <c r="V330" s="48"/>
    </row>
    <row r="331" spans="2:22" ht="23" x14ac:dyDescent="0.25">
      <c r="B331" s="44" t="s">
        <v>564</v>
      </c>
      <c r="C331" s="44" t="s">
        <v>565</v>
      </c>
      <c r="D331" s="44" t="s">
        <v>566</v>
      </c>
      <c r="E331" s="44" t="s">
        <v>27</v>
      </c>
      <c r="F331" s="44" t="s">
        <v>567</v>
      </c>
      <c r="G331" s="44" t="s">
        <v>27</v>
      </c>
      <c r="H331" s="44">
        <v>70114</v>
      </c>
      <c r="I331" s="44">
        <v>2114</v>
      </c>
      <c r="J331" s="44" t="s">
        <v>28</v>
      </c>
      <c r="K331" s="44" t="s">
        <v>564</v>
      </c>
      <c r="L331" s="44" t="s">
        <v>29</v>
      </c>
      <c r="M331" s="44"/>
      <c r="N331" s="45">
        <v>386</v>
      </c>
      <c r="O331" s="45">
        <v>425</v>
      </c>
      <c r="P331" s="45">
        <v>417</v>
      </c>
      <c r="Q331" s="45">
        <v>459</v>
      </c>
      <c r="R331" s="45">
        <v>77</v>
      </c>
      <c r="S331" s="45">
        <v>85</v>
      </c>
      <c r="T331" s="45">
        <v>83</v>
      </c>
      <c r="U331" s="45">
        <v>91</v>
      </c>
      <c r="V331" s="46"/>
    </row>
    <row r="332" spans="2:22" x14ac:dyDescent="0.25">
      <c r="B332" s="47" t="s">
        <v>564</v>
      </c>
      <c r="C332" s="47" t="s">
        <v>565</v>
      </c>
      <c r="D332" s="47" t="s">
        <v>566</v>
      </c>
      <c r="E332" s="47" t="s">
        <v>27</v>
      </c>
      <c r="F332" s="47" t="s">
        <v>567</v>
      </c>
      <c r="G332" s="47" t="s">
        <v>27</v>
      </c>
      <c r="H332" s="47">
        <v>70114</v>
      </c>
      <c r="I332" s="47">
        <v>2114</v>
      </c>
      <c r="J332" s="47" t="s">
        <v>28</v>
      </c>
      <c r="K332" s="47" t="s">
        <v>564</v>
      </c>
      <c r="L332" s="47" t="s">
        <v>30</v>
      </c>
      <c r="M332" s="47" t="s">
        <v>565</v>
      </c>
      <c r="N332" s="48">
        <v>386</v>
      </c>
      <c r="O332" s="48">
        <v>425</v>
      </c>
      <c r="P332" s="48">
        <v>417</v>
      </c>
      <c r="Q332" s="48">
        <v>459</v>
      </c>
      <c r="R332" s="48">
        <v>77</v>
      </c>
      <c r="S332" s="48">
        <v>85</v>
      </c>
      <c r="T332" s="48">
        <v>83</v>
      </c>
      <c r="U332" s="48">
        <v>91</v>
      </c>
      <c r="V332" s="48"/>
    </row>
    <row r="333" spans="2:22" ht="23" x14ac:dyDescent="0.25">
      <c r="B333" s="44" t="s">
        <v>568</v>
      </c>
      <c r="C333" s="44" t="s">
        <v>569</v>
      </c>
      <c r="D333" s="44" t="s">
        <v>566</v>
      </c>
      <c r="E333" s="44" t="s">
        <v>27</v>
      </c>
      <c r="F333" s="44" t="s">
        <v>570</v>
      </c>
      <c r="G333" s="44" t="s">
        <v>27</v>
      </c>
      <c r="H333" s="44">
        <v>70114</v>
      </c>
      <c r="I333" s="44">
        <v>70281</v>
      </c>
      <c r="J333" s="44" t="s">
        <v>28</v>
      </c>
      <c r="K333" s="44" t="s">
        <v>568</v>
      </c>
      <c r="L333" s="44" t="s">
        <v>29</v>
      </c>
      <c r="M333" s="44"/>
      <c r="N333" s="45">
        <v>442</v>
      </c>
      <c r="O333" s="45">
        <v>480</v>
      </c>
      <c r="P333" s="45">
        <v>477</v>
      </c>
      <c r="Q333" s="45">
        <v>500</v>
      </c>
      <c r="R333" s="45">
        <v>88</v>
      </c>
      <c r="S333" s="45">
        <v>96</v>
      </c>
      <c r="T333" s="45">
        <v>95</v>
      </c>
      <c r="U333" s="45">
        <v>100</v>
      </c>
      <c r="V333" s="46"/>
    </row>
    <row r="334" spans="2:22" ht="20" x14ac:dyDescent="0.25">
      <c r="B334" s="47" t="s">
        <v>568</v>
      </c>
      <c r="C334" s="47" t="s">
        <v>569</v>
      </c>
      <c r="D334" s="47" t="s">
        <v>566</v>
      </c>
      <c r="E334" s="47" t="s">
        <v>27</v>
      </c>
      <c r="F334" s="47" t="s">
        <v>570</v>
      </c>
      <c r="G334" s="47" t="s">
        <v>27</v>
      </c>
      <c r="H334" s="47">
        <v>70114</v>
      </c>
      <c r="I334" s="47">
        <v>70281</v>
      </c>
      <c r="J334" s="47" t="s">
        <v>28</v>
      </c>
      <c r="K334" s="47" t="s">
        <v>568</v>
      </c>
      <c r="L334" s="47" t="s">
        <v>30</v>
      </c>
      <c r="M334" s="47" t="s">
        <v>569</v>
      </c>
      <c r="N334" s="48">
        <v>442</v>
      </c>
      <c r="O334" s="48">
        <v>480</v>
      </c>
      <c r="P334" s="48">
        <v>477</v>
      </c>
      <c r="Q334" s="47">
        <v>525</v>
      </c>
      <c r="R334" s="48">
        <v>88</v>
      </c>
      <c r="S334" s="48">
        <v>96</v>
      </c>
      <c r="T334" s="48">
        <v>95</v>
      </c>
      <c r="U334" s="47">
        <v>105</v>
      </c>
      <c r="V334" s="47"/>
    </row>
    <row r="335" spans="2:22" ht="30" x14ac:dyDescent="0.25">
      <c r="B335" s="47" t="s">
        <v>568</v>
      </c>
      <c r="C335" s="47" t="s">
        <v>569</v>
      </c>
      <c r="D335" s="47" t="s">
        <v>566</v>
      </c>
      <c r="E335" s="47" t="s">
        <v>27</v>
      </c>
      <c r="F335" s="47" t="s">
        <v>570</v>
      </c>
      <c r="G335" s="47" t="s">
        <v>27</v>
      </c>
      <c r="H335" s="47">
        <v>70114</v>
      </c>
      <c r="I335" s="47">
        <v>70281</v>
      </c>
      <c r="J335" s="47" t="s">
        <v>28</v>
      </c>
      <c r="K335" s="47" t="s">
        <v>2383</v>
      </c>
      <c r="L335" s="47" t="s">
        <v>36</v>
      </c>
      <c r="M335" s="47" t="s">
        <v>572</v>
      </c>
      <c r="N335" s="47">
        <v>500</v>
      </c>
      <c r="O335" s="47">
        <v>500</v>
      </c>
      <c r="P335" s="47">
        <v>500</v>
      </c>
      <c r="Q335" s="48">
        <v>500</v>
      </c>
      <c r="R335" s="47">
        <v>100</v>
      </c>
      <c r="S335" s="47">
        <v>100</v>
      </c>
      <c r="T335" s="47">
        <v>100</v>
      </c>
      <c r="U335" s="48">
        <v>100</v>
      </c>
      <c r="V335" s="48"/>
    </row>
    <row r="336" spans="2:22" ht="30" x14ac:dyDescent="0.25">
      <c r="B336" s="47" t="s">
        <v>568</v>
      </c>
      <c r="C336" s="47" t="s">
        <v>569</v>
      </c>
      <c r="D336" s="47" t="s">
        <v>566</v>
      </c>
      <c r="E336" s="47" t="s">
        <v>27</v>
      </c>
      <c r="F336" s="47" t="s">
        <v>570</v>
      </c>
      <c r="G336" s="47" t="s">
        <v>27</v>
      </c>
      <c r="H336" s="47">
        <v>70114</v>
      </c>
      <c r="I336" s="47">
        <v>70281</v>
      </c>
      <c r="J336" s="47" t="s">
        <v>28</v>
      </c>
      <c r="K336" s="47" t="s">
        <v>2591</v>
      </c>
      <c r="L336" s="47" t="s">
        <v>36</v>
      </c>
      <c r="M336" s="47" t="s">
        <v>572</v>
      </c>
      <c r="N336" s="47">
        <v>500</v>
      </c>
      <c r="O336" s="47">
        <v>500</v>
      </c>
      <c r="P336" s="47">
        <v>500</v>
      </c>
      <c r="Q336" s="48">
        <v>500</v>
      </c>
      <c r="R336" s="47">
        <v>100</v>
      </c>
      <c r="S336" s="47">
        <v>100</v>
      </c>
      <c r="T336" s="47">
        <v>100</v>
      </c>
      <c r="U336" s="48">
        <v>100</v>
      </c>
      <c r="V336" s="48"/>
    </row>
    <row r="337" spans="2:22" ht="30" x14ac:dyDescent="0.25">
      <c r="B337" s="47" t="s">
        <v>568</v>
      </c>
      <c r="C337" s="47" t="s">
        <v>569</v>
      </c>
      <c r="D337" s="47" t="s">
        <v>566</v>
      </c>
      <c r="E337" s="47" t="s">
        <v>27</v>
      </c>
      <c r="F337" s="47" t="s">
        <v>570</v>
      </c>
      <c r="G337" s="47" t="s">
        <v>27</v>
      </c>
      <c r="H337" s="47">
        <v>70114</v>
      </c>
      <c r="I337" s="47">
        <v>70281</v>
      </c>
      <c r="J337" s="47" t="s">
        <v>28</v>
      </c>
      <c r="K337" s="47" t="s">
        <v>2590</v>
      </c>
      <c r="L337" s="47" t="s">
        <v>36</v>
      </c>
      <c r="M337" s="47" t="s">
        <v>572</v>
      </c>
      <c r="N337" s="47">
        <v>500</v>
      </c>
      <c r="O337" s="47">
        <v>500</v>
      </c>
      <c r="P337" s="47">
        <v>500</v>
      </c>
      <c r="Q337" s="48">
        <v>500</v>
      </c>
      <c r="R337" s="47">
        <v>100</v>
      </c>
      <c r="S337" s="47">
        <v>100</v>
      </c>
      <c r="T337" s="47">
        <v>100</v>
      </c>
      <c r="U337" s="48">
        <v>100</v>
      </c>
      <c r="V337" s="48"/>
    </row>
    <row r="338" spans="2:22" ht="30" x14ac:dyDescent="0.25">
      <c r="B338" s="47" t="s">
        <v>568</v>
      </c>
      <c r="C338" s="47" t="s">
        <v>569</v>
      </c>
      <c r="D338" s="47" t="s">
        <v>566</v>
      </c>
      <c r="E338" s="47" t="s">
        <v>27</v>
      </c>
      <c r="F338" s="47" t="s">
        <v>570</v>
      </c>
      <c r="G338" s="47" t="s">
        <v>27</v>
      </c>
      <c r="H338" s="47">
        <v>70114</v>
      </c>
      <c r="I338" s="47">
        <v>70281</v>
      </c>
      <c r="J338" s="47" t="s">
        <v>28</v>
      </c>
      <c r="K338" s="47" t="s">
        <v>2382</v>
      </c>
      <c r="L338" s="47" t="s">
        <v>36</v>
      </c>
      <c r="M338" s="47" t="s">
        <v>572</v>
      </c>
      <c r="N338" s="47">
        <v>500</v>
      </c>
      <c r="O338" s="47">
        <v>500</v>
      </c>
      <c r="P338" s="47">
        <v>500</v>
      </c>
      <c r="Q338" s="48">
        <v>500</v>
      </c>
      <c r="R338" s="47">
        <v>100</v>
      </c>
      <c r="S338" s="47">
        <v>100</v>
      </c>
      <c r="T338" s="47">
        <v>100</v>
      </c>
      <c r="U338" s="48">
        <v>100</v>
      </c>
      <c r="V338" s="48"/>
    </row>
    <row r="339" spans="2:22" ht="30" x14ac:dyDescent="0.25">
      <c r="B339" s="47" t="s">
        <v>568</v>
      </c>
      <c r="C339" s="47" t="s">
        <v>569</v>
      </c>
      <c r="D339" s="47" t="s">
        <v>566</v>
      </c>
      <c r="E339" s="47" t="s">
        <v>27</v>
      </c>
      <c r="F339" s="47" t="s">
        <v>570</v>
      </c>
      <c r="G339" s="47" t="s">
        <v>27</v>
      </c>
      <c r="H339" s="47">
        <v>70114</v>
      </c>
      <c r="I339" s="47">
        <v>70281</v>
      </c>
      <c r="J339" s="47" t="s">
        <v>28</v>
      </c>
      <c r="K339" s="47" t="s">
        <v>571</v>
      </c>
      <c r="L339" s="47" t="s">
        <v>36</v>
      </c>
      <c r="M339" s="47" t="s">
        <v>572</v>
      </c>
      <c r="N339" s="47">
        <v>500</v>
      </c>
      <c r="O339" s="47">
        <v>500</v>
      </c>
      <c r="P339" s="47">
        <v>500</v>
      </c>
      <c r="Q339" s="48">
        <v>500</v>
      </c>
      <c r="R339" s="47">
        <v>100</v>
      </c>
      <c r="S339" s="47">
        <v>100</v>
      </c>
      <c r="T339" s="47">
        <v>100</v>
      </c>
      <c r="U339" s="48">
        <v>100</v>
      </c>
      <c r="V339" s="48"/>
    </row>
    <row r="340" spans="2:22" ht="23" x14ac:dyDescent="0.25">
      <c r="B340" s="44" t="s">
        <v>573</v>
      </c>
      <c r="C340" s="44" t="s">
        <v>50</v>
      </c>
      <c r="D340" s="44" t="s">
        <v>566</v>
      </c>
      <c r="E340" s="44" t="s">
        <v>27</v>
      </c>
      <c r="F340" s="44" t="s">
        <v>51</v>
      </c>
      <c r="G340" s="44" t="s">
        <v>27</v>
      </c>
      <c r="H340" s="44">
        <v>70114</v>
      </c>
      <c r="I340" s="44">
        <v>70389</v>
      </c>
      <c r="J340" s="44" t="s">
        <v>28</v>
      </c>
      <c r="K340" s="44" t="s">
        <v>573</v>
      </c>
      <c r="L340" s="44" t="s">
        <v>29</v>
      </c>
      <c r="M340" s="44"/>
      <c r="N340" s="45">
        <v>370</v>
      </c>
      <c r="O340" s="45">
        <v>400</v>
      </c>
      <c r="P340" s="45">
        <v>400</v>
      </c>
      <c r="Q340" s="45">
        <v>400</v>
      </c>
      <c r="R340" s="45">
        <v>74</v>
      </c>
      <c r="S340" s="45">
        <v>80</v>
      </c>
      <c r="T340" s="45">
        <v>80</v>
      </c>
      <c r="U340" s="45">
        <v>80</v>
      </c>
      <c r="V340" s="46"/>
    </row>
    <row r="341" spans="2:22" x14ac:dyDescent="0.25">
      <c r="B341" s="47" t="s">
        <v>573</v>
      </c>
      <c r="C341" s="47" t="s">
        <v>50</v>
      </c>
      <c r="D341" s="47" t="s">
        <v>566</v>
      </c>
      <c r="E341" s="47" t="s">
        <v>27</v>
      </c>
      <c r="F341" s="47" t="s">
        <v>51</v>
      </c>
      <c r="G341" s="47" t="s">
        <v>27</v>
      </c>
      <c r="H341" s="47">
        <v>70114</v>
      </c>
      <c r="I341" s="47">
        <v>70389</v>
      </c>
      <c r="J341" s="47" t="s">
        <v>28</v>
      </c>
      <c r="K341" s="47" t="s">
        <v>573</v>
      </c>
      <c r="L341" s="47" t="s">
        <v>30</v>
      </c>
      <c r="M341" s="47" t="s">
        <v>50</v>
      </c>
      <c r="N341" s="48">
        <v>370</v>
      </c>
      <c r="O341" s="47">
        <v>407</v>
      </c>
      <c r="P341" s="47">
        <v>420</v>
      </c>
      <c r="Q341" s="47">
        <v>462</v>
      </c>
      <c r="R341" s="48">
        <v>74</v>
      </c>
      <c r="S341" s="47">
        <v>81</v>
      </c>
      <c r="T341" s="47">
        <v>84</v>
      </c>
      <c r="U341" s="47">
        <v>92</v>
      </c>
      <c r="V341" s="47"/>
    </row>
    <row r="342" spans="2:22" ht="30" x14ac:dyDescent="0.25">
      <c r="B342" s="47" t="s">
        <v>573</v>
      </c>
      <c r="C342" s="47" t="s">
        <v>50</v>
      </c>
      <c r="D342" s="47" t="s">
        <v>566</v>
      </c>
      <c r="E342" s="47" t="s">
        <v>27</v>
      </c>
      <c r="F342" s="47" t="s">
        <v>51</v>
      </c>
      <c r="G342" s="47" t="s">
        <v>27</v>
      </c>
      <c r="H342" s="47">
        <v>70114</v>
      </c>
      <c r="I342" s="47">
        <v>70389</v>
      </c>
      <c r="J342" s="47" t="s">
        <v>28</v>
      </c>
      <c r="K342" s="47" t="s">
        <v>2384</v>
      </c>
      <c r="L342" s="47" t="s">
        <v>36</v>
      </c>
      <c r="M342" s="47" t="s">
        <v>572</v>
      </c>
      <c r="N342" s="47">
        <v>400</v>
      </c>
      <c r="O342" s="48">
        <v>400</v>
      </c>
      <c r="P342" s="48">
        <v>400</v>
      </c>
      <c r="Q342" s="48">
        <v>400</v>
      </c>
      <c r="R342" s="47">
        <v>80</v>
      </c>
      <c r="S342" s="48">
        <v>80</v>
      </c>
      <c r="T342" s="48">
        <v>80</v>
      </c>
      <c r="U342" s="48">
        <v>80</v>
      </c>
      <c r="V342" s="48"/>
    </row>
    <row r="343" spans="2:22" ht="30" x14ac:dyDescent="0.25">
      <c r="B343" s="47" t="s">
        <v>573</v>
      </c>
      <c r="C343" s="47" t="s">
        <v>50</v>
      </c>
      <c r="D343" s="47" t="s">
        <v>566</v>
      </c>
      <c r="E343" s="47" t="s">
        <v>27</v>
      </c>
      <c r="F343" s="47" t="s">
        <v>51</v>
      </c>
      <c r="G343" s="47" t="s">
        <v>27</v>
      </c>
      <c r="H343" s="47">
        <v>70114</v>
      </c>
      <c r="I343" s="47">
        <v>70389</v>
      </c>
      <c r="J343" s="47" t="s">
        <v>28</v>
      </c>
      <c r="K343" s="47" t="s">
        <v>2385</v>
      </c>
      <c r="L343" s="47" t="s">
        <v>36</v>
      </c>
      <c r="M343" s="47" t="s">
        <v>572</v>
      </c>
      <c r="N343" s="47">
        <v>400</v>
      </c>
      <c r="O343" s="48">
        <v>400</v>
      </c>
      <c r="P343" s="48">
        <v>400</v>
      </c>
      <c r="Q343" s="48">
        <v>400</v>
      </c>
      <c r="R343" s="47">
        <v>80</v>
      </c>
      <c r="S343" s="48">
        <v>80</v>
      </c>
      <c r="T343" s="48">
        <v>80</v>
      </c>
      <c r="U343" s="48">
        <v>80</v>
      </c>
      <c r="V343" s="48"/>
    </row>
    <row r="344" spans="2:22" ht="30" x14ac:dyDescent="0.25">
      <c r="B344" s="47" t="s">
        <v>573</v>
      </c>
      <c r="C344" s="47" t="s">
        <v>50</v>
      </c>
      <c r="D344" s="47" t="s">
        <v>566</v>
      </c>
      <c r="E344" s="47" t="s">
        <v>27</v>
      </c>
      <c r="F344" s="47" t="s">
        <v>51</v>
      </c>
      <c r="G344" s="47" t="s">
        <v>27</v>
      </c>
      <c r="H344" s="47">
        <v>70114</v>
      </c>
      <c r="I344" s="47">
        <v>70389</v>
      </c>
      <c r="J344" s="47" t="s">
        <v>28</v>
      </c>
      <c r="K344" s="47" t="s">
        <v>2600</v>
      </c>
      <c r="L344" s="47" t="s">
        <v>36</v>
      </c>
      <c r="M344" s="47" t="s">
        <v>572</v>
      </c>
      <c r="N344" s="47">
        <v>400</v>
      </c>
      <c r="O344" s="48">
        <v>400</v>
      </c>
      <c r="P344" s="48">
        <v>400</v>
      </c>
      <c r="Q344" s="48">
        <v>400</v>
      </c>
      <c r="R344" s="47">
        <v>80</v>
      </c>
      <c r="S344" s="48">
        <v>80</v>
      </c>
      <c r="T344" s="48">
        <v>80</v>
      </c>
      <c r="U344" s="48">
        <v>80</v>
      </c>
      <c r="V344" s="48"/>
    </row>
    <row r="345" spans="2:22" ht="30" x14ac:dyDescent="0.25">
      <c r="B345" s="47" t="s">
        <v>573</v>
      </c>
      <c r="C345" s="47" t="s">
        <v>50</v>
      </c>
      <c r="D345" s="47" t="s">
        <v>566</v>
      </c>
      <c r="E345" s="47" t="s">
        <v>27</v>
      </c>
      <c r="F345" s="47" t="s">
        <v>51</v>
      </c>
      <c r="G345" s="47" t="s">
        <v>27</v>
      </c>
      <c r="H345" s="47">
        <v>70114</v>
      </c>
      <c r="I345" s="47">
        <v>70389</v>
      </c>
      <c r="J345" s="47" t="s">
        <v>28</v>
      </c>
      <c r="K345" s="47" t="s">
        <v>574</v>
      </c>
      <c r="L345" s="47" t="s">
        <v>36</v>
      </c>
      <c r="M345" s="47" t="s">
        <v>572</v>
      </c>
      <c r="N345" s="47">
        <v>400</v>
      </c>
      <c r="O345" s="48">
        <v>400</v>
      </c>
      <c r="P345" s="48">
        <v>400</v>
      </c>
      <c r="Q345" s="48">
        <v>400</v>
      </c>
      <c r="R345" s="47">
        <v>80</v>
      </c>
      <c r="S345" s="48">
        <v>80</v>
      </c>
      <c r="T345" s="48">
        <v>80</v>
      </c>
      <c r="U345" s="48">
        <v>80</v>
      </c>
      <c r="V345" s="48"/>
    </row>
    <row r="346" spans="2:22" ht="30" x14ac:dyDescent="0.25">
      <c r="B346" s="47" t="s">
        <v>573</v>
      </c>
      <c r="C346" s="47" t="s">
        <v>50</v>
      </c>
      <c r="D346" s="47" t="s">
        <v>566</v>
      </c>
      <c r="E346" s="47" t="s">
        <v>27</v>
      </c>
      <c r="F346" s="47" t="s">
        <v>51</v>
      </c>
      <c r="G346" s="47" t="s">
        <v>27</v>
      </c>
      <c r="H346" s="47">
        <v>70114</v>
      </c>
      <c r="I346" s="47">
        <v>70389</v>
      </c>
      <c r="J346" s="47" t="s">
        <v>28</v>
      </c>
      <c r="K346" s="47" t="s">
        <v>2601</v>
      </c>
      <c r="L346" s="47" t="s">
        <v>36</v>
      </c>
      <c r="M346" s="47" t="s">
        <v>572</v>
      </c>
      <c r="N346" s="47">
        <v>400</v>
      </c>
      <c r="O346" s="48">
        <v>400</v>
      </c>
      <c r="P346" s="48">
        <v>400</v>
      </c>
      <c r="Q346" s="48">
        <v>400</v>
      </c>
      <c r="R346" s="47">
        <v>80</v>
      </c>
      <c r="S346" s="48">
        <v>80</v>
      </c>
      <c r="T346" s="48">
        <v>80</v>
      </c>
      <c r="U346" s="48">
        <v>80</v>
      </c>
      <c r="V346" s="48"/>
    </row>
    <row r="347" spans="2:22" ht="23" x14ac:dyDescent="0.25">
      <c r="B347" s="44" t="s">
        <v>2654</v>
      </c>
      <c r="C347" s="44" t="s">
        <v>2651</v>
      </c>
      <c r="D347" s="44" t="s">
        <v>2595</v>
      </c>
      <c r="E347" s="44" t="s">
        <v>27</v>
      </c>
      <c r="F347" s="44" t="s">
        <v>2650</v>
      </c>
      <c r="G347" s="44" t="s">
        <v>40</v>
      </c>
      <c r="H347" s="44">
        <v>70903</v>
      </c>
      <c r="I347" s="44">
        <v>2133</v>
      </c>
      <c r="J347" s="44" t="s">
        <v>28</v>
      </c>
      <c r="K347" s="44" t="s">
        <v>2654</v>
      </c>
      <c r="L347" s="44" t="s">
        <v>29</v>
      </c>
      <c r="M347" s="44"/>
      <c r="N347" s="45">
        <v>1110</v>
      </c>
      <c r="O347" s="45">
        <v>1221</v>
      </c>
      <c r="P347" s="45">
        <v>1263</v>
      </c>
      <c r="Q347" s="45">
        <v>1390</v>
      </c>
      <c r="R347" s="45">
        <v>221</v>
      </c>
      <c r="S347" s="45">
        <v>243</v>
      </c>
      <c r="T347" s="45">
        <v>252</v>
      </c>
      <c r="U347" s="45">
        <v>277</v>
      </c>
      <c r="V347" s="46"/>
    </row>
    <row r="348" spans="2:22" ht="20" x14ac:dyDescent="0.25">
      <c r="B348" s="47" t="s">
        <v>2654</v>
      </c>
      <c r="C348" s="47" t="s">
        <v>2651</v>
      </c>
      <c r="D348" s="47" t="s">
        <v>2595</v>
      </c>
      <c r="E348" s="47" t="s">
        <v>27</v>
      </c>
      <c r="F348" s="47" t="s">
        <v>2650</v>
      </c>
      <c r="G348" s="47" t="s">
        <v>40</v>
      </c>
      <c r="H348" s="47">
        <v>70903</v>
      </c>
      <c r="I348" s="47">
        <v>2133</v>
      </c>
      <c r="J348" s="47" t="s">
        <v>28</v>
      </c>
      <c r="K348" s="47" t="s">
        <v>2654</v>
      </c>
      <c r="L348" s="47" t="s">
        <v>30</v>
      </c>
      <c r="M348" s="47" t="s">
        <v>2651</v>
      </c>
      <c r="N348" s="48">
        <v>1110</v>
      </c>
      <c r="O348" s="48">
        <v>1221</v>
      </c>
      <c r="P348" s="48">
        <v>1263</v>
      </c>
      <c r="Q348" s="48">
        <v>1390</v>
      </c>
      <c r="R348" s="48">
        <v>221</v>
      </c>
      <c r="S348" s="48">
        <v>243</v>
      </c>
      <c r="T348" s="48">
        <v>252</v>
      </c>
      <c r="U348" s="48">
        <v>277</v>
      </c>
      <c r="V348" s="48"/>
    </row>
    <row r="349" spans="2:22" ht="34.5" x14ac:dyDescent="0.25">
      <c r="B349" s="44" t="s">
        <v>577</v>
      </c>
      <c r="C349" s="44" t="s">
        <v>578</v>
      </c>
      <c r="D349" s="44" t="s">
        <v>579</v>
      </c>
      <c r="E349" s="44" t="s">
        <v>27</v>
      </c>
      <c r="F349" s="44" t="s">
        <v>580</v>
      </c>
      <c r="G349" s="44" t="s">
        <v>27</v>
      </c>
      <c r="H349" s="44">
        <v>79047</v>
      </c>
      <c r="I349" s="44">
        <v>79056</v>
      </c>
      <c r="J349" s="44" t="s">
        <v>42</v>
      </c>
      <c r="K349" s="44" t="s">
        <v>577</v>
      </c>
      <c r="L349" s="44" t="s">
        <v>29</v>
      </c>
      <c r="M349" s="44"/>
      <c r="N349" s="45">
        <v>400</v>
      </c>
      <c r="O349" s="45">
        <v>400</v>
      </c>
      <c r="P349" s="45">
        <v>400</v>
      </c>
      <c r="Q349" s="45">
        <v>400</v>
      </c>
      <c r="R349" s="45">
        <v>96</v>
      </c>
      <c r="S349" s="45">
        <v>96</v>
      </c>
      <c r="T349" s="45">
        <v>96</v>
      </c>
      <c r="U349" s="45">
        <v>96</v>
      </c>
      <c r="V349" s="46"/>
    </row>
    <row r="350" spans="2:22" ht="20" x14ac:dyDescent="0.25">
      <c r="B350" s="47" t="s">
        <v>577</v>
      </c>
      <c r="C350" s="47" t="s">
        <v>578</v>
      </c>
      <c r="D350" s="47" t="s">
        <v>579</v>
      </c>
      <c r="E350" s="47" t="s">
        <v>27</v>
      </c>
      <c r="F350" s="47" t="s">
        <v>580</v>
      </c>
      <c r="G350" s="47" t="s">
        <v>27</v>
      </c>
      <c r="H350" s="47">
        <v>79047</v>
      </c>
      <c r="I350" s="47">
        <v>79056</v>
      </c>
      <c r="J350" s="47" t="s">
        <v>42</v>
      </c>
      <c r="K350" s="47" t="s">
        <v>2388</v>
      </c>
      <c r="L350" s="47" t="s">
        <v>39</v>
      </c>
      <c r="M350" s="47" t="s">
        <v>1284</v>
      </c>
      <c r="N350" s="48">
        <v>400</v>
      </c>
      <c r="O350" s="48">
        <v>400</v>
      </c>
      <c r="P350" s="48">
        <v>400</v>
      </c>
      <c r="Q350" s="48">
        <v>400</v>
      </c>
      <c r="R350" s="48">
        <v>96</v>
      </c>
      <c r="S350" s="48">
        <v>96</v>
      </c>
      <c r="T350" s="48">
        <v>96</v>
      </c>
      <c r="U350" s="48">
        <v>96</v>
      </c>
      <c r="V350" s="48"/>
    </row>
    <row r="351" spans="2:22" ht="30" x14ac:dyDescent="0.25">
      <c r="B351" s="47" t="s">
        <v>577</v>
      </c>
      <c r="C351" s="47" t="s">
        <v>578</v>
      </c>
      <c r="D351" s="47" t="s">
        <v>579</v>
      </c>
      <c r="E351" s="47" t="s">
        <v>27</v>
      </c>
      <c r="F351" s="47" t="s">
        <v>580</v>
      </c>
      <c r="G351" s="47" t="s">
        <v>27</v>
      </c>
      <c r="H351" s="47">
        <v>79047</v>
      </c>
      <c r="I351" s="47">
        <v>79056</v>
      </c>
      <c r="J351" s="47" t="s">
        <v>42</v>
      </c>
      <c r="K351" s="47" t="s">
        <v>2387</v>
      </c>
      <c r="L351" s="47" t="s">
        <v>36</v>
      </c>
      <c r="M351" s="47" t="s">
        <v>1284</v>
      </c>
      <c r="N351" s="48">
        <v>400</v>
      </c>
      <c r="O351" s="48">
        <v>400</v>
      </c>
      <c r="P351" s="48">
        <v>400</v>
      </c>
      <c r="Q351" s="48">
        <v>400</v>
      </c>
      <c r="R351" s="48">
        <v>96</v>
      </c>
      <c r="S351" s="48">
        <v>96</v>
      </c>
      <c r="T351" s="48">
        <v>96</v>
      </c>
      <c r="U351" s="48">
        <v>96</v>
      </c>
      <c r="V351" s="48"/>
    </row>
    <row r="352" spans="2:22" ht="30" x14ac:dyDescent="0.25">
      <c r="B352" s="47" t="s">
        <v>577</v>
      </c>
      <c r="C352" s="47" t="s">
        <v>578</v>
      </c>
      <c r="D352" s="47" t="s">
        <v>579</v>
      </c>
      <c r="E352" s="47" t="s">
        <v>27</v>
      </c>
      <c r="F352" s="47" t="s">
        <v>580</v>
      </c>
      <c r="G352" s="47" t="s">
        <v>27</v>
      </c>
      <c r="H352" s="47">
        <v>79047</v>
      </c>
      <c r="I352" s="47">
        <v>79056</v>
      </c>
      <c r="J352" s="47" t="s">
        <v>42</v>
      </c>
      <c r="K352" s="47" t="s">
        <v>2389</v>
      </c>
      <c r="L352" s="47" t="s">
        <v>36</v>
      </c>
      <c r="M352" s="47" t="s">
        <v>1284</v>
      </c>
      <c r="N352" s="48">
        <v>400</v>
      </c>
      <c r="O352" s="48">
        <v>400</v>
      </c>
      <c r="P352" s="48">
        <v>400</v>
      </c>
      <c r="Q352" s="48">
        <v>400</v>
      </c>
      <c r="R352" s="48">
        <v>96</v>
      </c>
      <c r="S352" s="48">
        <v>96</v>
      </c>
      <c r="T352" s="48">
        <v>96</v>
      </c>
      <c r="U352" s="48">
        <v>96</v>
      </c>
      <c r="V352" s="48"/>
    </row>
    <row r="353" spans="2:22" ht="30" x14ac:dyDescent="0.25">
      <c r="B353" s="47" t="s">
        <v>577</v>
      </c>
      <c r="C353" s="47" t="s">
        <v>578</v>
      </c>
      <c r="D353" s="47" t="s">
        <v>579</v>
      </c>
      <c r="E353" s="47" t="s">
        <v>27</v>
      </c>
      <c r="F353" s="47" t="s">
        <v>580</v>
      </c>
      <c r="G353" s="47" t="s">
        <v>27</v>
      </c>
      <c r="H353" s="47">
        <v>79047</v>
      </c>
      <c r="I353" s="47">
        <v>79056</v>
      </c>
      <c r="J353" s="47" t="s">
        <v>42</v>
      </c>
      <c r="K353" s="47" t="s">
        <v>2390</v>
      </c>
      <c r="L353" s="47" t="s">
        <v>36</v>
      </c>
      <c r="M353" s="47" t="s">
        <v>1284</v>
      </c>
      <c r="N353" s="48">
        <v>400</v>
      </c>
      <c r="O353" s="48">
        <v>400</v>
      </c>
      <c r="P353" s="48">
        <v>400</v>
      </c>
      <c r="Q353" s="48">
        <v>400</v>
      </c>
      <c r="R353" s="48">
        <v>96</v>
      </c>
      <c r="S353" s="48">
        <v>96</v>
      </c>
      <c r="T353" s="48">
        <v>96</v>
      </c>
      <c r="U353" s="48">
        <v>96</v>
      </c>
      <c r="V353" s="48"/>
    </row>
    <row r="354" spans="2:22" ht="20" x14ac:dyDescent="0.25">
      <c r="B354" s="47" t="s">
        <v>577</v>
      </c>
      <c r="C354" s="47" t="s">
        <v>578</v>
      </c>
      <c r="D354" s="47" t="s">
        <v>579</v>
      </c>
      <c r="E354" s="47" t="s">
        <v>27</v>
      </c>
      <c r="F354" s="47" t="s">
        <v>580</v>
      </c>
      <c r="G354" s="47" t="s">
        <v>27</v>
      </c>
      <c r="H354" s="47">
        <v>79047</v>
      </c>
      <c r="I354" s="47">
        <v>79056</v>
      </c>
      <c r="J354" s="47" t="s">
        <v>42</v>
      </c>
      <c r="K354" s="47" t="s">
        <v>577</v>
      </c>
      <c r="L354" s="47" t="s">
        <v>30</v>
      </c>
      <c r="M354" s="47" t="s">
        <v>578</v>
      </c>
      <c r="N354" s="48">
        <v>400</v>
      </c>
      <c r="O354" s="47">
        <v>440</v>
      </c>
      <c r="P354" s="48">
        <v>400</v>
      </c>
      <c r="Q354" s="47">
        <v>440</v>
      </c>
      <c r="R354" s="48">
        <v>96</v>
      </c>
      <c r="S354" s="47">
        <v>105</v>
      </c>
      <c r="T354" s="48">
        <v>96</v>
      </c>
      <c r="U354" s="47">
        <v>105</v>
      </c>
      <c r="V354" s="47"/>
    </row>
    <row r="355" spans="2:22" ht="23" x14ac:dyDescent="0.25">
      <c r="B355" s="44" t="s">
        <v>584</v>
      </c>
      <c r="C355" s="44" t="s">
        <v>585</v>
      </c>
      <c r="D355" s="44" t="s">
        <v>350</v>
      </c>
      <c r="E355" s="44" t="s">
        <v>27</v>
      </c>
      <c r="F355" s="44" t="s">
        <v>2391</v>
      </c>
      <c r="G355" s="44" t="s">
        <v>40</v>
      </c>
      <c r="H355" s="44">
        <v>70122</v>
      </c>
      <c r="I355" s="44">
        <v>70459</v>
      </c>
      <c r="J355" s="44" t="s">
        <v>42</v>
      </c>
      <c r="K355" s="44" t="s">
        <v>584</v>
      </c>
      <c r="L355" s="44" t="s">
        <v>29</v>
      </c>
      <c r="M355" s="44"/>
      <c r="N355" s="45">
        <v>900</v>
      </c>
      <c r="O355" s="45">
        <v>900</v>
      </c>
      <c r="P355" s="45">
        <v>900</v>
      </c>
      <c r="Q355" s="45">
        <v>900</v>
      </c>
      <c r="R355" s="45">
        <v>359</v>
      </c>
      <c r="S355" s="45">
        <v>359</v>
      </c>
      <c r="T355" s="45">
        <v>359</v>
      </c>
      <c r="U355" s="45">
        <v>359</v>
      </c>
      <c r="V355" s="46"/>
    </row>
    <row r="356" spans="2:22" ht="30" x14ac:dyDescent="0.25">
      <c r="B356" s="47" t="s">
        <v>584</v>
      </c>
      <c r="C356" s="47" t="s">
        <v>585</v>
      </c>
      <c r="D356" s="47" t="s">
        <v>350</v>
      </c>
      <c r="E356" s="47" t="s">
        <v>27</v>
      </c>
      <c r="F356" s="47" t="s">
        <v>2391</v>
      </c>
      <c r="G356" s="47" t="s">
        <v>40</v>
      </c>
      <c r="H356" s="47">
        <v>70122</v>
      </c>
      <c r="I356" s="47">
        <v>70459</v>
      </c>
      <c r="J356" s="47" t="s">
        <v>42</v>
      </c>
      <c r="K356" s="47" t="s">
        <v>587</v>
      </c>
      <c r="L356" s="47" t="s">
        <v>36</v>
      </c>
      <c r="M356" s="47" t="s">
        <v>588</v>
      </c>
      <c r="N356" s="48">
        <v>900</v>
      </c>
      <c r="O356" s="48">
        <v>900</v>
      </c>
      <c r="P356" s="48">
        <v>900</v>
      </c>
      <c r="Q356" s="48">
        <v>900</v>
      </c>
      <c r="R356" s="48">
        <v>359</v>
      </c>
      <c r="S356" s="48">
        <v>359</v>
      </c>
      <c r="T356" s="48">
        <v>359</v>
      </c>
      <c r="U356" s="48">
        <v>359</v>
      </c>
      <c r="V356" s="48"/>
    </row>
    <row r="357" spans="2:22" ht="23" x14ac:dyDescent="0.25">
      <c r="B357" s="44" t="s">
        <v>184</v>
      </c>
      <c r="C357" s="44" t="s">
        <v>185</v>
      </c>
      <c r="D357" s="44" t="s">
        <v>350</v>
      </c>
      <c r="E357" s="44" t="s">
        <v>27</v>
      </c>
      <c r="F357" s="44" t="s">
        <v>45</v>
      </c>
      <c r="G357" s="44" t="s">
        <v>27</v>
      </c>
      <c r="H357" s="44">
        <v>70122</v>
      </c>
      <c r="I357" s="44">
        <v>70286</v>
      </c>
      <c r="J357" s="44" t="s">
        <v>28</v>
      </c>
      <c r="K357" s="44" t="s">
        <v>184</v>
      </c>
      <c r="L357" s="44" t="s">
        <v>29</v>
      </c>
      <c r="M357" s="44"/>
      <c r="N357" s="45">
        <v>1200</v>
      </c>
      <c r="O357" s="45">
        <v>1200</v>
      </c>
      <c r="P357" s="45">
        <v>1200</v>
      </c>
      <c r="Q357" s="45">
        <v>1200</v>
      </c>
      <c r="R357" s="45">
        <v>478</v>
      </c>
      <c r="S357" s="45">
        <v>478</v>
      </c>
      <c r="T357" s="45">
        <v>478</v>
      </c>
      <c r="U357" s="45">
        <v>478</v>
      </c>
      <c r="V357" s="46"/>
    </row>
    <row r="358" spans="2:22" ht="30" x14ac:dyDescent="0.25">
      <c r="B358" s="47" t="s">
        <v>184</v>
      </c>
      <c r="C358" s="47" t="s">
        <v>185</v>
      </c>
      <c r="D358" s="47" t="s">
        <v>350</v>
      </c>
      <c r="E358" s="47" t="s">
        <v>27</v>
      </c>
      <c r="F358" s="47" t="s">
        <v>45</v>
      </c>
      <c r="G358" s="47" t="s">
        <v>27</v>
      </c>
      <c r="H358" s="47">
        <v>70122</v>
      </c>
      <c r="I358" s="47">
        <v>70286</v>
      </c>
      <c r="J358" s="47" t="s">
        <v>28</v>
      </c>
      <c r="K358" s="47" t="s">
        <v>2392</v>
      </c>
      <c r="L358" s="47" t="s">
        <v>36</v>
      </c>
      <c r="M358" s="47" t="s">
        <v>588</v>
      </c>
      <c r="N358" s="48">
        <v>1200</v>
      </c>
      <c r="O358" s="48">
        <v>1200</v>
      </c>
      <c r="P358" s="48">
        <v>1200</v>
      </c>
      <c r="Q358" s="48">
        <v>1200</v>
      </c>
      <c r="R358" s="48">
        <v>478</v>
      </c>
      <c r="S358" s="48">
        <v>478</v>
      </c>
      <c r="T358" s="48">
        <v>478</v>
      </c>
      <c r="U358" s="48">
        <v>478</v>
      </c>
      <c r="V358" s="48"/>
    </row>
    <row r="359" spans="2:22" ht="20" x14ac:dyDescent="0.25">
      <c r="B359" s="47" t="s">
        <v>184</v>
      </c>
      <c r="C359" s="47" t="s">
        <v>185</v>
      </c>
      <c r="D359" s="47" t="s">
        <v>350</v>
      </c>
      <c r="E359" s="47" t="s">
        <v>27</v>
      </c>
      <c r="F359" s="47" t="s">
        <v>45</v>
      </c>
      <c r="G359" s="47" t="s">
        <v>27</v>
      </c>
      <c r="H359" s="47">
        <v>70122</v>
      </c>
      <c r="I359" s="47">
        <v>70286</v>
      </c>
      <c r="J359" s="47" t="s">
        <v>28</v>
      </c>
      <c r="K359" s="47" t="s">
        <v>2249</v>
      </c>
      <c r="L359" s="47" t="s">
        <v>39</v>
      </c>
      <c r="M359" s="47" t="s">
        <v>46</v>
      </c>
      <c r="N359" s="48">
        <v>1200</v>
      </c>
      <c r="O359" s="48">
        <v>1200</v>
      </c>
      <c r="P359" s="48">
        <v>1200</v>
      </c>
      <c r="Q359" s="48">
        <v>1200</v>
      </c>
      <c r="R359" s="48">
        <v>478</v>
      </c>
      <c r="S359" s="48">
        <v>478</v>
      </c>
      <c r="T359" s="48">
        <v>478</v>
      </c>
      <c r="U359" s="48">
        <v>478</v>
      </c>
      <c r="V359" s="48"/>
    </row>
    <row r="360" spans="2:22" ht="30" x14ac:dyDescent="0.25">
      <c r="B360" s="47" t="s">
        <v>184</v>
      </c>
      <c r="C360" s="47" t="s">
        <v>185</v>
      </c>
      <c r="D360" s="47" t="s">
        <v>350</v>
      </c>
      <c r="E360" s="47" t="s">
        <v>27</v>
      </c>
      <c r="F360" s="47" t="s">
        <v>45</v>
      </c>
      <c r="G360" s="47" t="s">
        <v>27</v>
      </c>
      <c r="H360" s="47">
        <v>70122</v>
      </c>
      <c r="I360" s="47">
        <v>70286</v>
      </c>
      <c r="J360" s="47" t="s">
        <v>28</v>
      </c>
      <c r="K360" s="47" t="s">
        <v>590</v>
      </c>
      <c r="L360" s="47" t="s">
        <v>36</v>
      </c>
      <c r="M360" s="47" t="s">
        <v>46</v>
      </c>
      <c r="N360" s="48">
        <v>1200</v>
      </c>
      <c r="O360" s="48">
        <v>1200</v>
      </c>
      <c r="P360" s="48">
        <v>1200</v>
      </c>
      <c r="Q360" s="48">
        <v>1200</v>
      </c>
      <c r="R360" s="48">
        <v>478</v>
      </c>
      <c r="S360" s="48">
        <v>478</v>
      </c>
      <c r="T360" s="48">
        <v>478</v>
      </c>
      <c r="U360" s="48">
        <v>478</v>
      </c>
      <c r="V360" s="48"/>
    </row>
    <row r="361" spans="2:22" ht="30" x14ac:dyDescent="0.25">
      <c r="B361" s="47" t="s">
        <v>184</v>
      </c>
      <c r="C361" s="47" t="s">
        <v>185</v>
      </c>
      <c r="D361" s="47" t="s">
        <v>350</v>
      </c>
      <c r="E361" s="47" t="s">
        <v>27</v>
      </c>
      <c r="F361" s="47" t="s">
        <v>45</v>
      </c>
      <c r="G361" s="47" t="s">
        <v>27</v>
      </c>
      <c r="H361" s="47">
        <v>70122</v>
      </c>
      <c r="I361" s="47">
        <v>70286</v>
      </c>
      <c r="J361" s="47" t="s">
        <v>28</v>
      </c>
      <c r="K361" s="47" t="s">
        <v>1986</v>
      </c>
      <c r="L361" s="47" t="s">
        <v>36</v>
      </c>
      <c r="M361" s="47" t="s">
        <v>46</v>
      </c>
      <c r="N361" s="48">
        <v>1200</v>
      </c>
      <c r="O361" s="48">
        <v>1200</v>
      </c>
      <c r="P361" s="48">
        <v>1200</v>
      </c>
      <c r="Q361" s="48">
        <v>1200</v>
      </c>
      <c r="R361" s="48">
        <v>478</v>
      </c>
      <c r="S361" s="48">
        <v>478</v>
      </c>
      <c r="T361" s="48">
        <v>478</v>
      </c>
      <c r="U361" s="48">
        <v>478</v>
      </c>
      <c r="V361" s="48"/>
    </row>
    <row r="362" spans="2:22" ht="20" x14ac:dyDescent="0.25">
      <c r="B362" s="47" t="s">
        <v>184</v>
      </c>
      <c r="C362" s="47" t="s">
        <v>185</v>
      </c>
      <c r="D362" s="47" t="s">
        <v>350</v>
      </c>
      <c r="E362" s="47" t="s">
        <v>27</v>
      </c>
      <c r="F362" s="47" t="s">
        <v>45</v>
      </c>
      <c r="G362" s="47" t="s">
        <v>27</v>
      </c>
      <c r="H362" s="47">
        <v>70122</v>
      </c>
      <c r="I362" s="47">
        <v>70286</v>
      </c>
      <c r="J362" s="47" t="s">
        <v>28</v>
      </c>
      <c r="K362" s="47" t="s">
        <v>2250</v>
      </c>
      <c r="L362" s="47" t="s">
        <v>39</v>
      </c>
      <c r="M362" s="47" t="s">
        <v>46</v>
      </c>
      <c r="N362" s="48">
        <v>1200</v>
      </c>
      <c r="O362" s="48">
        <v>1200</v>
      </c>
      <c r="P362" s="48">
        <v>1200</v>
      </c>
      <c r="Q362" s="48">
        <v>1200</v>
      </c>
      <c r="R362" s="48">
        <v>478</v>
      </c>
      <c r="S362" s="48">
        <v>478</v>
      </c>
      <c r="T362" s="48">
        <v>478</v>
      </c>
      <c r="U362" s="48">
        <v>478</v>
      </c>
      <c r="V362" s="48"/>
    </row>
    <row r="363" spans="2:22" ht="30" x14ac:dyDescent="0.25">
      <c r="B363" s="47" t="s">
        <v>184</v>
      </c>
      <c r="C363" s="47" t="s">
        <v>185</v>
      </c>
      <c r="D363" s="47" t="s">
        <v>350</v>
      </c>
      <c r="E363" s="47" t="s">
        <v>27</v>
      </c>
      <c r="F363" s="47" t="s">
        <v>45</v>
      </c>
      <c r="G363" s="47" t="s">
        <v>27</v>
      </c>
      <c r="H363" s="47">
        <v>70122</v>
      </c>
      <c r="I363" s="47">
        <v>70286</v>
      </c>
      <c r="J363" s="47" t="s">
        <v>28</v>
      </c>
      <c r="K363" s="47" t="s">
        <v>1985</v>
      </c>
      <c r="L363" s="47" t="s">
        <v>36</v>
      </c>
      <c r="M363" s="47" t="s">
        <v>46</v>
      </c>
      <c r="N363" s="48">
        <v>1200</v>
      </c>
      <c r="O363" s="48">
        <v>1200</v>
      </c>
      <c r="P363" s="48">
        <v>1200</v>
      </c>
      <c r="Q363" s="48">
        <v>1200</v>
      </c>
      <c r="R363" s="48">
        <v>478</v>
      </c>
      <c r="S363" s="48">
        <v>478</v>
      </c>
      <c r="T363" s="48">
        <v>478</v>
      </c>
      <c r="U363" s="48">
        <v>478</v>
      </c>
      <c r="V363" s="48"/>
    </row>
    <row r="364" spans="2:22" ht="30" x14ac:dyDescent="0.25">
      <c r="B364" s="47" t="s">
        <v>184</v>
      </c>
      <c r="C364" s="47" t="s">
        <v>185</v>
      </c>
      <c r="D364" s="47" t="s">
        <v>350</v>
      </c>
      <c r="E364" s="47" t="s">
        <v>27</v>
      </c>
      <c r="F364" s="47" t="s">
        <v>45</v>
      </c>
      <c r="G364" s="47" t="s">
        <v>27</v>
      </c>
      <c r="H364" s="47">
        <v>70122</v>
      </c>
      <c r="I364" s="47">
        <v>70286</v>
      </c>
      <c r="J364" s="47" t="s">
        <v>28</v>
      </c>
      <c r="K364" s="47" t="s">
        <v>1980</v>
      </c>
      <c r="L364" s="47" t="s">
        <v>36</v>
      </c>
      <c r="M364" s="47" t="s">
        <v>46</v>
      </c>
      <c r="N364" s="48">
        <v>1200</v>
      </c>
      <c r="O364" s="48">
        <v>1200</v>
      </c>
      <c r="P364" s="48">
        <v>1200</v>
      </c>
      <c r="Q364" s="48">
        <v>1200</v>
      </c>
      <c r="R364" s="48">
        <v>478</v>
      </c>
      <c r="S364" s="48">
        <v>478</v>
      </c>
      <c r="T364" s="48">
        <v>478</v>
      </c>
      <c r="U364" s="48">
        <v>478</v>
      </c>
      <c r="V364" s="48"/>
    </row>
    <row r="365" spans="2:22" ht="30" x14ac:dyDescent="0.25">
      <c r="B365" s="47" t="s">
        <v>184</v>
      </c>
      <c r="C365" s="47" t="s">
        <v>185</v>
      </c>
      <c r="D365" s="47" t="s">
        <v>350</v>
      </c>
      <c r="E365" s="47" t="s">
        <v>27</v>
      </c>
      <c r="F365" s="47" t="s">
        <v>45</v>
      </c>
      <c r="G365" s="47" t="s">
        <v>27</v>
      </c>
      <c r="H365" s="47">
        <v>70122</v>
      </c>
      <c r="I365" s="47">
        <v>70286</v>
      </c>
      <c r="J365" s="47" t="s">
        <v>28</v>
      </c>
      <c r="K365" s="47" t="s">
        <v>2396</v>
      </c>
      <c r="L365" s="47" t="s">
        <v>36</v>
      </c>
      <c r="M365" s="47" t="s">
        <v>588</v>
      </c>
      <c r="N365" s="48">
        <v>1200</v>
      </c>
      <c r="O365" s="48">
        <v>1200</v>
      </c>
      <c r="P365" s="48">
        <v>1200</v>
      </c>
      <c r="Q365" s="48">
        <v>1200</v>
      </c>
      <c r="R365" s="48">
        <v>478</v>
      </c>
      <c r="S365" s="48">
        <v>478</v>
      </c>
      <c r="T365" s="48">
        <v>478</v>
      </c>
      <c r="U365" s="48">
        <v>478</v>
      </c>
      <c r="V365" s="48"/>
    </row>
    <row r="366" spans="2:22" ht="20" x14ac:dyDescent="0.25">
      <c r="B366" s="47" t="s">
        <v>184</v>
      </c>
      <c r="C366" s="47" t="s">
        <v>185</v>
      </c>
      <c r="D366" s="47" t="s">
        <v>350</v>
      </c>
      <c r="E366" s="47" t="s">
        <v>27</v>
      </c>
      <c r="F366" s="47" t="s">
        <v>45</v>
      </c>
      <c r="G366" s="47" t="s">
        <v>27</v>
      </c>
      <c r="H366" s="47">
        <v>70122</v>
      </c>
      <c r="I366" s="47">
        <v>70286</v>
      </c>
      <c r="J366" s="47" t="s">
        <v>28</v>
      </c>
      <c r="K366" s="47" t="s">
        <v>2253</v>
      </c>
      <c r="L366" s="47" t="s">
        <v>39</v>
      </c>
      <c r="M366" s="47" t="s">
        <v>46</v>
      </c>
      <c r="N366" s="48">
        <v>1200</v>
      </c>
      <c r="O366" s="48">
        <v>1200</v>
      </c>
      <c r="P366" s="48">
        <v>1200</v>
      </c>
      <c r="Q366" s="48">
        <v>1200</v>
      </c>
      <c r="R366" s="48">
        <v>478</v>
      </c>
      <c r="S366" s="48">
        <v>478</v>
      </c>
      <c r="T366" s="48">
        <v>478</v>
      </c>
      <c r="U366" s="48">
        <v>478</v>
      </c>
      <c r="V366" s="48"/>
    </row>
    <row r="367" spans="2:22" ht="20" x14ac:dyDescent="0.25">
      <c r="B367" s="47" t="s">
        <v>184</v>
      </c>
      <c r="C367" s="47" t="s">
        <v>185</v>
      </c>
      <c r="D367" s="47" t="s">
        <v>350</v>
      </c>
      <c r="E367" s="47" t="s">
        <v>27</v>
      </c>
      <c r="F367" s="47" t="s">
        <v>45</v>
      </c>
      <c r="G367" s="47" t="s">
        <v>27</v>
      </c>
      <c r="H367" s="47">
        <v>70122</v>
      </c>
      <c r="I367" s="47">
        <v>70286</v>
      </c>
      <c r="J367" s="47" t="s">
        <v>28</v>
      </c>
      <c r="K367" s="47" t="s">
        <v>2251</v>
      </c>
      <c r="L367" s="47" t="s">
        <v>39</v>
      </c>
      <c r="M367" s="47" t="s">
        <v>46</v>
      </c>
      <c r="N367" s="48">
        <v>1200</v>
      </c>
      <c r="O367" s="48">
        <v>1200</v>
      </c>
      <c r="P367" s="48">
        <v>1200</v>
      </c>
      <c r="Q367" s="48">
        <v>1200</v>
      </c>
      <c r="R367" s="48">
        <v>478</v>
      </c>
      <c r="S367" s="48">
        <v>478</v>
      </c>
      <c r="T367" s="48">
        <v>478</v>
      </c>
      <c r="U367" s="48">
        <v>478</v>
      </c>
      <c r="V367" s="48"/>
    </row>
    <row r="368" spans="2:22" ht="30" x14ac:dyDescent="0.25">
      <c r="B368" s="47" t="s">
        <v>184</v>
      </c>
      <c r="C368" s="47" t="s">
        <v>185</v>
      </c>
      <c r="D368" s="47" t="s">
        <v>350</v>
      </c>
      <c r="E368" s="47" t="s">
        <v>27</v>
      </c>
      <c r="F368" s="47" t="s">
        <v>45</v>
      </c>
      <c r="G368" s="47" t="s">
        <v>27</v>
      </c>
      <c r="H368" s="47">
        <v>70122</v>
      </c>
      <c r="I368" s="47">
        <v>70286</v>
      </c>
      <c r="J368" s="47" t="s">
        <v>28</v>
      </c>
      <c r="K368" s="47" t="s">
        <v>1984</v>
      </c>
      <c r="L368" s="47" t="s">
        <v>36</v>
      </c>
      <c r="M368" s="47" t="s">
        <v>46</v>
      </c>
      <c r="N368" s="48">
        <v>1200</v>
      </c>
      <c r="O368" s="48">
        <v>1200</v>
      </c>
      <c r="P368" s="48">
        <v>1200</v>
      </c>
      <c r="Q368" s="48">
        <v>1200</v>
      </c>
      <c r="R368" s="48">
        <v>478</v>
      </c>
      <c r="S368" s="48">
        <v>478</v>
      </c>
      <c r="T368" s="48">
        <v>478</v>
      </c>
      <c r="U368" s="48">
        <v>478</v>
      </c>
      <c r="V368" s="48"/>
    </row>
    <row r="369" spans="2:22" ht="30" x14ac:dyDescent="0.25">
      <c r="B369" s="47" t="s">
        <v>184</v>
      </c>
      <c r="C369" s="47" t="s">
        <v>185</v>
      </c>
      <c r="D369" s="47" t="s">
        <v>350</v>
      </c>
      <c r="E369" s="47" t="s">
        <v>27</v>
      </c>
      <c r="F369" s="47" t="s">
        <v>45</v>
      </c>
      <c r="G369" s="47" t="s">
        <v>27</v>
      </c>
      <c r="H369" s="47">
        <v>70122</v>
      </c>
      <c r="I369" s="47">
        <v>70286</v>
      </c>
      <c r="J369" s="47" t="s">
        <v>28</v>
      </c>
      <c r="K369" s="47" t="s">
        <v>1987</v>
      </c>
      <c r="L369" s="47" t="s">
        <v>36</v>
      </c>
      <c r="M369" s="47" t="s">
        <v>46</v>
      </c>
      <c r="N369" s="48">
        <v>1200</v>
      </c>
      <c r="O369" s="48">
        <v>1200</v>
      </c>
      <c r="P369" s="48">
        <v>1200</v>
      </c>
      <c r="Q369" s="48">
        <v>1200</v>
      </c>
      <c r="R369" s="48">
        <v>478</v>
      </c>
      <c r="S369" s="48">
        <v>478</v>
      </c>
      <c r="T369" s="48">
        <v>478</v>
      </c>
      <c r="U369" s="48">
        <v>478</v>
      </c>
      <c r="V369" s="48"/>
    </row>
    <row r="370" spans="2:22" ht="20" x14ac:dyDescent="0.25">
      <c r="B370" s="47" t="s">
        <v>184</v>
      </c>
      <c r="C370" s="47" t="s">
        <v>185</v>
      </c>
      <c r="D370" s="47" t="s">
        <v>350</v>
      </c>
      <c r="E370" s="47" t="s">
        <v>27</v>
      </c>
      <c r="F370" s="47" t="s">
        <v>45</v>
      </c>
      <c r="G370" s="47" t="s">
        <v>27</v>
      </c>
      <c r="H370" s="47">
        <v>70122</v>
      </c>
      <c r="I370" s="47">
        <v>70286</v>
      </c>
      <c r="J370" s="47" t="s">
        <v>28</v>
      </c>
      <c r="K370" s="47" t="s">
        <v>2100</v>
      </c>
      <c r="L370" s="47" t="s">
        <v>39</v>
      </c>
      <c r="M370" s="47" t="s">
        <v>588</v>
      </c>
      <c r="N370" s="48">
        <v>1200</v>
      </c>
      <c r="O370" s="48">
        <v>1200</v>
      </c>
      <c r="P370" s="48">
        <v>1200</v>
      </c>
      <c r="Q370" s="48">
        <v>1200</v>
      </c>
      <c r="R370" s="48">
        <v>478</v>
      </c>
      <c r="S370" s="48">
        <v>478</v>
      </c>
      <c r="T370" s="48">
        <v>478</v>
      </c>
      <c r="U370" s="48">
        <v>478</v>
      </c>
      <c r="V370" s="48"/>
    </row>
    <row r="371" spans="2:22" ht="30" x14ac:dyDescent="0.25">
      <c r="B371" s="47" t="s">
        <v>184</v>
      </c>
      <c r="C371" s="47" t="s">
        <v>185</v>
      </c>
      <c r="D371" s="47" t="s">
        <v>350</v>
      </c>
      <c r="E371" s="47" t="s">
        <v>27</v>
      </c>
      <c r="F371" s="47" t="s">
        <v>45</v>
      </c>
      <c r="G371" s="47" t="s">
        <v>27</v>
      </c>
      <c r="H371" s="47">
        <v>70122</v>
      </c>
      <c r="I371" s="47">
        <v>70286</v>
      </c>
      <c r="J371" s="47" t="s">
        <v>28</v>
      </c>
      <c r="K371" s="47" t="s">
        <v>2398</v>
      </c>
      <c r="L371" s="47" t="s">
        <v>36</v>
      </c>
      <c r="M371" s="47" t="s">
        <v>588</v>
      </c>
      <c r="N371" s="48">
        <v>1200</v>
      </c>
      <c r="O371" s="48">
        <v>1200</v>
      </c>
      <c r="P371" s="48">
        <v>1200</v>
      </c>
      <c r="Q371" s="48">
        <v>1200</v>
      </c>
      <c r="R371" s="48">
        <v>478</v>
      </c>
      <c r="S371" s="48">
        <v>478</v>
      </c>
      <c r="T371" s="48">
        <v>478</v>
      </c>
      <c r="U371" s="48">
        <v>478</v>
      </c>
      <c r="V371" s="48"/>
    </row>
    <row r="372" spans="2:22" ht="30" x14ac:dyDescent="0.25">
      <c r="B372" s="47" t="s">
        <v>184</v>
      </c>
      <c r="C372" s="47" t="s">
        <v>185</v>
      </c>
      <c r="D372" s="47" t="s">
        <v>350</v>
      </c>
      <c r="E372" s="47" t="s">
        <v>27</v>
      </c>
      <c r="F372" s="47" t="s">
        <v>45</v>
      </c>
      <c r="G372" s="47" t="s">
        <v>27</v>
      </c>
      <c r="H372" s="47">
        <v>70122</v>
      </c>
      <c r="I372" s="47">
        <v>70286</v>
      </c>
      <c r="J372" s="47" t="s">
        <v>28</v>
      </c>
      <c r="K372" s="47" t="s">
        <v>2394</v>
      </c>
      <c r="L372" s="47" t="s">
        <v>36</v>
      </c>
      <c r="M372" s="47" t="s">
        <v>588</v>
      </c>
      <c r="N372" s="48">
        <v>1200</v>
      </c>
      <c r="O372" s="48">
        <v>1200</v>
      </c>
      <c r="P372" s="48">
        <v>1200</v>
      </c>
      <c r="Q372" s="48">
        <v>1200</v>
      </c>
      <c r="R372" s="48">
        <v>478</v>
      </c>
      <c r="S372" s="48">
        <v>478</v>
      </c>
      <c r="T372" s="48">
        <v>478</v>
      </c>
      <c r="U372" s="48">
        <v>478</v>
      </c>
      <c r="V372" s="48"/>
    </row>
    <row r="373" spans="2:22" ht="20" x14ac:dyDescent="0.25">
      <c r="B373" s="47" t="s">
        <v>184</v>
      </c>
      <c r="C373" s="47" t="s">
        <v>185</v>
      </c>
      <c r="D373" s="47" t="s">
        <v>350</v>
      </c>
      <c r="E373" s="47" t="s">
        <v>27</v>
      </c>
      <c r="F373" s="47" t="s">
        <v>45</v>
      </c>
      <c r="G373" s="47" t="s">
        <v>27</v>
      </c>
      <c r="H373" s="47">
        <v>70122</v>
      </c>
      <c r="I373" s="47">
        <v>70286</v>
      </c>
      <c r="J373" s="47" t="s">
        <v>28</v>
      </c>
      <c r="K373" s="47" t="s">
        <v>2252</v>
      </c>
      <c r="L373" s="47" t="s">
        <v>39</v>
      </c>
      <c r="M373" s="47" t="s">
        <v>46</v>
      </c>
      <c r="N373" s="48">
        <v>1200</v>
      </c>
      <c r="O373" s="48">
        <v>1200</v>
      </c>
      <c r="P373" s="48">
        <v>1200</v>
      </c>
      <c r="Q373" s="48">
        <v>1200</v>
      </c>
      <c r="R373" s="48">
        <v>478</v>
      </c>
      <c r="S373" s="48">
        <v>478</v>
      </c>
      <c r="T373" s="48">
        <v>478</v>
      </c>
      <c r="U373" s="48">
        <v>478</v>
      </c>
      <c r="V373" s="48"/>
    </row>
    <row r="374" spans="2:22" ht="20" x14ac:dyDescent="0.25">
      <c r="B374" s="47" t="s">
        <v>184</v>
      </c>
      <c r="C374" s="47" t="s">
        <v>185</v>
      </c>
      <c r="D374" s="47" t="s">
        <v>350</v>
      </c>
      <c r="E374" s="47" t="s">
        <v>27</v>
      </c>
      <c r="F374" s="47" t="s">
        <v>45</v>
      </c>
      <c r="G374" s="47" t="s">
        <v>27</v>
      </c>
      <c r="H374" s="47">
        <v>70122</v>
      </c>
      <c r="I374" s="47">
        <v>70286</v>
      </c>
      <c r="J374" s="47" t="s">
        <v>28</v>
      </c>
      <c r="K374" s="47" t="s">
        <v>2245</v>
      </c>
      <c r="L374" s="47" t="s">
        <v>39</v>
      </c>
      <c r="M374" s="47" t="s">
        <v>46</v>
      </c>
      <c r="N374" s="48">
        <v>1200</v>
      </c>
      <c r="O374" s="48">
        <v>1200</v>
      </c>
      <c r="P374" s="48">
        <v>1200</v>
      </c>
      <c r="Q374" s="48">
        <v>1200</v>
      </c>
      <c r="R374" s="48">
        <v>478</v>
      </c>
      <c r="S374" s="48">
        <v>478</v>
      </c>
      <c r="T374" s="48">
        <v>478</v>
      </c>
      <c r="U374" s="48">
        <v>478</v>
      </c>
      <c r="V374" s="48"/>
    </row>
    <row r="375" spans="2:22" ht="30" x14ac:dyDescent="0.25">
      <c r="B375" s="47" t="s">
        <v>184</v>
      </c>
      <c r="C375" s="47" t="s">
        <v>185</v>
      </c>
      <c r="D375" s="47" t="s">
        <v>350</v>
      </c>
      <c r="E375" s="47" t="s">
        <v>27</v>
      </c>
      <c r="F375" s="47" t="s">
        <v>45</v>
      </c>
      <c r="G375" s="47" t="s">
        <v>27</v>
      </c>
      <c r="H375" s="47">
        <v>70122</v>
      </c>
      <c r="I375" s="47">
        <v>70286</v>
      </c>
      <c r="J375" s="47" t="s">
        <v>28</v>
      </c>
      <c r="K375" s="47" t="s">
        <v>2395</v>
      </c>
      <c r="L375" s="47" t="s">
        <v>36</v>
      </c>
      <c r="M375" s="47" t="s">
        <v>588</v>
      </c>
      <c r="N375" s="48">
        <v>1200</v>
      </c>
      <c r="O375" s="48">
        <v>1200</v>
      </c>
      <c r="P375" s="48">
        <v>1200</v>
      </c>
      <c r="Q375" s="48">
        <v>1200</v>
      </c>
      <c r="R375" s="48">
        <v>478</v>
      </c>
      <c r="S375" s="48">
        <v>478</v>
      </c>
      <c r="T375" s="48">
        <v>478</v>
      </c>
      <c r="U375" s="48">
        <v>478</v>
      </c>
      <c r="V375" s="48"/>
    </row>
    <row r="376" spans="2:22" ht="30" x14ac:dyDescent="0.25">
      <c r="B376" s="47" t="s">
        <v>184</v>
      </c>
      <c r="C376" s="47" t="s">
        <v>185</v>
      </c>
      <c r="D376" s="47" t="s">
        <v>350</v>
      </c>
      <c r="E376" s="47" t="s">
        <v>27</v>
      </c>
      <c r="F376" s="47" t="s">
        <v>45</v>
      </c>
      <c r="G376" s="47" t="s">
        <v>27</v>
      </c>
      <c r="H376" s="47">
        <v>70122</v>
      </c>
      <c r="I376" s="47">
        <v>70286</v>
      </c>
      <c r="J376" s="47" t="s">
        <v>28</v>
      </c>
      <c r="K376" s="47" t="s">
        <v>2393</v>
      </c>
      <c r="L376" s="47" t="s">
        <v>36</v>
      </c>
      <c r="M376" s="47" t="s">
        <v>588</v>
      </c>
      <c r="N376" s="48">
        <v>1200</v>
      </c>
      <c r="O376" s="48">
        <v>1200</v>
      </c>
      <c r="P376" s="48">
        <v>1200</v>
      </c>
      <c r="Q376" s="48">
        <v>1200</v>
      </c>
      <c r="R376" s="48">
        <v>478</v>
      </c>
      <c r="S376" s="48">
        <v>478</v>
      </c>
      <c r="T376" s="48">
        <v>478</v>
      </c>
      <c r="U376" s="48">
        <v>478</v>
      </c>
      <c r="V376" s="48"/>
    </row>
    <row r="377" spans="2:22" ht="30" x14ac:dyDescent="0.25">
      <c r="B377" s="47" t="s">
        <v>184</v>
      </c>
      <c r="C377" s="47" t="s">
        <v>185</v>
      </c>
      <c r="D377" s="47" t="s">
        <v>350</v>
      </c>
      <c r="E377" s="47" t="s">
        <v>27</v>
      </c>
      <c r="F377" s="47" t="s">
        <v>45</v>
      </c>
      <c r="G377" s="47" t="s">
        <v>27</v>
      </c>
      <c r="H377" s="47">
        <v>70122</v>
      </c>
      <c r="I377" s="47">
        <v>70286</v>
      </c>
      <c r="J377" s="47" t="s">
        <v>28</v>
      </c>
      <c r="K377" s="47" t="s">
        <v>1982</v>
      </c>
      <c r="L377" s="47" t="s">
        <v>36</v>
      </c>
      <c r="M377" s="47" t="s">
        <v>46</v>
      </c>
      <c r="N377" s="48">
        <v>1200</v>
      </c>
      <c r="O377" s="48">
        <v>1200</v>
      </c>
      <c r="P377" s="48">
        <v>1200</v>
      </c>
      <c r="Q377" s="48">
        <v>1200</v>
      </c>
      <c r="R377" s="48">
        <v>478</v>
      </c>
      <c r="S377" s="48">
        <v>478</v>
      </c>
      <c r="T377" s="48">
        <v>478</v>
      </c>
      <c r="U377" s="48">
        <v>478</v>
      </c>
      <c r="V377" s="48"/>
    </row>
    <row r="378" spans="2:22" ht="20" x14ac:dyDescent="0.25">
      <c r="B378" s="47" t="s">
        <v>184</v>
      </c>
      <c r="C378" s="47" t="s">
        <v>185</v>
      </c>
      <c r="D378" s="47" t="s">
        <v>350</v>
      </c>
      <c r="E378" s="47" t="s">
        <v>27</v>
      </c>
      <c r="F378" s="47" t="s">
        <v>45</v>
      </c>
      <c r="G378" s="47" t="s">
        <v>27</v>
      </c>
      <c r="H378" s="47">
        <v>70122</v>
      </c>
      <c r="I378" s="47">
        <v>70286</v>
      </c>
      <c r="J378" s="47" t="s">
        <v>28</v>
      </c>
      <c r="K378" s="47" t="s">
        <v>2099</v>
      </c>
      <c r="L378" s="47" t="s">
        <v>39</v>
      </c>
      <c r="M378" s="47" t="s">
        <v>588</v>
      </c>
      <c r="N378" s="48">
        <v>1200</v>
      </c>
      <c r="O378" s="48">
        <v>1200</v>
      </c>
      <c r="P378" s="48">
        <v>1200</v>
      </c>
      <c r="Q378" s="48">
        <v>1200</v>
      </c>
      <c r="R378" s="48">
        <v>478</v>
      </c>
      <c r="S378" s="48">
        <v>478</v>
      </c>
      <c r="T378" s="48">
        <v>478</v>
      </c>
      <c r="U378" s="48">
        <v>478</v>
      </c>
      <c r="V378" s="48"/>
    </row>
    <row r="379" spans="2:22" ht="30" x14ac:dyDescent="0.25">
      <c r="B379" s="47" t="s">
        <v>184</v>
      </c>
      <c r="C379" s="47" t="s">
        <v>185</v>
      </c>
      <c r="D379" s="47" t="s">
        <v>350</v>
      </c>
      <c r="E379" s="47" t="s">
        <v>27</v>
      </c>
      <c r="F379" s="47" t="s">
        <v>45</v>
      </c>
      <c r="G379" s="47" t="s">
        <v>27</v>
      </c>
      <c r="H379" s="47">
        <v>70122</v>
      </c>
      <c r="I379" s="47">
        <v>70286</v>
      </c>
      <c r="J379" s="47" t="s">
        <v>28</v>
      </c>
      <c r="K379" s="47" t="s">
        <v>2397</v>
      </c>
      <c r="L379" s="47" t="s">
        <v>36</v>
      </c>
      <c r="M379" s="47" t="s">
        <v>588</v>
      </c>
      <c r="N379" s="48">
        <v>1200</v>
      </c>
      <c r="O379" s="48">
        <v>1200</v>
      </c>
      <c r="P379" s="48">
        <v>1200</v>
      </c>
      <c r="Q379" s="48">
        <v>1200</v>
      </c>
      <c r="R379" s="48">
        <v>478</v>
      </c>
      <c r="S379" s="48">
        <v>478</v>
      </c>
      <c r="T379" s="48">
        <v>478</v>
      </c>
      <c r="U379" s="48">
        <v>478</v>
      </c>
      <c r="V379" s="48"/>
    </row>
    <row r="380" spans="2:22" ht="20" x14ac:dyDescent="0.25">
      <c r="B380" s="47" t="s">
        <v>184</v>
      </c>
      <c r="C380" s="47" t="s">
        <v>185</v>
      </c>
      <c r="D380" s="47" t="s">
        <v>350</v>
      </c>
      <c r="E380" s="47" t="s">
        <v>27</v>
      </c>
      <c r="F380" s="47" t="s">
        <v>45</v>
      </c>
      <c r="G380" s="47" t="s">
        <v>27</v>
      </c>
      <c r="H380" s="47">
        <v>70122</v>
      </c>
      <c r="I380" s="47">
        <v>70286</v>
      </c>
      <c r="J380" s="47" t="s">
        <v>28</v>
      </c>
      <c r="K380" s="47" t="s">
        <v>2246</v>
      </c>
      <c r="L380" s="47" t="s">
        <v>39</v>
      </c>
      <c r="M380" s="47" t="s">
        <v>46</v>
      </c>
      <c r="N380" s="48">
        <v>1200</v>
      </c>
      <c r="O380" s="48">
        <v>1200</v>
      </c>
      <c r="P380" s="48">
        <v>1200</v>
      </c>
      <c r="Q380" s="48">
        <v>1200</v>
      </c>
      <c r="R380" s="48">
        <v>478</v>
      </c>
      <c r="S380" s="48">
        <v>478</v>
      </c>
      <c r="T380" s="48">
        <v>478</v>
      </c>
      <c r="U380" s="48">
        <v>478</v>
      </c>
      <c r="V380" s="48"/>
    </row>
    <row r="381" spans="2:22" ht="20" x14ac:dyDescent="0.25">
      <c r="B381" s="47" t="s">
        <v>184</v>
      </c>
      <c r="C381" s="47" t="s">
        <v>185</v>
      </c>
      <c r="D381" s="47" t="s">
        <v>350</v>
      </c>
      <c r="E381" s="47" t="s">
        <v>27</v>
      </c>
      <c r="F381" s="47" t="s">
        <v>45</v>
      </c>
      <c r="G381" s="47" t="s">
        <v>27</v>
      </c>
      <c r="H381" s="47">
        <v>70122</v>
      </c>
      <c r="I381" s="47">
        <v>70286</v>
      </c>
      <c r="J381" s="47" t="s">
        <v>28</v>
      </c>
      <c r="K381" s="47" t="s">
        <v>2247</v>
      </c>
      <c r="L381" s="47" t="s">
        <v>39</v>
      </c>
      <c r="M381" s="47" t="s">
        <v>46</v>
      </c>
      <c r="N381" s="48">
        <v>1200</v>
      </c>
      <c r="O381" s="48">
        <v>1200</v>
      </c>
      <c r="P381" s="48">
        <v>1200</v>
      </c>
      <c r="Q381" s="48">
        <v>1200</v>
      </c>
      <c r="R381" s="48">
        <v>478</v>
      </c>
      <c r="S381" s="48">
        <v>478</v>
      </c>
      <c r="T381" s="48">
        <v>478</v>
      </c>
      <c r="U381" s="48">
        <v>478</v>
      </c>
      <c r="V381" s="48"/>
    </row>
    <row r="382" spans="2:22" ht="20" x14ac:dyDescent="0.25">
      <c r="B382" s="47" t="s">
        <v>184</v>
      </c>
      <c r="C382" s="47" t="s">
        <v>185</v>
      </c>
      <c r="D382" s="47" t="s">
        <v>350</v>
      </c>
      <c r="E382" s="47" t="s">
        <v>27</v>
      </c>
      <c r="F382" s="47" t="s">
        <v>45</v>
      </c>
      <c r="G382" s="47" t="s">
        <v>27</v>
      </c>
      <c r="H382" s="47">
        <v>70122</v>
      </c>
      <c r="I382" s="47">
        <v>70286</v>
      </c>
      <c r="J382" s="47" t="s">
        <v>28</v>
      </c>
      <c r="K382" s="47" t="s">
        <v>2256</v>
      </c>
      <c r="L382" s="47" t="s">
        <v>39</v>
      </c>
      <c r="M382" s="47" t="s">
        <v>46</v>
      </c>
      <c r="N382" s="48">
        <v>1200</v>
      </c>
      <c r="O382" s="48">
        <v>1200</v>
      </c>
      <c r="P382" s="48">
        <v>1200</v>
      </c>
      <c r="Q382" s="48">
        <v>1200</v>
      </c>
      <c r="R382" s="48">
        <v>478</v>
      </c>
      <c r="S382" s="48">
        <v>478</v>
      </c>
      <c r="T382" s="48">
        <v>478</v>
      </c>
      <c r="U382" s="48">
        <v>478</v>
      </c>
      <c r="V382" s="48"/>
    </row>
    <row r="383" spans="2:22" ht="20" x14ac:dyDescent="0.25">
      <c r="B383" s="47" t="s">
        <v>184</v>
      </c>
      <c r="C383" s="47" t="s">
        <v>185</v>
      </c>
      <c r="D383" s="47" t="s">
        <v>350</v>
      </c>
      <c r="E383" s="47" t="s">
        <v>27</v>
      </c>
      <c r="F383" s="47" t="s">
        <v>45</v>
      </c>
      <c r="G383" s="47" t="s">
        <v>27</v>
      </c>
      <c r="H383" s="47">
        <v>70122</v>
      </c>
      <c r="I383" s="47">
        <v>70286</v>
      </c>
      <c r="J383" s="47" t="s">
        <v>28</v>
      </c>
      <c r="K383" s="47" t="s">
        <v>2254</v>
      </c>
      <c r="L383" s="47" t="s">
        <v>39</v>
      </c>
      <c r="M383" s="47" t="s">
        <v>46</v>
      </c>
      <c r="N383" s="48">
        <v>1200</v>
      </c>
      <c r="O383" s="48">
        <v>1200</v>
      </c>
      <c r="P383" s="48">
        <v>1200</v>
      </c>
      <c r="Q383" s="48">
        <v>1200</v>
      </c>
      <c r="R383" s="48">
        <v>478</v>
      </c>
      <c r="S383" s="48">
        <v>478</v>
      </c>
      <c r="T383" s="48">
        <v>478</v>
      </c>
      <c r="U383" s="48">
        <v>478</v>
      </c>
      <c r="V383" s="48"/>
    </row>
    <row r="384" spans="2:22" ht="30" x14ac:dyDescent="0.25">
      <c r="B384" s="47" t="s">
        <v>184</v>
      </c>
      <c r="C384" s="47" t="s">
        <v>185</v>
      </c>
      <c r="D384" s="47" t="s">
        <v>350</v>
      </c>
      <c r="E384" s="47" t="s">
        <v>27</v>
      </c>
      <c r="F384" s="47" t="s">
        <v>45</v>
      </c>
      <c r="G384" s="47" t="s">
        <v>27</v>
      </c>
      <c r="H384" s="47">
        <v>70122</v>
      </c>
      <c r="I384" s="47">
        <v>70286</v>
      </c>
      <c r="J384" s="47" t="s">
        <v>28</v>
      </c>
      <c r="K384" s="47" t="s">
        <v>1983</v>
      </c>
      <c r="L384" s="47" t="s">
        <v>36</v>
      </c>
      <c r="M384" s="47" t="s">
        <v>46</v>
      </c>
      <c r="N384" s="48">
        <v>1200</v>
      </c>
      <c r="O384" s="48">
        <v>1200</v>
      </c>
      <c r="P384" s="48">
        <v>1200</v>
      </c>
      <c r="Q384" s="48">
        <v>1200</v>
      </c>
      <c r="R384" s="48">
        <v>478</v>
      </c>
      <c r="S384" s="48">
        <v>478</v>
      </c>
      <c r="T384" s="48">
        <v>478</v>
      </c>
      <c r="U384" s="48">
        <v>478</v>
      </c>
      <c r="V384" s="48"/>
    </row>
    <row r="385" spans="2:22" ht="20" x14ac:dyDescent="0.25">
      <c r="B385" s="47" t="s">
        <v>184</v>
      </c>
      <c r="C385" s="47" t="s">
        <v>185</v>
      </c>
      <c r="D385" s="47" t="s">
        <v>350</v>
      </c>
      <c r="E385" s="47" t="s">
        <v>27</v>
      </c>
      <c r="F385" s="47" t="s">
        <v>45</v>
      </c>
      <c r="G385" s="47" t="s">
        <v>27</v>
      </c>
      <c r="H385" s="47">
        <v>70122</v>
      </c>
      <c r="I385" s="47">
        <v>70286</v>
      </c>
      <c r="J385" s="47" t="s">
        <v>28</v>
      </c>
      <c r="K385" s="47" t="s">
        <v>2255</v>
      </c>
      <c r="L385" s="47" t="s">
        <v>39</v>
      </c>
      <c r="M385" s="47" t="s">
        <v>46</v>
      </c>
      <c r="N385" s="48">
        <v>1200</v>
      </c>
      <c r="O385" s="48">
        <v>1200</v>
      </c>
      <c r="P385" s="48">
        <v>1200</v>
      </c>
      <c r="Q385" s="48">
        <v>1200</v>
      </c>
      <c r="R385" s="48">
        <v>478</v>
      </c>
      <c r="S385" s="48">
        <v>478</v>
      </c>
      <c r="T385" s="48">
        <v>478</v>
      </c>
      <c r="U385" s="48">
        <v>478</v>
      </c>
      <c r="V385" s="48"/>
    </row>
    <row r="386" spans="2:22" ht="20" x14ac:dyDescent="0.25">
      <c r="B386" s="47" t="s">
        <v>184</v>
      </c>
      <c r="C386" s="47" t="s">
        <v>185</v>
      </c>
      <c r="D386" s="47" t="s">
        <v>350</v>
      </c>
      <c r="E386" s="47" t="s">
        <v>27</v>
      </c>
      <c r="F386" s="47" t="s">
        <v>45</v>
      </c>
      <c r="G386" s="47" t="s">
        <v>27</v>
      </c>
      <c r="H386" s="47">
        <v>70122</v>
      </c>
      <c r="I386" s="47">
        <v>70286</v>
      </c>
      <c r="J386" s="47" t="s">
        <v>28</v>
      </c>
      <c r="K386" s="47" t="s">
        <v>2248</v>
      </c>
      <c r="L386" s="47" t="s">
        <v>39</v>
      </c>
      <c r="M386" s="47" t="s">
        <v>46</v>
      </c>
      <c r="N386" s="48">
        <v>1200</v>
      </c>
      <c r="O386" s="48">
        <v>1200</v>
      </c>
      <c r="P386" s="48">
        <v>1200</v>
      </c>
      <c r="Q386" s="48">
        <v>1200</v>
      </c>
      <c r="R386" s="48">
        <v>478</v>
      </c>
      <c r="S386" s="48">
        <v>478</v>
      </c>
      <c r="T386" s="48">
        <v>478</v>
      </c>
      <c r="U386" s="48">
        <v>478</v>
      </c>
      <c r="V386" s="48"/>
    </row>
    <row r="387" spans="2:22" ht="30" x14ac:dyDescent="0.25">
      <c r="B387" s="47" t="s">
        <v>184</v>
      </c>
      <c r="C387" s="47" t="s">
        <v>185</v>
      </c>
      <c r="D387" s="47" t="s">
        <v>350</v>
      </c>
      <c r="E387" s="47" t="s">
        <v>27</v>
      </c>
      <c r="F387" s="47" t="s">
        <v>45</v>
      </c>
      <c r="G387" s="47" t="s">
        <v>27</v>
      </c>
      <c r="H387" s="47">
        <v>70122</v>
      </c>
      <c r="I387" s="47">
        <v>70286</v>
      </c>
      <c r="J387" s="47" t="s">
        <v>28</v>
      </c>
      <c r="K387" s="47" t="s">
        <v>1981</v>
      </c>
      <c r="L387" s="47" t="s">
        <v>36</v>
      </c>
      <c r="M387" s="47" t="s">
        <v>46</v>
      </c>
      <c r="N387" s="48">
        <v>1200</v>
      </c>
      <c r="O387" s="48">
        <v>1200</v>
      </c>
      <c r="P387" s="48">
        <v>1200</v>
      </c>
      <c r="Q387" s="48">
        <v>1200</v>
      </c>
      <c r="R387" s="48">
        <v>478</v>
      </c>
      <c r="S387" s="48">
        <v>478</v>
      </c>
      <c r="T387" s="48">
        <v>478</v>
      </c>
      <c r="U387" s="48">
        <v>478</v>
      </c>
      <c r="V387" s="48"/>
    </row>
    <row r="388" spans="2:22" ht="20" x14ac:dyDescent="0.25">
      <c r="B388" s="47" t="s">
        <v>184</v>
      </c>
      <c r="C388" s="47" t="s">
        <v>185</v>
      </c>
      <c r="D388" s="47" t="s">
        <v>350</v>
      </c>
      <c r="E388" s="47" t="s">
        <v>27</v>
      </c>
      <c r="F388" s="47" t="s">
        <v>45</v>
      </c>
      <c r="G388" s="47" t="s">
        <v>27</v>
      </c>
      <c r="H388" s="47">
        <v>70122</v>
      </c>
      <c r="I388" s="47">
        <v>70286</v>
      </c>
      <c r="J388" s="47" t="s">
        <v>28</v>
      </c>
      <c r="K388" s="47" t="s">
        <v>2101</v>
      </c>
      <c r="L388" s="47" t="s">
        <v>34</v>
      </c>
      <c r="M388" s="47" t="s">
        <v>46</v>
      </c>
      <c r="N388" s="48">
        <v>1200</v>
      </c>
      <c r="O388" s="47">
        <v>1549</v>
      </c>
      <c r="P388" s="47">
        <v>1486</v>
      </c>
      <c r="Q388" s="47">
        <v>1780</v>
      </c>
      <c r="R388" s="48">
        <v>478</v>
      </c>
      <c r="S388" s="47">
        <v>617</v>
      </c>
      <c r="T388" s="47">
        <v>592</v>
      </c>
      <c r="U388" s="47">
        <v>709</v>
      </c>
      <c r="V388" s="47"/>
    </row>
    <row r="389" spans="2:22" ht="20" x14ac:dyDescent="0.25">
      <c r="B389" s="47" t="s">
        <v>184</v>
      </c>
      <c r="C389" s="47" t="s">
        <v>185</v>
      </c>
      <c r="D389" s="47" t="s">
        <v>350</v>
      </c>
      <c r="E389" s="47" t="s">
        <v>27</v>
      </c>
      <c r="F389" s="47" t="s">
        <v>45</v>
      </c>
      <c r="G389" s="47" t="s">
        <v>27</v>
      </c>
      <c r="H389" s="47">
        <v>70122</v>
      </c>
      <c r="I389" s="47">
        <v>70286</v>
      </c>
      <c r="J389" s="47" t="s">
        <v>28</v>
      </c>
      <c r="K389" s="47" t="s">
        <v>2170</v>
      </c>
      <c r="L389" s="47" t="s">
        <v>34</v>
      </c>
      <c r="M389" s="47" t="s">
        <v>46</v>
      </c>
      <c r="N389" s="48">
        <v>1200</v>
      </c>
      <c r="O389" s="47">
        <v>1549</v>
      </c>
      <c r="P389" s="47">
        <v>1486</v>
      </c>
      <c r="Q389" s="47">
        <v>1780</v>
      </c>
      <c r="R389" s="48">
        <v>478</v>
      </c>
      <c r="S389" s="47">
        <v>617</v>
      </c>
      <c r="T389" s="47">
        <v>592</v>
      </c>
      <c r="U389" s="47">
        <v>709</v>
      </c>
      <c r="V389" s="47"/>
    </row>
    <row r="390" spans="2:22" ht="20" x14ac:dyDescent="0.25">
      <c r="B390" s="47" t="s">
        <v>184</v>
      </c>
      <c r="C390" s="47" t="s">
        <v>185</v>
      </c>
      <c r="D390" s="47" t="s">
        <v>350</v>
      </c>
      <c r="E390" s="47" t="s">
        <v>27</v>
      </c>
      <c r="F390" s="47" t="s">
        <v>45</v>
      </c>
      <c r="G390" s="47" t="s">
        <v>27</v>
      </c>
      <c r="H390" s="47">
        <v>70122</v>
      </c>
      <c r="I390" s="47">
        <v>70286</v>
      </c>
      <c r="J390" s="47" t="s">
        <v>28</v>
      </c>
      <c r="K390" s="47" t="s">
        <v>2103</v>
      </c>
      <c r="L390" s="47" t="s">
        <v>34</v>
      </c>
      <c r="M390" s="47" t="s">
        <v>588</v>
      </c>
      <c r="N390" s="48">
        <v>1200</v>
      </c>
      <c r="O390" s="47">
        <v>1549</v>
      </c>
      <c r="P390" s="47">
        <v>1486</v>
      </c>
      <c r="Q390" s="47">
        <v>1780</v>
      </c>
      <c r="R390" s="48">
        <v>478</v>
      </c>
      <c r="S390" s="47">
        <v>617</v>
      </c>
      <c r="T390" s="47">
        <v>592</v>
      </c>
      <c r="U390" s="47">
        <v>709</v>
      </c>
      <c r="V390" s="47"/>
    </row>
    <row r="391" spans="2:22" ht="20" x14ac:dyDescent="0.25">
      <c r="B391" s="47" t="s">
        <v>184</v>
      </c>
      <c r="C391" s="47" t="s">
        <v>185</v>
      </c>
      <c r="D391" s="47" t="s">
        <v>350</v>
      </c>
      <c r="E391" s="47" t="s">
        <v>27</v>
      </c>
      <c r="F391" s="47" t="s">
        <v>45</v>
      </c>
      <c r="G391" s="47" t="s">
        <v>27</v>
      </c>
      <c r="H391" s="47">
        <v>70122</v>
      </c>
      <c r="I391" s="47">
        <v>70286</v>
      </c>
      <c r="J391" s="47" t="s">
        <v>28</v>
      </c>
      <c r="K391" s="47" t="s">
        <v>2104</v>
      </c>
      <c r="L391" s="47" t="s">
        <v>34</v>
      </c>
      <c r="M391" s="47" t="s">
        <v>588</v>
      </c>
      <c r="N391" s="48">
        <v>1200</v>
      </c>
      <c r="O391" s="47">
        <v>1549</v>
      </c>
      <c r="P391" s="47">
        <v>1486</v>
      </c>
      <c r="Q391" s="47">
        <v>1780</v>
      </c>
      <c r="R391" s="48">
        <v>478</v>
      </c>
      <c r="S391" s="47">
        <v>617</v>
      </c>
      <c r="T391" s="47">
        <v>592</v>
      </c>
      <c r="U391" s="47">
        <v>709</v>
      </c>
      <c r="V391" s="47"/>
    </row>
    <row r="392" spans="2:22" ht="20" x14ac:dyDescent="0.25">
      <c r="B392" s="47" t="s">
        <v>184</v>
      </c>
      <c r="C392" s="47" t="s">
        <v>185</v>
      </c>
      <c r="D392" s="47" t="s">
        <v>350</v>
      </c>
      <c r="E392" s="47" t="s">
        <v>27</v>
      </c>
      <c r="F392" s="47" t="s">
        <v>45</v>
      </c>
      <c r="G392" s="47" t="s">
        <v>27</v>
      </c>
      <c r="H392" s="47">
        <v>70122</v>
      </c>
      <c r="I392" s="47">
        <v>70286</v>
      </c>
      <c r="J392" s="47" t="s">
        <v>28</v>
      </c>
      <c r="K392" s="47" t="s">
        <v>2102</v>
      </c>
      <c r="L392" s="47" t="s">
        <v>34</v>
      </c>
      <c r="M392" s="47" t="s">
        <v>588</v>
      </c>
      <c r="N392" s="48">
        <v>1200</v>
      </c>
      <c r="O392" s="47">
        <v>1549</v>
      </c>
      <c r="P392" s="47">
        <v>1486</v>
      </c>
      <c r="Q392" s="47">
        <v>1780</v>
      </c>
      <c r="R392" s="48">
        <v>478</v>
      </c>
      <c r="S392" s="47">
        <v>617</v>
      </c>
      <c r="T392" s="47">
        <v>592</v>
      </c>
      <c r="U392" s="47">
        <v>709</v>
      </c>
      <c r="V392" s="47"/>
    </row>
    <row r="393" spans="2:22" ht="20" x14ac:dyDescent="0.25">
      <c r="B393" s="47" t="s">
        <v>184</v>
      </c>
      <c r="C393" s="47" t="s">
        <v>185</v>
      </c>
      <c r="D393" s="47" t="s">
        <v>350</v>
      </c>
      <c r="E393" s="47" t="s">
        <v>27</v>
      </c>
      <c r="F393" s="47" t="s">
        <v>45</v>
      </c>
      <c r="G393" s="47" t="s">
        <v>27</v>
      </c>
      <c r="H393" s="47">
        <v>70122</v>
      </c>
      <c r="I393" s="47">
        <v>70286</v>
      </c>
      <c r="J393" s="47" t="s">
        <v>28</v>
      </c>
      <c r="K393" s="47" t="s">
        <v>2103</v>
      </c>
      <c r="L393" s="47" t="s">
        <v>34</v>
      </c>
      <c r="M393" s="47" t="s">
        <v>46</v>
      </c>
      <c r="N393" s="48">
        <v>1200</v>
      </c>
      <c r="O393" s="47">
        <v>1549</v>
      </c>
      <c r="P393" s="47">
        <v>1486</v>
      </c>
      <c r="Q393" s="47">
        <v>1780</v>
      </c>
      <c r="R393" s="48">
        <v>478</v>
      </c>
      <c r="S393" s="47">
        <v>617</v>
      </c>
      <c r="T393" s="47">
        <v>592</v>
      </c>
      <c r="U393" s="47">
        <v>709</v>
      </c>
      <c r="V393" s="47"/>
    </row>
    <row r="394" spans="2:22" ht="20" x14ac:dyDescent="0.25">
      <c r="B394" s="47" t="s">
        <v>184</v>
      </c>
      <c r="C394" s="47" t="s">
        <v>185</v>
      </c>
      <c r="D394" s="47" t="s">
        <v>350</v>
      </c>
      <c r="E394" s="47" t="s">
        <v>27</v>
      </c>
      <c r="F394" s="47" t="s">
        <v>45</v>
      </c>
      <c r="G394" s="47" t="s">
        <v>27</v>
      </c>
      <c r="H394" s="47">
        <v>70122</v>
      </c>
      <c r="I394" s="47">
        <v>70286</v>
      </c>
      <c r="J394" s="47" t="s">
        <v>28</v>
      </c>
      <c r="K394" s="47" t="s">
        <v>2101</v>
      </c>
      <c r="L394" s="47" t="s">
        <v>34</v>
      </c>
      <c r="M394" s="47" t="s">
        <v>588</v>
      </c>
      <c r="N394" s="48">
        <v>1200</v>
      </c>
      <c r="O394" s="47">
        <v>1549</v>
      </c>
      <c r="P394" s="47">
        <v>1486</v>
      </c>
      <c r="Q394" s="47">
        <v>1780</v>
      </c>
      <c r="R394" s="48">
        <v>478</v>
      </c>
      <c r="S394" s="47">
        <v>617</v>
      </c>
      <c r="T394" s="47">
        <v>592</v>
      </c>
      <c r="U394" s="47">
        <v>709</v>
      </c>
      <c r="V394" s="47"/>
    </row>
    <row r="395" spans="2:22" ht="20" x14ac:dyDescent="0.25">
      <c r="B395" s="47" t="s">
        <v>184</v>
      </c>
      <c r="C395" s="47" t="s">
        <v>185</v>
      </c>
      <c r="D395" s="47" t="s">
        <v>350</v>
      </c>
      <c r="E395" s="47" t="s">
        <v>27</v>
      </c>
      <c r="F395" s="47" t="s">
        <v>45</v>
      </c>
      <c r="G395" s="47" t="s">
        <v>27</v>
      </c>
      <c r="H395" s="47">
        <v>70122</v>
      </c>
      <c r="I395" s="47">
        <v>70286</v>
      </c>
      <c r="J395" s="47" t="s">
        <v>28</v>
      </c>
      <c r="K395" s="47" t="s">
        <v>2258</v>
      </c>
      <c r="L395" s="47" t="s">
        <v>34</v>
      </c>
      <c r="M395" s="47" t="s">
        <v>46</v>
      </c>
      <c r="N395" s="48">
        <v>1200</v>
      </c>
      <c r="O395" s="47">
        <v>1549</v>
      </c>
      <c r="P395" s="47">
        <v>1486</v>
      </c>
      <c r="Q395" s="47">
        <v>1780</v>
      </c>
      <c r="R395" s="48">
        <v>478</v>
      </c>
      <c r="S395" s="47">
        <v>617</v>
      </c>
      <c r="T395" s="47">
        <v>592</v>
      </c>
      <c r="U395" s="47">
        <v>709</v>
      </c>
      <c r="V395" s="47"/>
    </row>
    <row r="396" spans="2:22" ht="20" x14ac:dyDescent="0.25">
      <c r="B396" s="47" t="s">
        <v>184</v>
      </c>
      <c r="C396" s="47" t="s">
        <v>185</v>
      </c>
      <c r="D396" s="47" t="s">
        <v>350</v>
      </c>
      <c r="E396" s="47" t="s">
        <v>27</v>
      </c>
      <c r="F396" s="47" t="s">
        <v>45</v>
      </c>
      <c r="G396" s="47" t="s">
        <v>27</v>
      </c>
      <c r="H396" s="47">
        <v>70122</v>
      </c>
      <c r="I396" s="47">
        <v>70286</v>
      </c>
      <c r="J396" s="47" t="s">
        <v>28</v>
      </c>
      <c r="K396" s="47" t="s">
        <v>2171</v>
      </c>
      <c r="L396" s="47" t="s">
        <v>34</v>
      </c>
      <c r="M396" s="47" t="s">
        <v>46</v>
      </c>
      <c r="N396" s="48">
        <v>1200</v>
      </c>
      <c r="O396" s="47">
        <v>1549</v>
      </c>
      <c r="P396" s="47">
        <v>1486</v>
      </c>
      <c r="Q396" s="47">
        <v>1780</v>
      </c>
      <c r="R396" s="48">
        <v>478</v>
      </c>
      <c r="S396" s="47">
        <v>617</v>
      </c>
      <c r="T396" s="47">
        <v>592</v>
      </c>
      <c r="U396" s="47">
        <v>709</v>
      </c>
      <c r="V396" s="47"/>
    </row>
    <row r="397" spans="2:22" ht="20" x14ac:dyDescent="0.25">
      <c r="B397" s="47" t="s">
        <v>184</v>
      </c>
      <c r="C397" s="47" t="s">
        <v>185</v>
      </c>
      <c r="D397" s="47" t="s">
        <v>350</v>
      </c>
      <c r="E397" s="47" t="s">
        <v>27</v>
      </c>
      <c r="F397" s="47" t="s">
        <v>45</v>
      </c>
      <c r="G397" s="47" t="s">
        <v>27</v>
      </c>
      <c r="H397" s="47">
        <v>70122</v>
      </c>
      <c r="I397" s="47">
        <v>70286</v>
      </c>
      <c r="J397" s="47" t="s">
        <v>28</v>
      </c>
      <c r="K397" s="47" t="s">
        <v>2257</v>
      </c>
      <c r="L397" s="47" t="s">
        <v>34</v>
      </c>
      <c r="M397" s="47" t="s">
        <v>46</v>
      </c>
      <c r="N397" s="48">
        <v>1200</v>
      </c>
      <c r="O397" s="47">
        <v>1549</v>
      </c>
      <c r="P397" s="47">
        <v>1486</v>
      </c>
      <c r="Q397" s="47">
        <v>1780</v>
      </c>
      <c r="R397" s="48">
        <v>478</v>
      </c>
      <c r="S397" s="47">
        <v>617</v>
      </c>
      <c r="T397" s="47">
        <v>592</v>
      </c>
      <c r="U397" s="47">
        <v>709</v>
      </c>
      <c r="V397" s="47"/>
    </row>
    <row r="398" spans="2:22" ht="23" x14ac:dyDescent="0.25">
      <c r="B398" s="44" t="s">
        <v>2399</v>
      </c>
      <c r="C398" s="44" t="s">
        <v>592</v>
      </c>
      <c r="D398" s="44" t="s">
        <v>350</v>
      </c>
      <c r="E398" s="44" t="s">
        <v>27</v>
      </c>
      <c r="F398" s="44" t="s">
        <v>2400</v>
      </c>
      <c r="G398" s="44" t="s">
        <v>27</v>
      </c>
      <c r="H398" s="44">
        <v>70122</v>
      </c>
      <c r="I398" s="44">
        <v>70652</v>
      </c>
      <c r="J398" s="44" t="s">
        <v>28</v>
      </c>
      <c r="K398" s="44" t="s">
        <v>2399</v>
      </c>
      <c r="L398" s="44" t="s">
        <v>29</v>
      </c>
      <c r="M398" s="44"/>
      <c r="N398" s="45">
        <v>1200</v>
      </c>
      <c r="O398" s="45">
        <v>1403</v>
      </c>
      <c r="P398" s="45">
        <v>1200</v>
      </c>
      <c r="Q398" s="45">
        <v>1546</v>
      </c>
      <c r="R398" s="45">
        <v>478</v>
      </c>
      <c r="S398" s="45">
        <v>559</v>
      </c>
      <c r="T398" s="45">
        <v>478</v>
      </c>
      <c r="U398" s="45">
        <v>616</v>
      </c>
      <c r="V398" s="46"/>
    </row>
    <row r="399" spans="2:22" ht="20" x14ac:dyDescent="0.25">
      <c r="B399" s="47" t="s">
        <v>2399</v>
      </c>
      <c r="C399" s="47" t="s">
        <v>592</v>
      </c>
      <c r="D399" s="47" t="s">
        <v>350</v>
      </c>
      <c r="E399" s="47" t="s">
        <v>27</v>
      </c>
      <c r="F399" s="47" t="s">
        <v>2400</v>
      </c>
      <c r="G399" s="47" t="s">
        <v>27</v>
      </c>
      <c r="H399" s="47">
        <v>70122</v>
      </c>
      <c r="I399" s="47">
        <v>70652</v>
      </c>
      <c r="J399" s="47" t="s">
        <v>28</v>
      </c>
      <c r="K399" s="47" t="s">
        <v>213</v>
      </c>
      <c r="L399" s="47" t="s">
        <v>213</v>
      </c>
      <c r="M399" s="47" t="s">
        <v>588</v>
      </c>
      <c r="N399" s="48">
        <v>1200</v>
      </c>
      <c r="O399" s="47">
        <v>1546</v>
      </c>
      <c r="P399" s="48">
        <v>1200</v>
      </c>
      <c r="Q399" s="48">
        <v>1546</v>
      </c>
      <c r="R399" s="48">
        <v>478</v>
      </c>
      <c r="S399" s="47">
        <v>616</v>
      </c>
      <c r="T399" s="48">
        <v>478</v>
      </c>
      <c r="U399" s="48">
        <v>616</v>
      </c>
      <c r="V399" s="48"/>
    </row>
    <row r="400" spans="2:22" ht="20" x14ac:dyDescent="0.25">
      <c r="B400" s="47" t="s">
        <v>2399</v>
      </c>
      <c r="C400" s="47" t="s">
        <v>592</v>
      </c>
      <c r="D400" s="47" t="s">
        <v>350</v>
      </c>
      <c r="E400" s="47" t="s">
        <v>27</v>
      </c>
      <c r="F400" s="47" t="s">
        <v>2400</v>
      </c>
      <c r="G400" s="47" t="s">
        <v>27</v>
      </c>
      <c r="H400" s="47">
        <v>70122</v>
      </c>
      <c r="I400" s="47">
        <v>70652</v>
      </c>
      <c r="J400" s="47" t="s">
        <v>28</v>
      </c>
      <c r="K400" s="47" t="s">
        <v>2399</v>
      </c>
      <c r="L400" s="47" t="s">
        <v>30</v>
      </c>
      <c r="M400" s="47" t="s">
        <v>592</v>
      </c>
      <c r="N400" s="47">
        <v>1276</v>
      </c>
      <c r="O400" s="48">
        <v>1403</v>
      </c>
      <c r="P400" s="47">
        <v>1452</v>
      </c>
      <c r="Q400" s="47">
        <v>1597</v>
      </c>
      <c r="R400" s="47">
        <v>508</v>
      </c>
      <c r="S400" s="48">
        <v>559</v>
      </c>
      <c r="T400" s="47">
        <v>578</v>
      </c>
      <c r="U400" s="47">
        <v>636</v>
      </c>
      <c r="V400" s="47"/>
    </row>
    <row r="401" spans="2:22" ht="23" x14ac:dyDescent="0.25">
      <c r="B401" s="44" t="s">
        <v>594</v>
      </c>
      <c r="C401" s="44" t="s">
        <v>595</v>
      </c>
      <c r="D401" s="44" t="s">
        <v>350</v>
      </c>
      <c r="E401" s="44" t="s">
        <v>27</v>
      </c>
      <c r="F401" s="44" t="s">
        <v>596</v>
      </c>
      <c r="G401" s="44" t="s">
        <v>40</v>
      </c>
      <c r="H401" s="44">
        <v>70121</v>
      </c>
      <c r="I401" s="44">
        <v>70352</v>
      </c>
      <c r="J401" s="44" t="s">
        <v>42</v>
      </c>
      <c r="K401" s="44" t="s">
        <v>594</v>
      </c>
      <c r="L401" s="44" t="s">
        <v>29</v>
      </c>
      <c r="M401" s="44"/>
      <c r="N401" s="45">
        <v>1900</v>
      </c>
      <c r="O401" s="45">
        <v>1900</v>
      </c>
      <c r="P401" s="45">
        <v>1900</v>
      </c>
      <c r="Q401" s="45">
        <v>1900</v>
      </c>
      <c r="R401" s="45">
        <v>378</v>
      </c>
      <c r="S401" s="45">
        <v>378</v>
      </c>
      <c r="T401" s="45">
        <v>378</v>
      </c>
      <c r="U401" s="45">
        <v>378</v>
      </c>
      <c r="V401" s="46"/>
    </row>
    <row r="402" spans="2:22" ht="20" x14ac:dyDescent="0.25">
      <c r="B402" s="47" t="s">
        <v>594</v>
      </c>
      <c r="C402" s="47" t="s">
        <v>595</v>
      </c>
      <c r="D402" s="47" t="s">
        <v>350</v>
      </c>
      <c r="E402" s="47" t="s">
        <v>27</v>
      </c>
      <c r="F402" s="47" t="s">
        <v>596</v>
      </c>
      <c r="G402" s="47" t="s">
        <v>40</v>
      </c>
      <c r="H402" s="47">
        <v>70121</v>
      </c>
      <c r="I402" s="47">
        <v>70352</v>
      </c>
      <c r="J402" s="47" t="s">
        <v>42</v>
      </c>
      <c r="K402" s="47" t="s">
        <v>594</v>
      </c>
      <c r="L402" s="47" t="s">
        <v>30</v>
      </c>
      <c r="M402" s="47" t="s">
        <v>595</v>
      </c>
      <c r="N402" s="48">
        <v>1900</v>
      </c>
      <c r="O402" s="48">
        <v>1900</v>
      </c>
      <c r="P402" s="48">
        <v>1900</v>
      </c>
      <c r="Q402" s="48">
        <v>1900</v>
      </c>
      <c r="R402" s="48">
        <v>378</v>
      </c>
      <c r="S402" s="48">
        <v>378</v>
      </c>
      <c r="T402" s="48">
        <v>378</v>
      </c>
      <c r="U402" s="48">
        <v>378</v>
      </c>
      <c r="V402" s="48"/>
    </row>
    <row r="403" spans="2:22" ht="23" x14ac:dyDescent="0.25">
      <c r="B403" s="44" t="s">
        <v>598</v>
      </c>
      <c r="C403" s="44" t="s">
        <v>599</v>
      </c>
      <c r="D403" s="44" t="s">
        <v>350</v>
      </c>
      <c r="E403" s="44" t="s">
        <v>27</v>
      </c>
      <c r="F403" s="44" t="s">
        <v>596</v>
      </c>
      <c r="G403" s="44" t="s">
        <v>40</v>
      </c>
      <c r="H403" s="44">
        <v>70123</v>
      </c>
      <c r="I403" s="44">
        <v>70352</v>
      </c>
      <c r="J403" s="44" t="s">
        <v>42</v>
      </c>
      <c r="K403" s="44" t="s">
        <v>598</v>
      </c>
      <c r="L403" s="44" t="s">
        <v>29</v>
      </c>
      <c r="M403" s="44"/>
      <c r="N403" s="45">
        <v>1600</v>
      </c>
      <c r="O403" s="45">
        <v>1600</v>
      </c>
      <c r="P403" s="45">
        <v>1600</v>
      </c>
      <c r="Q403" s="45">
        <v>1600</v>
      </c>
      <c r="R403" s="45">
        <v>319</v>
      </c>
      <c r="S403" s="45">
        <v>319</v>
      </c>
      <c r="T403" s="45">
        <v>319</v>
      </c>
      <c r="U403" s="45">
        <v>319</v>
      </c>
      <c r="V403" s="46"/>
    </row>
    <row r="404" spans="2:22" ht="20" x14ac:dyDescent="0.25">
      <c r="B404" s="47" t="s">
        <v>598</v>
      </c>
      <c r="C404" s="47" t="s">
        <v>599</v>
      </c>
      <c r="D404" s="47" t="s">
        <v>350</v>
      </c>
      <c r="E404" s="47" t="s">
        <v>27</v>
      </c>
      <c r="F404" s="47" t="s">
        <v>596</v>
      </c>
      <c r="G404" s="47" t="s">
        <v>40</v>
      </c>
      <c r="H404" s="47">
        <v>70123</v>
      </c>
      <c r="I404" s="47">
        <v>70352</v>
      </c>
      <c r="J404" s="47" t="s">
        <v>42</v>
      </c>
      <c r="K404" s="47" t="s">
        <v>599</v>
      </c>
      <c r="L404" s="47" t="s">
        <v>49</v>
      </c>
      <c r="M404" s="47" t="s">
        <v>588</v>
      </c>
      <c r="N404" s="48">
        <v>1600</v>
      </c>
      <c r="O404" s="48">
        <v>1600</v>
      </c>
      <c r="P404" s="48">
        <v>1600</v>
      </c>
      <c r="Q404" s="48">
        <v>1600</v>
      </c>
      <c r="R404" s="48">
        <v>319</v>
      </c>
      <c r="S404" s="48">
        <v>319</v>
      </c>
      <c r="T404" s="48">
        <v>319</v>
      </c>
      <c r="U404" s="48">
        <v>319</v>
      </c>
      <c r="V404" s="48"/>
    </row>
    <row r="405" spans="2:22" ht="23" x14ac:dyDescent="0.25">
      <c r="B405" s="44" t="s">
        <v>2401</v>
      </c>
      <c r="C405" s="44" t="s">
        <v>615</v>
      </c>
      <c r="D405" s="44" t="s">
        <v>350</v>
      </c>
      <c r="E405" s="44" t="s">
        <v>27</v>
      </c>
      <c r="F405" s="44" t="s">
        <v>2402</v>
      </c>
      <c r="G405" s="44" t="s">
        <v>27</v>
      </c>
      <c r="H405" s="44">
        <v>70654</v>
      </c>
      <c r="I405" s="44">
        <v>70653</v>
      </c>
      <c r="J405" s="44" t="s">
        <v>28</v>
      </c>
      <c r="K405" s="44" t="s">
        <v>2401</v>
      </c>
      <c r="L405" s="44" t="s">
        <v>29</v>
      </c>
      <c r="M405" s="44"/>
      <c r="N405" s="45">
        <v>2000</v>
      </c>
      <c r="O405" s="45">
        <v>2000</v>
      </c>
      <c r="P405" s="45">
        <v>2112</v>
      </c>
      <c r="Q405" s="45">
        <v>2112</v>
      </c>
      <c r="R405" s="45">
        <v>1195</v>
      </c>
      <c r="S405" s="45">
        <v>1195</v>
      </c>
      <c r="T405" s="45">
        <v>1262</v>
      </c>
      <c r="U405" s="45">
        <v>1262</v>
      </c>
      <c r="V405" s="46"/>
    </row>
    <row r="406" spans="2:22" ht="20" x14ac:dyDescent="0.25">
      <c r="B406" s="47" t="s">
        <v>2401</v>
      </c>
      <c r="C406" s="47" t="s">
        <v>615</v>
      </c>
      <c r="D406" s="47" t="s">
        <v>350</v>
      </c>
      <c r="E406" s="47" t="s">
        <v>27</v>
      </c>
      <c r="F406" s="47" t="s">
        <v>2402</v>
      </c>
      <c r="G406" s="47" t="s">
        <v>27</v>
      </c>
      <c r="H406" s="47">
        <v>70654</v>
      </c>
      <c r="I406" s="47">
        <v>70653</v>
      </c>
      <c r="J406" s="47" t="s">
        <v>28</v>
      </c>
      <c r="K406" s="47"/>
      <c r="L406" s="47" t="s">
        <v>301</v>
      </c>
      <c r="M406" s="47" t="s">
        <v>588</v>
      </c>
      <c r="N406" s="48">
        <v>2000</v>
      </c>
      <c r="O406" s="48">
        <v>2000</v>
      </c>
      <c r="P406" s="48">
        <v>2112</v>
      </c>
      <c r="Q406" s="48">
        <v>2112</v>
      </c>
      <c r="R406" s="48">
        <v>1195</v>
      </c>
      <c r="S406" s="48">
        <v>1195</v>
      </c>
      <c r="T406" s="48">
        <v>1262</v>
      </c>
      <c r="U406" s="48">
        <v>1262</v>
      </c>
      <c r="V406" s="48"/>
    </row>
    <row r="407" spans="2:22" ht="23" x14ac:dyDescent="0.25">
      <c r="B407" s="44" t="s">
        <v>600</v>
      </c>
      <c r="C407" s="44" t="s">
        <v>493</v>
      </c>
      <c r="D407" s="44" t="s">
        <v>494</v>
      </c>
      <c r="E407" s="44" t="s">
        <v>27</v>
      </c>
      <c r="F407" s="44" t="s">
        <v>601</v>
      </c>
      <c r="G407" s="44" t="s">
        <v>27</v>
      </c>
      <c r="H407" s="44">
        <v>70126</v>
      </c>
      <c r="I407" s="44">
        <v>70377</v>
      </c>
      <c r="J407" s="44" t="s">
        <v>28</v>
      </c>
      <c r="K407" s="44" t="s">
        <v>600</v>
      </c>
      <c r="L407" s="44" t="s">
        <v>29</v>
      </c>
      <c r="M407" s="44"/>
      <c r="N407" s="45">
        <v>799</v>
      </c>
      <c r="O407" s="45">
        <v>879</v>
      </c>
      <c r="P407" s="45">
        <v>909</v>
      </c>
      <c r="Q407" s="45">
        <v>999</v>
      </c>
      <c r="R407" s="45">
        <v>159</v>
      </c>
      <c r="S407" s="45">
        <v>175</v>
      </c>
      <c r="T407" s="45">
        <v>181</v>
      </c>
      <c r="U407" s="45">
        <v>199</v>
      </c>
      <c r="V407" s="46"/>
    </row>
    <row r="408" spans="2:22" ht="20" x14ac:dyDescent="0.25">
      <c r="B408" s="47" t="s">
        <v>600</v>
      </c>
      <c r="C408" s="47" t="s">
        <v>493</v>
      </c>
      <c r="D408" s="47" t="s">
        <v>494</v>
      </c>
      <c r="E408" s="47" t="s">
        <v>27</v>
      </c>
      <c r="F408" s="47" t="s">
        <v>601</v>
      </c>
      <c r="G408" s="47" t="s">
        <v>27</v>
      </c>
      <c r="H408" s="47">
        <v>70126</v>
      </c>
      <c r="I408" s="47">
        <v>70377</v>
      </c>
      <c r="J408" s="47" t="s">
        <v>28</v>
      </c>
      <c r="K408" s="47" t="s">
        <v>600</v>
      </c>
      <c r="L408" s="47" t="s">
        <v>30</v>
      </c>
      <c r="M408" s="47" t="s">
        <v>493</v>
      </c>
      <c r="N408" s="48">
        <v>799</v>
      </c>
      <c r="O408" s="48">
        <v>879</v>
      </c>
      <c r="P408" s="48">
        <v>909</v>
      </c>
      <c r="Q408" s="48">
        <v>999</v>
      </c>
      <c r="R408" s="48">
        <v>159</v>
      </c>
      <c r="S408" s="48">
        <v>175</v>
      </c>
      <c r="T408" s="48">
        <v>181</v>
      </c>
      <c r="U408" s="48">
        <v>199</v>
      </c>
      <c r="V408" s="48"/>
    </row>
    <row r="409" spans="2:22" ht="23" x14ac:dyDescent="0.25">
      <c r="B409" s="44" t="s">
        <v>138</v>
      </c>
      <c r="C409" s="44" t="s">
        <v>139</v>
      </c>
      <c r="D409" s="44" t="s">
        <v>602</v>
      </c>
      <c r="E409" s="44" t="s">
        <v>40</v>
      </c>
      <c r="F409" s="44" t="s">
        <v>603</v>
      </c>
      <c r="G409" s="44" t="s">
        <v>27</v>
      </c>
      <c r="H409" s="44">
        <v>70535</v>
      </c>
      <c r="I409" s="44">
        <v>79004</v>
      </c>
      <c r="J409" s="44" t="s">
        <v>42</v>
      </c>
      <c r="K409" s="44" t="s">
        <v>138</v>
      </c>
      <c r="L409" s="44" t="s">
        <v>29</v>
      </c>
      <c r="M409" s="44"/>
      <c r="N409" s="45">
        <v>1422</v>
      </c>
      <c r="O409" s="45">
        <v>1564</v>
      </c>
      <c r="P409" s="45">
        <v>1600</v>
      </c>
      <c r="Q409" s="45">
        <v>1600</v>
      </c>
      <c r="R409" s="45">
        <v>566</v>
      </c>
      <c r="S409" s="45">
        <v>623</v>
      </c>
      <c r="T409" s="45">
        <v>637</v>
      </c>
      <c r="U409" s="45">
        <v>637</v>
      </c>
      <c r="V409" s="46"/>
    </row>
    <row r="410" spans="2:22" ht="20" x14ac:dyDescent="0.25">
      <c r="B410" s="47" t="s">
        <v>138</v>
      </c>
      <c r="C410" s="47" t="s">
        <v>139</v>
      </c>
      <c r="D410" s="47" t="s">
        <v>602</v>
      </c>
      <c r="E410" s="47" t="s">
        <v>40</v>
      </c>
      <c r="F410" s="47" t="s">
        <v>603</v>
      </c>
      <c r="G410" s="47" t="s">
        <v>27</v>
      </c>
      <c r="H410" s="47">
        <v>70535</v>
      </c>
      <c r="I410" s="47">
        <v>79004</v>
      </c>
      <c r="J410" s="47" t="s">
        <v>42</v>
      </c>
      <c r="K410" s="47" t="s">
        <v>604</v>
      </c>
      <c r="L410" s="47" t="s">
        <v>31</v>
      </c>
      <c r="M410" s="47" t="s">
        <v>605</v>
      </c>
      <c r="N410" s="48">
        <v>1422</v>
      </c>
      <c r="O410" s="48">
        <v>1564</v>
      </c>
      <c r="P410" s="47">
        <v>1622</v>
      </c>
      <c r="Q410" s="47">
        <v>1784</v>
      </c>
      <c r="R410" s="48">
        <v>566</v>
      </c>
      <c r="S410" s="48">
        <v>623</v>
      </c>
      <c r="T410" s="47">
        <v>646</v>
      </c>
      <c r="U410" s="47">
        <v>711</v>
      </c>
      <c r="V410" s="47"/>
    </row>
    <row r="411" spans="2:22" ht="20" x14ac:dyDescent="0.25">
      <c r="B411" s="47" t="s">
        <v>138</v>
      </c>
      <c r="C411" s="47" t="s">
        <v>139</v>
      </c>
      <c r="D411" s="47" t="s">
        <v>602</v>
      </c>
      <c r="E411" s="47" t="s">
        <v>40</v>
      </c>
      <c r="F411" s="47" t="s">
        <v>603</v>
      </c>
      <c r="G411" s="47" t="s">
        <v>27</v>
      </c>
      <c r="H411" s="47">
        <v>70535</v>
      </c>
      <c r="I411" s="47">
        <v>79004</v>
      </c>
      <c r="J411" s="47" t="s">
        <v>42</v>
      </c>
      <c r="K411" s="47" t="s">
        <v>1988</v>
      </c>
      <c r="L411" s="47" t="s">
        <v>39</v>
      </c>
      <c r="M411" s="47" t="s">
        <v>605</v>
      </c>
      <c r="N411" s="47">
        <v>1600</v>
      </c>
      <c r="O411" s="47">
        <v>1600</v>
      </c>
      <c r="P411" s="48">
        <v>1600</v>
      </c>
      <c r="Q411" s="48">
        <v>1600</v>
      </c>
      <c r="R411" s="47">
        <v>637</v>
      </c>
      <c r="S411" s="47">
        <v>637</v>
      </c>
      <c r="T411" s="48">
        <v>637</v>
      </c>
      <c r="U411" s="48">
        <v>637</v>
      </c>
      <c r="V411" s="48"/>
    </row>
    <row r="412" spans="2:22" ht="20" x14ac:dyDescent="0.25">
      <c r="B412" s="47" t="s">
        <v>138</v>
      </c>
      <c r="C412" s="47" t="s">
        <v>139</v>
      </c>
      <c r="D412" s="47" t="s">
        <v>602</v>
      </c>
      <c r="E412" s="47" t="s">
        <v>40</v>
      </c>
      <c r="F412" s="47" t="s">
        <v>603</v>
      </c>
      <c r="G412" s="47" t="s">
        <v>27</v>
      </c>
      <c r="H412" s="47">
        <v>70535</v>
      </c>
      <c r="I412" s="47">
        <v>79004</v>
      </c>
      <c r="J412" s="47" t="s">
        <v>42</v>
      </c>
      <c r="K412" s="47" t="s">
        <v>1989</v>
      </c>
      <c r="L412" s="47" t="s">
        <v>39</v>
      </c>
      <c r="M412" s="47" t="s">
        <v>605</v>
      </c>
      <c r="N412" s="47">
        <v>1600</v>
      </c>
      <c r="O412" s="47">
        <v>1600</v>
      </c>
      <c r="P412" s="48">
        <v>1600</v>
      </c>
      <c r="Q412" s="48">
        <v>1600</v>
      </c>
      <c r="R412" s="47">
        <v>637</v>
      </c>
      <c r="S412" s="47">
        <v>637</v>
      </c>
      <c r="T412" s="48">
        <v>637</v>
      </c>
      <c r="U412" s="48">
        <v>637</v>
      </c>
      <c r="V412" s="48"/>
    </row>
    <row r="413" spans="2:22" ht="20" x14ac:dyDescent="0.25">
      <c r="B413" s="47" t="s">
        <v>138</v>
      </c>
      <c r="C413" s="47" t="s">
        <v>139</v>
      </c>
      <c r="D413" s="47" t="s">
        <v>602</v>
      </c>
      <c r="E413" s="47" t="s">
        <v>40</v>
      </c>
      <c r="F413" s="47" t="s">
        <v>603</v>
      </c>
      <c r="G413" s="47" t="s">
        <v>27</v>
      </c>
      <c r="H413" s="47">
        <v>70535</v>
      </c>
      <c r="I413" s="47">
        <v>79004</v>
      </c>
      <c r="J413" s="47" t="s">
        <v>42</v>
      </c>
      <c r="K413" s="47" t="s">
        <v>213</v>
      </c>
      <c r="L413" s="47" t="s">
        <v>213</v>
      </c>
      <c r="M413" s="47" t="s">
        <v>606</v>
      </c>
      <c r="N413" s="47">
        <v>1600</v>
      </c>
      <c r="O413" s="47">
        <v>1600</v>
      </c>
      <c r="P413" s="48">
        <v>1600</v>
      </c>
      <c r="Q413" s="48">
        <v>1600</v>
      </c>
      <c r="R413" s="47">
        <v>637</v>
      </c>
      <c r="S413" s="47">
        <v>637</v>
      </c>
      <c r="T413" s="48">
        <v>637</v>
      </c>
      <c r="U413" s="48">
        <v>637</v>
      </c>
      <c r="V413" s="48"/>
    </row>
    <row r="414" spans="2:22" ht="20" x14ac:dyDescent="0.25">
      <c r="B414" s="47" t="s">
        <v>138</v>
      </c>
      <c r="C414" s="47" t="s">
        <v>139</v>
      </c>
      <c r="D414" s="47" t="s">
        <v>602</v>
      </c>
      <c r="E414" s="47" t="s">
        <v>40</v>
      </c>
      <c r="F414" s="47" t="s">
        <v>603</v>
      </c>
      <c r="G414" s="47" t="s">
        <v>27</v>
      </c>
      <c r="H414" s="47">
        <v>70535</v>
      </c>
      <c r="I414" s="47">
        <v>79004</v>
      </c>
      <c r="J414" s="47" t="s">
        <v>42</v>
      </c>
      <c r="K414" s="47" t="s">
        <v>1990</v>
      </c>
      <c r="L414" s="47" t="s">
        <v>39</v>
      </c>
      <c r="M414" s="47" t="s">
        <v>605</v>
      </c>
      <c r="N414" s="47">
        <v>1600</v>
      </c>
      <c r="O414" s="47">
        <v>1600</v>
      </c>
      <c r="P414" s="48">
        <v>1600</v>
      </c>
      <c r="Q414" s="48">
        <v>1600</v>
      </c>
      <c r="R414" s="47">
        <v>637</v>
      </c>
      <c r="S414" s="47">
        <v>637</v>
      </c>
      <c r="T414" s="48">
        <v>637</v>
      </c>
      <c r="U414" s="48">
        <v>637</v>
      </c>
      <c r="V414" s="48"/>
    </row>
    <row r="415" spans="2:22" ht="23" x14ac:dyDescent="0.25">
      <c r="B415" s="44" t="s">
        <v>2592</v>
      </c>
      <c r="C415" s="44" t="s">
        <v>2593</v>
      </c>
      <c r="D415" s="44" t="s">
        <v>2594</v>
      </c>
      <c r="E415" s="44" t="s">
        <v>27</v>
      </c>
      <c r="F415" s="44" t="s">
        <v>2595</v>
      </c>
      <c r="G415" s="44" t="s">
        <v>27</v>
      </c>
      <c r="H415" s="44">
        <v>70902</v>
      </c>
      <c r="I415" s="44">
        <v>70903</v>
      </c>
      <c r="J415" s="44" t="s">
        <v>28</v>
      </c>
      <c r="K415" s="44" t="s">
        <v>2592</v>
      </c>
      <c r="L415" s="44" t="s">
        <v>29</v>
      </c>
      <c r="M415" s="44"/>
      <c r="N415" s="45">
        <v>1109</v>
      </c>
      <c r="O415" s="45">
        <v>1220</v>
      </c>
      <c r="P415" s="45">
        <v>1262</v>
      </c>
      <c r="Q415" s="45">
        <v>1388</v>
      </c>
      <c r="R415" s="45">
        <v>221</v>
      </c>
      <c r="S415" s="45">
        <v>243</v>
      </c>
      <c r="T415" s="45">
        <v>251</v>
      </c>
      <c r="U415" s="45">
        <v>276</v>
      </c>
      <c r="V415" s="46"/>
    </row>
    <row r="416" spans="2:22" ht="20" x14ac:dyDescent="0.25">
      <c r="B416" s="47" t="s">
        <v>2592</v>
      </c>
      <c r="C416" s="47" t="s">
        <v>2593</v>
      </c>
      <c r="D416" s="47" t="s">
        <v>2594</v>
      </c>
      <c r="E416" s="47" t="s">
        <v>27</v>
      </c>
      <c r="F416" s="47" t="s">
        <v>2595</v>
      </c>
      <c r="G416" s="47" t="s">
        <v>27</v>
      </c>
      <c r="H416" s="47">
        <v>70902</v>
      </c>
      <c r="I416" s="47">
        <v>70903</v>
      </c>
      <c r="J416" s="47" t="s">
        <v>28</v>
      </c>
      <c r="K416" s="47" t="s">
        <v>2592</v>
      </c>
      <c r="L416" s="47" t="s">
        <v>30</v>
      </c>
      <c r="M416" s="47" t="s">
        <v>2593</v>
      </c>
      <c r="N416" s="48">
        <v>1109</v>
      </c>
      <c r="O416" s="48">
        <v>1220</v>
      </c>
      <c r="P416" s="48">
        <v>1262</v>
      </c>
      <c r="Q416" s="48">
        <v>1388</v>
      </c>
      <c r="R416" s="48">
        <v>221</v>
      </c>
      <c r="S416" s="48">
        <v>243</v>
      </c>
      <c r="T416" s="48">
        <v>251</v>
      </c>
      <c r="U416" s="48">
        <v>276</v>
      </c>
      <c r="V416" s="48"/>
    </row>
    <row r="417" spans="2:22" ht="23" x14ac:dyDescent="0.25">
      <c r="B417" s="94" t="s">
        <v>2641</v>
      </c>
      <c r="C417" s="94" t="s">
        <v>2593</v>
      </c>
      <c r="D417" s="94" t="s">
        <v>2594</v>
      </c>
      <c r="E417" s="94" t="s">
        <v>27</v>
      </c>
      <c r="F417" s="94" t="s">
        <v>2642</v>
      </c>
      <c r="G417" s="94" t="s">
        <v>27</v>
      </c>
      <c r="H417" s="94">
        <v>70902</v>
      </c>
      <c r="I417" s="94">
        <v>70901</v>
      </c>
      <c r="J417" s="94" t="s">
        <v>28</v>
      </c>
      <c r="K417" s="94" t="s">
        <v>2641</v>
      </c>
      <c r="L417" s="94" t="s">
        <v>29</v>
      </c>
      <c r="M417" s="94"/>
      <c r="N417" s="97">
        <v>1107</v>
      </c>
      <c r="O417" s="97">
        <v>1218</v>
      </c>
      <c r="P417" s="97">
        <v>1260</v>
      </c>
      <c r="Q417" s="97">
        <v>1386</v>
      </c>
      <c r="R417" s="97">
        <v>220</v>
      </c>
      <c r="S417" s="97">
        <v>243</v>
      </c>
      <c r="T417" s="97">
        <v>251</v>
      </c>
      <c r="U417" s="97">
        <v>276</v>
      </c>
      <c r="V417" s="98"/>
    </row>
    <row r="418" spans="2:22" ht="20" x14ac:dyDescent="0.25">
      <c r="B418" s="96" t="s">
        <v>2641</v>
      </c>
      <c r="C418" s="96" t="s">
        <v>2593</v>
      </c>
      <c r="D418" s="96" t="s">
        <v>2594</v>
      </c>
      <c r="E418" s="96" t="s">
        <v>27</v>
      </c>
      <c r="F418" s="96" t="s">
        <v>2642</v>
      </c>
      <c r="G418" s="96" t="s">
        <v>27</v>
      </c>
      <c r="H418" s="96">
        <v>70902</v>
      </c>
      <c r="I418" s="96">
        <v>70901</v>
      </c>
      <c r="J418" s="96" t="s">
        <v>28</v>
      </c>
      <c r="K418" s="96" t="s">
        <v>2641</v>
      </c>
      <c r="L418" s="96" t="s">
        <v>30</v>
      </c>
      <c r="M418" s="96" t="s">
        <v>2593</v>
      </c>
      <c r="N418" s="95">
        <v>1107</v>
      </c>
      <c r="O418" s="95">
        <v>1218</v>
      </c>
      <c r="P418" s="95">
        <v>1260</v>
      </c>
      <c r="Q418" s="95">
        <v>1386</v>
      </c>
      <c r="R418" s="95">
        <v>220</v>
      </c>
      <c r="S418" s="95">
        <v>243</v>
      </c>
      <c r="T418" s="95">
        <v>251</v>
      </c>
      <c r="U418" s="95">
        <v>276</v>
      </c>
      <c r="V418" s="95"/>
    </row>
    <row r="419" spans="2:22" x14ac:dyDescent="0.25">
      <c r="B419" s="94" t="s">
        <v>154</v>
      </c>
      <c r="C419" s="44" t="s">
        <v>155</v>
      </c>
      <c r="D419" s="44" t="s">
        <v>607</v>
      </c>
      <c r="E419" s="44" t="s">
        <v>27</v>
      </c>
      <c r="F419" s="44" t="s">
        <v>2602</v>
      </c>
      <c r="G419" s="44" t="s">
        <v>27</v>
      </c>
      <c r="H419" s="44">
        <v>79013</v>
      </c>
      <c r="I419" s="44">
        <v>70009</v>
      </c>
      <c r="J419" s="44" t="s">
        <v>28</v>
      </c>
      <c r="K419" s="44" t="s">
        <v>154</v>
      </c>
      <c r="L419" s="44" t="s">
        <v>29</v>
      </c>
      <c r="M419" s="44"/>
      <c r="N419" s="97">
        <v>231</v>
      </c>
      <c r="O419" s="97">
        <v>231</v>
      </c>
      <c r="P419" s="97">
        <v>231</v>
      </c>
      <c r="Q419" s="97">
        <v>231</v>
      </c>
      <c r="R419" s="97">
        <v>92</v>
      </c>
      <c r="S419" s="97">
        <v>92</v>
      </c>
      <c r="T419" s="97">
        <v>92</v>
      </c>
      <c r="U419" s="97">
        <v>92</v>
      </c>
      <c r="V419" s="46"/>
    </row>
    <row r="420" spans="2:22" ht="30" x14ac:dyDescent="0.25">
      <c r="B420" s="96" t="s">
        <v>154</v>
      </c>
      <c r="C420" s="96" t="s">
        <v>155</v>
      </c>
      <c r="D420" s="96" t="s">
        <v>607</v>
      </c>
      <c r="E420" s="96" t="s">
        <v>27</v>
      </c>
      <c r="F420" s="96" t="s">
        <v>2602</v>
      </c>
      <c r="G420" s="96" t="s">
        <v>27</v>
      </c>
      <c r="H420" s="96">
        <v>79013</v>
      </c>
      <c r="I420" s="96">
        <v>70009</v>
      </c>
      <c r="J420" s="96" t="s">
        <v>28</v>
      </c>
      <c r="K420" s="96" t="s">
        <v>2663</v>
      </c>
      <c r="L420" s="96" t="s">
        <v>36</v>
      </c>
      <c r="M420" s="96" t="s">
        <v>2662</v>
      </c>
      <c r="N420" s="95">
        <v>231</v>
      </c>
      <c r="O420" s="95">
        <v>231</v>
      </c>
      <c r="P420" s="95">
        <v>231</v>
      </c>
      <c r="Q420" s="95">
        <v>231</v>
      </c>
      <c r="R420" s="95">
        <v>92</v>
      </c>
      <c r="S420" s="95">
        <v>92</v>
      </c>
      <c r="T420" s="95">
        <v>92</v>
      </c>
      <c r="U420" s="95">
        <v>92</v>
      </c>
      <c r="V420" s="95"/>
    </row>
    <row r="421" spans="2:22" ht="23" x14ac:dyDescent="0.25">
      <c r="B421" s="94" t="s">
        <v>610</v>
      </c>
      <c r="C421" s="44" t="s">
        <v>611</v>
      </c>
      <c r="D421" s="44" t="s">
        <v>480</v>
      </c>
      <c r="E421" s="44" t="s">
        <v>27</v>
      </c>
      <c r="F421" s="44" t="s">
        <v>612</v>
      </c>
      <c r="G421" s="44" t="s">
        <v>27</v>
      </c>
      <c r="H421" s="44">
        <v>70117</v>
      </c>
      <c r="I421" s="44">
        <v>70115</v>
      </c>
      <c r="J421" s="44" t="s">
        <v>28</v>
      </c>
      <c r="K421" s="44" t="s">
        <v>610</v>
      </c>
      <c r="L421" s="44" t="s">
        <v>29</v>
      </c>
      <c r="M421" s="44"/>
      <c r="N421" s="97">
        <v>1246</v>
      </c>
      <c r="O421" s="97">
        <v>1395</v>
      </c>
      <c r="P421" s="97">
        <v>1298</v>
      </c>
      <c r="Q421" s="97">
        <v>1436</v>
      </c>
      <c r="R421" s="97">
        <v>248</v>
      </c>
      <c r="S421" s="97">
        <v>278</v>
      </c>
      <c r="T421" s="97">
        <v>259</v>
      </c>
      <c r="U421" s="97">
        <v>286</v>
      </c>
      <c r="V421" s="46"/>
    </row>
    <row r="422" spans="2:22" ht="20" x14ac:dyDescent="0.25">
      <c r="B422" s="96" t="s">
        <v>610</v>
      </c>
      <c r="C422" s="47" t="s">
        <v>611</v>
      </c>
      <c r="D422" s="47" t="s">
        <v>480</v>
      </c>
      <c r="E422" s="47" t="s">
        <v>27</v>
      </c>
      <c r="F422" s="47" t="s">
        <v>612</v>
      </c>
      <c r="G422" s="47" t="s">
        <v>27</v>
      </c>
      <c r="H422" s="47">
        <v>70117</v>
      </c>
      <c r="I422" s="47">
        <v>70115</v>
      </c>
      <c r="J422" s="47" t="s">
        <v>28</v>
      </c>
      <c r="K422" s="47" t="s">
        <v>610</v>
      </c>
      <c r="L422" s="47" t="s">
        <v>30</v>
      </c>
      <c r="M422" s="47" t="s">
        <v>611</v>
      </c>
      <c r="N422" s="95">
        <v>1246</v>
      </c>
      <c r="O422" s="95">
        <v>1395</v>
      </c>
      <c r="P422" s="95">
        <v>1298</v>
      </c>
      <c r="Q422" s="95">
        <v>1436</v>
      </c>
      <c r="R422" s="95">
        <v>248</v>
      </c>
      <c r="S422" s="95">
        <v>278</v>
      </c>
      <c r="T422" s="95">
        <v>259</v>
      </c>
      <c r="U422" s="95">
        <v>286</v>
      </c>
      <c r="V422" s="48"/>
    </row>
    <row r="423" spans="2:22" ht="34.5" x14ac:dyDescent="0.25">
      <c r="B423" s="94" t="s">
        <v>613</v>
      </c>
      <c r="C423" s="44" t="s">
        <v>256</v>
      </c>
      <c r="D423" s="44" t="s">
        <v>257</v>
      </c>
      <c r="E423" s="44" t="s">
        <v>27</v>
      </c>
      <c r="F423" s="44" t="s">
        <v>277</v>
      </c>
      <c r="G423" s="44" t="s">
        <v>27</v>
      </c>
      <c r="H423" s="44">
        <v>70141</v>
      </c>
      <c r="I423" s="44">
        <v>70149</v>
      </c>
      <c r="J423" s="44" t="s">
        <v>28</v>
      </c>
      <c r="K423" s="44" t="s">
        <v>613</v>
      </c>
      <c r="L423" s="44" t="s">
        <v>29</v>
      </c>
      <c r="M423" s="44"/>
      <c r="N423" s="97">
        <v>1188</v>
      </c>
      <c r="O423" s="97">
        <v>1188</v>
      </c>
      <c r="P423" s="97">
        <v>1379</v>
      </c>
      <c r="Q423" s="97">
        <v>1379</v>
      </c>
      <c r="R423" s="97">
        <v>473</v>
      </c>
      <c r="S423" s="97">
        <v>473</v>
      </c>
      <c r="T423" s="97">
        <v>549</v>
      </c>
      <c r="U423" s="97">
        <v>549</v>
      </c>
      <c r="V423" s="46"/>
    </row>
    <row r="424" spans="2:22" ht="20" x14ac:dyDescent="0.25">
      <c r="B424" s="96" t="s">
        <v>613</v>
      </c>
      <c r="C424" s="96" t="s">
        <v>256</v>
      </c>
      <c r="D424" s="96" t="s">
        <v>257</v>
      </c>
      <c r="E424" s="96" t="s">
        <v>27</v>
      </c>
      <c r="F424" s="96" t="s">
        <v>277</v>
      </c>
      <c r="G424" s="96" t="s">
        <v>27</v>
      </c>
      <c r="H424" s="96">
        <v>70141</v>
      </c>
      <c r="I424" s="96">
        <v>70149</v>
      </c>
      <c r="J424" s="96" t="s">
        <v>28</v>
      </c>
      <c r="K424" s="96" t="s">
        <v>613</v>
      </c>
      <c r="L424" s="96" t="s">
        <v>30</v>
      </c>
      <c r="M424" s="96" t="s">
        <v>256</v>
      </c>
      <c r="N424" s="95">
        <v>1188</v>
      </c>
      <c r="O424" s="95">
        <v>1188</v>
      </c>
      <c r="P424" s="95">
        <v>1379</v>
      </c>
      <c r="Q424" s="95">
        <v>1379</v>
      </c>
      <c r="R424" s="95">
        <v>473</v>
      </c>
      <c r="S424" s="95">
        <v>473</v>
      </c>
      <c r="T424" s="95">
        <v>549</v>
      </c>
      <c r="U424" s="95">
        <v>549</v>
      </c>
      <c r="V424" s="95"/>
    </row>
    <row r="425" spans="2:22" ht="34.5" x14ac:dyDescent="0.25">
      <c r="B425" s="44" t="s">
        <v>618</v>
      </c>
      <c r="C425" s="44" t="s">
        <v>619</v>
      </c>
      <c r="D425" s="44" t="s">
        <v>616</v>
      </c>
      <c r="E425" s="44" t="s">
        <v>27</v>
      </c>
      <c r="F425" s="44" t="s">
        <v>350</v>
      </c>
      <c r="G425" s="44" t="s">
        <v>27</v>
      </c>
      <c r="H425" s="44">
        <v>70601</v>
      </c>
      <c r="I425" s="44">
        <v>70654</v>
      </c>
      <c r="J425" s="44" t="s">
        <v>28</v>
      </c>
      <c r="K425" s="44" t="s">
        <v>618</v>
      </c>
      <c r="L425" s="44" t="s">
        <v>29</v>
      </c>
      <c r="M425" s="44"/>
      <c r="N425" s="45">
        <v>1980</v>
      </c>
      <c r="O425" s="45">
        <v>1980</v>
      </c>
      <c r="P425" s="45">
        <v>2091</v>
      </c>
      <c r="Q425" s="45">
        <v>2091</v>
      </c>
      <c r="R425" s="45">
        <v>1183</v>
      </c>
      <c r="S425" s="45">
        <v>1183</v>
      </c>
      <c r="T425" s="45">
        <v>1249</v>
      </c>
      <c r="U425" s="45">
        <v>1249</v>
      </c>
      <c r="V425" s="46"/>
    </row>
    <row r="426" spans="2:22" ht="20" x14ac:dyDescent="0.25">
      <c r="B426" s="47" t="s">
        <v>618</v>
      </c>
      <c r="C426" s="47" t="s">
        <v>619</v>
      </c>
      <c r="D426" s="47" t="s">
        <v>616</v>
      </c>
      <c r="E426" s="47" t="s">
        <v>27</v>
      </c>
      <c r="F426" s="47" t="s">
        <v>350</v>
      </c>
      <c r="G426" s="47" t="s">
        <v>27</v>
      </c>
      <c r="H426" s="47">
        <v>70601</v>
      </c>
      <c r="I426" s="47">
        <v>70654</v>
      </c>
      <c r="J426" s="47" t="s">
        <v>28</v>
      </c>
      <c r="K426" s="47"/>
      <c r="L426" s="47" t="s">
        <v>301</v>
      </c>
      <c r="M426" s="47" t="s">
        <v>617</v>
      </c>
      <c r="N426" s="48">
        <v>1980</v>
      </c>
      <c r="O426" s="48">
        <v>1980</v>
      </c>
      <c r="P426" s="48">
        <v>2091</v>
      </c>
      <c r="Q426" s="48">
        <v>2091</v>
      </c>
      <c r="R426" s="48">
        <v>1183</v>
      </c>
      <c r="S426" s="48">
        <v>1183</v>
      </c>
      <c r="T426" s="48">
        <v>1249</v>
      </c>
      <c r="U426" s="48">
        <v>1249</v>
      </c>
      <c r="V426" s="48"/>
    </row>
    <row r="427" spans="2:22" ht="34.5" x14ac:dyDescent="0.25">
      <c r="B427" s="44" t="s">
        <v>620</v>
      </c>
      <c r="C427" s="44" t="s">
        <v>621</v>
      </c>
      <c r="D427" s="44" t="s">
        <v>616</v>
      </c>
      <c r="E427" s="44" t="s">
        <v>27</v>
      </c>
      <c r="F427" s="44" t="s">
        <v>612</v>
      </c>
      <c r="G427" s="44" t="s">
        <v>27</v>
      </c>
      <c r="H427" s="44">
        <v>70138</v>
      </c>
      <c r="I427" s="44">
        <v>70115</v>
      </c>
      <c r="J427" s="44" t="s">
        <v>28</v>
      </c>
      <c r="K427" s="44" t="s">
        <v>620</v>
      </c>
      <c r="L427" s="44" t="s">
        <v>29</v>
      </c>
      <c r="M427" s="44"/>
      <c r="N427" s="45">
        <v>950</v>
      </c>
      <c r="O427" s="45">
        <v>1045</v>
      </c>
      <c r="P427" s="45">
        <v>1094</v>
      </c>
      <c r="Q427" s="45">
        <v>1200</v>
      </c>
      <c r="R427" s="45">
        <v>189</v>
      </c>
      <c r="S427" s="45">
        <v>208</v>
      </c>
      <c r="T427" s="45">
        <v>218</v>
      </c>
      <c r="U427" s="45">
        <v>239</v>
      </c>
      <c r="V427" s="46"/>
    </row>
    <row r="428" spans="2:22" ht="20" x14ac:dyDescent="0.25">
      <c r="B428" s="47" t="s">
        <v>620</v>
      </c>
      <c r="C428" s="47" t="s">
        <v>621</v>
      </c>
      <c r="D428" s="47" t="s">
        <v>616</v>
      </c>
      <c r="E428" s="47" t="s">
        <v>27</v>
      </c>
      <c r="F428" s="47" t="s">
        <v>612</v>
      </c>
      <c r="G428" s="47" t="s">
        <v>27</v>
      </c>
      <c r="H428" s="47">
        <v>70138</v>
      </c>
      <c r="I428" s="47">
        <v>70115</v>
      </c>
      <c r="J428" s="47" t="s">
        <v>28</v>
      </c>
      <c r="K428" s="47" t="s">
        <v>2476</v>
      </c>
      <c r="L428" s="47" t="s">
        <v>31</v>
      </c>
      <c r="M428" s="47" t="s">
        <v>617</v>
      </c>
      <c r="N428" s="48">
        <v>950</v>
      </c>
      <c r="O428" s="48">
        <v>1045</v>
      </c>
      <c r="P428" s="48">
        <v>1094</v>
      </c>
      <c r="Q428" s="47">
        <v>1203</v>
      </c>
      <c r="R428" s="48">
        <v>189</v>
      </c>
      <c r="S428" s="48">
        <v>208</v>
      </c>
      <c r="T428" s="48">
        <v>218</v>
      </c>
      <c r="U428" s="47">
        <v>240</v>
      </c>
      <c r="V428" s="47"/>
    </row>
    <row r="429" spans="2:22" ht="20" x14ac:dyDescent="0.25">
      <c r="B429" s="47" t="s">
        <v>620</v>
      </c>
      <c r="C429" s="47" t="s">
        <v>621</v>
      </c>
      <c r="D429" s="47" t="s">
        <v>616</v>
      </c>
      <c r="E429" s="47" t="s">
        <v>27</v>
      </c>
      <c r="F429" s="47" t="s">
        <v>612</v>
      </c>
      <c r="G429" s="47" t="s">
        <v>27</v>
      </c>
      <c r="H429" s="47">
        <v>70138</v>
      </c>
      <c r="I429" s="47">
        <v>70115</v>
      </c>
      <c r="J429" s="47" t="s">
        <v>28</v>
      </c>
      <c r="K429" s="47" t="s">
        <v>2624</v>
      </c>
      <c r="L429" s="47" t="s">
        <v>39</v>
      </c>
      <c r="M429" s="47" t="s">
        <v>617</v>
      </c>
      <c r="N429" s="47">
        <v>1200</v>
      </c>
      <c r="O429" s="47">
        <v>1200</v>
      </c>
      <c r="P429" s="47">
        <v>1200</v>
      </c>
      <c r="Q429" s="48">
        <v>1200</v>
      </c>
      <c r="R429" s="47">
        <v>239</v>
      </c>
      <c r="S429" s="47">
        <v>239</v>
      </c>
      <c r="T429" s="47">
        <v>239</v>
      </c>
      <c r="U429" s="48">
        <v>239</v>
      </c>
      <c r="V429" s="48"/>
    </row>
    <row r="430" spans="2:22" ht="20" x14ac:dyDescent="0.25">
      <c r="B430" s="47" t="s">
        <v>620</v>
      </c>
      <c r="C430" s="47" t="s">
        <v>621</v>
      </c>
      <c r="D430" s="47" t="s">
        <v>616</v>
      </c>
      <c r="E430" s="47" t="s">
        <v>27</v>
      </c>
      <c r="F430" s="47" t="s">
        <v>612</v>
      </c>
      <c r="G430" s="47" t="s">
        <v>27</v>
      </c>
      <c r="H430" s="47">
        <v>70138</v>
      </c>
      <c r="I430" s="47">
        <v>70115</v>
      </c>
      <c r="J430" s="47" t="s">
        <v>28</v>
      </c>
      <c r="K430" s="47" t="s">
        <v>2627</v>
      </c>
      <c r="L430" s="47" t="s">
        <v>39</v>
      </c>
      <c r="M430" s="47" t="s">
        <v>617</v>
      </c>
      <c r="N430" s="47">
        <v>1200</v>
      </c>
      <c r="O430" s="47">
        <v>1200</v>
      </c>
      <c r="P430" s="47">
        <v>1200</v>
      </c>
      <c r="Q430" s="48">
        <v>1200</v>
      </c>
      <c r="R430" s="47">
        <v>239</v>
      </c>
      <c r="S430" s="47">
        <v>239</v>
      </c>
      <c r="T430" s="47">
        <v>239</v>
      </c>
      <c r="U430" s="48">
        <v>239</v>
      </c>
      <c r="V430" s="48"/>
    </row>
    <row r="431" spans="2:22" ht="20" x14ac:dyDescent="0.25">
      <c r="B431" s="47" t="s">
        <v>620</v>
      </c>
      <c r="C431" s="47" t="s">
        <v>621</v>
      </c>
      <c r="D431" s="47" t="s">
        <v>616</v>
      </c>
      <c r="E431" s="47" t="s">
        <v>27</v>
      </c>
      <c r="F431" s="47" t="s">
        <v>612</v>
      </c>
      <c r="G431" s="47" t="s">
        <v>27</v>
      </c>
      <c r="H431" s="47">
        <v>70138</v>
      </c>
      <c r="I431" s="47">
        <v>70115</v>
      </c>
      <c r="J431" s="47" t="s">
        <v>28</v>
      </c>
      <c r="K431" s="47" t="s">
        <v>2626</v>
      </c>
      <c r="L431" s="47" t="s">
        <v>39</v>
      </c>
      <c r="M431" s="47" t="s">
        <v>617</v>
      </c>
      <c r="N431" s="47">
        <v>1200</v>
      </c>
      <c r="O431" s="47">
        <v>1200</v>
      </c>
      <c r="P431" s="47">
        <v>1200</v>
      </c>
      <c r="Q431" s="48">
        <v>1200</v>
      </c>
      <c r="R431" s="47">
        <v>239</v>
      </c>
      <c r="S431" s="47">
        <v>239</v>
      </c>
      <c r="T431" s="47">
        <v>239</v>
      </c>
      <c r="U431" s="48">
        <v>239</v>
      </c>
      <c r="V431" s="48"/>
    </row>
    <row r="432" spans="2:22" ht="20" x14ac:dyDescent="0.25">
      <c r="B432" s="47" t="s">
        <v>620</v>
      </c>
      <c r="C432" s="47" t="s">
        <v>621</v>
      </c>
      <c r="D432" s="47" t="s">
        <v>616</v>
      </c>
      <c r="E432" s="47" t="s">
        <v>27</v>
      </c>
      <c r="F432" s="47" t="s">
        <v>612</v>
      </c>
      <c r="G432" s="47" t="s">
        <v>27</v>
      </c>
      <c r="H432" s="47">
        <v>70138</v>
      </c>
      <c r="I432" s="47">
        <v>70115</v>
      </c>
      <c r="J432" s="47" t="s">
        <v>28</v>
      </c>
      <c r="K432" s="47" t="s">
        <v>621</v>
      </c>
      <c r="L432" s="47" t="s">
        <v>49</v>
      </c>
      <c r="M432" s="47" t="s">
        <v>617</v>
      </c>
      <c r="N432" s="47">
        <v>1200</v>
      </c>
      <c r="O432" s="47">
        <v>1200</v>
      </c>
      <c r="P432" s="47">
        <v>1200</v>
      </c>
      <c r="Q432" s="48">
        <v>1200</v>
      </c>
      <c r="R432" s="47">
        <v>239</v>
      </c>
      <c r="S432" s="47">
        <v>239</v>
      </c>
      <c r="T432" s="47">
        <v>239</v>
      </c>
      <c r="U432" s="48">
        <v>239</v>
      </c>
      <c r="V432" s="48"/>
    </row>
    <row r="433" spans="2:22" ht="20" x14ac:dyDescent="0.25">
      <c r="B433" s="47" t="s">
        <v>620</v>
      </c>
      <c r="C433" s="47" t="s">
        <v>621</v>
      </c>
      <c r="D433" s="47" t="s">
        <v>616</v>
      </c>
      <c r="E433" s="47" t="s">
        <v>27</v>
      </c>
      <c r="F433" s="47" t="s">
        <v>612</v>
      </c>
      <c r="G433" s="47" t="s">
        <v>27</v>
      </c>
      <c r="H433" s="47">
        <v>70138</v>
      </c>
      <c r="I433" s="47">
        <v>70115</v>
      </c>
      <c r="J433" s="47" t="s">
        <v>28</v>
      </c>
      <c r="K433" s="47" t="s">
        <v>2625</v>
      </c>
      <c r="L433" s="47" t="s">
        <v>39</v>
      </c>
      <c r="M433" s="47" t="s">
        <v>617</v>
      </c>
      <c r="N433" s="47">
        <v>1200</v>
      </c>
      <c r="O433" s="47">
        <v>1200</v>
      </c>
      <c r="P433" s="47">
        <v>1200</v>
      </c>
      <c r="Q433" s="48">
        <v>1200</v>
      </c>
      <c r="R433" s="47">
        <v>239</v>
      </c>
      <c r="S433" s="47">
        <v>239</v>
      </c>
      <c r="T433" s="47">
        <v>239</v>
      </c>
      <c r="U433" s="48">
        <v>239</v>
      </c>
      <c r="V433" s="48"/>
    </row>
    <row r="434" spans="2:22" ht="34.5" x14ac:dyDescent="0.25">
      <c r="B434" s="44" t="s">
        <v>1843</v>
      </c>
      <c r="C434" s="44" t="s">
        <v>1844</v>
      </c>
      <c r="D434" s="44" t="s">
        <v>616</v>
      </c>
      <c r="E434" s="44" t="s">
        <v>27</v>
      </c>
      <c r="F434" s="44" t="s">
        <v>938</v>
      </c>
      <c r="G434" s="44" t="s">
        <v>27</v>
      </c>
      <c r="H434" s="44">
        <v>70601</v>
      </c>
      <c r="I434" s="44">
        <v>70597</v>
      </c>
      <c r="J434" s="44" t="s">
        <v>28</v>
      </c>
      <c r="K434" s="44" t="s">
        <v>1843</v>
      </c>
      <c r="L434" s="44" t="s">
        <v>29</v>
      </c>
      <c r="M434" s="44"/>
      <c r="N434" s="45">
        <v>2716</v>
      </c>
      <c r="O434" s="45">
        <v>2970</v>
      </c>
      <c r="P434" s="45">
        <v>3000</v>
      </c>
      <c r="Q434" s="45">
        <v>3000</v>
      </c>
      <c r="R434" s="45">
        <v>1623</v>
      </c>
      <c r="S434" s="45">
        <v>1775</v>
      </c>
      <c r="T434" s="45">
        <v>1793</v>
      </c>
      <c r="U434" s="45">
        <v>1793</v>
      </c>
      <c r="V434" s="46"/>
    </row>
    <row r="435" spans="2:22" ht="20" x14ac:dyDescent="0.25">
      <c r="B435" s="47" t="s">
        <v>1843</v>
      </c>
      <c r="C435" s="47" t="s">
        <v>1844</v>
      </c>
      <c r="D435" s="47" t="s">
        <v>616</v>
      </c>
      <c r="E435" s="47" t="s">
        <v>27</v>
      </c>
      <c r="F435" s="47" t="s">
        <v>938</v>
      </c>
      <c r="G435" s="47" t="s">
        <v>27</v>
      </c>
      <c r="H435" s="47">
        <v>70601</v>
      </c>
      <c r="I435" s="47">
        <v>70597</v>
      </c>
      <c r="J435" s="47" t="s">
        <v>28</v>
      </c>
      <c r="K435" s="47" t="s">
        <v>388</v>
      </c>
      <c r="L435" s="47" t="s">
        <v>31</v>
      </c>
      <c r="M435" s="47" t="s">
        <v>941</v>
      </c>
      <c r="N435" s="48">
        <v>2716</v>
      </c>
      <c r="O435" s="47">
        <v>2988</v>
      </c>
      <c r="P435" s="47">
        <v>3096</v>
      </c>
      <c r="Q435" s="47">
        <v>3405</v>
      </c>
      <c r="R435" s="48">
        <v>1623</v>
      </c>
      <c r="S435" s="47">
        <v>1785</v>
      </c>
      <c r="T435" s="47">
        <v>1850</v>
      </c>
      <c r="U435" s="47">
        <v>2035</v>
      </c>
      <c r="V435" s="47"/>
    </row>
    <row r="436" spans="2:22" ht="20" x14ac:dyDescent="0.25">
      <c r="B436" s="47" t="s">
        <v>1843</v>
      </c>
      <c r="C436" s="47" t="s">
        <v>1844</v>
      </c>
      <c r="D436" s="47" t="s">
        <v>616</v>
      </c>
      <c r="E436" s="47" t="s">
        <v>27</v>
      </c>
      <c r="F436" s="47" t="s">
        <v>938</v>
      </c>
      <c r="G436" s="47" t="s">
        <v>27</v>
      </c>
      <c r="H436" s="47">
        <v>70601</v>
      </c>
      <c r="I436" s="47">
        <v>70597</v>
      </c>
      <c r="J436" s="47" t="s">
        <v>28</v>
      </c>
      <c r="K436" s="47"/>
      <c r="L436" s="47" t="s">
        <v>301</v>
      </c>
      <c r="M436" s="47" t="s">
        <v>617</v>
      </c>
      <c r="N436" s="47">
        <v>2970</v>
      </c>
      <c r="O436" s="48">
        <v>2970</v>
      </c>
      <c r="P436" s="47">
        <v>3136</v>
      </c>
      <c r="Q436" s="47">
        <v>3136</v>
      </c>
      <c r="R436" s="47">
        <v>1775</v>
      </c>
      <c r="S436" s="48">
        <v>1775</v>
      </c>
      <c r="T436" s="47">
        <v>1874</v>
      </c>
      <c r="U436" s="47">
        <v>1874</v>
      </c>
      <c r="V436" s="47"/>
    </row>
    <row r="437" spans="2:22" ht="20" x14ac:dyDescent="0.25">
      <c r="B437" s="47" t="s">
        <v>1843</v>
      </c>
      <c r="C437" s="47" t="s">
        <v>1844</v>
      </c>
      <c r="D437" s="47" t="s">
        <v>616</v>
      </c>
      <c r="E437" s="47" t="s">
        <v>27</v>
      </c>
      <c r="F437" s="47" t="s">
        <v>938</v>
      </c>
      <c r="G437" s="47" t="s">
        <v>27</v>
      </c>
      <c r="H437" s="47">
        <v>70601</v>
      </c>
      <c r="I437" s="47">
        <v>70597</v>
      </c>
      <c r="J437" s="47" t="s">
        <v>28</v>
      </c>
      <c r="K437" s="47"/>
      <c r="L437" s="47" t="s">
        <v>301</v>
      </c>
      <c r="M437" s="47" t="s">
        <v>941</v>
      </c>
      <c r="N437" s="47">
        <v>2970</v>
      </c>
      <c r="O437" s="48">
        <v>2970</v>
      </c>
      <c r="P437" s="47">
        <v>3136</v>
      </c>
      <c r="Q437" s="47">
        <v>3136</v>
      </c>
      <c r="R437" s="47">
        <v>1775</v>
      </c>
      <c r="S437" s="48">
        <v>1775</v>
      </c>
      <c r="T437" s="47">
        <v>1874</v>
      </c>
      <c r="U437" s="47">
        <v>1874</v>
      </c>
      <c r="V437" s="47"/>
    </row>
    <row r="438" spans="2:22" ht="20" x14ac:dyDescent="0.25">
      <c r="B438" s="47" t="s">
        <v>1843</v>
      </c>
      <c r="C438" s="47" t="s">
        <v>1844</v>
      </c>
      <c r="D438" s="47" t="s">
        <v>616</v>
      </c>
      <c r="E438" s="47" t="s">
        <v>27</v>
      </c>
      <c r="F438" s="47" t="s">
        <v>938</v>
      </c>
      <c r="G438" s="47" t="s">
        <v>27</v>
      </c>
      <c r="H438" s="47">
        <v>70601</v>
      </c>
      <c r="I438" s="47">
        <v>70597</v>
      </c>
      <c r="J438" s="47" t="s">
        <v>28</v>
      </c>
      <c r="K438" s="47" t="s">
        <v>1844</v>
      </c>
      <c r="L438" s="47" t="s">
        <v>49</v>
      </c>
      <c r="M438" s="47" t="s">
        <v>617</v>
      </c>
      <c r="N438" s="47">
        <v>3000</v>
      </c>
      <c r="O438" s="47">
        <v>3000</v>
      </c>
      <c r="P438" s="48">
        <v>3000</v>
      </c>
      <c r="Q438" s="48">
        <v>3000</v>
      </c>
      <c r="R438" s="47">
        <v>1793</v>
      </c>
      <c r="S438" s="47">
        <v>1793</v>
      </c>
      <c r="T438" s="48">
        <v>1793</v>
      </c>
      <c r="U438" s="48">
        <v>1793</v>
      </c>
      <c r="V438" s="48"/>
    </row>
    <row r="439" spans="2:22" ht="20" x14ac:dyDescent="0.25">
      <c r="B439" s="47" t="s">
        <v>1843</v>
      </c>
      <c r="C439" s="47" t="s">
        <v>1844</v>
      </c>
      <c r="D439" s="47" t="s">
        <v>616</v>
      </c>
      <c r="E439" s="47" t="s">
        <v>27</v>
      </c>
      <c r="F439" s="47" t="s">
        <v>938</v>
      </c>
      <c r="G439" s="47" t="s">
        <v>27</v>
      </c>
      <c r="H439" s="47">
        <v>70601</v>
      </c>
      <c r="I439" s="47">
        <v>70597</v>
      </c>
      <c r="J439" s="47" t="s">
        <v>28</v>
      </c>
      <c r="K439" s="47" t="s">
        <v>2142</v>
      </c>
      <c r="L439" s="47" t="s">
        <v>49</v>
      </c>
      <c r="M439" s="47" t="s">
        <v>617</v>
      </c>
      <c r="N439" s="47">
        <v>3000</v>
      </c>
      <c r="O439" s="47">
        <v>3000</v>
      </c>
      <c r="P439" s="48">
        <v>3000</v>
      </c>
      <c r="Q439" s="48">
        <v>3000</v>
      </c>
      <c r="R439" s="47">
        <v>1793</v>
      </c>
      <c r="S439" s="47">
        <v>1793</v>
      </c>
      <c r="T439" s="48">
        <v>1793</v>
      </c>
      <c r="U439" s="48">
        <v>1793</v>
      </c>
      <c r="V439" s="48"/>
    </row>
    <row r="440" spans="2:22" ht="20" x14ac:dyDescent="0.25">
      <c r="B440" s="47" t="s">
        <v>1843</v>
      </c>
      <c r="C440" s="47" t="s">
        <v>1844</v>
      </c>
      <c r="D440" s="47" t="s">
        <v>616</v>
      </c>
      <c r="E440" s="47" t="s">
        <v>27</v>
      </c>
      <c r="F440" s="47" t="s">
        <v>938</v>
      </c>
      <c r="G440" s="47" t="s">
        <v>27</v>
      </c>
      <c r="H440" s="47">
        <v>70601</v>
      </c>
      <c r="I440" s="47">
        <v>70597</v>
      </c>
      <c r="J440" s="47" t="s">
        <v>28</v>
      </c>
      <c r="K440" s="47" t="s">
        <v>1844</v>
      </c>
      <c r="L440" s="47" t="s">
        <v>49</v>
      </c>
      <c r="M440" s="47" t="s">
        <v>941</v>
      </c>
      <c r="N440" s="47">
        <v>3000</v>
      </c>
      <c r="O440" s="47">
        <v>3000</v>
      </c>
      <c r="P440" s="48">
        <v>3000</v>
      </c>
      <c r="Q440" s="48">
        <v>3000</v>
      </c>
      <c r="R440" s="47">
        <v>1793</v>
      </c>
      <c r="S440" s="47">
        <v>1793</v>
      </c>
      <c r="T440" s="48">
        <v>1793</v>
      </c>
      <c r="U440" s="48">
        <v>1793</v>
      </c>
      <c r="V440" s="48"/>
    </row>
    <row r="441" spans="2:22" ht="20" x14ac:dyDescent="0.25">
      <c r="B441" s="47" t="s">
        <v>1843</v>
      </c>
      <c r="C441" s="47" t="s">
        <v>1844</v>
      </c>
      <c r="D441" s="47" t="s">
        <v>616</v>
      </c>
      <c r="E441" s="47" t="s">
        <v>27</v>
      </c>
      <c r="F441" s="47" t="s">
        <v>938</v>
      </c>
      <c r="G441" s="47" t="s">
        <v>27</v>
      </c>
      <c r="H441" s="47">
        <v>70601</v>
      </c>
      <c r="I441" s="47">
        <v>70597</v>
      </c>
      <c r="J441" s="47" t="s">
        <v>28</v>
      </c>
      <c r="K441" s="47" t="s">
        <v>2105</v>
      </c>
      <c r="L441" s="47" t="s">
        <v>49</v>
      </c>
      <c r="M441" s="47" t="s">
        <v>941</v>
      </c>
      <c r="N441" s="47">
        <v>3000</v>
      </c>
      <c r="O441" s="47">
        <v>3000</v>
      </c>
      <c r="P441" s="48">
        <v>3000</v>
      </c>
      <c r="Q441" s="48">
        <v>3000</v>
      </c>
      <c r="R441" s="47">
        <v>1793</v>
      </c>
      <c r="S441" s="47">
        <v>1793</v>
      </c>
      <c r="T441" s="48">
        <v>1793</v>
      </c>
      <c r="U441" s="48">
        <v>1793</v>
      </c>
      <c r="V441" s="48"/>
    </row>
    <row r="442" spans="2:22" ht="34.5" x14ac:dyDescent="0.25">
      <c r="B442" s="44" t="s">
        <v>622</v>
      </c>
      <c r="C442" s="44" t="s">
        <v>623</v>
      </c>
      <c r="D442" s="44" t="s">
        <v>616</v>
      </c>
      <c r="E442" s="44" t="s">
        <v>27</v>
      </c>
      <c r="F442" s="44" t="s">
        <v>624</v>
      </c>
      <c r="G442" s="44" t="s">
        <v>27</v>
      </c>
      <c r="H442" s="44">
        <v>70139</v>
      </c>
      <c r="I442" s="44">
        <v>73477</v>
      </c>
      <c r="J442" s="44" t="s">
        <v>28</v>
      </c>
      <c r="K442" s="44" t="s">
        <v>622</v>
      </c>
      <c r="L442" s="44" t="s">
        <v>29</v>
      </c>
      <c r="M442" s="44"/>
      <c r="N442" s="45">
        <v>1200</v>
      </c>
      <c r="O442" s="45">
        <v>1200</v>
      </c>
      <c r="P442" s="45">
        <v>1200</v>
      </c>
      <c r="Q442" s="45">
        <v>1200</v>
      </c>
      <c r="R442" s="45">
        <v>478</v>
      </c>
      <c r="S442" s="45">
        <v>478</v>
      </c>
      <c r="T442" s="45">
        <v>478</v>
      </c>
      <c r="U442" s="45">
        <v>478</v>
      </c>
      <c r="V442" s="46"/>
    </row>
    <row r="443" spans="2:22" ht="20" x14ac:dyDescent="0.25">
      <c r="B443" s="47" t="s">
        <v>622</v>
      </c>
      <c r="C443" s="47" t="s">
        <v>623</v>
      </c>
      <c r="D443" s="47" t="s">
        <v>616</v>
      </c>
      <c r="E443" s="47" t="s">
        <v>27</v>
      </c>
      <c r="F443" s="47" t="s">
        <v>624</v>
      </c>
      <c r="G443" s="47" t="s">
        <v>27</v>
      </c>
      <c r="H443" s="47">
        <v>70139</v>
      </c>
      <c r="I443" s="47">
        <v>73477</v>
      </c>
      <c r="J443" s="47" t="s">
        <v>28</v>
      </c>
      <c r="K443" s="47" t="s">
        <v>2145</v>
      </c>
      <c r="L443" s="47" t="s">
        <v>39</v>
      </c>
      <c r="M443" s="47" t="s">
        <v>617</v>
      </c>
      <c r="N443" s="48">
        <v>1200</v>
      </c>
      <c r="O443" s="48">
        <v>1200</v>
      </c>
      <c r="P443" s="48">
        <v>1200</v>
      </c>
      <c r="Q443" s="48">
        <v>1200</v>
      </c>
      <c r="R443" s="48">
        <v>478</v>
      </c>
      <c r="S443" s="48">
        <v>478</v>
      </c>
      <c r="T443" s="48">
        <v>478</v>
      </c>
      <c r="U443" s="48">
        <v>478</v>
      </c>
      <c r="V443" s="48"/>
    </row>
    <row r="444" spans="2:22" ht="20" x14ac:dyDescent="0.25">
      <c r="B444" s="47" t="s">
        <v>622</v>
      </c>
      <c r="C444" s="47" t="s">
        <v>623</v>
      </c>
      <c r="D444" s="47" t="s">
        <v>616</v>
      </c>
      <c r="E444" s="47" t="s">
        <v>27</v>
      </c>
      <c r="F444" s="47" t="s">
        <v>624</v>
      </c>
      <c r="G444" s="47" t="s">
        <v>27</v>
      </c>
      <c r="H444" s="47">
        <v>70139</v>
      </c>
      <c r="I444" s="47">
        <v>73477</v>
      </c>
      <c r="J444" s="47" t="s">
        <v>28</v>
      </c>
      <c r="K444" s="47" t="s">
        <v>2148</v>
      </c>
      <c r="L444" s="47" t="s">
        <v>39</v>
      </c>
      <c r="M444" s="47" t="s">
        <v>617</v>
      </c>
      <c r="N444" s="48">
        <v>1200</v>
      </c>
      <c r="O444" s="48">
        <v>1200</v>
      </c>
      <c r="P444" s="48">
        <v>1200</v>
      </c>
      <c r="Q444" s="48">
        <v>1200</v>
      </c>
      <c r="R444" s="48">
        <v>478</v>
      </c>
      <c r="S444" s="48">
        <v>478</v>
      </c>
      <c r="T444" s="48">
        <v>478</v>
      </c>
      <c r="U444" s="48">
        <v>478</v>
      </c>
      <c r="V444" s="48"/>
    </row>
    <row r="445" spans="2:22" ht="20" x14ac:dyDescent="0.25">
      <c r="B445" s="47" t="s">
        <v>622</v>
      </c>
      <c r="C445" s="47" t="s">
        <v>623</v>
      </c>
      <c r="D445" s="47" t="s">
        <v>616</v>
      </c>
      <c r="E445" s="47" t="s">
        <v>27</v>
      </c>
      <c r="F445" s="47" t="s">
        <v>624</v>
      </c>
      <c r="G445" s="47" t="s">
        <v>27</v>
      </c>
      <c r="H445" s="47">
        <v>70139</v>
      </c>
      <c r="I445" s="47">
        <v>73477</v>
      </c>
      <c r="J445" s="47" t="s">
        <v>28</v>
      </c>
      <c r="K445" s="47" t="s">
        <v>2143</v>
      </c>
      <c r="L445" s="47" t="s">
        <v>39</v>
      </c>
      <c r="M445" s="47" t="s">
        <v>617</v>
      </c>
      <c r="N445" s="48">
        <v>1200</v>
      </c>
      <c r="O445" s="48">
        <v>1200</v>
      </c>
      <c r="P445" s="48">
        <v>1200</v>
      </c>
      <c r="Q445" s="48">
        <v>1200</v>
      </c>
      <c r="R445" s="48">
        <v>478</v>
      </c>
      <c r="S445" s="48">
        <v>478</v>
      </c>
      <c r="T445" s="48">
        <v>478</v>
      </c>
      <c r="U445" s="48">
        <v>478</v>
      </c>
      <c r="V445" s="48"/>
    </row>
    <row r="446" spans="2:22" ht="20" x14ac:dyDescent="0.25">
      <c r="B446" s="47" t="s">
        <v>622</v>
      </c>
      <c r="C446" s="47" t="s">
        <v>623</v>
      </c>
      <c r="D446" s="47" t="s">
        <v>616</v>
      </c>
      <c r="E446" s="47" t="s">
        <v>27</v>
      </c>
      <c r="F446" s="47" t="s">
        <v>624</v>
      </c>
      <c r="G446" s="47" t="s">
        <v>27</v>
      </c>
      <c r="H446" s="47">
        <v>70139</v>
      </c>
      <c r="I446" s="47">
        <v>73477</v>
      </c>
      <c r="J446" s="47" t="s">
        <v>28</v>
      </c>
      <c r="K446" s="47" t="s">
        <v>2146</v>
      </c>
      <c r="L446" s="47" t="s">
        <v>39</v>
      </c>
      <c r="M446" s="47" t="s">
        <v>617</v>
      </c>
      <c r="N446" s="48">
        <v>1200</v>
      </c>
      <c r="O446" s="48">
        <v>1200</v>
      </c>
      <c r="P446" s="48">
        <v>1200</v>
      </c>
      <c r="Q446" s="48">
        <v>1200</v>
      </c>
      <c r="R446" s="48">
        <v>478</v>
      </c>
      <c r="S446" s="48">
        <v>478</v>
      </c>
      <c r="T446" s="48">
        <v>478</v>
      </c>
      <c r="U446" s="48">
        <v>478</v>
      </c>
      <c r="V446" s="48"/>
    </row>
    <row r="447" spans="2:22" ht="20" x14ac:dyDescent="0.25">
      <c r="B447" s="47" t="s">
        <v>622</v>
      </c>
      <c r="C447" s="47" t="s">
        <v>623</v>
      </c>
      <c r="D447" s="47" t="s">
        <v>616</v>
      </c>
      <c r="E447" s="47" t="s">
        <v>27</v>
      </c>
      <c r="F447" s="47" t="s">
        <v>624</v>
      </c>
      <c r="G447" s="47" t="s">
        <v>27</v>
      </c>
      <c r="H447" s="47">
        <v>70139</v>
      </c>
      <c r="I447" s="47">
        <v>73477</v>
      </c>
      <c r="J447" s="47" t="s">
        <v>28</v>
      </c>
      <c r="K447" s="47" t="s">
        <v>2150</v>
      </c>
      <c r="L447" s="47" t="s">
        <v>39</v>
      </c>
      <c r="M447" s="47" t="s">
        <v>617</v>
      </c>
      <c r="N447" s="48">
        <v>1200</v>
      </c>
      <c r="O447" s="48">
        <v>1200</v>
      </c>
      <c r="P447" s="48">
        <v>1200</v>
      </c>
      <c r="Q447" s="48">
        <v>1200</v>
      </c>
      <c r="R447" s="48">
        <v>478</v>
      </c>
      <c r="S447" s="48">
        <v>478</v>
      </c>
      <c r="T447" s="48">
        <v>478</v>
      </c>
      <c r="U447" s="48">
        <v>478</v>
      </c>
      <c r="V447" s="48"/>
    </row>
    <row r="448" spans="2:22" ht="20" x14ac:dyDescent="0.25">
      <c r="B448" s="47" t="s">
        <v>622</v>
      </c>
      <c r="C448" s="47" t="s">
        <v>623</v>
      </c>
      <c r="D448" s="47" t="s">
        <v>616</v>
      </c>
      <c r="E448" s="47" t="s">
        <v>27</v>
      </c>
      <c r="F448" s="47" t="s">
        <v>624</v>
      </c>
      <c r="G448" s="47" t="s">
        <v>27</v>
      </c>
      <c r="H448" s="47">
        <v>70139</v>
      </c>
      <c r="I448" s="47">
        <v>73477</v>
      </c>
      <c r="J448" s="47" t="s">
        <v>28</v>
      </c>
      <c r="K448" s="47" t="s">
        <v>2144</v>
      </c>
      <c r="L448" s="47" t="s">
        <v>39</v>
      </c>
      <c r="M448" s="47" t="s">
        <v>617</v>
      </c>
      <c r="N448" s="48">
        <v>1200</v>
      </c>
      <c r="O448" s="48">
        <v>1200</v>
      </c>
      <c r="P448" s="48">
        <v>1200</v>
      </c>
      <c r="Q448" s="48">
        <v>1200</v>
      </c>
      <c r="R448" s="48">
        <v>478</v>
      </c>
      <c r="S448" s="48">
        <v>478</v>
      </c>
      <c r="T448" s="48">
        <v>478</v>
      </c>
      <c r="U448" s="48">
        <v>478</v>
      </c>
      <c r="V448" s="48"/>
    </row>
    <row r="449" spans="2:22" ht="20" x14ac:dyDescent="0.25">
      <c r="B449" s="47" t="s">
        <v>622</v>
      </c>
      <c r="C449" s="47" t="s">
        <v>623</v>
      </c>
      <c r="D449" s="47" t="s">
        <v>616</v>
      </c>
      <c r="E449" s="47" t="s">
        <v>27</v>
      </c>
      <c r="F449" s="47" t="s">
        <v>624</v>
      </c>
      <c r="G449" s="47" t="s">
        <v>27</v>
      </c>
      <c r="H449" s="47">
        <v>70139</v>
      </c>
      <c r="I449" s="47">
        <v>73477</v>
      </c>
      <c r="J449" s="47" t="s">
        <v>28</v>
      </c>
      <c r="K449" s="47" t="s">
        <v>2149</v>
      </c>
      <c r="L449" s="47" t="s">
        <v>39</v>
      </c>
      <c r="M449" s="47" t="s">
        <v>617</v>
      </c>
      <c r="N449" s="48">
        <v>1200</v>
      </c>
      <c r="O449" s="48">
        <v>1200</v>
      </c>
      <c r="P449" s="48">
        <v>1200</v>
      </c>
      <c r="Q449" s="48">
        <v>1200</v>
      </c>
      <c r="R449" s="48">
        <v>478</v>
      </c>
      <c r="S449" s="48">
        <v>478</v>
      </c>
      <c r="T449" s="48">
        <v>478</v>
      </c>
      <c r="U449" s="48">
        <v>478</v>
      </c>
      <c r="V449" s="48"/>
    </row>
    <row r="450" spans="2:22" ht="20" x14ac:dyDescent="0.25">
      <c r="B450" s="47" t="s">
        <v>622</v>
      </c>
      <c r="C450" s="47" t="s">
        <v>623</v>
      </c>
      <c r="D450" s="47" t="s">
        <v>616</v>
      </c>
      <c r="E450" s="47" t="s">
        <v>27</v>
      </c>
      <c r="F450" s="47" t="s">
        <v>624</v>
      </c>
      <c r="G450" s="47" t="s">
        <v>27</v>
      </c>
      <c r="H450" s="47">
        <v>70139</v>
      </c>
      <c r="I450" s="47">
        <v>73477</v>
      </c>
      <c r="J450" s="47" t="s">
        <v>28</v>
      </c>
      <c r="K450" s="47" t="s">
        <v>2147</v>
      </c>
      <c r="L450" s="47" t="s">
        <v>39</v>
      </c>
      <c r="M450" s="47" t="s">
        <v>617</v>
      </c>
      <c r="N450" s="48">
        <v>1200</v>
      </c>
      <c r="O450" s="48">
        <v>1200</v>
      </c>
      <c r="P450" s="48">
        <v>1200</v>
      </c>
      <c r="Q450" s="48">
        <v>1200</v>
      </c>
      <c r="R450" s="48">
        <v>478</v>
      </c>
      <c r="S450" s="48">
        <v>478</v>
      </c>
      <c r="T450" s="48">
        <v>478</v>
      </c>
      <c r="U450" s="48">
        <v>478</v>
      </c>
      <c r="V450" s="48"/>
    </row>
    <row r="451" spans="2:22" ht="20" x14ac:dyDescent="0.25">
      <c r="B451" s="47" t="s">
        <v>622</v>
      </c>
      <c r="C451" s="47" t="s">
        <v>623</v>
      </c>
      <c r="D451" s="47" t="s">
        <v>616</v>
      </c>
      <c r="E451" s="47" t="s">
        <v>27</v>
      </c>
      <c r="F451" s="47" t="s">
        <v>624</v>
      </c>
      <c r="G451" s="47" t="s">
        <v>27</v>
      </c>
      <c r="H451" s="47">
        <v>70139</v>
      </c>
      <c r="I451" s="47">
        <v>73477</v>
      </c>
      <c r="J451" s="47" t="s">
        <v>28</v>
      </c>
      <c r="K451" s="47" t="s">
        <v>2152</v>
      </c>
      <c r="L451" s="47" t="s">
        <v>34</v>
      </c>
      <c r="M451" s="47" t="s">
        <v>617</v>
      </c>
      <c r="N451" s="48">
        <v>1200</v>
      </c>
      <c r="O451" s="47">
        <v>1549</v>
      </c>
      <c r="P451" s="47">
        <v>1486</v>
      </c>
      <c r="Q451" s="47">
        <v>1780</v>
      </c>
      <c r="R451" s="48">
        <v>478</v>
      </c>
      <c r="S451" s="47">
        <v>617</v>
      </c>
      <c r="T451" s="47">
        <v>592</v>
      </c>
      <c r="U451" s="47">
        <v>709</v>
      </c>
      <c r="V451" s="47"/>
    </row>
    <row r="452" spans="2:22" ht="20" x14ac:dyDescent="0.25">
      <c r="B452" s="47" t="s">
        <v>622</v>
      </c>
      <c r="C452" s="47" t="s">
        <v>623</v>
      </c>
      <c r="D452" s="47" t="s">
        <v>616</v>
      </c>
      <c r="E452" s="47" t="s">
        <v>27</v>
      </c>
      <c r="F452" s="47" t="s">
        <v>624</v>
      </c>
      <c r="G452" s="47" t="s">
        <v>27</v>
      </c>
      <c r="H452" s="47">
        <v>70139</v>
      </c>
      <c r="I452" s="47">
        <v>73477</v>
      </c>
      <c r="J452" s="47" t="s">
        <v>28</v>
      </c>
      <c r="K452" s="47" t="s">
        <v>2153</v>
      </c>
      <c r="L452" s="47" t="s">
        <v>34</v>
      </c>
      <c r="M452" s="47" t="s">
        <v>617</v>
      </c>
      <c r="N452" s="48">
        <v>1200</v>
      </c>
      <c r="O452" s="47">
        <v>1549</v>
      </c>
      <c r="P452" s="47">
        <v>1486</v>
      </c>
      <c r="Q452" s="47">
        <v>1780</v>
      </c>
      <c r="R452" s="48">
        <v>478</v>
      </c>
      <c r="S452" s="47">
        <v>617</v>
      </c>
      <c r="T452" s="47">
        <v>592</v>
      </c>
      <c r="U452" s="47">
        <v>709</v>
      </c>
      <c r="V452" s="47"/>
    </row>
    <row r="453" spans="2:22" ht="20" x14ac:dyDescent="0.25">
      <c r="B453" s="47" t="s">
        <v>622</v>
      </c>
      <c r="C453" s="47" t="s">
        <v>623</v>
      </c>
      <c r="D453" s="47" t="s">
        <v>616</v>
      </c>
      <c r="E453" s="47" t="s">
        <v>27</v>
      </c>
      <c r="F453" s="47" t="s">
        <v>624</v>
      </c>
      <c r="G453" s="47" t="s">
        <v>27</v>
      </c>
      <c r="H453" s="47">
        <v>70139</v>
      </c>
      <c r="I453" s="47">
        <v>73477</v>
      </c>
      <c r="J453" s="47" t="s">
        <v>28</v>
      </c>
      <c r="K453" s="47" t="s">
        <v>2151</v>
      </c>
      <c r="L453" s="47" t="s">
        <v>34</v>
      </c>
      <c r="M453" s="47" t="s">
        <v>617</v>
      </c>
      <c r="N453" s="48">
        <v>1200</v>
      </c>
      <c r="O453" s="47">
        <v>1549</v>
      </c>
      <c r="P453" s="47">
        <v>1486</v>
      </c>
      <c r="Q453" s="47">
        <v>1780</v>
      </c>
      <c r="R453" s="48">
        <v>478</v>
      </c>
      <c r="S453" s="47">
        <v>617</v>
      </c>
      <c r="T453" s="47">
        <v>592</v>
      </c>
      <c r="U453" s="47">
        <v>709</v>
      </c>
      <c r="V453" s="47"/>
    </row>
    <row r="454" spans="2:22" ht="34.5" x14ac:dyDescent="0.25">
      <c r="B454" s="44" t="s">
        <v>628</v>
      </c>
      <c r="C454" s="44" t="s">
        <v>629</v>
      </c>
      <c r="D454" s="44" t="s">
        <v>616</v>
      </c>
      <c r="E454" s="44" t="s">
        <v>27</v>
      </c>
      <c r="F454" s="44" t="s">
        <v>630</v>
      </c>
      <c r="G454" s="44" t="s">
        <v>27</v>
      </c>
      <c r="H454" s="44">
        <v>70139</v>
      </c>
      <c r="I454" s="44">
        <v>70278</v>
      </c>
      <c r="J454" s="44" t="s">
        <v>28</v>
      </c>
      <c r="K454" s="44" t="s">
        <v>628</v>
      </c>
      <c r="L454" s="44" t="s">
        <v>29</v>
      </c>
      <c r="M454" s="44"/>
      <c r="N454" s="45">
        <v>1200</v>
      </c>
      <c r="O454" s="45">
        <v>1200</v>
      </c>
      <c r="P454" s="45">
        <v>1200</v>
      </c>
      <c r="Q454" s="45">
        <v>1200</v>
      </c>
      <c r="R454" s="45">
        <v>478</v>
      </c>
      <c r="S454" s="45">
        <v>478</v>
      </c>
      <c r="T454" s="45">
        <v>478</v>
      </c>
      <c r="U454" s="45">
        <v>478</v>
      </c>
      <c r="V454" s="46"/>
    </row>
    <row r="455" spans="2:22" ht="20" x14ac:dyDescent="0.25">
      <c r="B455" s="47" t="s">
        <v>628</v>
      </c>
      <c r="C455" s="47" t="s">
        <v>629</v>
      </c>
      <c r="D455" s="47" t="s">
        <v>616</v>
      </c>
      <c r="E455" s="47" t="s">
        <v>27</v>
      </c>
      <c r="F455" s="47" t="s">
        <v>630</v>
      </c>
      <c r="G455" s="47" t="s">
        <v>27</v>
      </c>
      <c r="H455" s="47">
        <v>70139</v>
      </c>
      <c r="I455" s="47">
        <v>70278</v>
      </c>
      <c r="J455" s="47" t="s">
        <v>28</v>
      </c>
      <c r="K455" s="47" t="s">
        <v>2145</v>
      </c>
      <c r="L455" s="47" t="s">
        <v>39</v>
      </c>
      <c r="M455" s="47" t="s">
        <v>617</v>
      </c>
      <c r="N455" s="48">
        <v>1200</v>
      </c>
      <c r="O455" s="48">
        <v>1200</v>
      </c>
      <c r="P455" s="48">
        <v>1200</v>
      </c>
      <c r="Q455" s="48">
        <v>1200</v>
      </c>
      <c r="R455" s="48">
        <v>478</v>
      </c>
      <c r="S455" s="48">
        <v>478</v>
      </c>
      <c r="T455" s="48">
        <v>478</v>
      </c>
      <c r="U455" s="48">
        <v>478</v>
      </c>
      <c r="V455" s="48"/>
    </row>
    <row r="456" spans="2:22" ht="20" x14ac:dyDescent="0.25">
      <c r="B456" s="47" t="s">
        <v>628</v>
      </c>
      <c r="C456" s="47" t="s">
        <v>629</v>
      </c>
      <c r="D456" s="47" t="s">
        <v>616</v>
      </c>
      <c r="E456" s="47" t="s">
        <v>27</v>
      </c>
      <c r="F456" s="47" t="s">
        <v>630</v>
      </c>
      <c r="G456" s="47" t="s">
        <v>27</v>
      </c>
      <c r="H456" s="47">
        <v>70139</v>
      </c>
      <c r="I456" s="47">
        <v>70278</v>
      </c>
      <c r="J456" s="47" t="s">
        <v>28</v>
      </c>
      <c r="K456" s="47" t="s">
        <v>2157</v>
      </c>
      <c r="L456" s="47" t="s">
        <v>39</v>
      </c>
      <c r="M456" s="47" t="s">
        <v>617</v>
      </c>
      <c r="N456" s="48">
        <v>1200</v>
      </c>
      <c r="O456" s="48">
        <v>1200</v>
      </c>
      <c r="P456" s="48">
        <v>1200</v>
      </c>
      <c r="Q456" s="48">
        <v>1200</v>
      </c>
      <c r="R456" s="48">
        <v>478</v>
      </c>
      <c r="S456" s="48">
        <v>478</v>
      </c>
      <c r="T456" s="48">
        <v>478</v>
      </c>
      <c r="U456" s="48">
        <v>478</v>
      </c>
      <c r="V456" s="48"/>
    </row>
    <row r="457" spans="2:22" ht="20" x14ac:dyDescent="0.25">
      <c r="B457" s="47" t="s">
        <v>628</v>
      </c>
      <c r="C457" s="47" t="s">
        <v>629</v>
      </c>
      <c r="D457" s="47" t="s">
        <v>616</v>
      </c>
      <c r="E457" s="47" t="s">
        <v>27</v>
      </c>
      <c r="F457" s="47" t="s">
        <v>630</v>
      </c>
      <c r="G457" s="47" t="s">
        <v>27</v>
      </c>
      <c r="H457" s="47">
        <v>70139</v>
      </c>
      <c r="I457" s="47">
        <v>70278</v>
      </c>
      <c r="J457" s="47" t="s">
        <v>28</v>
      </c>
      <c r="K457" s="47" t="s">
        <v>2144</v>
      </c>
      <c r="L457" s="47" t="s">
        <v>39</v>
      </c>
      <c r="M457" s="47" t="s">
        <v>617</v>
      </c>
      <c r="N457" s="48">
        <v>1200</v>
      </c>
      <c r="O457" s="48">
        <v>1200</v>
      </c>
      <c r="P457" s="48">
        <v>1200</v>
      </c>
      <c r="Q457" s="48">
        <v>1200</v>
      </c>
      <c r="R457" s="48">
        <v>478</v>
      </c>
      <c r="S457" s="48">
        <v>478</v>
      </c>
      <c r="T457" s="48">
        <v>478</v>
      </c>
      <c r="U457" s="48">
        <v>478</v>
      </c>
      <c r="V457" s="48"/>
    </row>
    <row r="458" spans="2:22" ht="30" x14ac:dyDescent="0.25">
      <c r="B458" s="47" t="s">
        <v>628</v>
      </c>
      <c r="C458" s="47" t="s">
        <v>629</v>
      </c>
      <c r="D458" s="47" t="s">
        <v>616</v>
      </c>
      <c r="E458" s="47" t="s">
        <v>27</v>
      </c>
      <c r="F458" s="47" t="s">
        <v>630</v>
      </c>
      <c r="G458" s="47" t="s">
        <v>27</v>
      </c>
      <c r="H458" s="47">
        <v>70139</v>
      </c>
      <c r="I458" s="47">
        <v>70278</v>
      </c>
      <c r="J458" s="47" t="s">
        <v>28</v>
      </c>
      <c r="K458" s="47" t="s">
        <v>2406</v>
      </c>
      <c r="L458" s="47" t="s">
        <v>36</v>
      </c>
      <c r="M458" s="47" t="s">
        <v>617</v>
      </c>
      <c r="N458" s="48">
        <v>1200</v>
      </c>
      <c r="O458" s="48">
        <v>1200</v>
      </c>
      <c r="P458" s="48">
        <v>1200</v>
      </c>
      <c r="Q458" s="48">
        <v>1200</v>
      </c>
      <c r="R458" s="48">
        <v>478</v>
      </c>
      <c r="S458" s="48">
        <v>478</v>
      </c>
      <c r="T458" s="48">
        <v>478</v>
      </c>
      <c r="U458" s="48">
        <v>478</v>
      </c>
      <c r="V458" s="48"/>
    </row>
    <row r="459" spans="2:22" ht="30" x14ac:dyDescent="0.25">
      <c r="B459" s="47" t="s">
        <v>628</v>
      </c>
      <c r="C459" s="47" t="s">
        <v>629</v>
      </c>
      <c r="D459" s="47" t="s">
        <v>616</v>
      </c>
      <c r="E459" s="47" t="s">
        <v>27</v>
      </c>
      <c r="F459" s="47" t="s">
        <v>630</v>
      </c>
      <c r="G459" s="47" t="s">
        <v>27</v>
      </c>
      <c r="H459" s="47">
        <v>70139</v>
      </c>
      <c r="I459" s="47">
        <v>70278</v>
      </c>
      <c r="J459" s="47" t="s">
        <v>28</v>
      </c>
      <c r="K459" s="47" t="s">
        <v>2405</v>
      </c>
      <c r="L459" s="47" t="s">
        <v>36</v>
      </c>
      <c r="M459" s="47" t="s">
        <v>617</v>
      </c>
      <c r="N459" s="48">
        <v>1200</v>
      </c>
      <c r="O459" s="48">
        <v>1200</v>
      </c>
      <c r="P459" s="48">
        <v>1200</v>
      </c>
      <c r="Q459" s="48">
        <v>1200</v>
      </c>
      <c r="R459" s="48">
        <v>478</v>
      </c>
      <c r="S459" s="48">
        <v>478</v>
      </c>
      <c r="T459" s="48">
        <v>478</v>
      </c>
      <c r="U459" s="48">
        <v>478</v>
      </c>
      <c r="V459" s="48"/>
    </row>
    <row r="460" spans="2:22" ht="20" x14ac:dyDescent="0.25">
      <c r="B460" s="47" t="s">
        <v>628</v>
      </c>
      <c r="C460" s="47" t="s">
        <v>629</v>
      </c>
      <c r="D460" s="47" t="s">
        <v>616</v>
      </c>
      <c r="E460" s="47" t="s">
        <v>27</v>
      </c>
      <c r="F460" s="47" t="s">
        <v>630</v>
      </c>
      <c r="G460" s="47" t="s">
        <v>27</v>
      </c>
      <c r="H460" s="47">
        <v>70139</v>
      </c>
      <c r="I460" s="47">
        <v>70278</v>
      </c>
      <c r="J460" s="47" t="s">
        <v>28</v>
      </c>
      <c r="K460" s="47" t="s">
        <v>2154</v>
      </c>
      <c r="L460" s="47" t="s">
        <v>39</v>
      </c>
      <c r="M460" s="47" t="s">
        <v>617</v>
      </c>
      <c r="N460" s="48">
        <v>1200</v>
      </c>
      <c r="O460" s="48">
        <v>1200</v>
      </c>
      <c r="P460" s="48">
        <v>1200</v>
      </c>
      <c r="Q460" s="48">
        <v>1200</v>
      </c>
      <c r="R460" s="48">
        <v>478</v>
      </c>
      <c r="S460" s="48">
        <v>478</v>
      </c>
      <c r="T460" s="48">
        <v>478</v>
      </c>
      <c r="U460" s="48">
        <v>478</v>
      </c>
      <c r="V460" s="48"/>
    </row>
    <row r="461" spans="2:22" ht="20" x14ac:dyDescent="0.25">
      <c r="B461" s="47" t="s">
        <v>628</v>
      </c>
      <c r="C461" s="47" t="s">
        <v>629</v>
      </c>
      <c r="D461" s="47" t="s">
        <v>616</v>
      </c>
      <c r="E461" s="47" t="s">
        <v>27</v>
      </c>
      <c r="F461" s="47" t="s">
        <v>630</v>
      </c>
      <c r="G461" s="47" t="s">
        <v>27</v>
      </c>
      <c r="H461" s="47">
        <v>70139</v>
      </c>
      <c r="I461" s="47">
        <v>70278</v>
      </c>
      <c r="J461" s="47" t="s">
        <v>28</v>
      </c>
      <c r="K461" s="47" t="s">
        <v>2155</v>
      </c>
      <c r="L461" s="47" t="s">
        <v>39</v>
      </c>
      <c r="M461" s="47" t="s">
        <v>617</v>
      </c>
      <c r="N461" s="48">
        <v>1200</v>
      </c>
      <c r="O461" s="48">
        <v>1200</v>
      </c>
      <c r="P461" s="48">
        <v>1200</v>
      </c>
      <c r="Q461" s="48">
        <v>1200</v>
      </c>
      <c r="R461" s="48">
        <v>478</v>
      </c>
      <c r="S461" s="48">
        <v>478</v>
      </c>
      <c r="T461" s="48">
        <v>478</v>
      </c>
      <c r="U461" s="48">
        <v>478</v>
      </c>
      <c r="V461" s="48"/>
    </row>
    <row r="462" spans="2:22" ht="20" x14ac:dyDescent="0.25">
      <c r="B462" s="47" t="s">
        <v>628</v>
      </c>
      <c r="C462" s="47" t="s">
        <v>629</v>
      </c>
      <c r="D462" s="47" t="s">
        <v>616</v>
      </c>
      <c r="E462" s="47" t="s">
        <v>27</v>
      </c>
      <c r="F462" s="47" t="s">
        <v>630</v>
      </c>
      <c r="G462" s="47" t="s">
        <v>27</v>
      </c>
      <c r="H462" s="47">
        <v>70139</v>
      </c>
      <c r="I462" s="47">
        <v>70278</v>
      </c>
      <c r="J462" s="47" t="s">
        <v>28</v>
      </c>
      <c r="K462" s="47" t="s">
        <v>2146</v>
      </c>
      <c r="L462" s="47" t="s">
        <v>39</v>
      </c>
      <c r="M462" s="47" t="s">
        <v>617</v>
      </c>
      <c r="N462" s="48">
        <v>1200</v>
      </c>
      <c r="O462" s="48">
        <v>1200</v>
      </c>
      <c r="P462" s="48">
        <v>1200</v>
      </c>
      <c r="Q462" s="48">
        <v>1200</v>
      </c>
      <c r="R462" s="48">
        <v>478</v>
      </c>
      <c r="S462" s="48">
        <v>478</v>
      </c>
      <c r="T462" s="48">
        <v>478</v>
      </c>
      <c r="U462" s="48">
        <v>478</v>
      </c>
      <c r="V462" s="48"/>
    </row>
    <row r="463" spans="2:22" ht="30" x14ac:dyDescent="0.25">
      <c r="B463" s="47" t="s">
        <v>628</v>
      </c>
      <c r="C463" s="47" t="s">
        <v>629</v>
      </c>
      <c r="D463" s="47" t="s">
        <v>616</v>
      </c>
      <c r="E463" s="47" t="s">
        <v>27</v>
      </c>
      <c r="F463" s="47" t="s">
        <v>630</v>
      </c>
      <c r="G463" s="47" t="s">
        <v>27</v>
      </c>
      <c r="H463" s="47">
        <v>70139</v>
      </c>
      <c r="I463" s="47">
        <v>70278</v>
      </c>
      <c r="J463" s="47" t="s">
        <v>28</v>
      </c>
      <c r="K463" s="47" t="s">
        <v>2403</v>
      </c>
      <c r="L463" s="47" t="s">
        <v>36</v>
      </c>
      <c r="M463" s="47" t="s">
        <v>617</v>
      </c>
      <c r="N463" s="48">
        <v>1200</v>
      </c>
      <c r="O463" s="48">
        <v>1200</v>
      </c>
      <c r="P463" s="48">
        <v>1200</v>
      </c>
      <c r="Q463" s="48">
        <v>1200</v>
      </c>
      <c r="R463" s="48">
        <v>478</v>
      </c>
      <c r="S463" s="48">
        <v>478</v>
      </c>
      <c r="T463" s="48">
        <v>478</v>
      </c>
      <c r="U463" s="48">
        <v>478</v>
      </c>
      <c r="V463" s="48"/>
    </row>
    <row r="464" spans="2:22" ht="20" x14ac:dyDescent="0.25">
      <c r="B464" s="47" t="s">
        <v>628</v>
      </c>
      <c r="C464" s="47" t="s">
        <v>629</v>
      </c>
      <c r="D464" s="47" t="s">
        <v>616</v>
      </c>
      <c r="E464" s="47" t="s">
        <v>27</v>
      </c>
      <c r="F464" s="47" t="s">
        <v>630</v>
      </c>
      <c r="G464" s="47" t="s">
        <v>27</v>
      </c>
      <c r="H464" s="47">
        <v>70139</v>
      </c>
      <c r="I464" s="47">
        <v>70278</v>
      </c>
      <c r="J464" s="47" t="s">
        <v>28</v>
      </c>
      <c r="K464" s="47" t="s">
        <v>2150</v>
      </c>
      <c r="L464" s="47" t="s">
        <v>39</v>
      </c>
      <c r="M464" s="47" t="s">
        <v>617</v>
      </c>
      <c r="N464" s="48">
        <v>1200</v>
      </c>
      <c r="O464" s="48">
        <v>1200</v>
      </c>
      <c r="P464" s="48">
        <v>1200</v>
      </c>
      <c r="Q464" s="48">
        <v>1200</v>
      </c>
      <c r="R464" s="48">
        <v>478</v>
      </c>
      <c r="S464" s="48">
        <v>478</v>
      </c>
      <c r="T464" s="48">
        <v>478</v>
      </c>
      <c r="U464" s="48">
        <v>478</v>
      </c>
      <c r="V464" s="48"/>
    </row>
    <row r="465" spans="2:22" ht="30" x14ac:dyDescent="0.25">
      <c r="B465" s="47" t="s">
        <v>628</v>
      </c>
      <c r="C465" s="47" t="s">
        <v>629</v>
      </c>
      <c r="D465" s="47" t="s">
        <v>616</v>
      </c>
      <c r="E465" s="47" t="s">
        <v>27</v>
      </c>
      <c r="F465" s="47" t="s">
        <v>630</v>
      </c>
      <c r="G465" s="47" t="s">
        <v>27</v>
      </c>
      <c r="H465" s="47">
        <v>70139</v>
      </c>
      <c r="I465" s="47">
        <v>70278</v>
      </c>
      <c r="J465" s="47" t="s">
        <v>28</v>
      </c>
      <c r="K465" s="47" t="s">
        <v>2407</v>
      </c>
      <c r="L465" s="47" t="s">
        <v>36</v>
      </c>
      <c r="M465" s="47" t="s">
        <v>617</v>
      </c>
      <c r="N465" s="48">
        <v>1200</v>
      </c>
      <c r="O465" s="48">
        <v>1200</v>
      </c>
      <c r="P465" s="48">
        <v>1200</v>
      </c>
      <c r="Q465" s="48">
        <v>1200</v>
      </c>
      <c r="R465" s="48">
        <v>478</v>
      </c>
      <c r="S465" s="48">
        <v>478</v>
      </c>
      <c r="T465" s="48">
        <v>478</v>
      </c>
      <c r="U465" s="48">
        <v>478</v>
      </c>
      <c r="V465" s="48"/>
    </row>
    <row r="466" spans="2:22" ht="30" x14ac:dyDescent="0.25">
      <c r="B466" s="47" t="s">
        <v>628</v>
      </c>
      <c r="C466" s="47" t="s">
        <v>629</v>
      </c>
      <c r="D466" s="47" t="s">
        <v>616</v>
      </c>
      <c r="E466" s="47" t="s">
        <v>27</v>
      </c>
      <c r="F466" s="47" t="s">
        <v>630</v>
      </c>
      <c r="G466" s="47" t="s">
        <v>27</v>
      </c>
      <c r="H466" s="47">
        <v>70139</v>
      </c>
      <c r="I466" s="47">
        <v>70278</v>
      </c>
      <c r="J466" s="47" t="s">
        <v>28</v>
      </c>
      <c r="K466" s="47" t="s">
        <v>2404</v>
      </c>
      <c r="L466" s="47" t="s">
        <v>36</v>
      </c>
      <c r="M466" s="47" t="s">
        <v>617</v>
      </c>
      <c r="N466" s="48">
        <v>1200</v>
      </c>
      <c r="O466" s="48">
        <v>1200</v>
      </c>
      <c r="P466" s="48">
        <v>1200</v>
      </c>
      <c r="Q466" s="48">
        <v>1200</v>
      </c>
      <c r="R466" s="48">
        <v>478</v>
      </c>
      <c r="S466" s="48">
        <v>478</v>
      </c>
      <c r="T466" s="48">
        <v>478</v>
      </c>
      <c r="U466" s="48">
        <v>478</v>
      </c>
      <c r="V466" s="48"/>
    </row>
    <row r="467" spans="2:22" ht="30" x14ac:dyDescent="0.25">
      <c r="B467" s="47" t="s">
        <v>628</v>
      </c>
      <c r="C467" s="47" t="s">
        <v>629</v>
      </c>
      <c r="D467" s="47" t="s">
        <v>616</v>
      </c>
      <c r="E467" s="47" t="s">
        <v>27</v>
      </c>
      <c r="F467" s="47" t="s">
        <v>630</v>
      </c>
      <c r="G467" s="47" t="s">
        <v>27</v>
      </c>
      <c r="H467" s="47">
        <v>70139</v>
      </c>
      <c r="I467" s="47">
        <v>70278</v>
      </c>
      <c r="J467" s="47" t="s">
        <v>28</v>
      </c>
      <c r="K467" s="47" t="s">
        <v>2408</v>
      </c>
      <c r="L467" s="47" t="s">
        <v>36</v>
      </c>
      <c r="M467" s="47" t="s">
        <v>617</v>
      </c>
      <c r="N467" s="48">
        <v>1200</v>
      </c>
      <c r="O467" s="48">
        <v>1200</v>
      </c>
      <c r="P467" s="48">
        <v>1200</v>
      </c>
      <c r="Q467" s="48">
        <v>1200</v>
      </c>
      <c r="R467" s="48">
        <v>478</v>
      </c>
      <c r="S467" s="48">
        <v>478</v>
      </c>
      <c r="T467" s="48">
        <v>478</v>
      </c>
      <c r="U467" s="48">
        <v>478</v>
      </c>
      <c r="V467" s="48"/>
    </row>
    <row r="468" spans="2:22" ht="20" x14ac:dyDescent="0.25">
      <c r="B468" s="47" t="s">
        <v>628</v>
      </c>
      <c r="C468" s="47" t="s">
        <v>629</v>
      </c>
      <c r="D468" s="47" t="s">
        <v>616</v>
      </c>
      <c r="E468" s="47" t="s">
        <v>27</v>
      </c>
      <c r="F468" s="47" t="s">
        <v>630</v>
      </c>
      <c r="G468" s="47" t="s">
        <v>27</v>
      </c>
      <c r="H468" s="47">
        <v>70139</v>
      </c>
      <c r="I468" s="47">
        <v>70278</v>
      </c>
      <c r="J468" s="47" t="s">
        <v>28</v>
      </c>
      <c r="K468" s="47" t="s">
        <v>2156</v>
      </c>
      <c r="L468" s="47" t="s">
        <v>39</v>
      </c>
      <c r="M468" s="47" t="s">
        <v>617</v>
      </c>
      <c r="N468" s="48">
        <v>1200</v>
      </c>
      <c r="O468" s="48">
        <v>1200</v>
      </c>
      <c r="P468" s="48">
        <v>1200</v>
      </c>
      <c r="Q468" s="48">
        <v>1200</v>
      </c>
      <c r="R468" s="48">
        <v>478</v>
      </c>
      <c r="S468" s="48">
        <v>478</v>
      </c>
      <c r="T468" s="48">
        <v>478</v>
      </c>
      <c r="U468" s="48">
        <v>478</v>
      </c>
      <c r="V468" s="48"/>
    </row>
    <row r="469" spans="2:22" ht="20" x14ac:dyDescent="0.25">
      <c r="B469" s="47" t="s">
        <v>628</v>
      </c>
      <c r="C469" s="47" t="s">
        <v>629</v>
      </c>
      <c r="D469" s="47" t="s">
        <v>616</v>
      </c>
      <c r="E469" s="47" t="s">
        <v>27</v>
      </c>
      <c r="F469" s="47" t="s">
        <v>630</v>
      </c>
      <c r="G469" s="47" t="s">
        <v>27</v>
      </c>
      <c r="H469" s="47">
        <v>70139</v>
      </c>
      <c r="I469" s="47">
        <v>70278</v>
      </c>
      <c r="J469" s="47" t="s">
        <v>28</v>
      </c>
      <c r="K469" s="47" t="s">
        <v>2152</v>
      </c>
      <c r="L469" s="47" t="s">
        <v>34</v>
      </c>
      <c r="M469" s="47" t="s">
        <v>617</v>
      </c>
      <c r="N469" s="48">
        <v>1200</v>
      </c>
      <c r="O469" s="47">
        <v>1549</v>
      </c>
      <c r="P469" s="47">
        <v>1486</v>
      </c>
      <c r="Q469" s="47">
        <v>1780</v>
      </c>
      <c r="R469" s="48">
        <v>478</v>
      </c>
      <c r="S469" s="47">
        <v>617</v>
      </c>
      <c r="T469" s="47">
        <v>592</v>
      </c>
      <c r="U469" s="47">
        <v>709</v>
      </c>
      <c r="V469" s="47"/>
    </row>
    <row r="470" spans="2:22" ht="20" x14ac:dyDescent="0.25">
      <c r="B470" s="47" t="s">
        <v>628</v>
      </c>
      <c r="C470" s="47" t="s">
        <v>629</v>
      </c>
      <c r="D470" s="47" t="s">
        <v>616</v>
      </c>
      <c r="E470" s="47" t="s">
        <v>27</v>
      </c>
      <c r="F470" s="47" t="s">
        <v>630</v>
      </c>
      <c r="G470" s="47" t="s">
        <v>27</v>
      </c>
      <c r="H470" s="47">
        <v>70139</v>
      </c>
      <c r="I470" s="47">
        <v>70278</v>
      </c>
      <c r="J470" s="47" t="s">
        <v>28</v>
      </c>
      <c r="K470" s="47" t="s">
        <v>2153</v>
      </c>
      <c r="L470" s="47" t="s">
        <v>34</v>
      </c>
      <c r="M470" s="47" t="s">
        <v>617</v>
      </c>
      <c r="N470" s="48">
        <v>1200</v>
      </c>
      <c r="O470" s="47">
        <v>1549</v>
      </c>
      <c r="P470" s="47">
        <v>1486</v>
      </c>
      <c r="Q470" s="47">
        <v>1780</v>
      </c>
      <c r="R470" s="48">
        <v>478</v>
      </c>
      <c r="S470" s="47">
        <v>617</v>
      </c>
      <c r="T470" s="47">
        <v>592</v>
      </c>
      <c r="U470" s="47">
        <v>709</v>
      </c>
      <c r="V470" s="47"/>
    </row>
    <row r="471" spans="2:22" ht="20" x14ac:dyDescent="0.25">
      <c r="B471" s="47" t="s">
        <v>628</v>
      </c>
      <c r="C471" s="47" t="s">
        <v>629</v>
      </c>
      <c r="D471" s="47" t="s">
        <v>616</v>
      </c>
      <c r="E471" s="47" t="s">
        <v>27</v>
      </c>
      <c r="F471" s="47" t="s">
        <v>630</v>
      </c>
      <c r="G471" s="47" t="s">
        <v>27</v>
      </c>
      <c r="H471" s="47">
        <v>70139</v>
      </c>
      <c r="I471" s="47">
        <v>70278</v>
      </c>
      <c r="J471" s="47" t="s">
        <v>28</v>
      </c>
      <c r="K471" s="47" t="s">
        <v>2159</v>
      </c>
      <c r="L471" s="47" t="s">
        <v>34</v>
      </c>
      <c r="M471" s="47" t="s">
        <v>617</v>
      </c>
      <c r="N471" s="48">
        <v>1200</v>
      </c>
      <c r="O471" s="47">
        <v>1549</v>
      </c>
      <c r="P471" s="47">
        <v>1486</v>
      </c>
      <c r="Q471" s="47">
        <v>1780</v>
      </c>
      <c r="R471" s="48">
        <v>478</v>
      </c>
      <c r="S471" s="47">
        <v>617</v>
      </c>
      <c r="T471" s="47">
        <v>592</v>
      </c>
      <c r="U471" s="47">
        <v>709</v>
      </c>
      <c r="V471" s="47"/>
    </row>
    <row r="472" spans="2:22" ht="20" x14ac:dyDescent="0.25">
      <c r="B472" s="47" t="s">
        <v>628</v>
      </c>
      <c r="C472" s="47" t="s">
        <v>629</v>
      </c>
      <c r="D472" s="47" t="s">
        <v>616</v>
      </c>
      <c r="E472" s="47" t="s">
        <v>27</v>
      </c>
      <c r="F472" s="47" t="s">
        <v>630</v>
      </c>
      <c r="G472" s="47" t="s">
        <v>27</v>
      </c>
      <c r="H472" s="47">
        <v>70139</v>
      </c>
      <c r="I472" s="47">
        <v>70278</v>
      </c>
      <c r="J472" s="47" t="s">
        <v>28</v>
      </c>
      <c r="K472" s="47" t="s">
        <v>2158</v>
      </c>
      <c r="L472" s="47" t="s">
        <v>34</v>
      </c>
      <c r="M472" s="47" t="s">
        <v>617</v>
      </c>
      <c r="N472" s="48">
        <v>1200</v>
      </c>
      <c r="O472" s="47">
        <v>1549</v>
      </c>
      <c r="P472" s="47">
        <v>1486</v>
      </c>
      <c r="Q472" s="47">
        <v>1780</v>
      </c>
      <c r="R472" s="48">
        <v>478</v>
      </c>
      <c r="S472" s="47">
        <v>617</v>
      </c>
      <c r="T472" s="47">
        <v>592</v>
      </c>
      <c r="U472" s="47">
        <v>709</v>
      </c>
      <c r="V472" s="47"/>
    </row>
    <row r="473" spans="2:22" ht="34.5" x14ac:dyDescent="0.25">
      <c r="B473" s="94" t="s">
        <v>634</v>
      </c>
      <c r="C473" s="44" t="s">
        <v>635</v>
      </c>
      <c r="D473" s="44" t="s">
        <v>616</v>
      </c>
      <c r="E473" s="44" t="s">
        <v>27</v>
      </c>
      <c r="F473" s="44" t="s">
        <v>636</v>
      </c>
      <c r="G473" s="44" t="s">
        <v>27</v>
      </c>
      <c r="H473" s="44">
        <v>70139</v>
      </c>
      <c r="I473" s="44">
        <v>70623</v>
      </c>
      <c r="J473" s="44" t="s">
        <v>28</v>
      </c>
      <c r="K473" s="44" t="s">
        <v>634</v>
      </c>
      <c r="L473" s="44" t="s">
        <v>29</v>
      </c>
      <c r="M473" s="44"/>
      <c r="N473" s="97">
        <v>1854</v>
      </c>
      <c r="O473" s="45">
        <v>1980</v>
      </c>
      <c r="P473" s="97">
        <v>2091</v>
      </c>
      <c r="Q473" s="97">
        <v>2091</v>
      </c>
      <c r="R473" s="97">
        <v>739</v>
      </c>
      <c r="S473" s="45">
        <v>789</v>
      </c>
      <c r="T473" s="97">
        <v>833</v>
      </c>
      <c r="U473" s="97">
        <v>833</v>
      </c>
      <c r="V473" s="46"/>
    </row>
    <row r="474" spans="2:22" ht="20" x14ac:dyDescent="0.25">
      <c r="B474" s="96" t="s">
        <v>634</v>
      </c>
      <c r="C474" s="96" t="s">
        <v>635</v>
      </c>
      <c r="D474" s="96" t="s">
        <v>616</v>
      </c>
      <c r="E474" s="96" t="s">
        <v>27</v>
      </c>
      <c r="F474" s="96" t="s">
        <v>636</v>
      </c>
      <c r="G474" s="96" t="s">
        <v>27</v>
      </c>
      <c r="H474" s="96">
        <v>70139</v>
      </c>
      <c r="I474" s="96">
        <v>70623</v>
      </c>
      <c r="J474" s="96" t="s">
        <v>28</v>
      </c>
      <c r="K474" s="96" t="s">
        <v>634</v>
      </c>
      <c r="L474" s="96" t="s">
        <v>30</v>
      </c>
      <c r="M474" s="96" t="s">
        <v>635</v>
      </c>
      <c r="N474" s="95">
        <v>1854</v>
      </c>
      <c r="O474" s="96">
        <v>2039</v>
      </c>
      <c r="P474" s="96">
        <v>2101</v>
      </c>
      <c r="Q474" s="96">
        <v>2311</v>
      </c>
      <c r="R474" s="95">
        <v>739</v>
      </c>
      <c r="S474" s="96">
        <v>812</v>
      </c>
      <c r="T474" s="96">
        <v>837</v>
      </c>
      <c r="U474" s="96">
        <v>921</v>
      </c>
      <c r="V474" s="96"/>
    </row>
    <row r="475" spans="2:22" ht="20" x14ac:dyDescent="0.25">
      <c r="B475" s="47" t="s">
        <v>634</v>
      </c>
      <c r="C475" s="47" t="s">
        <v>635</v>
      </c>
      <c r="D475" s="47" t="s">
        <v>616</v>
      </c>
      <c r="E475" s="47" t="s">
        <v>27</v>
      </c>
      <c r="F475" s="47" t="s">
        <v>636</v>
      </c>
      <c r="G475" s="47" t="s">
        <v>27</v>
      </c>
      <c r="H475" s="47">
        <v>70139</v>
      </c>
      <c r="I475" s="47">
        <v>70623</v>
      </c>
      <c r="J475" s="47" t="s">
        <v>28</v>
      </c>
      <c r="K475" s="47"/>
      <c r="L475" s="47" t="s">
        <v>301</v>
      </c>
      <c r="M475" s="47" t="s">
        <v>617</v>
      </c>
      <c r="N475" s="47">
        <v>1980</v>
      </c>
      <c r="O475" s="48">
        <v>1980</v>
      </c>
      <c r="P475" s="48">
        <v>2091</v>
      </c>
      <c r="Q475" s="48">
        <v>2091</v>
      </c>
      <c r="R475" s="47">
        <v>789</v>
      </c>
      <c r="S475" s="48">
        <v>789</v>
      </c>
      <c r="T475" s="48">
        <v>833</v>
      </c>
      <c r="U475" s="48">
        <v>833</v>
      </c>
      <c r="V475" s="48"/>
    </row>
    <row r="476" spans="2:22" ht="20" x14ac:dyDescent="0.25">
      <c r="B476" s="47" t="s">
        <v>634</v>
      </c>
      <c r="C476" s="47" t="s">
        <v>635</v>
      </c>
      <c r="D476" s="47" t="s">
        <v>616</v>
      </c>
      <c r="E476" s="47" t="s">
        <v>27</v>
      </c>
      <c r="F476" s="47" t="s">
        <v>636</v>
      </c>
      <c r="G476" s="47" t="s">
        <v>27</v>
      </c>
      <c r="H476" s="47">
        <v>70139</v>
      </c>
      <c r="I476" s="47">
        <v>70623</v>
      </c>
      <c r="J476" s="47" t="s">
        <v>28</v>
      </c>
      <c r="K476" s="47"/>
      <c r="L476" s="47" t="s">
        <v>301</v>
      </c>
      <c r="M476" s="47" t="s">
        <v>640</v>
      </c>
      <c r="N476" s="47">
        <v>1980</v>
      </c>
      <c r="O476" s="48">
        <v>1980</v>
      </c>
      <c r="P476" s="48">
        <v>2091</v>
      </c>
      <c r="Q476" s="48">
        <v>2091</v>
      </c>
      <c r="R476" s="47">
        <v>789</v>
      </c>
      <c r="S476" s="48">
        <v>789</v>
      </c>
      <c r="T476" s="48">
        <v>833</v>
      </c>
      <c r="U476" s="48">
        <v>833</v>
      </c>
      <c r="V476" s="48"/>
    </row>
    <row r="477" spans="2:22" ht="34.5" x14ac:dyDescent="0.25">
      <c r="B477" s="44" t="s">
        <v>1845</v>
      </c>
      <c r="C477" s="44" t="s">
        <v>1846</v>
      </c>
      <c r="D477" s="44" t="s">
        <v>616</v>
      </c>
      <c r="E477" s="44" t="s">
        <v>27</v>
      </c>
      <c r="F477" s="44" t="s">
        <v>636</v>
      </c>
      <c r="G477" s="44" t="s">
        <v>27</v>
      </c>
      <c r="H477" s="44">
        <v>70601</v>
      </c>
      <c r="I477" s="44">
        <v>70624</v>
      </c>
      <c r="J477" s="44" t="s">
        <v>28</v>
      </c>
      <c r="K477" s="44" t="s">
        <v>1845</v>
      </c>
      <c r="L477" s="44" t="s">
        <v>29</v>
      </c>
      <c r="M477" s="44"/>
      <c r="N477" s="45">
        <v>2425</v>
      </c>
      <c r="O477" s="45">
        <v>2838</v>
      </c>
      <c r="P477" s="45">
        <v>2897</v>
      </c>
      <c r="Q477" s="45">
        <v>3000</v>
      </c>
      <c r="R477" s="45">
        <v>1449</v>
      </c>
      <c r="S477" s="45">
        <v>1696</v>
      </c>
      <c r="T477" s="45">
        <v>1731</v>
      </c>
      <c r="U477" s="45">
        <v>1793</v>
      </c>
      <c r="V477" s="46"/>
    </row>
    <row r="478" spans="2:22" ht="20" x14ac:dyDescent="0.25">
      <c r="B478" s="47" t="s">
        <v>1845</v>
      </c>
      <c r="C478" s="47" t="s">
        <v>1846</v>
      </c>
      <c r="D478" s="47" t="s">
        <v>616</v>
      </c>
      <c r="E478" s="47" t="s">
        <v>27</v>
      </c>
      <c r="F478" s="47" t="s">
        <v>636</v>
      </c>
      <c r="G478" s="47" t="s">
        <v>27</v>
      </c>
      <c r="H478" s="47">
        <v>70601</v>
      </c>
      <c r="I478" s="47">
        <v>70624</v>
      </c>
      <c r="J478" s="47" t="s">
        <v>28</v>
      </c>
      <c r="K478" s="47" t="s">
        <v>388</v>
      </c>
      <c r="L478" s="47" t="s">
        <v>31</v>
      </c>
      <c r="M478" s="47" t="s">
        <v>640</v>
      </c>
      <c r="N478" s="48">
        <v>2425</v>
      </c>
      <c r="O478" s="48">
        <v>2838</v>
      </c>
      <c r="P478" s="48">
        <v>2897</v>
      </c>
      <c r="Q478" s="47">
        <v>3233</v>
      </c>
      <c r="R478" s="48">
        <v>1449</v>
      </c>
      <c r="S478" s="48">
        <v>1696</v>
      </c>
      <c r="T478" s="48">
        <v>1731</v>
      </c>
      <c r="U478" s="47">
        <v>1932</v>
      </c>
      <c r="V478" s="47"/>
    </row>
    <row r="479" spans="2:22" ht="20" x14ac:dyDescent="0.25">
      <c r="B479" s="47" t="s">
        <v>1845</v>
      </c>
      <c r="C479" s="47" t="s">
        <v>1846</v>
      </c>
      <c r="D479" s="47" t="s">
        <v>616</v>
      </c>
      <c r="E479" s="47" t="s">
        <v>27</v>
      </c>
      <c r="F479" s="47" t="s">
        <v>636</v>
      </c>
      <c r="G479" s="47" t="s">
        <v>27</v>
      </c>
      <c r="H479" s="47">
        <v>70601</v>
      </c>
      <c r="I479" s="47">
        <v>70624</v>
      </c>
      <c r="J479" s="47" t="s">
        <v>28</v>
      </c>
      <c r="K479" s="47" t="s">
        <v>1846</v>
      </c>
      <c r="L479" s="47" t="s">
        <v>49</v>
      </c>
      <c r="M479" s="47" t="s">
        <v>640</v>
      </c>
      <c r="N479" s="47">
        <v>3000</v>
      </c>
      <c r="O479" s="47">
        <v>3000</v>
      </c>
      <c r="P479" s="47">
        <v>3000</v>
      </c>
      <c r="Q479" s="48">
        <v>3000</v>
      </c>
      <c r="R479" s="47">
        <v>1793</v>
      </c>
      <c r="S479" s="47">
        <v>1793</v>
      </c>
      <c r="T479" s="47">
        <v>1793</v>
      </c>
      <c r="U479" s="48">
        <v>1793</v>
      </c>
      <c r="V479" s="48"/>
    </row>
    <row r="480" spans="2:22" ht="20" x14ac:dyDescent="0.25">
      <c r="B480" s="47" t="s">
        <v>1845</v>
      </c>
      <c r="C480" s="47" t="s">
        <v>1846</v>
      </c>
      <c r="D480" s="47" t="s">
        <v>616</v>
      </c>
      <c r="E480" s="47" t="s">
        <v>27</v>
      </c>
      <c r="F480" s="47" t="s">
        <v>636</v>
      </c>
      <c r="G480" s="47" t="s">
        <v>27</v>
      </c>
      <c r="H480" s="47">
        <v>70601</v>
      </c>
      <c r="I480" s="47">
        <v>70624</v>
      </c>
      <c r="J480" s="47" t="s">
        <v>28</v>
      </c>
      <c r="K480" s="47" t="s">
        <v>2160</v>
      </c>
      <c r="L480" s="47" t="s">
        <v>49</v>
      </c>
      <c r="M480" s="47" t="s">
        <v>617</v>
      </c>
      <c r="N480" s="47">
        <v>3000</v>
      </c>
      <c r="O480" s="47">
        <v>3000</v>
      </c>
      <c r="P480" s="47">
        <v>3000</v>
      </c>
      <c r="Q480" s="48">
        <v>3000</v>
      </c>
      <c r="R480" s="47">
        <v>1793</v>
      </c>
      <c r="S480" s="47">
        <v>1793</v>
      </c>
      <c r="T480" s="47">
        <v>1793</v>
      </c>
      <c r="U480" s="48">
        <v>1793</v>
      </c>
      <c r="V480" s="48"/>
    </row>
    <row r="481" spans="2:22" ht="20" x14ac:dyDescent="0.25">
      <c r="B481" s="47" t="s">
        <v>1845</v>
      </c>
      <c r="C481" s="47" t="s">
        <v>1846</v>
      </c>
      <c r="D481" s="47" t="s">
        <v>616</v>
      </c>
      <c r="E481" s="47" t="s">
        <v>27</v>
      </c>
      <c r="F481" s="47" t="s">
        <v>636</v>
      </c>
      <c r="G481" s="47" t="s">
        <v>27</v>
      </c>
      <c r="H481" s="47">
        <v>70601</v>
      </c>
      <c r="I481" s="47">
        <v>70624</v>
      </c>
      <c r="J481" s="47" t="s">
        <v>28</v>
      </c>
      <c r="K481" s="47" t="s">
        <v>2161</v>
      </c>
      <c r="L481" s="47" t="s">
        <v>49</v>
      </c>
      <c r="M481" s="47" t="s">
        <v>640</v>
      </c>
      <c r="N481" s="47">
        <v>3000</v>
      </c>
      <c r="O481" s="47">
        <v>3000</v>
      </c>
      <c r="P481" s="47">
        <v>3000</v>
      </c>
      <c r="Q481" s="48">
        <v>3000</v>
      </c>
      <c r="R481" s="47">
        <v>1793</v>
      </c>
      <c r="S481" s="47">
        <v>1793</v>
      </c>
      <c r="T481" s="47">
        <v>1793</v>
      </c>
      <c r="U481" s="48">
        <v>1793</v>
      </c>
      <c r="V481" s="48"/>
    </row>
    <row r="482" spans="2:22" ht="20" x14ac:dyDescent="0.25">
      <c r="B482" s="47" t="s">
        <v>1845</v>
      </c>
      <c r="C482" s="47" t="s">
        <v>1846</v>
      </c>
      <c r="D482" s="47" t="s">
        <v>616</v>
      </c>
      <c r="E482" s="47" t="s">
        <v>27</v>
      </c>
      <c r="F482" s="47" t="s">
        <v>636</v>
      </c>
      <c r="G482" s="47" t="s">
        <v>27</v>
      </c>
      <c r="H482" s="47">
        <v>70601</v>
      </c>
      <c r="I482" s="47">
        <v>70624</v>
      </c>
      <c r="J482" s="47" t="s">
        <v>28</v>
      </c>
      <c r="K482" s="47" t="s">
        <v>1846</v>
      </c>
      <c r="L482" s="47" t="s">
        <v>49</v>
      </c>
      <c r="M482" s="47" t="s">
        <v>617</v>
      </c>
      <c r="N482" s="47">
        <v>3000</v>
      </c>
      <c r="O482" s="47">
        <v>3000</v>
      </c>
      <c r="P482" s="47">
        <v>3000</v>
      </c>
      <c r="Q482" s="48">
        <v>3000</v>
      </c>
      <c r="R482" s="47">
        <v>1793</v>
      </c>
      <c r="S482" s="47">
        <v>1793</v>
      </c>
      <c r="T482" s="47">
        <v>1793</v>
      </c>
      <c r="U482" s="48">
        <v>1793</v>
      </c>
      <c r="V482" s="48"/>
    </row>
    <row r="483" spans="2:22" ht="34.5" x14ac:dyDescent="0.25">
      <c r="B483" s="44" t="s">
        <v>641</v>
      </c>
      <c r="C483" s="44" t="s">
        <v>642</v>
      </c>
      <c r="D483" s="44" t="s">
        <v>616</v>
      </c>
      <c r="E483" s="44" t="s">
        <v>27</v>
      </c>
      <c r="F483" s="44" t="s">
        <v>643</v>
      </c>
      <c r="G483" s="44" t="s">
        <v>27</v>
      </c>
      <c r="H483" s="44">
        <v>70139</v>
      </c>
      <c r="I483" s="44">
        <v>70323</v>
      </c>
      <c r="J483" s="44" t="s">
        <v>28</v>
      </c>
      <c r="K483" s="44" t="s">
        <v>641</v>
      </c>
      <c r="L483" s="44" t="s">
        <v>29</v>
      </c>
      <c r="M483" s="44"/>
      <c r="N483" s="45">
        <v>1434</v>
      </c>
      <c r="O483" s="45">
        <v>1578</v>
      </c>
      <c r="P483" s="45">
        <v>1600</v>
      </c>
      <c r="Q483" s="45">
        <v>1600</v>
      </c>
      <c r="R483" s="45">
        <v>571</v>
      </c>
      <c r="S483" s="45">
        <v>629</v>
      </c>
      <c r="T483" s="45">
        <v>637</v>
      </c>
      <c r="U483" s="45">
        <v>637</v>
      </c>
      <c r="V483" s="46"/>
    </row>
    <row r="484" spans="2:22" ht="20" x14ac:dyDescent="0.25">
      <c r="B484" s="47" t="s">
        <v>641</v>
      </c>
      <c r="C484" s="47" t="s">
        <v>642</v>
      </c>
      <c r="D484" s="47" t="s">
        <v>616</v>
      </c>
      <c r="E484" s="47" t="s">
        <v>27</v>
      </c>
      <c r="F484" s="47" t="s">
        <v>643</v>
      </c>
      <c r="G484" s="47" t="s">
        <v>27</v>
      </c>
      <c r="H484" s="47">
        <v>70139</v>
      </c>
      <c r="I484" s="47">
        <v>70323</v>
      </c>
      <c r="J484" s="47" t="s">
        <v>28</v>
      </c>
      <c r="K484" s="47" t="s">
        <v>641</v>
      </c>
      <c r="L484" s="47" t="s">
        <v>30</v>
      </c>
      <c r="M484" s="47" t="s">
        <v>642</v>
      </c>
      <c r="N484" s="48">
        <v>1434</v>
      </c>
      <c r="O484" s="48">
        <v>1578</v>
      </c>
      <c r="P484" s="47">
        <v>1629</v>
      </c>
      <c r="Q484" s="47">
        <v>1792</v>
      </c>
      <c r="R484" s="48">
        <v>571</v>
      </c>
      <c r="S484" s="48">
        <v>629</v>
      </c>
      <c r="T484" s="47">
        <v>649</v>
      </c>
      <c r="U484" s="47">
        <v>714</v>
      </c>
      <c r="V484" s="47"/>
    </row>
    <row r="485" spans="2:22" ht="20" x14ac:dyDescent="0.25">
      <c r="B485" s="47" t="s">
        <v>641</v>
      </c>
      <c r="C485" s="47" t="s">
        <v>642</v>
      </c>
      <c r="D485" s="47" t="s">
        <v>616</v>
      </c>
      <c r="E485" s="47" t="s">
        <v>27</v>
      </c>
      <c r="F485" s="47" t="s">
        <v>643</v>
      </c>
      <c r="G485" s="47" t="s">
        <v>27</v>
      </c>
      <c r="H485" s="47">
        <v>70139</v>
      </c>
      <c r="I485" s="47">
        <v>70323</v>
      </c>
      <c r="J485" s="47" t="s">
        <v>28</v>
      </c>
      <c r="K485" s="47" t="s">
        <v>1991</v>
      </c>
      <c r="L485" s="47" t="s">
        <v>1315</v>
      </c>
      <c r="M485" s="47" t="s">
        <v>644</v>
      </c>
      <c r="N485" s="47">
        <v>1600</v>
      </c>
      <c r="O485" s="47">
        <v>1600</v>
      </c>
      <c r="P485" s="48">
        <v>1600</v>
      </c>
      <c r="Q485" s="48">
        <v>1600</v>
      </c>
      <c r="R485" s="47">
        <v>637</v>
      </c>
      <c r="S485" s="47">
        <v>637</v>
      </c>
      <c r="T485" s="48">
        <v>637</v>
      </c>
      <c r="U485" s="48">
        <v>637</v>
      </c>
      <c r="V485" s="48"/>
    </row>
    <row r="486" spans="2:22" ht="34.5" x14ac:dyDescent="0.25">
      <c r="B486" s="44" t="s">
        <v>199</v>
      </c>
      <c r="C486" s="44" t="s">
        <v>200</v>
      </c>
      <c r="D486" s="44" t="s">
        <v>616</v>
      </c>
      <c r="E486" s="44" t="s">
        <v>27</v>
      </c>
      <c r="F486" s="44" t="s">
        <v>643</v>
      </c>
      <c r="G486" s="44" t="s">
        <v>27</v>
      </c>
      <c r="H486" s="44">
        <v>70139</v>
      </c>
      <c r="I486" s="44">
        <v>70331</v>
      </c>
      <c r="J486" s="44" t="s">
        <v>28</v>
      </c>
      <c r="K486" s="44" t="s">
        <v>199</v>
      </c>
      <c r="L486" s="44" t="s">
        <v>29</v>
      </c>
      <c r="M486" s="44"/>
      <c r="N486" s="45">
        <v>1200</v>
      </c>
      <c r="O486" s="45">
        <v>1200</v>
      </c>
      <c r="P486" s="45">
        <v>1200</v>
      </c>
      <c r="Q486" s="45">
        <v>1200</v>
      </c>
      <c r="R486" s="45">
        <v>478</v>
      </c>
      <c r="S486" s="45">
        <v>478</v>
      </c>
      <c r="T486" s="45">
        <v>478</v>
      </c>
      <c r="U486" s="45">
        <v>478</v>
      </c>
      <c r="V486" s="46"/>
    </row>
    <row r="487" spans="2:22" ht="20" x14ac:dyDescent="0.25">
      <c r="B487" s="47" t="s">
        <v>199</v>
      </c>
      <c r="C487" s="47" t="s">
        <v>200</v>
      </c>
      <c r="D487" s="47" t="s">
        <v>616</v>
      </c>
      <c r="E487" s="47" t="s">
        <v>27</v>
      </c>
      <c r="F487" s="47" t="s">
        <v>643</v>
      </c>
      <c r="G487" s="47" t="s">
        <v>27</v>
      </c>
      <c r="H487" s="47">
        <v>70139</v>
      </c>
      <c r="I487" s="47">
        <v>70331</v>
      </c>
      <c r="J487" s="47" t="s">
        <v>28</v>
      </c>
      <c r="K487" s="47" t="s">
        <v>2162</v>
      </c>
      <c r="L487" s="47" t="s">
        <v>39</v>
      </c>
      <c r="M487" s="47" t="s">
        <v>617</v>
      </c>
      <c r="N487" s="48">
        <v>1200</v>
      </c>
      <c r="O487" s="48">
        <v>1200</v>
      </c>
      <c r="P487" s="48">
        <v>1200</v>
      </c>
      <c r="Q487" s="48">
        <v>1200</v>
      </c>
      <c r="R487" s="48">
        <v>478</v>
      </c>
      <c r="S487" s="48">
        <v>478</v>
      </c>
      <c r="T487" s="48">
        <v>478</v>
      </c>
      <c r="U487" s="48">
        <v>478</v>
      </c>
      <c r="V487" s="48"/>
    </row>
    <row r="488" spans="2:22" ht="20" x14ac:dyDescent="0.25">
      <c r="B488" s="47" t="s">
        <v>199</v>
      </c>
      <c r="C488" s="47" t="s">
        <v>200</v>
      </c>
      <c r="D488" s="47" t="s">
        <v>616</v>
      </c>
      <c r="E488" s="47" t="s">
        <v>27</v>
      </c>
      <c r="F488" s="47" t="s">
        <v>643</v>
      </c>
      <c r="G488" s="47" t="s">
        <v>27</v>
      </c>
      <c r="H488" s="47">
        <v>70139</v>
      </c>
      <c r="I488" s="47">
        <v>70331</v>
      </c>
      <c r="J488" s="47" t="s">
        <v>28</v>
      </c>
      <c r="K488" s="47" t="s">
        <v>2163</v>
      </c>
      <c r="L488" s="47" t="s">
        <v>39</v>
      </c>
      <c r="M488" s="47" t="s">
        <v>617</v>
      </c>
      <c r="N488" s="48">
        <v>1200</v>
      </c>
      <c r="O488" s="48">
        <v>1200</v>
      </c>
      <c r="P488" s="48">
        <v>1200</v>
      </c>
      <c r="Q488" s="48">
        <v>1200</v>
      </c>
      <c r="R488" s="48">
        <v>478</v>
      </c>
      <c r="S488" s="48">
        <v>478</v>
      </c>
      <c r="T488" s="48">
        <v>478</v>
      </c>
      <c r="U488" s="48">
        <v>478</v>
      </c>
      <c r="V488" s="48"/>
    </row>
    <row r="489" spans="2:22" ht="20" x14ac:dyDescent="0.25">
      <c r="B489" s="47" t="s">
        <v>199</v>
      </c>
      <c r="C489" s="47" t="s">
        <v>200</v>
      </c>
      <c r="D489" s="47" t="s">
        <v>616</v>
      </c>
      <c r="E489" s="47" t="s">
        <v>27</v>
      </c>
      <c r="F489" s="47" t="s">
        <v>643</v>
      </c>
      <c r="G489" s="47" t="s">
        <v>27</v>
      </c>
      <c r="H489" s="47">
        <v>70139</v>
      </c>
      <c r="I489" s="47">
        <v>70331</v>
      </c>
      <c r="J489" s="47" t="s">
        <v>28</v>
      </c>
      <c r="K489" s="47" t="s">
        <v>2165</v>
      </c>
      <c r="L489" s="47" t="s">
        <v>39</v>
      </c>
      <c r="M489" s="47" t="s">
        <v>617</v>
      </c>
      <c r="N489" s="48">
        <v>1200</v>
      </c>
      <c r="O489" s="48">
        <v>1200</v>
      </c>
      <c r="P489" s="48">
        <v>1200</v>
      </c>
      <c r="Q489" s="48">
        <v>1200</v>
      </c>
      <c r="R489" s="48">
        <v>478</v>
      </c>
      <c r="S489" s="48">
        <v>478</v>
      </c>
      <c r="T489" s="48">
        <v>478</v>
      </c>
      <c r="U489" s="48">
        <v>478</v>
      </c>
      <c r="V489" s="48"/>
    </row>
    <row r="490" spans="2:22" ht="20" x14ac:dyDescent="0.25">
      <c r="B490" s="47" t="s">
        <v>199</v>
      </c>
      <c r="C490" s="47" t="s">
        <v>200</v>
      </c>
      <c r="D490" s="47" t="s">
        <v>616</v>
      </c>
      <c r="E490" s="47" t="s">
        <v>27</v>
      </c>
      <c r="F490" s="47" t="s">
        <v>643</v>
      </c>
      <c r="G490" s="47" t="s">
        <v>27</v>
      </c>
      <c r="H490" s="47">
        <v>70139</v>
      </c>
      <c r="I490" s="47">
        <v>70331</v>
      </c>
      <c r="J490" s="47" t="s">
        <v>28</v>
      </c>
      <c r="K490" s="47" t="s">
        <v>2164</v>
      </c>
      <c r="L490" s="47" t="s">
        <v>39</v>
      </c>
      <c r="M490" s="47" t="s">
        <v>617</v>
      </c>
      <c r="N490" s="48">
        <v>1200</v>
      </c>
      <c r="O490" s="48">
        <v>1200</v>
      </c>
      <c r="P490" s="48">
        <v>1200</v>
      </c>
      <c r="Q490" s="48">
        <v>1200</v>
      </c>
      <c r="R490" s="48">
        <v>478</v>
      </c>
      <c r="S490" s="48">
        <v>478</v>
      </c>
      <c r="T490" s="48">
        <v>478</v>
      </c>
      <c r="U490" s="48">
        <v>478</v>
      </c>
      <c r="V490" s="48"/>
    </row>
    <row r="491" spans="2:22" ht="20" x14ac:dyDescent="0.25">
      <c r="B491" s="47" t="s">
        <v>199</v>
      </c>
      <c r="C491" s="47" t="s">
        <v>200</v>
      </c>
      <c r="D491" s="47" t="s">
        <v>616</v>
      </c>
      <c r="E491" s="47" t="s">
        <v>27</v>
      </c>
      <c r="F491" s="47" t="s">
        <v>643</v>
      </c>
      <c r="G491" s="47" t="s">
        <v>27</v>
      </c>
      <c r="H491" s="47">
        <v>70139</v>
      </c>
      <c r="I491" s="47">
        <v>70331</v>
      </c>
      <c r="J491" s="47" t="s">
        <v>28</v>
      </c>
      <c r="K491" s="47" t="s">
        <v>2166</v>
      </c>
      <c r="L491" s="47" t="s">
        <v>34</v>
      </c>
      <c r="M491" s="47" t="s">
        <v>617</v>
      </c>
      <c r="N491" s="48">
        <v>1200</v>
      </c>
      <c r="O491" s="47">
        <v>1549</v>
      </c>
      <c r="P491" s="47">
        <v>1486</v>
      </c>
      <c r="Q491" s="47">
        <v>1780</v>
      </c>
      <c r="R491" s="48">
        <v>478</v>
      </c>
      <c r="S491" s="47">
        <v>617</v>
      </c>
      <c r="T491" s="47">
        <v>592</v>
      </c>
      <c r="U491" s="47">
        <v>709</v>
      </c>
      <c r="V491" s="47"/>
    </row>
    <row r="492" spans="2:22" ht="20" x14ac:dyDescent="0.25">
      <c r="B492" s="47" t="s">
        <v>199</v>
      </c>
      <c r="C492" s="47" t="s">
        <v>200</v>
      </c>
      <c r="D492" s="47" t="s">
        <v>616</v>
      </c>
      <c r="E492" s="47" t="s">
        <v>27</v>
      </c>
      <c r="F492" s="47" t="s">
        <v>643</v>
      </c>
      <c r="G492" s="47" t="s">
        <v>27</v>
      </c>
      <c r="H492" s="47">
        <v>70139</v>
      </c>
      <c r="I492" s="47">
        <v>70331</v>
      </c>
      <c r="J492" s="47" t="s">
        <v>28</v>
      </c>
      <c r="K492" s="47" t="s">
        <v>2168</v>
      </c>
      <c r="L492" s="47" t="s">
        <v>34</v>
      </c>
      <c r="M492" s="47" t="s">
        <v>617</v>
      </c>
      <c r="N492" s="48">
        <v>1200</v>
      </c>
      <c r="O492" s="47">
        <v>1549</v>
      </c>
      <c r="P492" s="47">
        <v>1486</v>
      </c>
      <c r="Q492" s="47">
        <v>1780</v>
      </c>
      <c r="R492" s="48">
        <v>478</v>
      </c>
      <c r="S492" s="47">
        <v>617</v>
      </c>
      <c r="T492" s="47">
        <v>592</v>
      </c>
      <c r="U492" s="47">
        <v>709</v>
      </c>
      <c r="V492" s="47"/>
    </row>
    <row r="493" spans="2:22" ht="20" x14ac:dyDescent="0.25">
      <c r="B493" s="47" t="s">
        <v>199</v>
      </c>
      <c r="C493" s="47" t="s">
        <v>200</v>
      </c>
      <c r="D493" s="47" t="s">
        <v>616</v>
      </c>
      <c r="E493" s="47" t="s">
        <v>27</v>
      </c>
      <c r="F493" s="47" t="s">
        <v>643</v>
      </c>
      <c r="G493" s="47" t="s">
        <v>27</v>
      </c>
      <c r="H493" s="47">
        <v>70139</v>
      </c>
      <c r="I493" s="47">
        <v>70331</v>
      </c>
      <c r="J493" s="47" t="s">
        <v>28</v>
      </c>
      <c r="K493" s="47" t="s">
        <v>2167</v>
      </c>
      <c r="L493" s="47" t="s">
        <v>34</v>
      </c>
      <c r="M493" s="47" t="s">
        <v>617</v>
      </c>
      <c r="N493" s="48">
        <v>1200</v>
      </c>
      <c r="O493" s="47">
        <v>1549</v>
      </c>
      <c r="P493" s="47">
        <v>1486</v>
      </c>
      <c r="Q493" s="47">
        <v>1780</v>
      </c>
      <c r="R493" s="48">
        <v>478</v>
      </c>
      <c r="S493" s="47">
        <v>617</v>
      </c>
      <c r="T493" s="47">
        <v>592</v>
      </c>
      <c r="U493" s="47">
        <v>709</v>
      </c>
      <c r="V493" s="47"/>
    </row>
    <row r="494" spans="2:22" ht="20" x14ac:dyDescent="0.25">
      <c r="B494" s="47" t="s">
        <v>199</v>
      </c>
      <c r="C494" s="47" t="s">
        <v>200</v>
      </c>
      <c r="D494" s="47" t="s">
        <v>616</v>
      </c>
      <c r="E494" s="47" t="s">
        <v>27</v>
      </c>
      <c r="F494" s="47" t="s">
        <v>643</v>
      </c>
      <c r="G494" s="47" t="s">
        <v>27</v>
      </c>
      <c r="H494" s="47">
        <v>70139</v>
      </c>
      <c r="I494" s="47">
        <v>70331</v>
      </c>
      <c r="J494" s="47" t="s">
        <v>28</v>
      </c>
      <c r="K494" s="47" t="s">
        <v>2169</v>
      </c>
      <c r="L494" s="47" t="s">
        <v>34</v>
      </c>
      <c r="M494" s="47" t="s">
        <v>617</v>
      </c>
      <c r="N494" s="48">
        <v>1200</v>
      </c>
      <c r="O494" s="47">
        <v>1549</v>
      </c>
      <c r="P494" s="47">
        <v>1486</v>
      </c>
      <c r="Q494" s="47">
        <v>1780</v>
      </c>
      <c r="R494" s="48">
        <v>478</v>
      </c>
      <c r="S494" s="47">
        <v>617</v>
      </c>
      <c r="T494" s="47">
        <v>592</v>
      </c>
      <c r="U494" s="47">
        <v>709</v>
      </c>
      <c r="V494" s="47"/>
    </row>
    <row r="495" spans="2:22" ht="20" x14ac:dyDescent="0.25">
      <c r="B495" s="47" t="s">
        <v>199</v>
      </c>
      <c r="C495" s="47" t="s">
        <v>200</v>
      </c>
      <c r="D495" s="47" t="s">
        <v>616</v>
      </c>
      <c r="E495" s="47" t="s">
        <v>27</v>
      </c>
      <c r="F495" s="47" t="s">
        <v>643</v>
      </c>
      <c r="G495" s="47" t="s">
        <v>27</v>
      </c>
      <c r="H495" s="47">
        <v>70139</v>
      </c>
      <c r="I495" s="47">
        <v>70331</v>
      </c>
      <c r="J495" s="47" t="s">
        <v>28</v>
      </c>
      <c r="K495" s="47" t="s">
        <v>2171</v>
      </c>
      <c r="L495" s="47" t="s">
        <v>34</v>
      </c>
      <c r="M495" s="47" t="s">
        <v>617</v>
      </c>
      <c r="N495" s="48">
        <v>1200</v>
      </c>
      <c r="O495" s="47">
        <v>1549</v>
      </c>
      <c r="P495" s="47">
        <v>1486</v>
      </c>
      <c r="Q495" s="47">
        <v>1780</v>
      </c>
      <c r="R495" s="48">
        <v>478</v>
      </c>
      <c r="S495" s="47">
        <v>617</v>
      </c>
      <c r="T495" s="47">
        <v>592</v>
      </c>
      <c r="U495" s="47">
        <v>709</v>
      </c>
      <c r="V495" s="47"/>
    </row>
    <row r="496" spans="2:22" ht="20" x14ac:dyDescent="0.25">
      <c r="B496" s="47" t="s">
        <v>199</v>
      </c>
      <c r="C496" s="47" t="s">
        <v>200</v>
      </c>
      <c r="D496" s="47" t="s">
        <v>616</v>
      </c>
      <c r="E496" s="47" t="s">
        <v>27</v>
      </c>
      <c r="F496" s="47" t="s">
        <v>643</v>
      </c>
      <c r="G496" s="47" t="s">
        <v>27</v>
      </c>
      <c r="H496" s="47">
        <v>70139</v>
      </c>
      <c r="I496" s="47">
        <v>70331</v>
      </c>
      <c r="J496" s="47" t="s">
        <v>28</v>
      </c>
      <c r="K496" s="47" t="s">
        <v>2170</v>
      </c>
      <c r="L496" s="47" t="s">
        <v>34</v>
      </c>
      <c r="M496" s="47" t="s">
        <v>617</v>
      </c>
      <c r="N496" s="48">
        <v>1200</v>
      </c>
      <c r="O496" s="47">
        <v>1549</v>
      </c>
      <c r="P496" s="47">
        <v>1486</v>
      </c>
      <c r="Q496" s="47">
        <v>1780</v>
      </c>
      <c r="R496" s="48">
        <v>478</v>
      </c>
      <c r="S496" s="47">
        <v>617</v>
      </c>
      <c r="T496" s="47">
        <v>592</v>
      </c>
      <c r="U496" s="47">
        <v>709</v>
      </c>
      <c r="V496" s="47"/>
    </row>
    <row r="497" spans="2:22" ht="34.5" x14ac:dyDescent="0.25">
      <c r="B497" s="44" t="s">
        <v>645</v>
      </c>
      <c r="C497" s="44" t="s">
        <v>262</v>
      </c>
      <c r="D497" s="44" t="s">
        <v>616</v>
      </c>
      <c r="E497" s="44" t="s">
        <v>27</v>
      </c>
      <c r="F497" s="44" t="s">
        <v>646</v>
      </c>
      <c r="G497" s="44" t="s">
        <v>27</v>
      </c>
      <c r="H497" s="44">
        <v>70139</v>
      </c>
      <c r="I497" s="44">
        <v>70527</v>
      </c>
      <c r="J497" s="44" t="s">
        <v>28</v>
      </c>
      <c r="K497" s="44" t="s">
        <v>645</v>
      </c>
      <c r="L497" s="44" t="s">
        <v>29</v>
      </c>
      <c r="M497" s="44"/>
      <c r="N497" s="45">
        <v>1261</v>
      </c>
      <c r="O497" s="45">
        <v>1387</v>
      </c>
      <c r="P497" s="45">
        <v>1430</v>
      </c>
      <c r="Q497" s="45">
        <v>1573</v>
      </c>
      <c r="R497" s="45">
        <v>502</v>
      </c>
      <c r="S497" s="45">
        <v>553</v>
      </c>
      <c r="T497" s="45">
        <v>570</v>
      </c>
      <c r="U497" s="45">
        <v>627</v>
      </c>
      <c r="V497" s="46"/>
    </row>
    <row r="498" spans="2:22" ht="20" x14ac:dyDescent="0.25">
      <c r="B498" s="47" t="s">
        <v>645</v>
      </c>
      <c r="C498" s="47" t="s">
        <v>262</v>
      </c>
      <c r="D498" s="47" t="s">
        <v>616</v>
      </c>
      <c r="E498" s="47" t="s">
        <v>27</v>
      </c>
      <c r="F498" s="47" t="s">
        <v>646</v>
      </c>
      <c r="G498" s="47" t="s">
        <v>27</v>
      </c>
      <c r="H498" s="47">
        <v>70139</v>
      </c>
      <c r="I498" s="47">
        <v>70527</v>
      </c>
      <c r="J498" s="47" t="s">
        <v>28</v>
      </c>
      <c r="K498" s="47" t="s">
        <v>645</v>
      </c>
      <c r="L498" s="47" t="s">
        <v>30</v>
      </c>
      <c r="M498" s="47" t="s">
        <v>262</v>
      </c>
      <c r="N498" s="48">
        <v>1261</v>
      </c>
      <c r="O498" s="48">
        <v>1387</v>
      </c>
      <c r="P498" s="48">
        <v>1430</v>
      </c>
      <c r="Q498" s="48">
        <v>1573</v>
      </c>
      <c r="R498" s="48">
        <v>502</v>
      </c>
      <c r="S498" s="48">
        <v>553</v>
      </c>
      <c r="T498" s="48">
        <v>570</v>
      </c>
      <c r="U498" s="48">
        <v>627</v>
      </c>
      <c r="V498" s="48"/>
    </row>
    <row r="499" spans="2:22" ht="34.5" x14ac:dyDescent="0.25">
      <c r="B499" s="44" t="s">
        <v>647</v>
      </c>
      <c r="C499" s="44" t="s">
        <v>101</v>
      </c>
      <c r="D499" s="44" t="s">
        <v>616</v>
      </c>
      <c r="E499" s="44" t="s">
        <v>27</v>
      </c>
      <c r="F499" s="44" t="s">
        <v>648</v>
      </c>
      <c r="G499" s="44" t="s">
        <v>27</v>
      </c>
      <c r="H499" s="44">
        <v>70139</v>
      </c>
      <c r="I499" s="44">
        <v>70284</v>
      </c>
      <c r="J499" s="44" t="s">
        <v>28</v>
      </c>
      <c r="K499" s="44" t="s">
        <v>647</v>
      </c>
      <c r="L499" s="44" t="s">
        <v>29</v>
      </c>
      <c r="M499" s="44"/>
      <c r="N499" s="45">
        <v>1849</v>
      </c>
      <c r="O499" s="45">
        <v>2000</v>
      </c>
      <c r="P499" s="45">
        <v>2000</v>
      </c>
      <c r="Q499" s="45">
        <v>2000</v>
      </c>
      <c r="R499" s="45">
        <v>737</v>
      </c>
      <c r="S499" s="45">
        <v>797</v>
      </c>
      <c r="T499" s="45">
        <v>797</v>
      </c>
      <c r="U499" s="45">
        <v>797</v>
      </c>
      <c r="V499" s="46"/>
    </row>
    <row r="500" spans="2:22" ht="20" x14ac:dyDescent="0.25">
      <c r="B500" s="47" t="s">
        <v>647</v>
      </c>
      <c r="C500" s="47" t="s">
        <v>101</v>
      </c>
      <c r="D500" s="47" t="s">
        <v>616</v>
      </c>
      <c r="E500" s="47" t="s">
        <v>27</v>
      </c>
      <c r="F500" s="47" t="s">
        <v>648</v>
      </c>
      <c r="G500" s="47" t="s">
        <v>27</v>
      </c>
      <c r="H500" s="47">
        <v>70139</v>
      </c>
      <c r="I500" s="47">
        <v>70284</v>
      </c>
      <c r="J500" s="47" t="s">
        <v>28</v>
      </c>
      <c r="K500" s="47" t="s">
        <v>388</v>
      </c>
      <c r="L500" s="47" t="s">
        <v>31</v>
      </c>
      <c r="M500" s="47" t="s">
        <v>617</v>
      </c>
      <c r="N500" s="48">
        <v>1849</v>
      </c>
      <c r="O500" s="47">
        <v>2034</v>
      </c>
      <c r="P500" s="47">
        <v>2086</v>
      </c>
      <c r="Q500" s="47">
        <v>2294</v>
      </c>
      <c r="R500" s="48">
        <v>737</v>
      </c>
      <c r="S500" s="47">
        <v>810</v>
      </c>
      <c r="T500" s="47">
        <v>831</v>
      </c>
      <c r="U500" s="47">
        <v>914</v>
      </c>
      <c r="V500" s="47"/>
    </row>
    <row r="501" spans="2:22" ht="20" x14ac:dyDescent="0.25">
      <c r="B501" s="47" t="s">
        <v>647</v>
      </c>
      <c r="C501" s="47" t="s">
        <v>101</v>
      </c>
      <c r="D501" s="47" t="s">
        <v>616</v>
      </c>
      <c r="E501" s="47" t="s">
        <v>27</v>
      </c>
      <c r="F501" s="47" t="s">
        <v>648</v>
      </c>
      <c r="G501" s="47" t="s">
        <v>27</v>
      </c>
      <c r="H501" s="47">
        <v>70139</v>
      </c>
      <c r="I501" s="47">
        <v>70284</v>
      </c>
      <c r="J501" s="47" t="s">
        <v>28</v>
      </c>
      <c r="K501" s="47" t="s">
        <v>2409</v>
      </c>
      <c r="L501" s="47" t="s">
        <v>1315</v>
      </c>
      <c r="M501" s="47" t="s">
        <v>1248</v>
      </c>
      <c r="N501" s="47">
        <v>2000</v>
      </c>
      <c r="O501" s="48">
        <v>2000</v>
      </c>
      <c r="P501" s="48">
        <v>2000</v>
      </c>
      <c r="Q501" s="48">
        <v>2000</v>
      </c>
      <c r="R501" s="47">
        <v>797</v>
      </c>
      <c r="S501" s="48">
        <v>797</v>
      </c>
      <c r="T501" s="48">
        <v>797</v>
      </c>
      <c r="U501" s="48">
        <v>797</v>
      </c>
      <c r="V501" s="48"/>
    </row>
    <row r="502" spans="2:22" ht="34.5" x14ac:dyDescent="0.25">
      <c r="B502" s="44" t="s">
        <v>2410</v>
      </c>
      <c r="C502" s="44" t="s">
        <v>2411</v>
      </c>
      <c r="D502" s="44" t="s">
        <v>616</v>
      </c>
      <c r="E502" s="44" t="s">
        <v>27</v>
      </c>
      <c r="F502" s="44" t="s">
        <v>2402</v>
      </c>
      <c r="G502" s="44" t="s">
        <v>27</v>
      </c>
      <c r="H502" s="44">
        <v>70601</v>
      </c>
      <c r="I502" s="44">
        <v>70653</v>
      </c>
      <c r="J502" s="44" t="s">
        <v>28</v>
      </c>
      <c r="K502" s="44" t="s">
        <v>2410</v>
      </c>
      <c r="L502" s="44" t="s">
        <v>29</v>
      </c>
      <c r="M502" s="44"/>
      <c r="N502" s="45">
        <v>1980</v>
      </c>
      <c r="O502" s="45">
        <v>1980</v>
      </c>
      <c r="P502" s="45">
        <v>2091</v>
      </c>
      <c r="Q502" s="45">
        <v>2091</v>
      </c>
      <c r="R502" s="45">
        <v>1183</v>
      </c>
      <c r="S502" s="45">
        <v>1183</v>
      </c>
      <c r="T502" s="45">
        <v>1249</v>
      </c>
      <c r="U502" s="45">
        <v>1249</v>
      </c>
      <c r="V502" s="46"/>
    </row>
    <row r="503" spans="2:22" ht="20" x14ac:dyDescent="0.25">
      <c r="B503" s="47" t="s">
        <v>2410</v>
      </c>
      <c r="C503" s="47" t="s">
        <v>2411</v>
      </c>
      <c r="D503" s="47" t="s">
        <v>616</v>
      </c>
      <c r="E503" s="47" t="s">
        <v>27</v>
      </c>
      <c r="F503" s="47" t="s">
        <v>2402</v>
      </c>
      <c r="G503" s="47" t="s">
        <v>27</v>
      </c>
      <c r="H503" s="47">
        <v>70601</v>
      </c>
      <c r="I503" s="47">
        <v>70653</v>
      </c>
      <c r="J503" s="47" t="s">
        <v>28</v>
      </c>
      <c r="K503" s="47"/>
      <c r="L503" s="47" t="s">
        <v>301</v>
      </c>
      <c r="M503" s="47" t="s">
        <v>617</v>
      </c>
      <c r="N503" s="48">
        <v>1980</v>
      </c>
      <c r="O503" s="48">
        <v>1980</v>
      </c>
      <c r="P503" s="48">
        <v>2091</v>
      </c>
      <c r="Q503" s="48">
        <v>2091</v>
      </c>
      <c r="R503" s="48">
        <v>1183</v>
      </c>
      <c r="S503" s="48">
        <v>1183</v>
      </c>
      <c r="T503" s="48">
        <v>1249</v>
      </c>
      <c r="U503" s="48">
        <v>1249</v>
      </c>
      <c r="V503" s="48"/>
    </row>
    <row r="504" spans="2:22" ht="34.5" x14ac:dyDescent="0.25">
      <c r="B504" s="44" t="s">
        <v>652</v>
      </c>
      <c r="C504" s="44" t="s">
        <v>653</v>
      </c>
      <c r="D504" s="44" t="s">
        <v>616</v>
      </c>
      <c r="E504" s="44" t="s">
        <v>27</v>
      </c>
      <c r="F504" s="44" t="s">
        <v>490</v>
      </c>
      <c r="G504" s="44" t="s">
        <v>27</v>
      </c>
      <c r="H504" s="44">
        <v>70139</v>
      </c>
      <c r="I504" s="44">
        <v>70464</v>
      </c>
      <c r="J504" s="44" t="s">
        <v>28</v>
      </c>
      <c r="K504" s="44" t="s">
        <v>652</v>
      </c>
      <c r="L504" s="44" t="s">
        <v>29</v>
      </c>
      <c r="M504" s="44"/>
      <c r="N504" s="45">
        <v>1409</v>
      </c>
      <c r="O504" s="45">
        <v>1550</v>
      </c>
      <c r="P504" s="45">
        <v>1607</v>
      </c>
      <c r="Q504" s="45">
        <v>1673</v>
      </c>
      <c r="R504" s="45">
        <v>561</v>
      </c>
      <c r="S504" s="45">
        <v>618</v>
      </c>
      <c r="T504" s="45">
        <v>640</v>
      </c>
      <c r="U504" s="45">
        <v>666</v>
      </c>
      <c r="V504" s="46"/>
    </row>
    <row r="505" spans="2:22" ht="20" x14ac:dyDescent="0.25">
      <c r="B505" s="47" t="s">
        <v>652</v>
      </c>
      <c r="C505" s="47" t="s">
        <v>653</v>
      </c>
      <c r="D505" s="47" t="s">
        <v>616</v>
      </c>
      <c r="E505" s="47" t="s">
        <v>27</v>
      </c>
      <c r="F505" s="47" t="s">
        <v>490</v>
      </c>
      <c r="G505" s="47" t="s">
        <v>27</v>
      </c>
      <c r="H505" s="47">
        <v>70139</v>
      </c>
      <c r="I505" s="47">
        <v>70464</v>
      </c>
      <c r="J505" s="47" t="s">
        <v>28</v>
      </c>
      <c r="K505" s="47" t="s">
        <v>388</v>
      </c>
      <c r="L505" s="47" t="s">
        <v>31</v>
      </c>
      <c r="M505" s="47" t="s">
        <v>617</v>
      </c>
      <c r="N505" s="48">
        <v>1409</v>
      </c>
      <c r="O505" s="48">
        <v>1550</v>
      </c>
      <c r="P505" s="48">
        <v>1607</v>
      </c>
      <c r="Q505" s="47">
        <v>1768</v>
      </c>
      <c r="R505" s="48">
        <v>561</v>
      </c>
      <c r="S505" s="48">
        <v>618</v>
      </c>
      <c r="T505" s="48">
        <v>640</v>
      </c>
      <c r="U505" s="47">
        <v>704</v>
      </c>
      <c r="V505" s="47"/>
    </row>
    <row r="506" spans="2:22" ht="20" x14ac:dyDescent="0.25">
      <c r="B506" s="47" t="s">
        <v>652</v>
      </c>
      <c r="C506" s="47" t="s">
        <v>653</v>
      </c>
      <c r="D506" s="47" t="s">
        <v>616</v>
      </c>
      <c r="E506" s="47" t="s">
        <v>27</v>
      </c>
      <c r="F506" s="47" t="s">
        <v>490</v>
      </c>
      <c r="G506" s="47" t="s">
        <v>27</v>
      </c>
      <c r="H506" s="47">
        <v>70139</v>
      </c>
      <c r="I506" s="47">
        <v>70464</v>
      </c>
      <c r="J506" s="47" t="s">
        <v>28</v>
      </c>
      <c r="K506" s="47"/>
      <c r="L506" s="47" t="s">
        <v>301</v>
      </c>
      <c r="M506" s="47" t="s">
        <v>617</v>
      </c>
      <c r="N506" s="47">
        <v>1584</v>
      </c>
      <c r="O506" s="47">
        <v>1584</v>
      </c>
      <c r="P506" s="47">
        <v>1673</v>
      </c>
      <c r="Q506" s="48">
        <v>1673</v>
      </c>
      <c r="R506" s="47">
        <v>631</v>
      </c>
      <c r="S506" s="47">
        <v>631</v>
      </c>
      <c r="T506" s="47">
        <v>666</v>
      </c>
      <c r="U506" s="48">
        <v>666</v>
      </c>
      <c r="V506" s="48"/>
    </row>
    <row r="507" spans="2:22" ht="23" x14ac:dyDescent="0.25">
      <c r="B507" s="44" t="s">
        <v>657</v>
      </c>
      <c r="C507" s="44" t="s">
        <v>658</v>
      </c>
      <c r="D507" s="44" t="s">
        <v>659</v>
      </c>
      <c r="E507" s="44" t="s">
        <v>27</v>
      </c>
      <c r="F507" s="44" t="s">
        <v>660</v>
      </c>
      <c r="G507" s="44" t="s">
        <v>27</v>
      </c>
      <c r="H507" s="44">
        <v>70142</v>
      </c>
      <c r="I507" s="44">
        <v>70484</v>
      </c>
      <c r="J507" s="44" t="s">
        <v>28</v>
      </c>
      <c r="K507" s="44" t="s">
        <v>657</v>
      </c>
      <c r="L507" s="44" t="s">
        <v>29</v>
      </c>
      <c r="M507" s="44"/>
      <c r="N507" s="45">
        <v>1200</v>
      </c>
      <c r="O507" s="45">
        <v>1200</v>
      </c>
      <c r="P507" s="45">
        <v>1200</v>
      </c>
      <c r="Q507" s="45">
        <v>1200</v>
      </c>
      <c r="R507" s="45">
        <v>239</v>
      </c>
      <c r="S507" s="45">
        <v>239</v>
      </c>
      <c r="T507" s="45">
        <v>239</v>
      </c>
      <c r="U507" s="45">
        <v>239</v>
      </c>
      <c r="V507" s="46"/>
    </row>
    <row r="508" spans="2:22" ht="20" x14ac:dyDescent="0.25">
      <c r="B508" s="47" t="s">
        <v>657</v>
      </c>
      <c r="C508" s="47" t="s">
        <v>658</v>
      </c>
      <c r="D508" s="47" t="s">
        <v>659</v>
      </c>
      <c r="E508" s="47" t="s">
        <v>27</v>
      </c>
      <c r="F508" s="47" t="s">
        <v>660</v>
      </c>
      <c r="G508" s="47" t="s">
        <v>27</v>
      </c>
      <c r="H508" s="47">
        <v>70142</v>
      </c>
      <c r="I508" s="47">
        <v>70484</v>
      </c>
      <c r="J508" s="47" t="s">
        <v>28</v>
      </c>
      <c r="K508" s="47" t="s">
        <v>2080</v>
      </c>
      <c r="L508" s="47" t="s">
        <v>1315</v>
      </c>
      <c r="M508" s="47" t="s">
        <v>2081</v>
      </c>
      <c r="N508" s="48">
        <v>1200</v>
      </c>
      <c r="O508" s="48">
        <v>1200</v>
      </c>
      <c r="P508" s="48">
        <v>1200</v>
      </c>
      <c r="Q508" s="48">
        <v>1200</v>
      </c>
      <c r="R508" s="48">
        <v>239</v>
      </c>
      <c r="S508" s="48">
        <v>239</v>
      </c>
      <c r="T508" s="48">
        <v>239</v>
      </c>
      <c r="U508" s="48">
        <v>239</v>
      </c>
      <c r="V508" s="48"/>
    </row>
    <row r="509" spans="2:22" ht="20" x14ac:dyDescent="0.25">
      <c r="B509" s="47" t="s">
        <v>657</v>
      </c>
      <c r="C509" s="47" t="s">
        <v>658</v>
      </c>
      <c r="D509" s="47" t="s">
        <v>659</v>
      </c>
      <c r="E509" s="47" t="s">
        <v>27</v>
      </c>
      <c r="F509" s="47" t="s">
        <v>660</v>
      </c>
      <c r="G509" s="47" t="s">
        <v>27</v>
      </c>
      <c r="H509" s="47">
        <v>70142</v>
      </c>
      <c r="I509" s="47">
        <v>70484</v>
      </c>
      <c r="J509" s="47" t="s">
        <v>28</v>
      </c>
      <c r="K509" s="47" t="s">
        <v>2082</v>
      </c>
      <c r="L509" s="47" t="s">
        <v>34</v>
      </c>
      <c r="M509" s="47" t="s">
        <v>2081</v>
      </c>
      <c r="N509" s="48">
        <v>1200</v>
      </c>
      <c r="O509" s="47">
        <v>1549</v>
      </c>
      <c r="P509" s="47">
        <v>1486</v>
      </c>
      <c r="Q509" s="47">
        <v>1780</v>
      </c>
      <c r="R509" s="48">
        <v>239</v>
      </c>
      <c r="S509" s="47">
        <v>309</v>
      </c>
      <c r="T509" s="47">
        <v>296</v>
      </c>
      <c r="U509" s="47">
        <v>355</v>
      </c>
      <c r="V509" s="47"/>
    </row>
    <row r="510" spans="2:22" ht="23" x14ac:dyDescent="0.25">
      <c r="B510" s="44" t="s">
        <v>661</v>
      </c>
      <c r="C510" s="44" t="s">
        <v>658</v>
      </c>
      <c r="D510" s="44" t="s">
        <v>659</v>
      </c>
      <c r="E510" s="44" t="s">
        <v>27</v>
      </c>
      <c r="F510" s="44" t="s">
        <v>238</v>
      </c>
      <c r="G510" s="44" t="s">
        <v>27</v>
      </c>
      <c r="H510" s="44">
        <v>70142</v>
      </c>
      <c r="I510" s="44">
        <v>70400</v>
      </c>
      <c r="J510" s="44" t="s">
        <v>28</v>
      </c>
      <c r="K510" s="44" t="s">
        <v>661</v>
      </c>
      <c r="L510" s="44" t="s">
        <v>29</v>
      </c>
      <c r="M510" s="44"/>
      <c r="N510" s="45">
        <v>600</v>
      </c>
      <c r="O510" s="45">
        <v>775</v>
      </c>
      <c r="P510" s="45">
        <v>743</v>
      </c>
      <c r="Q510" s="45">
        <v>800</v>
      </c>
      <c r="R510" s="45">
        <v>120</v>
      </c>
      <c r="S510" s="45">
        <v>154</v>
      </c>
      <c r="T510" s="45">
        <v>148</v>
      </c>
      <c r="U510" s="45">
        <v>159</v>
      </c>
      <c r="V510" s="46"/>
    </row>
    <row r="511" spans="2:22" ht="20" x14ac:dyDescent="0.25">
      <c r="B511" s="47" t="s">
        <v>661</v>
      </c>
      <c r="C511" s="47" t="s">
        <v>658</v>
      </c>
      <c r="D511" s="47" t="s">
        <v>659</v>
      </c>
      <c r="E511" s="47" t="s">
        <v>27</v>
      </c>
      <c r="F511" s="47" t="s">
        <v>238</v>
      </c>
      <c r="G511" s="47" t="s">
        <v>27</v>
      </c>
      <c r="H511" s="47">
        <v>70142</v>
      </c>
      <c r="I511" s="47">
        <v>70400</v>
      </c>
      <c r="J511" s="47" t="s">
        <v>28</v>
      </c>
      <c r="K511" s="47" t="s">
        <v>662</v>
      </c>
      <c r="L511" s="47" t="s">
        <v>34</v>
      </c>
      <c r="M511" s="47" t="s">
        <v>241</v>
      </c>
      <c r="N511" s="48">
        <v>600</v>
      </c>
      <c r="O511" s="48">
        <v>775</v>
      </c>
      <c r="P511" s="48">
        <v>743</v>
      </c>
      <c r="Q511" s="47">
        <v>890</v>
      </c>
      <c r="R511" s="48">
        <v>120</v>
      </c>
      <c r="S511" s="48">
        <v>154</v>
      </c>
      <c r="T511" s="48">
        <v>148</v>
      </c>
      <c r="U511" s="47">
        <v>177</v>
      </c>
      <c r="V511" s="47"/>
    </row>
    <row r="512" spans="2:22" ht="30" x14ac:dyDescent="0.25">
      <c r="B512" s="47" t="s">
        <v>661</v>
      </c>
      <c r="C512" s="47" t="s">
        <v>658</v>
      </c>
      <c r="D512" s="47" t="s">
        <v>659</v>
      </c>
      <c r="E512" s="47" t="s">
        <v>27</v>
      </c>
      <c r="F512" s="47" t="s">
        <v>238</v>
      </c>
      <c r="G512" s="47" t="s">
        <v>27</v>
      </c>
      <c r="H512" s="47">
        <v>70142</v>
      </c>
      <c r="I512" s="47">
        <v>70400</v>
      </c>
      <c r="J512" s="47" t="s">
        <v>28</v>
      </c>
      <c r="K512" s="47" t="s">
        <v>2622</v>
      </c>
      <c r="L512" s="47" t="s">
        <v>36</v>
      </c>
      <c r="M512" s="47" t="s">
        <v>241</v>
      </c>
      <c r="N512" s="47">
        <v>800</v>
      </c>
      <c r="O512" s="47">
        <v>800</v>
      </c>
      <c r="P512" s="47">
        <v>800</v>
      </c>
      <c r="Q512" s="48">
        <v>800</v>
      </c>
      <c r="R512" s="47">
        <v>159</v>
      </c>
      <c r="S512" s="47">
        <v>159</v>
      </c>
      <c r="T512" s="47">
        <v>159</v>
      </c>
      <c r="U512" s="48">
        <v>159</v>
      </c>
      <c r="V512" s="48"/>
    </row>
    <row r="513" spans="2:22" ht="30" x14ac:dyDescent="0.25">
      <c r="B513" s="47" t="s">
        <v>661</v>
      </c>
      <c r="C513" s="47" t="s">
        <v>658</v>
      </c>
      <c r="D513" s="47" t="s">
        <v>659</v>
      </c>
      <c r="E513" s="47" t="s">
        <v>27</v>
      </c>
      <c r="F513" s="47" t="s">
        <v>238</v>
      </c>
      <c r="G513" s="47" t="s">
        <v>27</v>
      </c>
      <c r="H513" s="47">
        <v>70142</v>
      </c>
      <c r="I513" s="47">
        <v>70400</v>
      </c>
      <c r="J513" s="47" t="s">
        <v>28</v>
      </c>
      <c r="K513" s="47" t="s">
        <v>2623</v>
      </c>
      <c r="L513" s="47" t="s">
        <v>36</v>
      </c>
      <c r="M513" s="47" t="s">
        <v>241</v>
      </c>
      <c r="N513" s="47">
        <v>800</v>
      </c>
      <c r="O513" s="47">
        <v>800</v>
      </c>
      <c r="P513" s="47">
        <v>800</v>
      </c>
      <c r="Q513" s="48">
        <v>800</v>
      </c>
      <c r="R513" s="47">
        <v>159</v>
      </c>
      <c r="S513" s="47">
        <v>159</v>
      </c>
      <c r="T513" s="47">
        <v>159</v>
      </c>
      <c r="U513" s="48">
        <v>159</v>
      </c>
      <c r="V513" s="48"/>
    </row>
    <row r="514" spans="2:22" ht="30" x14ac:dyDescent="0.25">
      <c r="B514" s="47" t="s">
        <v>661</v>
      </c>
      <c r="C514" s="47" t="s">
        <v>658</v>
      </c>
      <c r="D514" s="47" t="s">
        <v>659</v>
      </c>
      <c r="E514" s="47" t="s">
        <v>27</v>
      </c>
      <c r="F514" s="47" t="s">
        <v>238</v>
      </c>
      <c r="G514" s="47" t="s">
        <v>27</v>
      </c>
      <c r="H514" s="47">
        <v>70142</v>
      </c>
      <c r="I514" s="47">
        <v>70400</v>
      </c>
      <c r="J514" s="47" t="s">
        <v>28</v>
      </c>
      <c r="K514" s="47" t="s">
        <v>2621</v>
      </c>
      <c r="L514" s="47" t="s">
        <v>36</v>
      </c>
      <c r="M514" s="47" t="s">
        <v>241</v>
      </c>
      <c r="N514" s="47">
        <v>800</v>
      </c>
      <c r="O514" s="47">
        <v>800</v>
      </c>
      <c r="P514" s="47">
        <v>800</v>
      </c>
      <c r="Q514" s="48">
        <v>800</v>
      </c>
      <c r="R514" s="47">
        <v>159</v>
      </c>
      <c r="S514" s="47">
        <v>159</v>
      </c>
      <c r="T514" s="47">
        <v>159</v>
      </c>
      <c r="U514" s="48">
        <v>159</v>
      </c>
      <c r="V514" s="48"/>
    </row>
    <row r="515" spans="2:22" ht="23" x14ac:dyDescent="0.25">
      <c r="B515" s="44" t="s">
        <v>667</v>
      </c>
      <c r="C515" s="44" t="s">
        <v>287</v>
      </c>
      <c r="D515" s="44" t="s">
        <v>503</v>
      </c>
      <c r="E515" s="44" t="s">
        <v>27</v>
      </c>
      <c r="F515" s="44" t="s">
        <v>288</v>
      </c>
      <c r="G515" s="44" t="s">
        <v>27</v>
      </c>
      <c r="H515" s="44">
        <v>70153</v>
      </c>
      <c r="I515" s="44">
        <v>70040</v>
      </c>
      <c r="J515" s="44" t="s">
        <v>28</v>
      </c>
      <c r="K515" s="44" t="s">
        <v>667</v>
      </c>
      <c r="L515" s="44" t="s">
        <v>29</v>
      </c>
      <c r="M515" s="44"/>
      <c r="N515" s="45">
        <v>799</v>
      </c>
      <c r="O515" s="45">
        <v>879</v>
      </c>
      <c r="P515" s="45">
        <v>909</v>
      </c>
      <c r="Q515" s="45">
        <v>999</v>
      </c>
      <c r="R515" s="45">
        <v>159</v>
      </c>
      <c r="S515" s="45">
        <v>175</v>
      </c>
      <c r="T515" s="45">
        <v>181</v>
      </c>
      <c r="U515" s="45">
        <v>199</v>
      </c>
      <c r="V515" s="46"/>
    </row>
    <row r="516" spans="2:22" ht="20" x14ac:dyDescent="0.25">
      <c r="B516" s="47" t="s">
        <v>667</v>
      </c>
      <c r="C516" s="47" t="s">
        <v>287</v>
      </c>
      <c r="D516" s="47" t="s">
        <v>503</v>
      </c>
      <c r="E516" s="47" t="s">
        <v>27</v>
      </c>
      <c r="F516" s="47" t="s">
        <v>288</v>
      </c>
      <c r="G516" s="47" t="s">
        <v>27</v>
      </c>
      <c r="H516" s="47">
        <v>70153</v>
      </c>
      <c r="I516" s="47">
        <v>70040</v>
      </c>
      <c r="J516" s="47" t="s">
        <v>28</v>
      </c>
      <c r="K516" s="47" t="s">
        <v>32</v>
      </c>
      <c r="L516" s="47" t="s">
        <v>31</v>
      </c>
      <c r="M516" s="47" t="s">
        <v>290</v>
      </c>
      <c r="N516" s="48">
        <v>799</v>
      </c>
      <c r="O516" s="48">
        <v>879</v>
      </c>
      <c r="P516" s="48">
        <v>909</v>
      </c>
      <c r="Q516" s="48">
        <v>999</v>
      </c>
      <c r="R516" s="48">
        <v>159</v>
      </c>
      <c r="S516" s="48">
        <v>175</v>
      </c>
      <c r="T516" s="48">
        <v>181</v>
      </c>
      <c r="U516" s="48">
        <v>199</v>
      </c>
      <c r="V516" s="48"/>
    </row>
    <row r="517" spans="2:22" x14ac:dyDescent="0.25">
      <c r="B517" s="47" t="s">
        <v>667</v>
      </c>
      <c r="C517" s="47" t="s">
        <v>287</v>
      </c>
      <c r="D517" s="47" t="s">
        <v>503</v>
      </c>
      <c r="E517" s="47" t="s">
        <v>27</v>
      </c>
      <c r="F517" s="47" t="s">
        <v>288</v>
      </c>
      <c r="G517" s="47" t="s">
        <v>27</v>
      </c>
      <c r="H517" s="47">
        <v>70153</v>
      </c>
      <c r="I517" s="47">
        <v>70040</v>
      </c>
      <c r="J517" s="47" t="s">
        <v>28</v>
      </c>
      <c r="K517" s="47" t="s">
        <v>667</v>
      </c>
      <c r="L517" s="47" t="s">
        <v>30</v>
      </c>
      <c r="M517" s="47" t="s">
        <v>287</v>
      </c>
      <c r="N517" s="48">
        <v>799</v>
      </c>
      <c r="O517" s="48">
        <v>879</v>
      </c>
      <c r="P517" s="48">
        <v>909</v>
      </c>
      <c r="Q517" s="48">
        <v>999</v>
      </c>
      <c r="R517" s="48">
        <v>159</v>
      </c>
      <c r="S517" s="48">
        <v>175</v>
      </c>
      <c r="T517" s="48">
        <v>181</v>
      </c>
      <c r="U517" s="48">
        <v>199</v>
      </c>
      <c r="V517" s="48"/>
    </row>
    <row r="518" spans="2:22" ht="23" x14ac:dyDescent="0.25">
      <c r="B518" s="44" t="s">
        <v>663</v>
      </c>
      <c r="C518" s="44" t="s">
        <v>497</v>
      </c>
      <c r="D518" s="44" t="s">
        <v>498</v>
      </c>
      <c r="E518" s="44" t="s">
        <v>27</v>
      </c>
      <c r="F518" s="44" t="s">
        <v>289</v>
      </c>
      <c r="G518" s="44" t="s">
        <v>27</v>
      </c>
      <c r="H518" s="44">
        <v>70154</v>
      </c>
      <c r="I518" s="44">
        <v>70216</v>
      </c>
      <c r="J518" s="44" t="s">
        <v>28</v>
      </c>
      <c r="K518" s="44" t="s">
        <v>663</v>
      </c>
      <c r="L518" s="44" t="s">
        <v>29</v>
      </c>
      <c r="M518" s="44"/>
      <c r="N518" s="45">
        <v>799</v>
      </c>
      <c r="O518" s="45">
        <v>879</v>
      </c>
      <c r="P518" s="45">
        <v>909</v>
      </c>
      <c r="Q518" s="45">
        <v>999</v>
      </c>
      <c r="R518" s="45">
        <v>159</v>
      </c>
      <c r="S518" s="45">
        <v>175</v>
      </c>
      <c r="T518" s="45">
        <v>181</v>
      </c>
      <c r="U518" s="45">
        <v>199</v>
      </c>
      <c r="V518" s="46"/>
    </row>
    <row r="519" spans="2:22" ht="20" x14ac:dyDescent="0.25">
      <c r="B519" s="47" t="s">
        <v>663</v>
      </c>
      <c r="C519" s="47" t="s">
        <v>497</v>
      </c>
      <c r="D519" s="47" t="s">
        <v>498</v>
      </c>
      <c r="E519" s="47" t="s">
        <v>27</v>
      </c>
      <c r="F519" s="47" t="s">
        <v>289</v>
      </c>
      <c r="G519" s="47" t="s">
        <v>27</v>
      </c>
      <c r="H519" s="47">
        <v>70154</v>
      </c>
      <c r="I519" s="47">
        <v>70216</v>
      </c>
      <c r="J519" s="47" t="s">
        <v>28</v>
      </c>
      <c r="K519" s="47" t="s">
        <v>663</v>
      </c>
      <c r="L519" s="47" t="s">
        <v>30</v>
      </c>
      <c r="M519" s="47" t="s">
        <v>497</v>
      </c>
      <c r="N519" s="48">
        <v>799</v>
      </c>
      <c r="O519" s="48">
        <v>879</v>
      </c>
      <c r="P519" s="48">
        <v>909</v>
      </c>
      <c r="Q519" s="48">
        <v>999</v>
      </c>
      <c r="R519" s="48">
        <v>159</v>
      </c>
      <c r="S519" s="48">
        <v>175</v>
      </c>
      <c r="T519" s="48">
        <v>181</v>
      </c>
      <c r="U519" s="48">
        <v>199</v>
      </c>
      <c r="V519" s="48"/>
    </row>
    <row r="520" spans="2:22" ht="23" x14ac:dyDescent="0.25">
      <c r="B520" s="44" t="s">
        <v>670</v>
      </c>
      <c r="C520" s="44" t="s">
        <v>671</v>
      </c>
      <c r="D520" s="44" t="s">
        <v>365</v>
      </c>
      <c r="E520" s="44" t="s">
        <v>27</v>
      </c>
      <c r="F520" s="44" t="s">
        <v>672</v>
      </c>
      <c r="G520" s="44" t="s">
        <v>27</v>
      </c>
      <c r="H520" s="44">
        <v>70156</v>
      </c>
      <c r="I520" s="44">
        <v>70057</v>
      </c>
      <c r="J520" s="44" t="s">
        <v>28</v>
      </c>
      <c r="K520" s="44" t="s">
        <v>670</v>
      </c>
      <c r="L520" s="44" t="s">
        <v>29</v>
      </c>
      <c r="M520" s="44"/>
      <c r="N520" s="45">
        <v>1200</v>
      </c>
      <c r="O520" s="45">
        <v>1200</v>
      </c>
      <c r="P520" s="45">
        <v>1200</v>
      </c>
      <c r="Q520" s="45">
        <v>1200</v>
      </c>
      <c r="R520" s="45">
        <v>478</v>
      </c>
      <c r="S520" s="45">
        <v>478</v>
      </c>
      <c r="T520" s="45">
        <v>478</v>
      </c>
      <c r="U520" s="45">
        <v>478</v>
      </c>
      <c r="V520" s="46"/>
    </row>
    <row r="521" spans="2:22" ht="20" x14ac:dyDescent="0.25">
      <c r="B521" s="47" t="s">
        <v>670</v>
      </c>
      <c r="C521" s="47" t="s">
        <v>671</v>
      </c>
      <c r="D521" s="47" t="s">
        <v>365</v>
      </c>
      <c r="E521" s="47" t="s">
        <v>27</v>
      </c>
      <c r="F521" s="47" t="s">
        <v>672</v>
      </c>
      <c r="G521" s="47" t="s">
        <v>27</v>
      </c>
      <c r="H521" s="47">
        <v>70156</v>
      </c>
      <c r="I521" s="47">
        <v>70057</v>
      </c>
      <c r="J521" s="47" t="s">
        <v>28</v>
      </c>
      <c r="K521" s="47" t="s">
        <v>2413</v>
      </c>
      <c r="L521" s="47" t="s">
        <v>39</v>
      </c>
      <c r="M521" s="47" t="s">
        <v>366</v>
      </c>
      <c r="N521" s="48">
        <v>1200</v>
      </c>
      <c r="O521" s="48">
        <v>1200</v>
      </c>
      <c r="P521" s="48">
        <v>1200</v>
      </c>
      <c r="Q521" s="48">
        <v>1200</v>
      </c>
      <c r="R521" s="48">
        <v>478</v>
      </c>
      <c r="S521" s="48">
        <v>478</v>
      </c>
      <c r="T521" s="48">
        <v>478</v>
      </c>
      <c r="U521" s="48">
        <v>478</v>
      </c>
      <c r="V521" s="48"/>
    </row>
    <row r="522" spans="2:22" ht="20" x14ac:dyDescent="0.25">
      <c r="B522" s="47" t="s">
        <v>670</v>
      </c>
      <c r="C522" s="47" t="s">
        <v>671</v>
      </c>
      <c r="D522" s="47" t="s">
        <v>365</v>
      </c>
      <c r="E522" s="47" t="s">
        <v>27</v>
      </c>
      <c r="F522" s="47" t="s">
        <v>672</v>
      </c>
      <c r="G522" s="47" t="s">
        <v>27</v>
      </c>
      <c r="H522" s="47">
        <v>70156</v>
      </c>
      <c r="I522" s="47">
        <v>70057</v>
      </c>
      <c r="J522" s="47" t="s">
        <v>28</v>
      </c>
      <c r="K522" s="47" t="s">
        <v>2412</v>
      </c>
      <c r="L522" s="47" t="s">
        <v>39</v>
      </c>
      <c r="M522" s="47" t="s">
        <v>366</v>
      </c>
      <c r="N522" s="48">
        <v>1200</v>
      </c>
      <c r="O522" s="48">
        <v>1200</v>
      </c>
      <c r="P522" s="48">
        <v>1200</v>
      </c>
      <c r="Q522" s="48">
        <v>1200</v>
      </c>
      <c r="R522" s="48">
        <v>478</v>
      </c>
      <c r="S522" s="48">
        <v>478</v>
      </c>
      <c r="T522" s="48">
        <v>478</v>
      </c>
      <c r="U522" s="48">
        <v>478</v>
      </c>
      <c r="V522" s="48"/>
    </row>
    <row r="523" spans="2:22" ht="20" x14ac:dyDescent="0.25">
      <c r="B523" s="47" t="s">
        <v>670</v>
      </c>
      <c r="C523" s="47" t="s">
        <v>671</v>
      </c>
      <c r="D523" s="47" t="s">
        <v>365</v>
      </c>
      <c r="E523" s="47" t="s">
        <v>27</v>
      </c>
      <c r="F523" s="47" t="s">
        <v>672</v>
      </c>
      <c r="G523" s="47" t="s">
        <v>27</v>
      </c>
      <c r="H523" s="47">
        <v>70156</v>
      </c>
      <c r="I523" s="47">
        <v>70057</v>
      </c>
      <c r="J523" s="47" t="s">
        <v>28</v>
      </c>
      <c r="K523" s="47" t="s">
        <v>2604</v>
      </c>
      <c r="L523" s="47" t="s">
        <v>39</v>
      </c>
      <c r="M523" s="47" t="s">
        <v>366</v>
      </c>
      <c r="N523" s="48">
        <v>1200</v>
      </c>
      <c r="O523" s="48">
        <v>1200</v>
      </c>
      <c r="P523" s="48">
        <v>1200</v>
      </c>
      <c r="Q523" s="48">
        <v>1200</v>
      </c>
      <c r="R523" s="48">
        <v>478</v>
      </c>
      <c r="S523" s="48">
        <v>478</v>
      </c>
      <c r="T523" s="48">
        <v>478</v>
      </c>
      <c r="U523" s="48">
        <v>478</v>
      </c>
      <c r="V523" s="48"/>
    </row>
    <row r="524" spans="2:22" ht="30" x14ac:dyDescent="0.25">
      <c r="B524" s="47" t="s">
        <v>670</v>
      </c>
      <c r="C524" s="47" t="s">
        <v>671</v>
      </c>
      <c r="D524" s="47" t="s">
        <v>365</v>
      </c>
      <c r="E524" s="47" t="s">
        <v>27</v>
      </c>
      <c r="F524" s="47" t="s">
        <v>672</v>
      </c>
      <c r="G524" s="47" t="s">
        <v>27</v>
      </c>
      <c r="H524" s="47">
        <v>70156</v>
      </c>
      <c r="I524" s="47">
        <v>70057</v>
      </c>
      <c r="J524" s="47" t="s">
        <v>28</v>
      </c>
      <c r="K524" s="47" t="s">
        <v>2603</v>
      </c>
      <c r="L524" s="47" t="s">
        <v>36</v>
      </c>
      <c r="M524" s="47" t="s">
        <v>366</v>
      </c>
      <c r="N524" s="48">
        <v>1200</v>
      </c>
      <c r="O524" s="48">
        <v>1200</v>
      </c>
      <c r="P524" s="48">
        <v>1200</v>
      </c>
      <c r="Q524" s="48">
        <v>1200</v>
      </c>
      <c r="R524" s="48">
        <v>478</v>
      </c>
      <c r="S524" s="48">
        <v>478</v>
      </c>
      <c r="T524" s="48">
        <v>478</v>
      </c>
      <c r="U524" s="48">
        <v>478</v>
      </c>
      <c r="V524" s="48"/>
    </row>
    <row r="525" spans="2:22" ht="23" x14ac:dyDescent="0.25">
      <c r="B525" s="44" t="s">
        <v>673</v>
      </c>
      <c r="C525" s="44" t="s">
        <v>674</v>
      </c>
      <c r="D525" s="44" t="s">
        <v>365</v>
      </c>
      <c r="E525" s="44" t="s">
        <v>27</v>
      </c>
      <c r="F525" s="44" t="s">
        <v>675</v>
      </c>
      <c r="G525" s="44" t="s">
        <v>27</v>
      </c>
      <c r="H525" s="44">
        <v>70155</v>
      </c>
      <c r="I525" s="44">
        <v>70421</v>
      </c>
      <c r="J525" s="44" t="s">
        <v>28</v>
      </c>
      <c r="K525" s="44" t="s">
        <v>673</v>
      </c>
      <c r="L525" s="44" t="s">
        <v>29</v>
      </c>
      <c r="M525" s="44"/>
      <c r="N525" s="45">
        <v>440</v>
      </c>
      <c r="O525" s="45">
        <v>484</v>
      </c>
      <c r="P525" s="45">
        <v>481</v>
      </c>
      <c r="Q525" s="45">
        <v>529</v>
      </c>
      <c r="R525" s="45">
        <v>88</v>
      </c>
      <c r="S525" s="45">
        <v>96</v>
      </c>
      <c r="T525" s="45">
        <v>96</v>
      </c>
      <c r="U525" s="45">
        <v>105</v>
      </c>
      <c r="V525" s="46"/>
    </row>
    <row r="526" spans="2:22" x14ac:dyDescent="0.25">
      <c r="B526" s="47" t="s">
        <v>673</v>
      </c>
      <c r="C526" s="47" t="s">
        <v>674</v>
      </c>
      <c r="D526" s="47" t="s">
        <v>365</v>
      </c>
      <c r="E526" s="47" t="s">
        <v>27</v>
      </c>
      <c r="F526" s="47" t="s">
        <v>675</v>
      </c>
      <c r="G526" s="47" t="s">
        <v>27</v>
      </c>
      <c r="H526" s="47">
        <v>70155</v>
      </c>
      <c r="I526" s="47">
        <v>70421</v>
      </c>
      <c r="J526" s="47" t="s">
        <v>28</v>
      </c>
      <c r="K526" s="47" t="s">
        <v>673</v>
      </c>
      <c r="L526" s="47" t="s">
        <v>30</v>
      </c>
      <c r="M526" s="47" t="s">
        <v>674</v>
      </c>
      <c r="N526" s="48">
        <v>440</v>
      </c>
      <c r="O526" s="48">
        <v>484</v>
      </c>
      <c r="P526" s="48">
        <v>481</v>
      </c>
      <c r="Q526" s="48">
        <v>529</v>
      </c>
      <c r="R526" s="48">
        <v>88</v>
      </c>
      <c r="S526" s="48">
        <v>96</v>
      </c>
      <c r="T526" s="48">
        <v>96</v>
      </c>
      <c r="U526" s="48">
        <v>105</v>
      </c>
      <c r="V526" s="48"/>
    </row>
    <row r="527" spans="2:22" ht="23" x14ac:dyDescent="0.25">
      <c r="B527" s="44" t="s">
        <v>676</v>
      </c>
      <c r="C527" s="44" t="s">
        <v>677</v>
      </c>
      <c r="D527" s="44" t="s">
        <v>678</v>
      </c>
      <c r="E527" s="44" t="s">
        <v>27</v>
      </c>
      <c r="F527" s="44" t="s">
        <v>679</v>
      </c>
      <c r="G527" s="44" t="s">
        <v>27</v>
      </c>
      <c r="H527" s="44">
        <v>70157</v>
      </c>
      <c r="I527" s="44">
        <v>70419</v>
      </c>
      <c r="J527" s="44" t="s">
        <v>28</v>
      </c>
      <c r="K527" s="44" t="s">
        <v>676</v>
      </c>
      <c r="L527" s="44" t="s">
        <v>29</v>
      </c>
      <c r="M527" s="44"/>
      <c r="N527" s="45">
        <v>1060</v>
      </c>
      <c r="O527" s="45">
        <v>1166</v>
      </c>
      <c r="P527" s="45">
        <v>1200</v>
      </c>
      <c r="Q527" s="45">
        <v>1200</v>
      </c>
      <c r="R527" s="45">
        <v>211</v>
      </c>
      <c r="S527" s="45">
        <v>232</v>
      </c>
      <c r="T527" s="45">
        <v>239</v>
      </c>
      <c r="U527" s="45">
        <v>239</v>
      </c>
      <c r="V527" s="46"/>
    </row>
    <row r="528" spans="2:22" ht="20" x14ac:dyDescent="0.25">
      <c r="B528" s="47" t="s">
        <v>676</v>
      </c>
      <c r="C528" s="47" t="s">
        <v>677</v>
      </c>
      <c r="D528" s="47" t="s">
        <v>678</v>
      </c>
      <c r="E528" s="47" t="s">
        <v>27</v>
      </c>
      <c r="F528" s="47" t="s">
        <v>679</v>
      </c>
      <c r="G528" s="47" t="s">
        <v>27</v>
      </c>
      <c r="H528" s="47">
        <v>70157</v>
      </c>
      <c r="I528" s="47">
        <v>70419</v>
      </c>
      <c r="J528" s="47" t="s">
        <v>28</v>
      </c>
      <c r="K528" s="47" t="s">
        <v>680</v>
      </c>
      <c r="L528" s="47" t="s">
        <v>31</v>
      </c>
      <c r="M528" s="47" t="s">
        <v>681</v>
      </c>
      <c r="N528" s="48">
        <v>1060</v>
      </c>
      <c r="O528" s="48">
        <v>1166</v>
      </c>
      <c r="P528" s="47">
        <v>1210</v>
      </c>
      <c r="Q528" s="47">
        <v>1331</v>
      </c>
      <c r="R528" s="48">
        <v>211</v>
      </c>
      <c r="S528" s="48">
        <v>232</v>
      </c>
      <c r="T528" s="47">
        <v>241</v>
      </c>
      <c r="U528" s="47">
        <v>265</v>
      </c>
      <c r="V528" s="47"/>
    </row>
    <row r="529" spans="2:22" ht="30" x14ac:dyDescent="0.25">
      <c r="B529" s="47" t="s">
        <v>676</v>
      </c>
      <c r="C529" s="47" t="s">
        <v>677</v>
      </c>
      <c r="D529" s="47" t="s">
        <v>678</v>
      </c>
      <c r="E529" s="47" t="s">
        <v>27</v>
      </c>
      <c r="F529" s="47" t="s">
        <v>679</v>
      </c>
      <c r="G529" s="47" t="s">
        <v>27</v>
      </c>
      <c r="H529" s="47">
        <v>70157</v>
      </c>
      <c r="I529" s="47">
        <v>70419</v>
      </c>
      <c r="J529" s="47" t="s">
        <v>28</v>
      </c>
      <c r="K529" s="47" t="s">
        <v>2173</v>
      </c>
      <c r="L529" s="47" t="s">
        <v>36</v>
      </c>
      <c r="M529" s="47" t="s">
        <v>681</v>
      </c>
      <c r="N529" s="47">
        <v>1200</v>
      </c>
      <c r="O529" s="47">
        <v>1200</v>
      </c>
      <c r="P529" s="48">
        <v>1200</v>
      </c>
      <c r="Q529" s="48">
        <v>1200</v>
      </c>
      <c r="R529" s="47">
        <v>239</v>
      </c>
      <c r="S529" s="47">
        <v>239</v>
      </c>
      <c r="T529" s="48">
        <v>239</v>
      </c>
      <c r="U529" s="48">
        <v>239</v>
      </c>
      <c r="V529" s="48"/>
    </row>
    <row r="530" spans="2:22" ht="20" x14ac:dyDescent="0.25">
      <c r="B530" s="47" t="s">
        <v>676</v>
      </c>
      <c r="C530" s="47" t="s">
        <v>677</v>
      </c>
      <c r="D530" s="47" t="s">
        <v>678</v>
      </c>
      <c r="E530" s="47" t="s">
        <v>27</v>
      </c>
      <c r="F530" s="47" t="s">
        <v>679</v>
      </c>
      <c r="G530" s="47" t="s">
        <v>27</v>
      </c>
      <c r="H530" s="47">
        <v>70157</v>
      </c>
      <c r="I530" s="47">
        <v>70419</v>
      </c>
      <c r="J530" s="47" t="s">
        <v>28</v>
      </c>
      <c r="K530" s="47" t="s">
        <v>2172</v>
      </c>
      <c r="L530" s="47" t="s">
        <v>1315</v>
      </c>
      <c r="M530" s="47" t="s">
        <v>681</v>
      </c>
      <c r="N530" s="47">
        <v>1200</v>
      </c>
      <c r="O530" s="47">
        <v>1200</v>
      </c>
      <c r="P530" s="48">
        <v>1200</v>
      </c>
      <c r="Q530" s="48">
        <v>1200</v>
      </c>
      <c r="R530" s="47">
        <v>239</v>
      </c>
      <c r="S530" s="47">
        <v>239</v>
      </c>
      <c r="T530" s="48">
        <v>239</v>
      </c>
      <c r="U530" s="48">
        <v>239</v>
      </c>
      <c r="V530" s="48"/>
    </row>
    <row r="531" spans="2:22" x14ac:dyDescent="0.25">
      <c r="B531" s="47" t="s">
        <v>676</v>
      </c>
      <c r="C531" s="47" t="s">
        <v>677</v>
      </c>
      <c r="D531" s="47" t="s">
        <v>678</v>
      </c>
      <c r="E531" s="47" t="s">
        <v>27</v>
      </c>
      <c r="F531" s="47" t="s">
        <v>679</v>
      </c>
      <c r="G531" s="47" t="s">
        <v>27</v>
      </c>
      <c r="H531" s="47">
        <v>70157</v>
      </c>
      <c r="I531" s="47">
        <v>70419</v>
      </c>
      <c r="J531" s="47" t="s">
        <v>28</v>
      </c>
      <c r="K531" s="47" t="s">
        <v>2174</v>
      </c>
      <c r="L531" s="47" t="s">
        <v>49</v>
      </c>
      <c r="M531" s="47" t="s">
        <v>681</v>
      </c>
      <c r="N531" s="47">
        <v>1200</v>
      </c>
      <c r="O531" s="47">
        <v>1200</v>
      </c>
      <c r="P531" s="48">
        <v>1200</v>
      </c>
      <c r="Q531" s="48">
        <v>1200</v>
      </c>
      <c r="R531" s="47">
        <v>239</v>
      </c>
      <c r="S531" s="47">
        <v>239</v>
      </c>
      <c r="T531" s="48">
        <v>239</v>
      </c>
      <c r="U531" s="48">
        <v>239</v>
      </c>
      <c r="V531" s="48"/>
    </row>
    <row r="532" spans="2:22" x14ac:dyDescent="0.25">
      <c r="B532" s="47" t="s">
        <v>676</v>
      </c>
      <c r="C532" s="47" t="s">
        <v>677</v>
      </c>
      <c r="D532" s="47" t="s">
        <v>678</v>
      </c>
      <c r="E532" s="47" t="s">
        <v>27</v>
      </c>
      <c r="F532" s="47" t="s">
        <v>679</v>
      </c>
      <c r="G532" s="47" t="s">
        <v>27</v>
      </c>
      <c r="H532" s="47">
        <v>70157</v>
      </c>
      <c r="I532" s="47">
        <v>70419</v>
      </c>
      <c r="J532" s="47" t="s">
        <v>28</v>
      </c>
      <c r="K532" s="47" t="s">
        <v>677</v>
      </c>
      <c r="L532" s="47" t="s">
        <v>49</v>
      </c>
      <c r="M532" s="47" t="s">
        <v>681</v>
      </c>
      <c r="N532" s="47">
        <v>1200</v>
      </c>
      <c r="O532" s="47">
        <v>1200</v>
      </c>
      <c r="P532" s="48">
        <v>1200</v>
      </c>
      <c r="Q532" s="48">
        <v>1200</v>
      </c>
      <c r="R532" s="47">
        <v>239</v>
      </c>
      <c r="S532" s="47">
        <v>239</v>
      </c>
      <c r="T532" s="48">
        <v>239</v>
      </c>
      <c r="U532" s="48">
        <v>239</v>
      </c>
      <c r="V532" s="48"/>
    </row>
    <row r="533" spans="2:22" ht="30" x14ac:dyDescent="0.25">
      <c r="B533" s="47" t="s">
        <v>676</v>
      </c>
      <c r="C533" s="47" t="s">
        <v>677</v>
      </c>
      <c r="D533" s="47" t="s">
        <v>678</v>
      </c>
      <c r="E533" s="47" t="s">
        <v>27</v>
      </c>
      <c r="F533" s="47" t="s">
        <v>679</v>
      </c>
      <c r="G533" s="47" t="s">
        <v>27</v>
      </c>
      <c r="H533" s="47">
        <v>70157</v>
      </c>
      <c r="I533" s="47">
        <v>70419</v>
      </c>
      <c r="J533" s="47" t="s">
        <v>28</v>
      </c>
      <c r="K533" s="47" t="s">
        <v>2175</v>
      </c>
      <c r="L533" s="47" t="s">
        <v>36</v>
      </c>
      <c r="M533" s="47" t="s">
        <v>681</v>
      </c>
      <c r="N533" s="47">
        <v>1200</v>
      </c>
      <c r="O533" s="47">
        <v>1200</v>
      </c>
      <c r="P533" s="48">
        <v>1200</v>
      </c>
      <c r="Q533" s="48">
        <v>1200</v>
      </c>
      <c r="R533" s="47">
        <v>239</v>
      </c>
      <c r="S533" s="47">
        <v>239</v>
      </c>
      <c r="T533" s="48">
        <v>239</v>
      </c>
      <c r="U533" s="48">
        <v>239</v>
      </c>
      <c r="V533" s="48"/>
    </row>
    <row r="534" spans="2:22" ht="34.5" x14ac:dyDescent="0.25">
      <c r="B534" s="44" t="s">
        <v>682</v>
      </c>
      <c r="C534" s="44" t="s">
        <v>683</v>
      </c>
      <c r="D534" s="44" t="s">
        <v>277</v>
      </c>
      <c r="E534" s="44" t="s">
        <v>27</v>
      </c>
      <c r="F534" s="44" t="s">
        <v>684</v>
      </c>
      <c r="G534" s="44" t="s">
        <v>27</v>
      </c>
      <c r="H534" s="44">
        <v>70149</v>
      </c>
      <c r="I534" s="44">
        <v>70163</v>
      </c>
      <c r="J534" s="44" t="s">
        <v>28</v>
      </c>
      <c r="K534" s="44" t="s">
        <v>682</v>
      </c>
      <c r="L534" s="44" t="s">
        <v>29</v>
      </c>
      <c r="M534" s="44"/>
      <c r="N534" s="45">
        <v>770</v>
      </c>
      <c r="O534" s="45">
        <v>1105</v>
      </c>
      <c r="P534" s="45">
        <v>770</v>
      </c>
      <c r="Q534" s="45">
        <v>1105</v>
      </c>
      <c r="R534" s="45">
        <v>307</v>
      </c>
      <c r="S534" s="45">
        <v>440</v>
      </c>
      <c r="T534" s="45">
        <v>307</v>
      </c>
      <c r="U534" s="45">
        <v>440</v>
      </c>
      <c r="V534" s="46"/>
    </row>
    <row r="535" spans="2:22" ht="20" x14ac:dyDescent="0.25">
      <c r="B535" s="47" t="s">
        <v>682</v>
      </c>
      <c r="C535" s="47" t="s">
        <v>683</v>
      </c>
      <c r="D535" s="47" t="s">
        <v>277</v>
      </c>
      <c r="E535" s="47" t="s">
        <v>27</v>
      </c>
      <c r="F535" s="47" t="s">
        <v>684</v>
      </c>
      <c r="G535" s="47" t="s">
        <v>27</v>
      </c>
      <c r="H535" s="47">
        <v>70149</v>
      </c>
      <c r="I535" s="47">
        <v>70163</v>
      </c>
      <c r="J535" s="47" t="s">
        <v>28</v>
      </c>
      <c r="K535" s="47" t="s">
        <v>682</v>
      </c>
      <c r="L535" s="47" t="s">
        <v>30</v>
      </c>
      <c r="M535" s="47" t="s">
        <v>683</v>
      </c>
      <c r="N535" s="48">
        <v>770</v>
      </c>
      <c r="O535" s="48">
        <v>1105</v>
      </c>
      <c r="P535" s="48">
        <v>770</v>
      </c>
      <c r="Q535" s="48">
        <v>1105</v>
      </c>
      <c r="R535" s="48">
        <v>307</v>
      </c>
      <c r="S535" s="48">
        <v>440</v>
      </c>
      <c r="T535" s="48">
        <v>307</v>
      </c>
      <c r="U535" s="48">
        <v>440</v>
      </c>
      <c r="V535" s="48"/>
    </row>
    <row r="536" spans="2:22" ht="34.5" x14ac:dyDescent="0.25">
      <c r="B536" s="44" t="s">
        <v>698</v>
      </c>
      <c r="C536" s="44" t="s">
        <v>699</v>
      </c>
      <c r="D536" s="44" t="s">
        <v>277</v>
      </c>
      <c r="E536" s="44" t="s">
        <v>27</v>
      </c>
      <c r="F536" s="44" t="s">
        <v>700</v>
      </c>
      <c r="G536" s="44" t="s">
        <v>27</v>
      </c>
      <c r="H536" s="44">
        <v>70144</v>
      </c>
      <c r="I536" s="44">
        <v>70173</v>
      </c>
      <c r="J536" s="44" t="s">
        <v>28</v>
      </c>
      <c r="K536" s="44" t="s">
        <v>698</v>
      </c>
      <c r="L536" s="44" t="s">
        <v>29</v>
      </c>
      <c r="M536" s="44"/>
      <c r="N536" s="45">
        <v>1200</v>
      </c>
      <c r="O536" s="45">
        <v>1200</v>
      </c>
      <c r="P536" s="45">
        <v>1200</v>
      </c>
      <c r="Q536" s="45">
        <v>1200</v>
      </c>
      <c r="R536" s="45">
        <v>239</v>
      </c>
      <c r="S536" s="45">
        <v>239</v>
      </c>
      <c r="T536" s="45">
        <v>239</v>
      </c>
      <c r="U536" s="45">
        <v>239</v>
      </c>
      <c r="V536" s="46"/>
    </row>
    <row r="537" spans="2:22" ht="30" x14ac:dyDescent="0.25">
      <c r="B537" s="47" t="s">
        <v>698</v>
      </c>
      <c r="C537" s="47" t="s">
        <v>699</v>
      </c>
      <c r="D537" s="47" t="s">
        <v>277</v>
      </c>
      <c r="E537" s="47" t="s">
        <v>27</v>
      </c>
      <c r="F537" s="47" t="s">
        <v>700</v>
      </c>
      <c r="G537" s="47" t="s">
        <v>27</v>
      </c>
      <c r="H537" s="47">
        <v>70144</v>
      </c>
      <c r="I537" s="47">
        <v>70173</v>
      </c>
      <c r="J537" s="47" t="s">
        <v>28</v>
      </c>
      <c r="K537" s="47" t="s">
        <v>704</v>
      </c>
      <c r="L537" s="47" t="s">
        <v>36</v>
      </c>
      <c r="M537" s="47" t="s">
        <v>279</v>
      </c>
      <c r="N537" s="48">
        <v>1200</v>
      </c>
      <c r="O537" s="48">
        <v>1200</v>
      </c>
      <c r="P537" s="48">
        <v>1200</v>
      </c>
      <c r="Q537" s="48">
        <v>1200</v>
      </c>
      <c r="R537" s="48">
        <v>239</v>
      </c>
      <c r="S537" s="48">
        <v>239</v>
      </c>
      <c r="T537" s="48">
        <v>239</v>
      </c>
      <c r="U537" s="48">
        <v>239</v>
      </c>
      <c r="V537" s="48"/>
    </row>
    <row r="538" spans="2:22" ht="30" x14ac:dyDescent="0.25">
      <c r="B538" s="47" t="s">
        <v>698</v>
      </c>
      <c r="C538" s="47" t="s">
        <v>699</v>
      </c>
      <c r="D538" s="47" t="s">
        <v>277</v>
      </c>
      <c r="E538" s="47" t="s">
        <v>27</v>
      </c>
      <c r="F538" s="47" t="s">
        <v>700</v>
      </c>
      <c r="G538" s="47" t="s">
        <v>27</v>
      </c>
      <c r="H538" s="47">
        <v>70144</v>
      </c>
      <c r="I538" s="47">
        <v>70173</v>
      </c>
      <c r="J538" s="47" t="s">
        <v>28</v>
      </c>
      <c r="K538" s="47" t="s">
        <v>701</v>
      </c>
      <c r="L538" s="47" t="s">
        <v>36</v>
      </c>
      <c r="M538" s="47" t="s">
        <v>279</v>
      </c>
      <c r="N538" s="48">
        <v>1200</v>
      </c>
      <c r="O538" s="48">
        <v>1200</v>
      </c>
      <c r="P538" s="48">
        <v>1200</v>
      </c>
      <c r="Q538" s="48">
        <v>1200</v>
      </c>
      <c r="R538" s="48">
        <v>239</v>
      </c>
      <c r="S538" s="48">
        <v>239</v>
      </c>
      <c r="T538" s="48">
        <v>239</v>
      </c>
      <c r="U538" s="48">
        <v>239</v>
      </c>
      <c r="V538" s="48"/>
    </row>
    <row r="539" spans="2:22" ht="30" x14ac:dyDescent="0.25">
      <c r="B539" s="47" t="s">
        <v>698</v>
      </c>
      <c r="C539" s="47" t="s">
        <v>699</v>
      </c>
      <c r="D539" s="47" t="s">
        <v>277</v>
      </c>
      <c r="E539" s="47" t="s">
        <v>27</v>
      </c>
      <c r="F539" s="47" t="s">
        <v>700</v>
      </c>
      <c r="G539" s="47" t="s">
        <v>27</v>
      </c>
      <c r="H539" s="47">
        <v>70144</v>
      </c>
      <c r="I539" s="47">
        <v>70173</v>
      </c>
      <c r="J539" s="47" t="s">
        <v>28</v>
      </c>
      <c r="K539" s="47" t="s">
        <v>705</v>
      </c>
      <c r="L539" s="47" t="s">
        <v>36</v>
      </c>
      <c r="M539" s="47" t="s">
        <v>279</v>
      </c>
      <c r="N539" s="48">
        <v>1200</v>
      </c>
      <c r="O539" s="48">
        <v>1200</v>
      </c>
      <c r="P539" s="48">
        <v>1200</v>
      </c>
      <c r="Q539" s="48">
        <v>1200</v>
      </c>
      <c r="R539" s="48">
        <v>239</v>
      </c>
      <c r="S539" s="48">
        <v>239</v>
      </c>
      <c r="T539" s="48">
        <v>239</v>
      </c>
      <c r="U539" s="48">
        <v>239</v>
      </c>
      <c r="V539" s="48"/>
    </row>
    <row r="540" spans="2:22" ht="30" x14ac:dyDescent="0.25">
      <c r="B540" s="47" t="s">
        <v>698</v>
      </c>
      <c r="C540" s="47" t="s">
        <v>699</v>
      </c>
      <c r="D540" s="47" t="s">
        <v>277</v>
      </c>
      <c r="E540" s="47" t="s">
        <v>27</v>
      </c>
      <c r="F540" s="47" t="s">
        <v>700</v>
      </c>
      <c r="G540" s="47" t="s">
        <v>27</v>
      </c>
      <c r="H540" s="47">
        <v>70144</v>
      </c>
      <c r="I540" s="47">
        <v>70173</v>
      </c>
      <c r="J540" s="47" t="s">
        <v>28</v>
      </c>
      <c r="K540" s="47" t="s">
        <v>703</v>
      </c>
      <c r="L540" s="47" t="s">
        <v>36</v>
      </c>
      <c r="M540" s="47" t="s">
        <v>279</v>
      </c>
      <c r="N540" s="48">
        <v>1200</v>
      </c>
      <c r="O540" s="48">
        <v>1200</v>
      </c>
      <c r="P540" s="48">
        <v>1200</v>
      </c>
      <c r="Q540" s="48">
        <v>1200</v>
      </c>
      <c r="R540" s="48">
        <v>239</v>
      </c>
      <c r="S540" s="48">
        <v>239</v>
      </c>
      <c r="T540" s="48">
        <v>239</v>
      </c>
      <c r="U540" s="48">
        <v>239</v>
      </c>
      <c r="V540" s="48"/>
    </row>
    <row r="541" spans="2:22" ht="20" x14ac:dyDescent="0.25">
      <c r="B541" s="47" t="s">
        <v>698</v>
      </c>
      <c r="C541" s="47" t="s">
        <v>699</v>
      </c>
      <c r="D541" s="47" t="s">
        <v>277</v>
      </c>
      <c r="E541" s="47" t="s">
        <v>27</v>
      </c>
      <c r="F541" s="47" t="s">
        <v>700</v>
      </c>
      <c r="G541" s="47" t="s">
        <v>27</v>
      </c>
      <c r="H541" s="47">
        <v>70144</v>
      </c>
      <c r="I541" s="47">
        <v>70173</v>
      </c>
      <c r="J541" s="47" t="s">
        <v>28</v>
      </c>
      <c r="K541" s="47" t="s">
        <v>698</v>
      </c>
      <c r="L541" s="47" t="s">
        <v>30</v>
      </c>
      <c r="M541" s="47" t="s">
        <v>699</v>
      </c>
      <c r="N541" s="48">
        <v>1200</v>
      </c>
      <c r="O541" s="47">
        <v>1392</v>
      </c>
      <c r="P541" s="47">
        <v>1442</v>
      </c>
      <c r="Q541" s="47">
        <v>1586</v>
      </c>
      <c r="R541" s="48">
        <v>239</v>
      </c>
      <c r="S541" s="47">
        <v>277</v>
      </c>
      <c r="T541" s="47">
        <v>287</v>
      </c>
      <c r="U541" s="47">
        <v>316</v>
      </c>
      <c r="V541" s="47"/>
    </row>
    <row r="542" spans="2:22" ht="20" x14ac:dyDescent="0.25">
      <c r="B542" s="47" t="s">
        <v>698</v>
      </c>
      <c r="C542" s="47" t="s">
        <v>699</v>
      </c>
      <c r="D542" s="47" t="s">
        <v>277</v>
      </c>
      <c r="E542" s="47" t="s">
        <v>27</v>
      </c>
      <c r="F542" s="47" t="s">
        <v>700</v>
      </c>
      <c r="G542" s="47" t="s">
        <v>27</v>
      </c>
      <c r="H542" s="47">
        <v>70144</v>
      </c>
      <c r="I542" s="47">
        <v>70173</v>
      </c>
      <c r="J542" s="47" t="s">
        <v>28</v>
      </c>
      <c r="K542" s="47" t="s">
        <v>249</v>
      </c>
      <c r="L542" s="47" t="s">
        <v>31</v>
      </c>
      <c r="M542" s="47" t="s">
        <v>279</v>
      </c>
      <c r="N542" s="48">
        <v>1200</v>
      </c>
      <c r="O542" s="47">
        <v>1392</v>
      </c>
      <c r="P542" s="47">
        <v>1442</v>
      </c>
      <c r="Q542" s="47">
        <v>1586</v>
      </c>
      <c r="R542" s="48">
        <v>239</v>
      </c>
      <c r="S542" s="47">
        <v>277</v>
      </c>
      <c r="T542" s="47">
        <v>287</v>
      </c>
      <c r="U542" s="47">
        <v>316</v>
      </c>
      <c r="V542" s="47"/>
    </row>
    <row r="543" spans="2:22" ht="20" x14ac:dyDescent="0.25">
      <c r="B543" s="47" t="s">
        <v>698</v>
      </c>
      <c r="C543" s="47" t="s">
        <v>699</v>
      </c>
      <c r="D543" s="47" t="s">
        <v>277</v>
      </c>
      <c r="E543" s="47" t="s">
        <v>27</v>
      </c>
      <c r="F543" s="47" t="s">
        <v>700</v>
      </c>
      <c r="G543" s="47" t="s">
        <v>27</v>
      </c>
      <c r="H543" s="47">
        <v>70144</v>
      </c>
      <c r="I543" s="47">
        <v>70173</v>
      </c>
      <c r="J543" s="47" t="s">
        <v>28</v>
      </c>
      <c r="K543" s="47" t="s">
        <v>706</v>
      </c>
      <c r="L543" s="47" t="s">
        <v>34</v>
      </c>
      <c r="M543" s="47" t="s">
        <v>279</v>
      </c>
      <c r="N543" s="48">
        <v>1200</v>
      </c>
      <c r="O543" s="47">
        <v>1549</v>
      </c>
      <c r="P543" s="47">
        <v>1486</v>
      </c>
      <c r="Q543" s="47">
        <v>1780</v>
      </c>
      <c r="R543" s="48">
        <v>239</v>
      </c>
      <c r="S543" s="47">
        <v>309</v>
      </c>
      <c r="T543" s="47">
        <v>296</v>
      </c>
      <c r="U543" s="47">
        <v>355</v>
      </c>
      <c r="V543" s="47"/>
    </row>
    <row r="544" spans="2:22" ht="20" x14ac:dyDescent="0.25">
      <c r="B544" s="47" t="s">
        <v>698</v>
      </c>
      <c r="C544" s="47" t="s">
        <v>699</v>
      </c>
      <c r="D544" s="47" t="s">
        <v>277</v>
      </c>
      <c r="E544" s="47" t="s">
        <v>27</v>
      </c>
      <c r="F544" s="47" t="s">
        <v>700</v>
      </c>
      <c r="G544" s="47" t="s">
        <v>27</v>
      </c>
      <c r="H544" s="47">
        <v>70144</v>
      </c>
      <c r="I544" s="47">
        <v>70173</v>
      </c>
      <c r="J544" s="47" t="s">
        <v>28</v>
      </c>
      <c r="K544" s="47" t="s">
        <v>2653</v>
      </c>
      <c r="L544" s="47" t="s">
        <v>34</v>
      </c>
      <c r="M544" s="47" t="s">
        <v>279</v>
      </c>
      <c r="N544" s="48">
        <v>1200</v>
      </c>
      <c r="O544" s="47">
        <v>1549</v>
      </c>
      <c r="P544" s="47">
        <v>1486</v>
      </c>
      <c r="Q544" s="47">
        <v>1780</v>
      </c>
      <c r="R544" s="48">
        <v>239</v>
      </c>
      <c r="S544" s="47">
        <v>309</v>
      </c>
      <c r="T544" s="47">
        <v>296</v>
      </c>
      <c r="U544" s="47">
        <v>355</v>
      </c>
      <c r="V544" s="47"/>
    </row>
    <row r="545" spans="2:22" ht="34.5" x14ac:dyDescent="0.25">
      <c r="B545" s="44" t="s">
        <v>707</v>
      </c>
      <c r="C545" s="44" t="s">
        <v>708</v>
      </c>
      <c r="D545" s="44" t="s">
        <v>277</v>
      </c>
      <c r="E545" s="44" t="s">
        <v>27</v>
      </c>
      <c r="F545" s="44" t="s">
        <v>305</v>
      </c>
      <c r="G545" s="44" t="s">
        <v>27</v>
      </c>
      <c r="H545" s="44">
        <v>70148</v>
      </c>
      <c r="I545" s="44">
        <v>70208</v>
      </c>
      <c r="J545" s="44" t="s">
        <v>28</v>
      </c>
      <c r="K545" s="44" t="s">
        <v>707</v>
      </c>
      <c r="L545" s="44" t="s">
        <v>29</v>
      </c>
      <c r="M545" s="44"/>
      <c r="N545" s="45">
        <v>1200</v>
      </c>
      <c r="O545" s="45">
        <v>1200</v>
      </c>
      <c r="P545" s="45">
        <v>1200</v>
      </c>
      <c r="Q545" s="45">
        <v>1200</v>
      </c>
      <c r="R545" s="45">
        <v>239</v>
      </c>
      <c r="S545" s="45">
        <v>239</v>
      </c>
      <c r="T545" s="45">
        <v>239</v>
      </c>
      <c r="U545" s="45">
        <v>239</v>
      </c>
      <c r="V545" s="46"/>
    </row>
    <row r="546" spans="2:22" ht="30" x14ac:dyDescent="0.25">
      <c r="B546" s="47" t="s">
        <v>707</v>
      </c>
      <c r="C546" s="47" t="s">
        <v>708</v>
      </c>
      <c r="D546" s="47" t="s">
        <v>277</v>
      </c>
      <c r="E546" s="47" t="s">
        <v>27</v>
      </c>
      <c r="F546" s="47" t="s">
        <v>305</v>
      </c>
      <c r="G546" s="47" t="s">
        <v>27</v>
      </c>
      <c r="H546" s="47">
        <v>70148</v>
      </c>
      <c r="I546" s="47">
        <v>70208</v>
      </c>
      <c r="J546" s="47" t="s">
        <v>28</v>
      </c>
      <c r="K546" s="47" t="s">
        <v>2417</v>
      </c>
      <c r="L546" s="47" t="s">
        <v>36</v>
      </c>
      <c r="M546" s="47" t="s">
        <v>710</v>
      </c>
      <c r="N546" s="48">
        <v>1200</v>
      </c>
      <c r="O546" s="48">
        <v>1200</v>
      </c>
      <c r="P546" s="48">
        <v>1200</v>
      </c>
      <c r="Q546" s="48">
        <v>1200</v>
      </c>
      <c r="R546" s="48">
        <v>239</v>
      </c>
      <c r="S546" s="48">
        <v>239</v>
      </c>
      <c r="T546" s="48">
        <v>239</v>
      </c>
      <c r="U546" s="48">
        <v>239</v>
      </c>
      <c r="V546" s="48"/>
    </row>
    <row r="547" spans="2:22" ht="20" x14ac:dyDescent="0.25">
      <c r="B547" s="47" t="s">
        <v>707</v>
      </c>
      <c r="C547" s="47" t="s">
        <v>708</v>
      </c>
      <c r="D547" s="47" t="s">
        <v>277</v>
      </c>
      <c r="E547" s="47" t="s">
        <v>27</v>
      </c>
      <c r="F547" s="47" t="s">
        <v>305</v>
      </c>
      <c r="G547" s="47" t="s">
        <v>27</v>
      </c>
      <c r="H547" s="47">
        <v>70148</v>
      </c>
      <c r="I547" s="47">
        <v>70208</v>
      </c>
      <c r="J547" s="47" t="s">
        <v>28</v>
      </c>
      <c r="K547" s="47" t="s">
        <v>2423</v>
      </c>
      <c r="L547" s="47" t="s">
        <v>39</v>
      </c>
      <c r="M547" s="47" t="s">
        <v>279</v>
      </c>
      <c r="N547" s="48">
        <v>1200</v>
      </c>
      <c r="O547" s="48">
        <v>1200</v>
      </c>
      <c r="P547" s="48">
        <v>1200</v>
      </c>
      <c r="Q547" s="48">
        <v>1200</v>
      </c>
      <c r="R547" s="48">
        <v>239</v>
      </c>
      <c r="S547" s="48">
        <v>239</v>
      </c>
      <c r="T547" s="48">
        <v>239</v>
      </c>
      <c r="U547" s="48">
        <v>239</v>
      </c>
      <c r="V547" s="48"/>
    </row>
    <row r="548" spans="2:22" ht="20" x14ac:dyDescent="0.25">
      <c r="B548" s="47" t="s">
        <v>707</v>
      </c>
      <c r="C548" s="47" t="s">
        <v>708</v>
      </c>
      <c r="D548" s="47" t="s">
        <v>277</v>
      </c>
      <c r="E548" s="47" t="s">
        <v>27</v>
      </c>
      <c r="F548" s="47" t="s">
        <v>305</v>
      </c>
      <c r="G548" s="47" t="s">
        <v>27</v>
      </c>
      <c r="H548" s="47">
        <v>70148</v>
      </c>
      <c r="I548" s="47">
        <v>70208</v>
      </c>
      <c r="J548" s="47" t="s">
        <v>28</v>
      </c>
      <c r="K548" s="47" t="s">
        <v>2419</v>
      </c>
      <c r="L548" s="47" t="s">
        <v>39</v>
      </c>
      <c r="M548" s="47" t="s">
        <v>279</v>
      </c>
      <c r="N548" s="48">
        <v>1200</v>
      </c>
      <c r="O548" s="48">
        <v>1200</v>
      </c>
      <c r="P548" s="48">
        <v>1200</v>
      </c>
      <c r="Q548" s="48">
        <v>1200</v>
      </c>
      <c r="R548" s="48">
        <v>239</v>
      </c>
      <c r="S548" s="48">
        <v>239</v>
      </c>
      <c r="T548" s="48">
        <v>239</v>
      </c>
      <c r="U548" s="48">
        <v>239</v>
      </c>
      <c r="V548" s="48"/>
    </row>
    <row r="549" spans="2:22" ht="30" x14ac:dyDescent="0.25">
      <c r="B549" s="47" t="s">
        <v>707</v>
      </c>
      <c r="C549" s="47" t="s">
        <v>708</v>
      </c>
      <c r="D549" s="47" t="s">
        <v>277</v>
      </c>
      <c r="E549" s="47" t="s">
        <v>27</v>
      </c>
      <c r="F549" s="47" t="s">
        <v>305</v>
      </c>
      <c r="G549" s="47" t="s">
        <v>27</v>
      </c>
      <c r="H549" s="47">
        <v>70148</v>
      </c>
      <c r="I549" s="47">
        <v>70208</v>
      </c>
      <c r="J549" s="47" t="s">
        <v>28</v>
      </c>
      <c r="K549" s="47" t="s">
        <v>2418</v>
      </c>
      <c r="L549" s="47" t="s">
        <v>36</v>
      </c>
      <c r="M549" s="47" t="s">
        <v>710</v>
      </c>
      <c r="N549" s="48">
        <v>1200</v>
      </c>
      <c r="O549" s="48">
        <v>1200</v>
      </c>
      <c r="P549" s="48">
        <v>1200</v>
      </c>
      <c r="Q549" s="48">
        <v>1200</v>
      </c>
      <c r="R549" s="48">
        <v>239</v>
      </c>
      <c r="S549" s="48">
        <v>239</v>
      </c>
      <c r="T549" s="48">
        <v>239</v>
      </c>
      <c r="U549" s="48">
        <v>239</v>
      </c>
      <c r="V549" s="48"/>
    </row>
    <row r="550" spans="2:22" ht="30" x14ac:dyDescent="0.25">
      <c r="B550" s="47" t="s">
        <v>707</v>
      </c>
      <c r="C550" s="47" t="s">
        <v>708</v>
      </c>
      <c r="D550" s="47" t="s">
        <v>277</v>
      </c>
      <c r="E550" s="47" t="s">
        <v>27</v>
      </c>
      <c r="F550" s="47" t="s">
        <v>305</v>
      </c>
      <c r="G550" s="47" t="s">
        <v>27</v>
      </c>
      <c r="H550" s="47">
        <v>70148</v>
      </c>
      <c r="I550" s="47">
        <v>70208</v>
      </c>
      <c r="J550" s="47" t="s">
        <v>28</v>
      </c>
      <c r="K550" s="47" t="s">
        <v>711</v>
      </c>
      <c r="L550" s="47" t="s">
        <v>36</v>
      </c>
      <c r="M550" s="47" t="s">
        <v>279</v>
      </c>
      <c r="N550" s="48">
        <v>1200</v>
      </c>
      <c r="O550" s="48">
        <v>1200</v>
      </c>
      <c r="P550" s="48">
        <v>1200</v>
      </c>
      <c r="Q550" s="48">
        <v>1200</v>
      </c>
      <c r="R550" s="48">
        <v>239</v>
      </c>
      <c r="S550" s="48">
        <v>239</v>
      </c>
      <c r="T550" s="48">
        <v>239</v>
      </c>
      <c r="U550" s="48">
        <v>239</v>
      </c>
      <c r="V550" s="48"/>
    </row>
    <row r="551" spans="2:22" ht="20" x14ac:dyDescent="0.25">
      <c r="B551" s="47" t="s">
        <v>707</v>
      </c>
      <c r="C551" s="47" t="s">
        <v>708</v>
      </c>
      <c r="D551" s="47" t="s">
        <v>277</v>
      </c>
      <c r="E551" s="47" t="s">
        <v>27</v>
      </c>
      <c r="F551" s="47" t="s">
        <v>305</v>
      </c>
      <c r="G551" s="47" t="s">
        <v>27</v>
      </c>
      <c r="H551" s="47">
        <v>70148</v>
      </c>
      <c r="I551" s="47">
        <v>70208</v>
      </c>
      <c r="J551" s="47" t="s">
        <v>28</v>
      </c>
      <c r="K551" s="47" t="s">
        <v>2420</v>
      </c>
      <c r="L551" s="47" t="s">
        <v>39</v>
      </c>
      <c r="M551" s="47" t="s">
        <v>279</v>
      </c>
      <c r="N551" s="48">
        <v>1200</v>
      </c>
      <c r="O551" s="48">
        <v>1200</v>
      </c>
      <c r="P551" s="48">
        <v>1200</v>
      </c>
      <c r="Q551" s="48">
        <v>1200</v>
      </c>
      <c r="R551" s="48">
        <v>239</v>
      </c>
      <c r="S551" s="48">
        <v>239</v>
      </c>
      <c r="T551" s="48">
        <v>239</v>
      </c>
      <c r="U551" s="48">
        <v>239</v>
      </c>
      <c r="V551" s="48"/>
    </row>
    <row r="552" spans="2:22" ht="20" x14ac:dyDescent="0.25">
      <c r="B552" s="47" t="s">
        <v>707</v>
      </c>
      <c r="C552" s="47" t="s">
        <v>708</v>
      </c>
      <c r="D552" s="47" t="s">
        <v>277</v>
      </c>
      <c r="E552" s="47" t="s">
        <v>27</v>
      </c>
      <c r="F552" s="47" t="s">
        <v>305</v>
      </c>
      <c r="G552" s="47" t="s">
        <v>27</v>
      </c>
      <c r="H552" s="47">
        <v>70148</v>
      </c>
      <c r="I552" s="47">
        <v>70208</v>
      </c>
      <c r="J552" s="47" t="s">
        <v>28</v>
      </c>
      <c r="K552" s="47" t="s">
        <v>2422</v>
      </c>
      <c r="L552" s="47" t="s">
        <v>39</v>
      </c>
      <c r="M552" s="47" t="s">
        <v>279</v>
      </c>
      <c r="N552" s="48">
        <v>1200</v>
      </c>
      <c r="O552" s="48">
        <v>1200</v>
      </c>
      <c r="P552" s="48">
        <v>1200</v>
      </c>
      <c r="Q552" s="48">
        <v>1200</v>
      </c>
      <c r="R552" s="48">
        <v>239</v>
      </c>
      <c r="S552" s="48">
        <v>239</v>
      </c>
      <c r="T552" s="48">
        <v>239</v>
      </c>
      <c r="U552" s="48">
        <v>239</v>
      </c>
      <c r="V552" s="48"/>
    </row>
    <row r="553" spans="2:22" ht="30" x14ac:dyDescent="0.25">
      <c r="B553" s="47" t="s">
        <v>707</v>
      </c>
      <c r="C553" s="47" t="s">
        <v>708</v>
      </c>
      <c r="D553" s="47" t="s">
        <v>277</v>
      </c>
      <c r="E553" s="47" t="s">
        <v>27</v>
      </c>
      <c r="F553" s="47" t="s">
        <v>305</v>
      </c>
      <c r="G553" s="47" t="s">
        <v>27</v>
      </c>
      <c r="H553" s="47">
        <v>70148</v>
      </c>
      <c r="I553" s="47">
        <v>70208</v>
      </c>
      <c r="J553" s="47" t="s">
        <v>28</v>
      </c>
      <c r="K553" s="47" t="s">
        <v>2421</v>
      </c>
      <c r="L553" s="47" t="s">
        <v>36</v>
      </c>
      <c r="M553" s="47" t="s">
        <v>710</v>
      </c>
      <c r="N553" s="48">
        <v>1200</v>
      </c>
      <c r="O553" s="48">
        <v>1200</v>
      </c>
      <c r="P553" s="48">
        <v>1200</v>
      </c>
      <c r="Q553" s="48">
        <v>1200</v>
      </c>
      <c r="R553" s="48">
        <v>239</v>
      </c>
      <c r="S553" s="48">
        <v>239</v>
      </c>
      <c r="T553" s="48">
        <v>239</v>
      </c>
      <c r="U553" s="48">
        <v>239</v>
      </c>
      <c r="V553" s="48"/>
    </row>
    <row r="554" spans="2:22" ht="30" x14ac:dyDescent="0.25">
      <c r="B554" s="47" t="s">
        <v>707</v>
      </c>
      <c r="C554" s="47" t="s">
        <v>708</v>
      </c>
      <c r="D554" s="47" t="s">
        <v>277</v>
      </c>
      <c r="E554" s="47" t="s">
        <v>27</v>
      </c>
      <c r="F554" s="47" t="s">
        <v>305</v>
      </c>
      <c r="G554" s="47" t="s">
        <v>27</v>
      </c>
      <c r="H554" s="47">
        <v>70148</v>
      </c>
      <c r="I554" s="47">
        <v>70208</v>
      </c>
      <c r="J554" s="47" t="s">
        <v>28</v>
      </c>
      <c r="K554" s="47" t="s">
        <v>2414</v>
      </c>
      <c r="L554" s="47" t="s">
        <v>36</v>
      </c>
      <c r="M554" s="47" t="s">
        <v>710</v>
      </c>
      <c r="N554" s="48">
        <v>1200</v>
      </c>
      <c r="O554" s="48">
        <v>1200</v>
      </c>
      <c r="P554" s="48">
        <v>1200</v>
      </c>
      <c r="Q554" s="48">
        <v>1200</v>
      </c>
      <c r="R554" s="48">
        <v>239</v>
      </c>
      <c r="S554" s="48">
        <v>239</v>
      </c>
      <c r="T554" s="48">
        <v>239</v>
      </c>
      <c r="U554" s="48">
        <v>239</v>
      </c>
      <c r="V554" s="48"/>
    </row>
    <row r="555" spans="2:22" ht="30" x14ac:dyDescent="0.25">
      <c r="B555" s="47" t="s">
        <v>707</v>
      </c>
      <c r="C555" s="47" t="s">
        <v>708</v>
      </c>
      <c r="D555" s="47" t="s">
        <v>277</v>
      </c>
      <c r="E555" s="47" t="s">
        <v>27</v>
      </c>
      <c r="F555" s="47" t="s">
        <v>305</v>
      </c>
      <c r="G555" s="47" t="s">
        <v>27</v>
      </c>
      <c r="H555" s="47">
        <v>70148</v>
      </c>
      <c r="I555" s="47">
        <v>70208</v>
      </c>
      <c r="J555" s="47" t="s">
        <v>28</v>
      </c>
      <c r="K555" s="47" t="s">
        <v>2416</v>
      </c>
      <c r="L555" s="47" t="s">
        <v>36</v>
      </c>
      <c r="M555" s="47" t="s">
        <v>710</v>
      </c>
      <c r="N555" s="48">
        <v>1200</v>
      </c>
      <c r="O555" s="48">
        <v>1200</v>
      </c>
      <c r="P555" s="48">
        <v>1200</v>
      </c>
      <c r="Q555" s="48">
        <v>1200</v>
      </c>
      <c r="R555" s="48">
        <v>239</v>
      </c>
      <c r="S555" s="48">
        <v>239</v>
      </c>
      <c r="T555" s="48">
        <v>239</v>
      </c>
      <c r="U555" s="48">
        <v>239</v>
      </c>
      <c r="V555" s="48"/>
    </row>
    <row r="556" spans="2:22" ht="30" x14ac:dyDescent="0.25">
      <c r="B556" s="47" t="s">
        <v>707</v>
      </c>
      <c r="C556" s="47" t="s">
        <v>708</v>
      </c>
      <c r="D556" s="47" t="s">
        <v>277</v>
      </c>
      <c r="E556" s="47" t="s">
        <v>27</v>
      </c>
      <c r="F556" s="47" t="s">
        <v>305</v>
      </c>
      <c r="G556" s="47" t="s">
        <v>27</v>
      </c>
      <c r="H556" s="47">
        <v>70148</v>
      </c>
      <c r="I556" s="47">
        <v>70208</v>
      </c>
      <c r="J556" s="47" t="s">
        <v>28</v>
      </c>
      <c r="K556" s="47" t="s">
        <v>2415</v>
      </c>
      <c r="L556" s="47" t="s">
        <v>36</v>
      </c>
      <c r="M556" s="47" t="s">
        <v>710</v>
      </c>
      <c r="N556" s="48">
        <v>1200</v>
      </c>
      <c r="O556" s="48">
        <v>1200</v>
      </c>
      <c r="P556" s="48">
        <v>1200</v>
      </c>
      <c r="Q556" s="48">
        <v>1200</v>
      </c>
      <c r="R556" s="48">
        <v>239</v>
      </c>
      <c r="S556" s="48">
        <v>239</v>
      </c>
      <c r="T556" s="48">
        <v>239</v>
      </c>
      <c r="U556" s="48">
        <v>239</v>
      </c>
      <c r="V556" s="48"/>
    </row>
    <row r="557" spans="2:22" ht="20" x14ac:dyDescent="0.25">
      <c r="B557" s="47" t="s">
        <v>707</v>
      </c>
      <c r="C557" s="47" t="s">
        <v>708</v>
      </c>
      <c r="D557" s="47" t="s">
        <v>277</v>
      </c>
      <c r="E557" s="47" t="s">
        <v>27</v>
      </c>
      <c r="F557" s="47" t="s">
        <v>305</v>
      </c>
      <c r="G557" s="47" t="s">
        <v>27</v>
      </c>
      <c r="H557" s="47">
        <v>70148</v>
      </c>
      <c r="I557" s="47">
        <v>70208</v>
      </c>
      <c r="J557" s="47" t="s">
        <v>28</v>
      </c>
      <c r="K557" s="47" t="s">
        <v>713</v>
      </c>
      <c r="L557" s="47" t="s">
        <v>34</v>
      </c>
      <c r="M557" s="47" t="s">
        <v>710</v>
      </c>
      <c r="N557" s="48">
        <v>1200</v>
      </c>
      <c r="O557" s="47">
        <v>1549</v>
      </c>
      <c r="P557" s="47">
        <v>1486</v>
      </c>
      <c r="Q557" s="47">
        <v>1780</v>
      </c>
      <c r="R557" s="48">
        <v>239</v>
      </c>
      <c r="S557" s="47">
        <v>309</v>
      </c>
      <c r="T557" s="47">
        <v>296</v>
      </c>
      <c r="U557" s="47">
        <v>355</v>
      </c>
      <c r="V557" s="47"/>
    </row>
    <row r="558" spans="2:22" ht="20" x14ac:dyDescent="0.25">
      <c r="B558" s="47" t="s">
        <v>707</v>
      </c>
      <c r="C558" s="47" t="s">
        <v>708</v>
      </c>
      <c r="D558" s="47" t="s">
        <v>277</v>
      </c>
      <c r="E558" s="47" t="s">
        <v>27</v>
      </c>
      <c r="F558" s="47" t="s">
        <v>305</v>
      </c>
      <c r="G558" s="47" t="s">
        <v>27</v>
      </c>
      <c r="H558" s="47">
        <v>70148</v>
      </c>
      <c r="I558" s="47">
        <v>70208</v>
      </c>
      <c r="J558" s="47" t="s">
        <v>28</v>
      </c>
      <c r="K558" s="47" t="s">
        <v>714</v>
      </c>
      <c r="L558" s="47" t="s">
        <v>34</v>
      </c>
      <c r="M558" s="47" t="s">
        <v>710</v>
      </c>
      <c r="N558" s="48">
        <v>1200</v>
      </c>
      <c r="O558" s="47">
        <v>1549</v>
      </c>
      <c r="P558" s="47">
        <v>1486</v>
      </c>
      <c r="Q558" s="47">
        <v>1780</v>
      </c>
      <c r="R558" s="48">
        <v>239</v>
      </c>
      <c r="S558" s="47">
        <v>309</v>
      </c>
      <c r="T558" s="47">
        <v>296</v>
      </c>
      <c r="U558" s="47">
        <v>355</v>
      </c>
      <c r="V558" s="47"/>
    </row>
    <row r="559" spans="2:22" ht="20" x14ac:dyDescent="0.25">
      <c r="B559" s="47" t="s">
        <v>707</v>
      </c>
      <c r="C559" s="47" t="s">
        <v>708</v>
      </c>
      <c r="D559" s="47" t="s">
        <v>277</v>
      </c>
      <c r="E559" s="47" t="s">
        <v>27</v>
      </c>
      <c r="F559" s="47" t="s">
        <v>305</v>
      </c>
      <c r="G559" s="47" t="s">
        <v>27</v>
      </c>
      <c r="H559" s="47">
        <v>70148</v>
      </c>
      <c r="I559" s="47">
        <v>70208</v>
      </c>
      <c r="J559" s="47" t="s">
        <v>28</v>
      </c>
      <c r="K559" s="47" t="s">
        <v>714</v>
      </c>
      <c r="L559" s="47" t="s">
        <v>34</v>
      </c>
      <c r="M559" s="47" t="s">
        <v>279</v>
      </c>
      <c r="N559" s="48">
        <v>1200</v>
      </c>
      <c r="O559" s="47">
        <v>1549</v>
      </c>
      <c r="P559" s="47">
        <v>1486</v>
      </c>
      <c r="Q559" s="47">
        <v>1780</v>
      </c>
      <c r="R559" s="48">
        <v>239</v>
      </c>
      <c r="S559" s="47">
        <v>309</v>
      </c>
      <c r="T559" s="47">
        <v>296</v>
      </c>
      <c r="U559" s="47">
        <v>355</v>
      </c>
      <c r="V559" s="47"/>
    </row>
    <row r="560" spans="2:22" ht="34.5" x14ac:dyDescent="0.25">
      <c r="B560" s="44" t="s">
        <v>715</v>
      </c>
      <c r="C560" s="44" t="s">
        <v>716</v>
      </c>
      <c r="D560" s="44" t="s">
        <v>277</v>
      </c>
      <c r="E560" s="44" t="s">
        <v>27</v>
      </c>
      <c r="F560" s="44" t="s">
        <v>513</v>
      </c>
      <c r="G560" s="44" t="s">
        <v>27</v>
      </c>
      <c r="H560" s="44">
        <v>70149</v>
      </c>
      <c r="I560" s="44">
        <v>70324</v>
      </c>
      <c r="J560" s="44" t="s">
        <v>28</v>
      </c>
      <c r="K560" s="44" t="s">
        <v>715</v>
      </c>
      <c r="L560" s="44" t="s">
        <v>29</v>
      </c>
      <c r="M560" s="44"/>
      <c r="N560" s="45">
        <v>1220</v>
      </c>
      <c r="O560" s="45">
        <v>1427</v>
      </c>
      <c r="P560" s="45">
        <v>1457</v>
      </c>
      <c r="Q560" s="45">
        <v>1626</v>
      </c>
      <c r="R560" s="45">
        <v>486</v>
      </c>
      <c r="S560" s="45">
        <v>568</v>
      </c>
      <c r="T560" s="45">
        <v>580</v>
      </c>
      <c r="U560" s="45">
        <v>648</v>
      </c>
      <c r="V560" s="46"/>
    </row>
    <row r="561" spans="2:22" ht="20" x14ac:dyDescent="0.25">
      <c r="B561" s="47" t="s">
        <v>715</v>
      </c>
      <c r="C561" s="47" t="s">
        <v>716</v>
      </c>
      <c r="D561" s="47" t="s">
        <v>277</v>
      </c>
      <c r="E561" s="47" t="s">
        <v>27</v>
      </c>
      <c r="F561" s="47" t="s">
        <v>513</v>
      </c>
      <c r="G561" s="47" t="s">
        <v>27</v>
      </c>
      <c r="H561" s="47">
        <v>70149</v>
      </c>
      <c r="I561" s="47">
        <v>70324</v>
      </c>
      <c r="J561" s="47" t="s">
        <v>28</v>
      </c>
      <c r="K561" s="47" t="s">
        <v>388</v>
      </c>
      <c r="L561" s="47" t="s">
        <v>31</v>
      </c>
      <c r="M561" s="47" t="s">
        <v>279</v>
      </c>
      <c r="N561" s="48">
        <v>1220</v>
      </c>
      <c r="O561" s="48">
        <v>1427</v>
      </c>
      <c r="P561" s="48">
        <v>1457</v>
      </c>
      <c r="Q561" s="48">
        <v>1626</v>
      </c>
      <c r="R561" s="48">
        <v>486</v>
      </c>
      <c r="S561" s="48">
        <v>568</v>
      </c>
      <c r="T561" s="48">
        <v>580</v>
      </c>
      <c r="U561" s="48">
        <v>648</v>
      </c>
      <c r="V561" s="48"/>
    </row>
    <row r="562" spans="2:22" ht="34.5" x14ac:dyDescent="0.25">
      <c r="B562" s="44" t="s">
        <v>191</v>
      </c>
      <c r="C562" s="44" t="s">
        <v>192</v>
      </c>
      <c r="D562" s="44" t="s">
        <v>277</v>
      </c>
      <c r="E562" s="44" t="s">
        <v>27</v>
      </c>
      <c r="F562" s="44" t="s">
        <v>718</v>
      </c>
      <c r="G562" s="44" t="s">
        <v>27</v>
      </c>
      <c r="H562" s="44">
        <v>70149</v>
      </c>
      <c r="I562" s="44">
        <v>70480</v>
      </c>
      <c r="J562" s="44" t="s">
        <v>28</v>
      </c>
      <c r="K562" s="44" t="s">
        <v>191</v>
      </c>
      <c r="L562" s="44" t="s">
        <v>29</v>
      </c>
      <c r="M562" s="44"/>
      <c r="N562" s="45">
        <v>1263</v>
      </c>
      <c r="O562" s="45">
        <v>1389</v>
      </c>
      <c r="P562" s="45">
        <v>1439</v>
      </c>
      <c r="Q562" s="45">
        <v>1583</v>
      </c>
      <c r="R562" s="45">
        <v>503</v>
      </c>
      <c r="S562" s="45">
        <v>553</v>
      </c>
      <c r="T562" s="45">
        <v>573</v>
      </c>
      <c r="U562" s="45">
        <v>631</v>
      </c>
      <c r="V562" s="46"/>
    </row>
    <row r="563" spans="2:22" ht="20" x14ac:dyDescent="0.25">
      <c r="B563" s="47" t="s">
        <v>191</v>
      </c>
      <c r="C563" s="47" t="s">
        <v>192</v>
      </c>
      <c r="D563" s="47" t="s">
        <v>277</v>
      </c>
      <c r="E563" s="47" t="s">
        <v>27</v>
      </c>
      <c r="F563" s="47" t="s">
        <v>718</v>
      </c>
      <c r="G563" s="47" t="s">
        <v>27</v>
      </c>
      <c r="H563" s="47">
        <v>70149</v>
      </c>
      <c r="I563" s="47">
        <v>70480</v>
      </c>
      <c r="J563" s="47" t="s">
        <v>28</v>
      </c>
      <c r="K563" s="47" t="s">
        <v>191</v>
      </c>
      <c r="L563" s="47" t="s">
        <v>30</v>
      </c>
      <c r="M563" s="47" t="s">
        <v>192</v>
      </c>
      <c r="N563" s="48">
        <v>1263</v>
      </c>
      <c r="O563" s="48">
        <v>1389</v>
      </c>
      <c r="P563" s="48">
        <v>1439</v>
      </c>
      <c r="Q563" s="48">
        <v>1583</v>
      </c>
      <c r="R563" s="48">
        <v>503</v>
      </c>
      <c r="S563" s="48">
        <v>553</v>
      </c>
      <c r="T563" s="48">
        <v>573</v>
      </c>
      <c r="U563" s="48">
        <v>631</v>
      </c>
      <c r="V563" s="48"/>
    </row>
    <row r="564" spans="2:22" ht="23" x14ac:dyDescent="0.25">
      <c r="B564" s="44" t="s">
        <v>720</v>
      </c>
      <c r="C564" s="44" t="s">
        <v>721</v>
      </c>
      <c r="D564" s="44" t="s">
        <v>722</v>
      </c>
      <c r="E564" s="44" t="s">
        <v>27</v>
      </c>
      <c r="F564" s="44" t="s">
        <v>723</v>
      </c>
      <c r="G564" s="44" t="s">
        <v>27</v>
      </c>
      <c r="H564" s="44">
        <v>70162</v>
      </c>
      <c r="I564" s="44">
        <v>70538</v>
      </c>
      <c r="J564" s="44" t="s">
        <v>28</v>
      </c>
      <c r="K564" s="44" t="s">
        <v>720</v>
      </c>
      <c r="L564" s="44" t="s">
        <v>29</v>
      </c>
      <c r="M564" s="44"/>
      <c r="N564" s="45">
        <v>798</v>
      </c>
      <c r="O564" s="45">
        <v>800</v>
      </c>
      <c r="P564" s="45">
        <v>800</v>
      </c>
      <c r="Q564" s="45">
        <v>800</v>
      </c>
      <c r="R564" s="45">
        <v>159</v>
      </c>
      <c r="S564" s="45">
        <v>159</v>
      </c>
      <c r="T564" s="45">
        <v>159</v>
      </c>
      <c r="U564" s="45">
        <v>159</v>
      </c>
      <c r="V564" s="46"/>
    </row>
    <row r="565" spans="2:22" ht="20" x14ac:dyDescent="0.25">
      <c r="B565" s="47" t="s">
        <v>720</v>
      </c>
      <c r="C565" s="47" t="s">
        <v>721</v>
      </c>
      <c r="D565" s="47" t="s">
        <v>722</v>
      </c>
      <c r="E565" s="47" t="s">
        <v>27</v>
      </c>
      <c r="F565" s="47" t="s">
        <v>723</v>
      </c>
      <c r="G565" s="47" t="s">
        <v>27</v>
      </c>
      <c r="H565" s="47">
        <v>70162</v>
      </c>
      <c r="I565" s="47">
        <v>70538</v>
      </c>
      <c r="J565" s="47" t="s">
        <v>28</v>
      </c>
      <c r="K565" s="47" t="s">
        <v>720</v>
      </c>
      <c r="L565" s="47" t="s">
        <v>30</v>
      </c>
      <c r="M565" s="47" t="s">
        <v>721</v>
      </c>
      <c r="N565" s="48">
        <v>798</v>
      </c>
      <c r="O565" s="47">
        <v>878</v>
      </c>
      <c r="P565" s="47">
        <v>908</v>
      </c>
      <c r="Q565" s="47">
        <v>998</v>
      </c>
      <c r="R565" s="48">
        <v>159</v>
      </c>
      <c r="S565" s="47">
        <v>175</v>
      </c>
      <c r="T565" s="47">
        <v>181</v>
      </c>
      <c r="U565" s="47">
        <v>199</v>
      </c>
      <c r="V565" s="47"/>
    </row>
    <row r="566" spans="2:22" ht="30" x14ac:dyDescent="0.25">
      <c r="B566" s="47" t="s">
        <v>720</v>
      </c>
      <c r="C566" s="47" t="s">
        <v>721</v>
      </c>
      <c r="D566" s="47" t="s">
        <v>722</v>
      </c>
      <c r="E566" s="47" t="s">
        <v>27</v>
      </c>
      <c r="F566" s="47" t="s">
        <v>723</v>
      </c>
      <c r="G566" s="47" t="s">
        <v>27</v>
      </c>
      <c r="H566" s="47">
        <v>70162</v>
      </c>
      <c r="I566" s="47">
        <v>70538</v>
      </c>
      <c r="J566" s="47" t="s">
        <v>28</v>
      </c>
      <c r="K566" s="47" t="s">
        <v>2260</v>
      </c>
      <c r="L566" s="47" t="s">
        <v>36</v>
      </c>
      <c r="M566" s="47" t="s">
        <v>728</v>
      </c>
      <c r="N566" s="47">
        <v>800</v>
      </c>
      <c r="O566" s="48">
        <v>800</v>
      </c>
      <c r="P566" s="48">
        <v>800</v>
      </c>
      <c r="Q566" s="48">
        <v>800</v>
      </c>
      <c r="R566" s="48">
        <v>159</v>
      </c>
      <c r="S566" s="48">
        <v>159</v>
      </c>
      <c r="T566" s="48">
        <v>159</v>
      </c>
      <c r="U566" s="48">
        <v>159</v>
      </c>
      <c r="V566" s="48"/>
    </row>
    <row r="567" spans="2:22" ht="30" x14ac:dyDescent="0.25">
      <c r="B567" s="47" t="s">
        <v>720</v>
      </c>
      <c r="C567" s="47" t="s">
        <v>721</v>
      </c>
      <c r="D567" s="47" t="s">
        <v>722</v>
      </c>
      <c r="E567" s="47" t="s">
        <v>27</v>
      </c>
      <c r="F567" s="47" t="s">
        <v>723</v>
      </c>
      <c r="G567" s="47" t="s">
        <v>27</v>
      </c>
      <c r="H567" s="47">
        <v>70162</v>
      </c>
      <c r="I567" s="47">
        <v>70538</v>
      </c>
      <c r="J567" s="47" t="s">
        <v>28</v>
      </c>
      <c r="K567" s="47" t="s">
        <v>2259</v>
      </c>
      <c r="L567" s="47" t="s">
        <v>36</v>
      </c>
      <c r="M567" s="47" t="s">
        <v>728</v>
      </c>
      <c r="N567" s="47">
        <v>800</v>
      </c>
      <c r="O567" s="48">
        <v>800</v>
      </c>
      <c r="P567" s="48">
        <v>800</v>
      </c>
      <c r="Q567" s="48">
        <v>800</v>
      </c>
      <c r="R567" s="48">
        <v>159</v>
      </c>
      <c r="S567" s="48">
        <v>159</v>
      </c>
      <c r="T567" s="48">
        <v>159</v>
      </c>
      <c r="U567" s="48">
        <v>159</v>
      </c>
      <c r="V567" s="48"/>
    </row>
    <row r="568" spans="2:22" ht="30" x14ac:dyDescent="0.25">
      <c r="B568" s="47" t="s">
        <v>720</v>
      </c>
      <c r="C568" s="47" t="s">
        <v>721</v>
      </c>
      <c r="D568" s="47" t="s">
        <v>722</v>
      </c>
      <c r="E568" s="47" t="s">
        <v>27</v>
      </c>
      <c r="F568" s="47" t="s">
        <v>723</v>
      </c>
      <c r="G568" s="47" t="s">
        <v>27</v>
      </c>
      <c r="H568" s="47">
        <v>70162</v>
      </c>
      <c r="I568" s="47">
        <v>70538</v>
      </c>
      <c r="J568" s="47" t="s">
        <v>28</v>
      </c>
      <c r="K568" s="47" t="s">
        <v>2263</v>
      </c>
      <c r="L568" s="47" t="s">
        <v>36</v>
      </c>
      <c r="M568" s="47" t="s">
        <v>728</v>
      </c>
      <c r="N568" s="47">
        <v>800</v>
      </c>
      <c r="O568" s="48">
        <v>800</v>
      </c>
      <c r="P568" s="48">
        <v>800</v>
      </c>
      <c r="Q568" s="48">
        <v>800</v>
      </c>
      <c r="R568" s="48">
        <v>159</v>
      </c>
      <c r="S568" s="48">
        <v>159</v>
      </c>
      <c r="T568" s="48">
        <v>159</v>
      </c>
      <c r="U568" s="48">
        <v>159</v>
      </c>
      <c r="V568" s="48"/>
    </row>
    <row r="569" spans="2:22" ht="30" x14ac:dyDescent="0.25">
      <c r="B569" s="47" t="s">
        <v>720</v>
      </c>
      <c r="C569" s="47" t="s">
        <v>721</v>
      </c>
      <c r="D569" s="47" t="s">
        <v>722</v>
      </c>
      <c r="E569" s="47" t="s">
        <v>27</v>
      </c>
      <c r="F569" s="47" t="s">
        <v>723</v>
      </c>
      <c r="G569" s="47" t="s">
        <v>27</v>
      </c>
      <c r="H569" s="47">
        <v>70162</v>
      </c>
      <c r="I569" s="47">
        <v>70538</v>
      </c>
      <c r="J569" s="47" t="s">
        <v>28</v>
      </c>
      <c r="K569" s="47" t="s">
        <v>2262</v>
      </c>
      <c r="L569" s="47" t="s">
        <v>36</v>
      </c>
      <c r="M569" s="47" t="s">
        <v>728</v>
      </c>
      <c r="N569" s="47">
        <v>800</v>
      </c>
      <c r="O569" s="48">
        <v>800</v>
      </c>
      <c r="P569" s="48">
        <v>800</v>
      </c>
      <c r="Q569" s="48">
        <v>800</v>
      </c>
      <c r="R569" s="48">
        <v>159</v>
      </c>
      <c r="S569" s="48">
        <v>159</v>
      </c>
      <c r="T569" s="48">
        <v>159</v>
      </c>
      <c r="U569" s="48">
        <v>159</v>
      </c>
      <c r="V569" s="48"/>
    </row>
    <row r="570" spans="2:22" ht="20" x14ac:dyDescent="0.25">
      <c r="B570" s="47" t="s">
        <v>720</v>
      </c>
      <c r="C570" s="47" t="s">
        <v>721</v>
      </c>
      <c r="D570" s="47" t="s">
        <v>722</v>
      </c>
      <c r="E570" s="47" t="s">
        <v>27</v>
      </c>
      <c r="F570" s="47" t="s">
        <v>723</v>
      </c>
      <c r="G570" s="47" t="s">
        <v>27</v>
      </c>
      <c r="H570" s="47">
        <v>70162</v>
      </c>
      <c r="I570" s="47">
        <v>70538</v>
      </c>
      <c r="J570" s="47" t="s">
        <v>28</v>
      </c>
      <c r="K570" s="47" t="s">
        <v>2261</v>
      </c>
      <c r="L570" s="47" t="s">
        <v>39</v>
      </c>
      <c r="M570" s="47" t="s">
        <v>728</v>
      </c>
      <c r="N570" s="47">
        <v>800</v>
      </c>
      <c r="O570" s="48">
        <v>800</v>
      </c>
      <c r="P570" s="48">
        <v>800</v>
      </c>
      <c r="Q570" s="48">
        <v>800</v>
      </c>
      <c r="R570" s="48">
        <v>159</v>
      </c>
      <c r="S570" s="48">
        <v>159</v>
      </c>
      <c r="T570" s="48">
        <v>159</v>
      </c>
      <c r="U570" s="48">
        <v>159</v>
      </c>
      <c r="V570" s="48"/>
    </row>
    <row r="571" spans="2:22" ht="20" x14ac:dyDescent="0.25">
      <c r="B571" s="47" t="s">
        <v>720</v>
      </c>
      <c r="C571" s="47" t="s">
        <v>721</v>
      </c>
      <c r="D571" s="47" t="s">
        <v>722</v>
      </c>
      <c r="E571" s="47" t="s">
        <v>27</v>
      </c>
      <c r="F571" s="47" t="s">
        <v>723</v>
      </c>
      <c r="G571" s="47" t="s">
        <v>27</v>
      </c>
      <c r="H571" s="47">
        <v>70162</v>
      </c>
      <c r="I571" s="47">
        <v>70538</v>
      </c>
      <c r="J571" s="47" t="s">
        <v>28</v>
      </c>
      <c r="K571" s="47" t="s">
        <v>2031</v>
      </c>
      <c r="L571" s="47" t="s">
        <v>39</v>
      </c>
      <c r="M571" s="47" t="s">
        <v>728</v>
      </c>
      <c r="N571" s="47">
        <v>800</v>
      </c>
      <c r="O571" s="48">
        <v>800</v>
      </c>
      <c r="P571" s="48">
        <v>800</v>
      </c>
      <c r="Q571" s="48">
        <v>800</v>
      </c>
      <c r="R571" s="48">
        <v>159</v>
      </c>
      <c r="S571" s="48">
        <v>159</v>
      </c>
      <c r="T571" s="48">
        <v>159</v>
      </c>
      <c r="U571" s="48">
        <v>159</v>
      </c>
      <c r="V571" s="48"/>
    </row>
    <row r="572" spans="2:22" ht="30" x14ac:dyDescent="0.25">
      <c r="B572" s="47" t="s">
        <v>720</v>
      </c>
      <c r="C572" s="47" t="s">
        <v>721</v>
      </c>
      <c r="D572" s="47" t="s">
        <v>722</v>
      </c>
      <c r="E572" s="47" t="s">
        <v>27</v>
      </c>
      <c r="F572" s="47" t="s">
        <v>723</v>
      </c>
      <c r="G572" s="47" t="s">
        <v>27</v>
      </c>
      <c r="H572" s="47">
        <v>70162</v>
      </c>
      <c r="I572" s="47">
        <v>70538</v>
      </c>
      <c r="J572" s="47" t="s">
        <v>28</v>
      </c>
      <c r="K572" s="47" t="s">
        <v>2264</v>
      </c>
      <c r="L572" s="47" t="s">
        <v>36</v>
      </c>
      <c r="M572" s="47" t="s">
        <v>728</v>
      </c>
      <c r="N572" s="47">
        <v>800</v>
      </c>
      <c r="O572" s="48">
        <v>800</v>
      </c>
      <c r="P572" s="48">
        <v>800</v>
      </c>
      <c r="Q572" s="48">
        <v>800</v>
      </c>
      <c r="R572" s="48">
        <v>159</v>
      </c>
      <c r="S572" s="48">
        <v>159</v>
      </c>
      <c r="T572" s="48">
        <v>159</v>
      </c>
      <c r="U572" s="48">
        <v>159</v>
      </c>
      <c r="V572" s="48"/>
    </row>
    <row r="573" spans="2:22" ht="23" x14ac:dyDescent="0.25">
      <c r="B573" s="44" t="s">
        <v>724</v>
      </c>
      <c r="C573" s="44" t="s">
        <v>725</v>
      </c>
      <c r="D573" s="44" t="s">
        <v>722</v>
      </c>
      <c r="E573" s="44" t="s">
        <v>27</v>
      </c>
      <c r="F573" s="44" t="s">
        <v>726</v>
      </c>
      <c r="G573" s="44" t="s">
        <v>27</v>
      </c>
      <c r="H573" s="44">
        <v>70162</v>
      </c>
      <c r="I573" s="44">
        <v>70537</v>
      </c>
      <c r="J573" s="44" t="s">
        <v>28</v>
      </c>
      <c r="K573" s="44" t="s">
        <v>724</v>
      </c>
      <c r="L573" s="44" t="s">
        <v>29</v>
      </c>
      <c r="M573" s="44"/>
      <c r="N573" s="45">
        <v>600</v>
      </c>
      <c r="O573" s="45">
        <v>600</v>
      </c>
      <c r="P573" s="45">
        <v>600</v>
      </c>
      <c r="Q573" s="45">
        <v>600</v>
      </c>
      <c r="R573" s="45">
        <v>120</v>
      </c>
      <c r="S573" s="45">
        <v>120</v>
      </c>
      <c r="T573" s="45">
        <v>120</v>
      </c>
      <c r="U573" s="45">
        <v>120</v>
      </c>
      <c r="V573" s="46"/>
    </row>
    <row r="574" spans="2:22" ht="30" x14ac:dyDescent="0.25">
      <c r="B574" s="47" t="s">
        <v>724</v>
      </c>
      <c r="C574" s="47" t="s">
        <v>725</v>
      </c>
      <c r="D574" s="47" t="s">
        <v>722</v>
      </c>
      <c r="E574" s="47" t="s">
        <v>27</v>
      </c>
      <c r="F574" s="47" t="s">
        <v>726</v>
      </c>
      <c r="G574" s="47" t="s">
        <v>27</v>
      </c>
      <c r="H574" s="47">
        <v>70162</v>
      </c>
      <c r="I574" s="47">
        <v>70537</v>
      </c>
      <c r="J574" s="47" t="s">
        <v>28</v>
      </c>
      <c r="K574" s="47" t="s">
        <v>2270</v>
      </c>
      <c r="L574" s="47" t="s">
        <v>36</v>
      </c>
      <c r="M574" s="47" t="s">
        <v>728</v>
      </c>
      <c r="N574" s="48">
        <v>600</v>
      </c>
      <c r="O574" s="48">
        <v>600</v>
      </c>
      <c r="P574" s="48">
        <v>600</v>
      </c>
      <c r="Q574" s="48">
        <v>600</v>
      </c>
      <c r="R574" s="48">
        <v>120</v>
      </c>
      <c r="S574" s="48">
        <v>120</v>
      </c>
      <c r="T574" s="48">
        <v>120</v>
      </c>
      <c r="U574" s="48">
        <v>120</v>
      </c>
      <c r="V574" s="48"/>
    </row>
    <row r="575" spans="2:22" ht="20" x14ac:dyDescent="0.25">
      <c r="B575" s="47" t="s">
        <v>724</v>
      </c>
      <c r="C575" s="47" t="s">
        <v>725</v>
      </c>
      <c r="D575" s="47" t="s">
        <v>722</v>
      </c>
      <c r="E575" s="47" t="s">
        <v>27</v>
      </c>
      <c r="F575" s="47" t="s">
        <v>726</v>
      </c>
      <c r="G575" s="47" t="s">
        <v>27</v>
      </c>
      <c r="H575" s="47">
        <v>70162</v>
      </c>
      <c r="I575" s="47">
        <v>70537</v>
      </c>
      <c r="J575" s="47" t="s">
        <v>28</v>
      </c>
      <c r="K575" s="47" t="s">
        <v>2268</v>
      </c>
      <c r="L575" s="47" t="s">
        <v>39</v>
      </c>
      <c r="M575" s="47" t="s">
        <v>728</v>
      </c>
      <c r="N575" s="48">
        <v>600</v>
      </c>
      <c r="O575" s="48">
        <v>600</v>
      </c>
      <c r="P575" s="48">
        <v>600</v>
      </c>
      <c r="Q575" s="48">
        <v>600</v>
      </c>
      <c r="R575" s="48">
        <v>120</v>
      </c>
      <c r="S575" s="48">
        <v>120</v>
      </c>
      <c r="T575" s="48">
        <v>120</v>
      </c>
      <c r="U575" s="48">
        <v>120</v>
      </c>
      <c r="V575" s="48"/>
    </row>
    <row r="576" spans="2:22" ht="30" x14ac:dyDescent="0.25">
      <c r="B576" s="47" t="s">
        <v>724</v>
      </c>
      <c r="C576" s="47" t="s">
        <v>725</v>
      </c>
      <c r="D576" s="47" t="s">
        <v>722</v>
      </c>
      <c r="E576" s="47" t="s">
        <v>27</v>
      </c>
      <c r="F576" s="47" t="s">
        <v>726</v>
      </c>
      <c r="G576" s="47" t="s">
        <v>27</v>
      </c>
      <c r="H576" s="47">
        <v>70162</v>
      </c>
      <c r="I576" s="47">
        <v>70537</v>
      </c>
      <c r="J576" s="47" t="s">
        <v>28</v>
      </c>
      <c r="K576" s="47" t="s">
        <v>2266</v>
      </c>
      <c r="L576" s="47" t="s">
        <v>36</v>
      </c>
      <c r="M576" s="47" t="s">
        <v>728</v>
      </c>
      <c r="N576" s="48">
        <v>600</v>
      </c>
      <c r="O576" s="48">
        <v>600</v>
      </c>
      <c r="P576" s="48">
        <v>600</v>
      </c>
      <c r="Q576" s="48">
        <v>600</v>
      </c>
      <c r="R576" s="48">
        <v>120</v>
      </c>
      <c r="S576" s="48">
        <v>120</v>
      </c>
      <c r="T576" s="48">
        <v>120</v>
      </c>
      <c r="U576" s="48">
        <v>120</v>
      </c>
      <c r="V576" s="48"/>
    </row>
    <row r="577" spans="2:22" ht="20" x14ac:dyDescent="0.25">
      <c r="B577" s="47" t="s">
        <v>724</v>
      </c>
      <c r="C577" s="47" t="s">
        <v>725</v>
      </c>
      <c r="D577" s="47" t="s">
        <v>722</v>
      </c>
      <c r="E577" s="47" t="s">
        <v>27</v>
      </c>
      <c r="F577" s="47" t="s">
        <v>726</v>
      </c>
      <c r="G577" s="47" t="s">
        <v>27</v>
      </c>
      <c r="H577" s="47">
        <v>70162</v>
      </c>
      <c r="I577" s="47">
        <v>70537</v>
      </c>
      <c r="J577" s="47" t="s">
        <v>28</v>
      </c>
      <c r="K577" s="47" t="s">
        <v>2267</v>
      </c>
      <c r="L577" s="47" t="s">
        <v>39</v>
      </c>
      <c r="M577" s="47" t="s">
        <v>728</v>
      </c>
      <c r="N577" s="48">
        <v>600</v>
      </c>
      <c r="O577" s="48">
        <v>600</v>
      </c>
      <c r="P577" s="48">
        <v>600</v>
      </c>
      <c r="Q577" s="48">
        <v>600</v>
      </c>
      <c r="R577" s="48">
        <v>120</v>
      </c>
      <c r="S577" s="48">
        <v>120</v>
      </c>
      <c r="T577" s="48">
        <v>120</v>
      </c>
      <c r="U577" s="48">
        <v>120</v>
      </c>
      <c r="V577" s="48"/>
    </row>
    <row r="578" spans="2:22" ht="30" x14ac:dyDescent="0.25">
      <c r="B578" s="47" t="s">
        <v>724</v>
      </c>
      <c r="C578" s="47" t="s">
        <v>725</v>
      </c>
      <c r="D578" s="47" t="s">
        <v>722</v>
      </c>
      <c r="E578" s="47" t="s">
        <v>27</v>
      </c>
      <c r="F578" s="47" t="s">
        <v>726</v>
      </c>
      <c r="G578" s="47" t="s">
        <v>27</v>
      </c>
      <c r="H578" s="47">
        <v>70162</v>
      </c>
      <c r="I578" s="47">
        <v>70537</v>
      </c>
      <c r="J578" s="47" t="s">
        <v>28</v>
      </c>
      <c r="K578" s="47" t="s">
        <v>2269</v>
      </c>
      <c r="L578" s="47" t="s">
        <v>36</v>
      </c>
      <c r="M578" s="47" t="s">
        <v>728</v>
      </c>
      <c r="N578" s="48">
        <v>600</v>
      </c>
      <c r="O578" s="48">
        <v>600</v>
      </c>
      <c r="P578" s="48">
        <v>600</v>
      </c>
      <c r="Q578" s="48">
        <v>600</v>
      </c>
      <c r="R578" s="48">
        <v>120</v>
      </c>
      <c r="S578" s="48">
        <v>120</v>
      </c>
      <c r="T578" s="48">
        <v>120</v>
      </c>
      <c r="U578" s="48">
        <v>120</v>
      </c>
      <c r="V578" s="48"/>
    </row>
    <row r="579" spans="2:22" ht="30" x14ac:dyDescent="0.25">
      <c r="B579" s="47" t="s">
        <v>724</v>
      </c>
      <c r="C579" s="47" t="s">
        <v>725</v>
      </c>
      <c r="D579" s="47" t="s">
        <v>722</v>
      </c>
      <c r="E579" s="47" t="s">
        <v>27</v>
      </c>
      <c r="F579" s="47" t="s">
        <v>726</v>
      </c>
      <c r="G579" s="47" t="s">
        <v>27</v>
      </c>
      <c r="H579" s="47">
        <v>70162</v>
      </c>
      <c r="I579" s="47">
        <v>70537</v>
      </c>
      <c r="J579" s="47" t="s">
        <v>28</v>
      </c>
      <c r="K579" s="47" t="s">
        <v>2265</v>
      </c>
      <c r="L579" s="47" t="s">
        <v>36</v>
      </c>
      <c r="M579" s="47" t="s">
        <v>728</v>
      </c>
      <c r="N579" s="48">
        <v>600</v>
      </c>
      <c r="O579" s="48">
        <v>600</v>
      </c>
      <c r="P579" s="48">
        <v>600</v>
      </c>
      <c r="Q579" s="48">
        <v>600</v>
      </c>
      <c r="R579" s="48">
        <v>120</v>
      </c>
      <c r="S579" s="48">
        <v>120</v>
      </c>
      <c r="T579" s="48">
        <v>120</v>
      </c>
      <c r="U579" s="48">
        <v>120</v>
      </c>
      <c r="V579" s="48"/>
    </row>
    <row r="580" spans="2:22" ht="20" x14ac:dyDescent="0.25">
      <c r="B580" s="47" t="s">
        <v>724</v>
      </c>
      <c r="C580" s="47" t="s">
        <v>725</v>
      </c>
      <c r="D580" s="47" t="s">
        <v>722</v>
      </c>
      <c r="E580" s="47" t="s">
        <v>27</v>
      </c>
      <c r="F580" s="47" t="s">
        <v>726</v>
      </c>
      <c r="G580" s="47" t="s">
        <v>27</v>
      </c>
      <c r="H580" s="47">
        <v>70162</v>
      </c>
      <c r="I580" s="47">
        <v>70537</v>
      </c>
      <c r="J580" s="47" t="s">
        <v>28</v>
      </c>
      <c r="K580" s="47" t="s">
        <v>727</v>
      </c>
      <c r="L580" s="47" t="s">
        <v>34</v>
      </c>
      <c r="M580" s="47" t="s">
        <v>728</v>
      </c>
      <c r="N580" s="48">
        <v>600</v>
      </c>
      <c r="O580" s="47">
        <v>775</v>
      </c>
      <c r="P580" s="47">
        <v>743</v>
      </c>
      <c r="Q580" s="47">
        <v>890</v>
      </c>
      <c r="R580" s="48">
        <v>120</v>
      </c>
      <c r="S580" s="47">
        <v>154</v>
      </c>
      <c r="T580" s="47">
        <v>148</v>
      </c>
      <c r="U580" s="47">
        <v>177</v>
      </c>
      <c r="V580" s="47"/>
    </row>
    <row r="581" spans="2:22" ht="20" x14ac:dyDescent="0.25">
      <c r="B581" s="47" t="s">
        <v>724</v>
      </c>
      <c r="C581" s="47" t="s">
        <v>725</v>
      </c>
      <c r="D581" s="47" t="s">
        <v>722</v>
      </c>
      <c r="E581" s="47" t="s">
        <v>27</v>
      </c>
      <c r="F581" s="47" t="s">
        <v>726</v>
      </c>
      <c r="G581" s="47" t="s">
        <v>27</v>
      </c>
      <c r="H581" s="47">
        <v>70162</v>
      </c>
      <c r="I581" s="47">
        <v>70537</v>
      </c>
      <c r="J581" s="47" t="s">
        <v>28</v>
      </c>
      <c r="K581" s="47" t="s">
        <v>729</v>
      </c>
      <c r="L581" s="47" t="s">
        <v>34</v>
      </c>
      <c r="M581" s="47" t="s">
        <v>728</v>
      </c>
      <c r="N581" s="48">
        <v>600</v>
      </c>
      <c r="O581" s="47">
        <v>775</v>
      </c>
      <c r="P581" s="47">
        <v>743</v>
      </c>
      <c r="Q581" s="47">
        <v>890</v>
      </c>
      <c r="R581" s="48">
        <v>120</v>
      </c>
      <c r="S581" s="47">
        <v>154</v>
      </c>
      <c r="T581" s="47">
        <v>148</v>
      </c>
      <c r="U581" s="47">
        <v>177</v>
      </c>
      <c r="V581" s="47"/>
    </row>
    <row r="582" spans="2:22" ht="23" x14ac:dyDescent="0.25">
      <c r="B582" s="44" t="s">
        <v>730</v>
      </c>
      <c r="C582" s="44" t="s">
        <v>731</v>
      </c>
      <c r="D582" s="44" t="s">
        <v>722</v>
      </c>
      <c r="E582" s="44" t="s">
        <v>27</v>
      </c>
      <c r="F582" s="44" t="s">
        <v>422</v>
      </c>
      <c r="G582" s="44" t="s">
        <v>27</v>
      </c>
      <c r="H582" s="44">
        <v>70171</v>
      </c>
      <c r="I582" s="44">
        <v>70395</v>
      </c>
      <c r="J582" s="44" t="s">
        <v>28</v>
      </c>
      <c r="K582" s="44" t="s">
        <v>730</v>
      </c>
      <c r="L582" s="44" t="s">
        <v>29</v>
      </c>
      <c r="M582" s="44"/>
      <c r="N582" s="45">
        <v>794</v>
      </c>
      <c r="O582" s="45">
        <v>873</v>
      </c>
      <c r="P582" s="45">
        <v>903</v>
      </c>
      <c r="Q582" s="45">
        <v>993</v>
      </c>
      <c r="R582" s="45">
        <v>158</v>
      </c>
      <c r="S582" s="45">
        <v>174</v>
      </c>
      <c r="T582" s="45">
        <v>180</v>
      </c>
      <c r="U582" s="45">
        <v>198</v>
      </c>
      <c r="V582" s="46"/>
    </row>
    <row r="583" spans="2:22" ht="20" x14ac:dyDescent="0.25">
      <c r="B583" s="47" t="s">
        <v>730</v>
      </c>
      <c r="C583" s="47" t="s">
        <v>731</v>
      </c>
      <c r="D583" s="47" t="s">
        <v>722</v>
      </c>
      <c r="E583" s="47" t="s">
        <v>27</v>
      </c>
      <c r="F583" s="47" t="s">
        <v>422</v>
      </c>
      <c r="G583" s="47" t="s">
        <v>27</v>
      </c>
      <c r="H583" s="47">
        <v>70171</v>
      </c>
      <c r="I583" s="47">
        <v>70395</v>
      </c>
      <c r="J583" s="47" t="s">
        <v>28</v>
      </c>
      <c r="K583" s="47" t="s">
        <v>730</v>
      </c>
      <c r="L583" s="47" t="s">
        <v>30</v>
      </c>
      <c r="M583" s="47" t="s">
        <v>731</v>
      </c>
      <c r="N583" s="48">
        <v>794</v>
      </c>
      <c r="O583" s="48">
        <v>873</v>
      </c>
      <c r="P583" s="48">
        <v>903</v>
      </c>
      <c r="Q583" s="48">
        <v>993</v>
      </c>
      <c r="R583" s="48">
        <v>158</v>
      </c>
      <c r="S583" s="48">
        <v>174</v>
      </c>
      <c r="T583" s="48">
        <v>180</v>
      </c>
      <c r="U583" s="48">
        <v>198</v>
      </c>
      <c r="V583" s="48"/>
    </row>
    <row r="584" spans="2:22" ht="23" x14ac:dyDescent="0.25">
      <c r="B584" s="44" t="s">
        <v>733</v>
      </c>
      <c r="C584" s="44" t="s">
        <v>734</v>
      </c>
      <c r="D584" s="44" t="s">
        <v>722</v>
      </c>
      <c r="E584" s="44" t="s">
        <v>27</v>
      </c>
      <c r="F584" s="44" t="s">
        <v>422</v>
      </c>
      <c r="G584" s="44" t="s">
        <v>27</v>
      </c>
      <c r="H584" s="44">
        <v>70171</v>
      </c>
      <c r="I584" s="44">
        <v>70395</v>
      </c>
      <c r="J584" s="44" t="s">
        <v>28</v>
      </c>
      <c r="K584" s="44" t="s">
        <v>733</v>
      </c>
      <c r="L584" s="44" t="s">
        <v>29</v>
      </c>
      <c r="M584" s="44"/>
      <c r="N584" s="45">
        <v>600</v>
      </c>
      <c r="O584" s="45">
        <v>728</v>
      </c>
      <c r="P584" s="45">
        <v>743</v>
      </c>
      <c r="Q584" s="45">
        <v>800</v>
      </c>
      <c r="R584" s="45">
        <v>120</v>
      </c>
      <c r="S584" s="45">
        <v>145</v>
      </c>
      <c r="T584" s="45">
        <v>148</v>
      </c>
      <c r="U584" s="45">
        <v>159</v>
      </c>
      <c r="V584" s="46"/>
    </row>
    <row r="585" spans="2:22" ht="20" x14ac:dyDescent="0.25">
      <c r="B585" s="47" t="s">
        <v>733</v>
      </c>
      <c r="C585" s="47" t="s">
        <v>734</v>
      </c>
      <c r="D585" s="47" t="s">
        <v>722</v>
      </c>
      <c r="E585" s="47" t="s">
        <v>27</v>
      </c>
      <c r="F585" s="47" t="s">
        <v>422</v>
      </c>
      <c r="G585" s="47" t="s">
        <v>27</v>
      </c>
      <c r="H585" s="47">
        <v>70171</v>
      </c>
      <c r="I585" s="47">
        <v>70395</v>
      </c>
      <c r="J585" s="47" t="s">
        <v>28</v>
      </c>
      <c r="K585" s="47" t="s">
        <v>735</v>
      </c>
      <c r="L585" s="47" t="s">
        <v>34</v>
      </c>
      <c r="M585" s="47" t="s">
        <v>728</v>
      </c>
      <c r="N585" s="48">
        <v>600</v>
      </c>
      <c r="O585" s="47">
        <v>775</v>
      </c>
      <c r="P585" s="48">
        <v>743</v>
      </c>
      <c r="Q585" s="47">
        <v>890</v>
      </c>
      <c r="R585" s="48">
        <v>120</v>
      </c>
      <c r="S585" s="47">
        <v>154</v>
      </c>
      <c r="T585" s="48">
        <v>148</v>
      </c>
      <c r="U585" s="47">
        <v>177</v>
      </c>
      <c r="V585" s="47"/>
    </row>
    <row r="586" spans="2:22" ht="20" x14ac:dyDescent="0.25">
      <c r="B586" s="47" t="s">
        <v>733</v>
      </c>
      <c r="C586" s="47" t="s">
        <v>734</v>
      </c>
      <c r="D586" s="47" t="s">
        <v>722</v>
      </c>
      <c r="E586" s="47" t="s">
        <v>27</v>
      </c>
      <c r="F586" s="47" t="s">
        <v>422</v>
      </c>
      <c r="G586" s="47" t="s">
        <v>27</v>
      </c>
      <c r="H586" s="47">
        <v>70171</v>
      </c>
      <c r="I586" s="47">
        <v>70395</v>
      </c>
      <c r="J586" s="47" t="s">
        <v>28</v>
      </c>
      <c r="K586" s="47" t="s">
        <v>736</v>
      </c>
      <c r="L586" s="47" t="s">
        <v>34</v>
      </c>
      <c r="M586" s="47" t="s">
        <v>728</v>
      </c>
      <c r="N586" s="48">
        <v>600</v>
      </c>
      <c r="O586" s="47">
        <v>775</v>
      </c>
      <c r="P586" s="48">
        <v>743</v>
      </c>
      <c r="Q586" s="47">
        <v>890</v>
      </c>
      <c r="R586" s="48">
        <v>120</v>
      </c>
      <c r="S586" s="47">
        <v>154</v>
      </c>
      <c r="T586" s="48">
        <v>148</v>
      </c>
      <c r="U586" s="47">
        <v>177</v>
      </c>
      <c r="V586" s="47"/>
    </row>
    <row r="587" spans="2:22" ht="20" x14ac:dyDescent="0.25">
      <c r="B587" s="47" t="s">
        <v>733</v>
      </c>
      <c r="C587" s="47" t="s">
        <v>734</v>
      </c>
      <c r="D587" s="47" t="s">
        <v>722</v>
      </c>
      <c r="E587" s="47" t="s">
        <v>27</v>
      </c>
      <c r="F587" s="47" t="s">
        <v>422</v>
      </c>
      <c r="G587" s="47" t="s">
        <v>27</v>
      </c>
      <c r="H587" s="47">
        <v>70171</v>
      </c>
      <c r="I587" s="47">
        <v>70395</v>
      </c>
      <c r="J587" s="47" t="s">
        <v>28</v>
      </c>
      <c r="K587" s="47" t="s">
        <v>501</v>
      </c>
      <c r="L587" s="47" t="s">
        <v>31</v>
      </c>
      <c r="M587" s="47" t="s">
        <v>728</v>
      </c>
      <c r="N587" s="47">
        <v>629</v>
      </c>
      <c r="O587" s="48">
        <v>728</v>
      </c>
      <c r="P587" s="47">
        <v>745</v>
      </c>
      <c r="Q587" s="47">
        <v>827</v>
      </c>
      <c r="R587" s="47">
        <v>125</v>
      </c>
      <c r="S587" s="48">
        <v>145</v>
      </c>
      <c r="T587" s="48">
        <v>148</v>
      </c>
      <c r="U587" s="47">
        <v>165</v>
      </c>
      <c r="V587" s="47"/>
    </row>
    <row r="588" spans="2:22" ht="20" x14ac:dyDescent="0.25">
      <c r="B588" s="47" t="s">
        <v>733</v>
      </c>
      <c r="C588" s="47" t="s">
        <v>734</v>
      </c>
      <c r="D588" s="47" t="s">
        <v>722</v>
      </c>
      <c r="E588" s="47" t="s">
        <v>27</v>
      </c>
      <c r="F588" s="47" t="s">
        <v>422</v>
      </c>
      <c r="G588" s="47" t="s">
        <v>27</v>
      </c>
      <c r="H588" s="47">
        <v>70171</v>
      </c>
      <c r="I588" s="47">
        <v>70395</v>
      </c>
      <c r="J588" s="47" t="s">
        <v>28</v>
      </c>
      <c r="K588" s="47" t="s">
        <v>2272</v>
      </c>
      <c r="L588" s="47" t="s">
        <v>39</v>
      </c>
      <c r="M588" s="47" t="s">
        <v>728</v>
      </c>
      <c r="N588" s="47">
        <v>800</v>
      </c>
      <c r="O588" s="47">
        <v>800</v>
      </c>
      <c r="P588" s="47">
        <v>800</v>
      </c>
      <c r="Q588" s="48">
        <v>800</v>
      </c>
      <c r="R588" s="47">
        <v>159</v>
      </c>
      <c r="S588" s="47">
        <v>159</v>
      </c>
      <c r="T588" s="47">
        <v>159</v>
      </c>
      <c r="U588" s="48">
        <v>159</v>
      </c>
      <c r="V588" s="48"/>
    </row>
    <row r="589" spans="2:22" ht="30" x14ac:dyDescent="0.25">
      <c r="B589" s="47" t="s">
        <v>733</v>
      </c>
      <c r="C589" s="47" t="s">
        <v>734</v>
      </c>
      <c r="D589" s="47" t="s">
        <v>722</v>
      </c>
      <c r="E589" s="47" t="s">
        <v>27</v>
      </c>
      <c r="F589" s="47" t="s">
        <v>422</v>
      </c>
      <c r="G589" s="47" t="s">
        <v>27</v>
      </c>
      <c r="H589" s="47">
        <v>70171</v>
      </c>
      <c r="I589" s="47">
        <v>70395</v>
      </c>
      <c r="J589" s="47" t="s">
        <v>28</v>
      </c>
      <c r="K589" s="47" t="s">
        <v>2275</v>
      </c>
      <c r="L589" s="47" t="s">
        <v>36</v>
      </c>
      <c r="M589" s="47" t="s">
        <v>728</v>
      </c>
      <c r="N589" s="47">
        <v>800</v>
      </c>
      <c r="O589" s="47">
        <v>800</v>
      </c>
      <c r="P589" s="47">
        <v>800</v>
      </c>
      <c r="Q589" s="48">
        <v>800</v>
      </c>
      <c r="R589" s="47">
        <v>159</v>
      </c>
      <c r="S589" s="47">
        <v>159</v>
      </c>
      <c r="T589" s="47">
        <v>159</v>
      </c>
      <c r="U589" s="48">
        <v>159</v>
      </c>
      <c r="V589" s="48"/>
    </row>
    <row r="590" spans="2:22" ht="30" x14ac:dyDescent="0.25">
      <c r="B590" s="47" t="s">
        <v>733</v>
      </c>
      <c r="C590" s="47" t="s">
        <v>734</v>
      </c>
      <c r="D590" s="47" t="s">
        <v>722</v>
      </c>
      <c r="E590" s="47" t="s">
        <v>27</v>
      </c>
      <c r="F590" s="47" t="s">
        <v>422</v>
      </c>
      <c r="G590" s="47" t="s">
        <v>27</v>
      </c>
      <c r="H590" s="47">
        <v>70171</v>
      </c>
      <c r="I590" s="47">
        <v>70395</v>
      </c>
      <c r="J590" s="47" t="s">
        <v>28</v>
      </c>
      <c r="K590" s="47" t="s">
        <v>2271</v>
      </c>
      <c r="L590" s="47" t="s">
        <v>36</v>
      </c>
      <c r="M590" s="47" t="s">
        <v>728</v>
      </c>
      <c r="N590" s="47">
        <v>800</v>
      </c>
      <c r="O590" s="47">
        <v>800</v>
      </c>
      <c r="P590" s="47">
        <v>800</v>
      </c>
      <c r="Q590" s="48">
        <v>800</v>
      </c>
      <c r="R590" s="47">
        <v>159</v>
      </c>
      <c r="S590" s="47">
        <v>159</v>
      </c>
      <c r="T590" s="47">
        <v>159</v>
      </c>
      <c r="U590" s="48">
        <v>159</v>
      </c>
      <c r="V590" s="48"/>
    </row>
    <row r="591" spans="2:22" ht="20" x14ac:dyDescent="0.25">
      <c r="B591" s="47" t="s">
        <v>733</v>
      </c>
      <c r="C591" s="47" t="s">
        <v>734</v>
      </c>
      <c r="D591" s="47" t="s">
        <v>722</v>
      </c>
      <c r="E591" s="47" t="s">
        <v>27</v>
      </c>
      <c r="F591" s="47" t="s">
        <v>422</v>
      </c>
      <c r="G591" s="47" t="s">
        <v>27</v>
      </c>
      <c r="H591" s="47">
        <v>70171</v>
      </c>
      <c r="I591" s="47">
        <v>70395</v>
      </c>
      <c r="J591" s="47" t="s">
        <v>28</v>
      </c>
      <c r="K591" s="47" t="s">
        <v>2274</v>
      </c>
      <c r="L591" s="47" t="s">
        <v>39</v>
      </c>
      <c r="M591" s="47" t="s">
        <v>728</v>
      </c>
      <c r="N591" s="47">
        <v>800</v>
      </c>
      <c r="O591" s="47">
        <v>800</v>
      </c>
      <c r="P591" s="47">
        <v>800</v>
      </c>
      <c r="Q591" s="48">
        <v>800</v>
      </c>
      <c r="R591" s="47">
        <v>159</v>
      </c>
      <c r="S591" s="47">
        <v>159</v>
      </c>
      <c r="T591" s="47">
        <v>159</v>
      </c>
      <c r="U591" s="48">
        <v>159</v>
      </c>
      <c r="V591" s="48"/>
    </row>
    <row r="592" spans="2:22" ht="30" x14ac:dyDescent="0.25">
      <c r="B592" s="47" t="s">
        <v>733</v>
      </c>
      <c r="C592" s="47" t="s">
        <v>734</v>
      </c>
      <c r="D592" s="47" t="s">
        <v>722</v>
      </c>
      <c r="E592" s="47" t="s">
        <v>27</v>
      </c>
      <c r="F592" s="47" t="s">
        <v>422</v>
      </c>
      <c r="G592" s="47" t="s">
        <v>27</v>
      </c>
      <c r="H592" s="47">
        <v>70171</v>
      </c>
      <c r="I592" s="47">
        <v>70395</v>
      </c>
      <c r="J592" s="47" t="s">
        <v>28</v>
      </c>
      <c r="K592" s="47" t="s">
        <v>2273</v>
      </c>
      <c r="L592" s="47" t="s">
        <v>36</v>
      </c>
      <c r="M592" s="47" t="s">
        <v>728</v>
      </c>
      <c r="N592" s="47">
        <v>800</v>
      </c>
      <c r="O592" s="47">
        <v>800</v>
      </c>
      <c r="P592" s="47">
        <v>800</v>
      </c>
      <c r="Q592" s="48">
        <v>800</v>
      </c>
      <c r="R592" s="47">
        <v>159</v>
      </c>
      <c r="S592" s="47">
        <v>159</v>
      </c>
      <c r="T592" s="47">
        <v>159</v>
      </c>
      <c r="U592" s="48">
        <v>159</v>
      </c>
      <c r="V592" s="48"/>
    </row>
    <row r="593" spans="2:22" ht="23" x14ac:dyDescent="0.25">
      <c r="B593" s="44" t="s">
        <v>737</v>
      </c>
      <c r="C593" s="44" t="s">
        <v>738</v>
      </c>
      <c r="D593" s="44" t="s">
        <v>684</v>
      </c>
      <c r="E593" s="44" t="s">
        <v>27</v>
      </c>
      <c r="F593" s="44" t="s">
        <v>739</v>
      </c>
      <c r="G593" s="44" t="s">
        <v>27</v>
      </c>
      <c r="H593" s="44">
        <v>70163</v>
      </c>
      <c r="I593" s="44">
        <v>70291</v>
      </c>
      <c r="J593" s="44" t="s">
        <v>28</v>
      </c>
      <c r="K593" s="44" t="s">
        <v>737</v>
      </c>
      <c r="L593" s="44" t="s">
        <v>29</v>
      </c>
      <c r="M593" s="44"/>
      <c r="N593" s="45">
        <v>800</v>
      </c>
      <c r="O593" s="45">
        <v>1000</v>
      </c>
      <c r="P593" s="45">
        <v>1000</v>
      </c>
      <c r="Q593" s="45">
        <v>1000</v>
      </c>
      <c r="R593" s="45">
        <v>319</v>
      </c>
      <c r="S593" s="45">
        <v>398</v>
      </c>
      <c r="T593" s="45">
        <v>398</v>
      </c>
      <c r="U593" s="45">
        <v>398</v>
      </c>
      <c r="V593" s="46"/>
    </row>
    <row r="594" spans="2:22" ht="20" x14ac:dyDescent="0.25">
      <c r="B594" s="47" t="s">
        <v>737</v>
      </c>
      <c r="C594" s="47" t="s">
        <v>738</v>
      </c>
      <c r="D594" s="47" t="s">
        <v>684</v>
      </c>
      <c r="E594" s="47" t="s">
        <v>27</v>
      </c>
      <c r="F594" s="47" t="s">
        <v>739</v>
      </c>
      <c r="G594" s="47" t="s">
        <v>27</v>
      </c>
      <c r="H594" s="47">
        <v>70163</v>
      </c>
      <c r="I594" s="47">
        <v>70291</v>
      </c>
      <c r="J594" s="47" t="s">
        <v>28</v>
      </c>
      <c r="K594" s="47" t="s">
        <v>737</v>
      </c>
      <c r="L594" s="47" t="s">
        <v>30</v>
      </c>
      <c r="M594" s="47" t="s">
        <v>738</v>
      </c>
      <c r="N594" s="48">
        <v>800</v>
      </c>
      <c r="O594" s="48">
        <v>1000</v>
      </c>
      <c r="P594" s="48">
        <v>1000</v>
      </c>
      <c r="Q594" s="48">
        <v>1000</v>
      </c>
      <c r="R594" s="48">
        <v>319</v>
      </c>
      <c r="S594" s="48">
        <v>398</v>
      </c>
      <c r="T594" s="48">
        <v>398</v>
      </c>
      <c r="U594" s="48">
        <v>398</v>
      </c>
      <c r="V594" s="48"/>
    </row>
    <row r="595" spans="2:22" ht="30" x14ac:dyDescent="0.25">
      <c r="B595" s="47" t="s">
        <v>737</v>
      </c>
      <c r="C595" s="47" t="s">
        <v>738</v>
      </c>
      <c r="D595" s="47" t="s">
        <v>684</v>
      </c>
      <c r="E595" s="47" t="s">
        <v>27</v>
      </c>
      <c r="F595" s="47" t="s">
        <v>739</v>
      </c>
      <c r="G595" s="47" t="s">
        <v>27</v>
      </c>
      <c r="H595" s="47">
        <v>70163</v>
      </c>
      <c r="I595" s="47">
        <v>70291</v>
      </c>
      <c r="J595" s="47" t="s">
        <v>28</v>
      </c>
      <c r="K595" s="47" t="s">
        <v>2425</v>
      </c>
      <c r="L595" s="47" t="s">
        <v>36</v>
      </c>
      <c r="M595" s="47" t="s">
        <v>686</v>
      </c>
      <c r="N595" s="47">
        <v>1000</v>
      </c>
      <c r="O595" s="48">
        <v>1000</v>
      </c>
      <c r="P595" s="48">
        <v>1000</v>
      </c>
      <c r="Q595" s="48">
        <v>1000</v>
      </c>
      <c r="R595" s="47">
        <v>398</v>
      </c>
      <c r="S595" s="48">
        <v>398</v>
      </c>
      <c r="T595" s="48">
        <v>398</v>
      </c>
      <c r="U595" s="48">
        <v>398</v>
      </c>
      <c r="V595" s="48"/>
    </row>
    <row r="596" spans="2:22" ht="30" x14ac:dyDescent="0.25">
      <c r="B596" s="47" t="s">
        <v>737</v>
      </c>
      <c r="C596" s="47" t="s">
        <v>738</v>
      </c>
      <c r="D596" s="47" t="s">
        <v>684</v>
      </c>
      <c r="E596" s="47" t="s">
        <v>27</v>
      </c>
      <c r="F596" s="47" t="s">
        <v>739</v>
      </c>
      <c r="G596" s="47" t="s">
        <v>27</v>
      </c>
      <c r="H596" s="47">
        <v>70163</v>
      </c>
      <c r="I596" s="47">
        <v>70291</v>
      </c>
      <c r="J596" s="47" t="s">
        <v>28</v>
      </c>
      <c r="K596" s="47" t="s">
        <v>2424</v>
      </c>
      <c r="L596" s="47" t="s">
        <v>36</v>
      </c>
      <c r="M596" s="47" t="s">
        <v>686</v>
      </c>
      <c r="N596" s="47">
        <v>1000</v>
      </c>
      <c r="O596" s="48">
        <v>1000</v>
      </c>
      <c r="P596" s="48">
        <v>1000</v>
      </c>
      <c r="Q596" s="48">
        <v>1000</v>
      </c>
      <c r="R596" s="47">
        <v>398</v>
      </c>
      <c r="S596" s="48">
        <v>398</v>
      </c>
      <c r="T596" s="48">
        <v>398</v>
      </c>
      <c r="U596" s="48">
        <v>398</v>
      </c>
      <c r="V596" s="48"/>
    </row>
    <row r="597" spans="2:22" ht="34.5" x14ac:dyDescent="0.25">
      <c r="B597" s="94" t="s">
        <v>740</v>
      </c>
      <c r="C597" s="44" t="s">
        <v>333</v>
      </c>
      <c r="D597" s="44" t="s">
        <v>741</v>
      </c>
      <c r="E597" s="44" t="s">
        <v>27</v>
      </c>
      <c r="F597" s="44" t="s">
        <v>335</v>
      </c>
      <c r="G597" s="44" t="s">
        <v>27</v>
      </c>
      <c r="H597" s="44">
        <v>70164</v>
      </c>
      <c r="I597" s="44">
        <v>70295</v>
      </c>
      <c r="J597" s="44" t="s">
        <v>28</v>
      </c>
      <c r="K597" s="44" t="s">
        <v>740</v>
      </c>
      <c r="L597" s="44" t="s">
        <v>29</v>
      </c>
      <c r="M597" s="44"/>
      <c r="N597" s="97">
        <v>808</v>
      </c>
      <c r="O597" s="97">
        <v>889</v>
      </c>
      <c r="P597" s="97">
        <v>909</v>
      </c>
      <c r="Q597" s="97">
        <v>1000</v>
      </c>
      <c r="R597" s="97">
        <v>161</v>
      </c>
      <c r="S597" s="97">
        <v>177</v>
      </c>
      <c r="T597" s="97">
        <v>181</v>
      </c>
      <c r="U597" s="97">
        <v>199</v>
      </c>
      <c r="V597" s="46"/>
    </row>
    <row r="598" spans="2:22" ht="20" x14ac:dyDescent="0.25">
      <c r="B598" s="96" t="s">
        <v>740</v>
      </c>
      <c r="C598" s="96" t="s">
        <v>333</v>
      </c>
      <c r="D598" s="96" t="s">
        <v>741</v>
      </c>
      <c r="E598" s="96" t="s">
        <v>27</v>
      </c>
      <c r="F598" s="96" t="s">
        <v>335</v>
      </c>
      <c r="G598" s="96" t="s">
        <v>27</v>
      </c>
      <c r="H598" s="96">
        <v>70164</v>
      </c>
      <c r="I598" s="96">
        <v>70295</v>
      </c>
      <c r="J598" s="96" t="s">
        <v>28</v>
      </c>
      <c r="K598" s="96" t="s">
        <v>740</v>
      </c>
      <c r="L598" s="96" t="s">
        <v>30</v>
      </c>
      <c r="M598" s="96" t="s">
        <v>333</v>
      </c>
      <c r="N598" s="95">
        <v>808</v>
      </c>
      <c r="O598" s="95">
        <v>889</v>
      </c>
      <c r="P598" s="95">
        <v>909</v>
      </c>
      <c r="Q598" s="95">
        <v>1000</v>
      </c>
      <c r="R598" s="95">
        <v>161</v>
      </c>
      <c r="S598" s="95">
        <v>177</v>
      </c>
      <c r="T598" s="95">
        <v>181</v>
      </c>
      <c r="U598" s="95">
        <v>199</v>
      </c>
      <c r="V598" s="95"/>
    </row>
    <row r="599" spans="2:22" ht="34.5" x14ac:dyDescent="0.25">
      <c r="B599" s="44" t="s">
        <v>1847</v>
      </c>
      <c r="C599" s="44" t="s">
        <v>1848</v>
      </c>
      <c r="D599" s="44" t="s">
        <v>741</v>
      </c>
      <c r="E599" s="44" t="s">
        <v>27</v>
      </c>
      <c r="F599" s="44" t="s">
        <v>1849</v>
      </c>
      <c r="G599" s="44" t="s">
        <v>27</v>
      </c>
      <c r="H599" s="44">
        <v>70164</v>
      </c>
      <c r="I599" s="44">
        <v>70170</v>
      </c>
      <c r="J599" s="44" t="s">
        <v>28</v>
      </c>
      <c r="K599" s="44" t="s">
        <v>1847</v>
      </c>
      <c r="L599" s="44" t="s">
        <v>29</v>
      </c>
      <c r="M599" s="44"/>
      <c r="N599" s="45">
        <v>794</v>
      </c>
      <c r="O599" s="45">
        <v>874</v>
      </c>
      <c r="P599" s="45">
        <v>900</v>
      </c>
      <c r="Q599" s="45">
        <v>990</v>
      </c>
      <c r="R599" s="45">
        <v>158</v>
      </c>
      <c r="S599" s="45">
        <v>174</v>
      </c>
      <c r="T599" s="45">
        <v>179</v>
      </c>
      <c r="U599" s="45">
        <v>197</v>
      </c>
      <c r="V599" s="46"/>
    </row>
    <row r="600" spans="2:22" ht="20" x14ac:dyDescent="0.25">
      <c r="B600" s="47" t="s">
        <v>1847</v>
      </c>
      <c r="C600" s="47" t="s">
        <v>1848</v>
      </c>
      <c r="D600" s="47" t="s">
        <v>741</v>
      </c>
      <c r="E600" s="47" t="s">
        <v>27</v>
      </c>
      <c r="F600" s="47" t="s">
        <v>1849</v>
      </c>
      <c r="G600" s="47" t="s">
        <v>27</v>
      </c>
      <c r="H600" s="47">
        <v>70164</v>
      </c>
      <c r="I600" s="47">
        <v>70170</v>
      </c>
      <c r="J600" s="47" t="s">
        <v>28</v>
      </c>
      <c r="K600" s="47" t="s">
        <v>1847</v>
      </c>
      <c r="L600" s="47" t="s">
        <v>30</v>
      </c>
      <c r="M600" s="47" t="s">
        <v>1848</v>
      </c>
      <c r="N600" s="48">
        <v>794</v>
      </c>
      <c r="O600" s="48">
        <v>874</v>
      </c>
      <c r="P600" s="48">
        <v>900</v>
      </c>
      <c r="Q600" s="48">
        <v>990</v>
      </c>
      <c r="R600" s="48">
        <v>158</v>
      </c>
      <c r="S600" s="48">
        <v>174</v>
      </c>
      <c r="T600" s="48">
        <v>179</v>
      </c>
      <c r="U600" s="48">
        <v>197</v>
      </c>
      <c r="V600" s="48"/>
    </row>
    <row r="601" spans="2:22" ht="34.5" x14ac:dyDescent="0.25">
      <c r="B601" s="44" t="s">
        <v>746</v>
      </c>
      <c r="C601" s="44" t="s">
        <v>747</v>
      </c>
      <c r="D601" s="44" t="s">
        <v>741</v>
      </c>
      <c r="E601" s="44" t="s">
        <v>27</v>
      </c>
      <c r="F601" s="44" t="s">
        <v>748</v>
      </c>
      <c r="G601" s="44" t="s">
        <v>27</v>
      </c>
      <c r="H601" s="44">
        <v>70164</v>
      </c>
      <c r="I601" s="44">
        <v>70346</v>
      </c>
      <c r="J601" s="44" t="s">
        <v>28</v>
      </c>
      <c r="K601" s="44" t="s">
        <v>746</v>
      </c>
      <c r="L601" s="44" t="s">
        <v>29</v>
      </c>
      <c r="M601" s="44"/>
      <c r="N601" s="45">
        <v>644</v>
      </c>
      <c r="O601" s="45">
        <v>708</v>
      </c>
      <c r="P601" s="45">
        <v>732</v>
      </c>
      <c r="Q601" s="45">
        <v>805</v>
      </c>
      <c r="R601" s="45">
        <v>128</v>
      </c>
      <c r="S601" s="45">
        <v>141</v>
      </c>
      <c r="T601" s="45">
        <v>146</v>
      </c>
      <c r="U601" s="45">
        <v>160</v>
      </c>
      <c r="V601" s="46"/>
    </row>
    <row r="602" spans="2:22" ht="20" x14ac:dyDescent="0.25">
      <c r="B602" s="47" t="s">
        <v>746</v>
      </c>
      <c r="C602" s="47" t="s">
        <v>747</v>
      </c>
      <c r="D602" s="47" t="s">
        <v>741</v>
      </c>
      <c r="E602" s="47" t="s">
        <v>27</v>
      </c>
      <c r="F602" s="47" t="s">
        <v>748</v>
      </c>
      <c r="G602" s="47" t="s">
        <v>27</v>
      </c>
      <c r="H602" s="47">
        <v>70164</v>
      </c>
      <c r="I602" s="47">
        <v>70346</v>
      </c>
      <c r="J602" s="47" t="s">
        <v>28</v>
      </c>
      <c r="K602" s="47" t="s">
        <v>746</v>
      </c>
      <c r="L602" s="47" t="s">
        <v>30</v>
      </c>
      <c r="M602" s="47" t="s">
        <v>747</v>
      </c>
      <c r="N602" s="48">
        <v>644</v>
      </c>
      <c r="O602" s="48">
        <v>708</v>
      </c>
      <c r="P602" s="48">
        <v>732</v>
      </c>
      <c r="Q602" s="48">
        <v>805</v>
      </c>
      <c r="R602" s="48">
        <v>128</v>
      </c>
      <c r="S602" s="48">
        <v>141</v>
      </c>
      <c r="T602" s="48">
        <v>146</v>
      </c>
      <c r="U602" s="48">
        <v>160</v>
      </c>
      <c r="V602" s="48"/>
    </row>
    <row r="603" spans="2:22" ht="34.5" x14ac:dyDescent="0.25">
      <c r="B603" s="94" t="s">
        <v>749</v>
      </c>
      <c r="C603" s="44" t="s">
        <v>750</v>
      </c>
      <c r="D603" s="44" t="s">
        <v>741</v>
      </c>
      <c r="E603" s="44" t="s">
        <v>27</v>
      </c>
      <c r="F603" s="44" t="s">
        <v>381</v>
      </c>
      <c r="G603" s="44" t="s">
        <v>27</v>
      </c>
      <c r="H603" s="44">
        <v>70164</v>
      </c>
      <c r="I603" s="44">
        <v>70444</v>
      </c>
      <c r="J603" s="44" t="s">
        <v>28</v>
      </c>
      <c r="K603" s="44" t="s">
        <v>749</v>
      </c>
      <c r="L603" s="44" t="s">
        <v>29</v>
      </c>
      <c r="M603" s="44"/>
      <c r="N603" s="97">
        <v>645</v>
      </c>
      <c r="O603" s="97">
        <v>709</v>
      </c>
      <c r="P603" s="97">
        <v>733</v>
      </c>
      <c r="Q603" s="97">
        <v>806</v>
      </c>
      <c r="R603" s="97">
        <v>128</v>
      </c>
      <c r="S603" s="97">
        <v>141</v>
      </c>
      <c r="T603" s="97">
        <v>146</v>
      </c>
      <c r="U603" s="97">
        <v>161</v>
      </c>
      <c r="V603" s="46"/>
    </row>
    <row r="604" spans="2:22" ht="30" x14ac:dyDescent="0.25">
      <c r="B604" s="96" t="s">
        <v>749</v>
      </c>
      <c r="C604" s="96" t="s">
        <v>750</v>
      </c>
      <c r="D604" s="96" t="s">
        <v>741</v>
      </c>
      <c r="E604" s="96" t="s">
        <v>27</v>
      </c>
      <c r="F604" s="96" t="s">
        <v>381</v>
      </c>
      <c r="G604" s="96" t="s">
        <v>27</v>
      </c>
      <c r="H604" s="96">
        <v>70164</v>
      </c>
      <c r="I604" s="96">
        <v>70444</v>
      </c>
      <c r="J604" s="96" t="s">
        <v>28</v>
      </c>
      <c r="K604" s="96" t="s">
        <v>749</v>
      </c>
      <c r="L604" s="96" t="s">
        <v>30</v>
      </c>
      <c r="M604" s="96" t="s">
        <v>750</v>
      </c>
      <c r="N604" s="95">
        <v>645</v>
      </c>
      <c r="O604" s="95">
        <v>709</v>
      </c>
      <c r="P604" s="95">
        <v>733</v>
      </c>
      <c r="Q604" s="95">
        <v>806</v>
      </c>
      <c r="R604" s="95">
        <v>128</v>
      </c>
      <c r="S604" s="95">
        <v>141</v>
      </c>
      <c r="T604" s="95">
        <v>146</v>
      </c>
      <c r="U604" s="95">
        <v>161</v>
      </c>
      <c r="V604" s="95"/>
    </row>
    <row r="605" spans="2:22" ht="23" x14ac:dyDescent="0.25">
      <c r="B605" s="44" t="s">
        <v>2605</v>
      </c>
      <c r="C605" s="44" t="s">
        <v>259</v>
      </c>
      <c r="D605" s="44" t="s">
        <v>76</v>
      </c>
      <c r="E605" s="44" t="s">
        <v>27</v>
      </c>
      <c r="F605" s="44" t="s">
        <v>760</v>
      </c>
      <c r="G605" s="44" t="s">
        <v>27</v>
      </c>
      <c r="H605" s="44">
        <v>70168</v>
      </c>
      <c r="I605" s="44">
        <v>70263</v>
      </c>
      <c r="J605" s="44" t="s">
        <v>28</v>
      </c>
      <c r="K605" s="44" t="s">
        <v>2605</v>
      </c>
      <c r="L605" s="44" t="s">
        <v>29</v>
      </c>
      <c r="M605" s="44"/>
      <c r="N605" s="45">
        <v>797</v>
      </c>
      <c r="O605" s="45">
        <v>877</v>
      </c>
      <c r="P605" s="45">
        <v>906</v>
      </c>
      <c r="Q605" s="45">
        <v>997</v>
      </c>
      <c r="R605" s="45">
        <v>159</v>
      </c>
      <c r="S605" s="45">
        <v>175</v>
      </c>
      <c r="T605" s="45">
        <v>180</v>
      </c>
      <c r="U605" s="45">
        <v>199</v>
      </c>
      <c r="V605" s="46"/>
    </row>
    <row r="606" spans="2:22" ht="20" x14ac:dyDescent="0.25">
      <c r="B606" s="47" t="s">
        <v>2605</v>
      </c>
      <c r="C606" s="47" t="s">
        <v>259</v>
      </c>
      <c r="D606" s="47" t="s">
        <v>76</v>
      </c>
      <c r="E606" s="47" t="s">
        <v>27</v>
      </c>
      <c r="F606" s="47" t="s">
        <v>760</v>
      </c>
      <c r="G606" s="47" t="s">
        <v>27</v>
      </c>
      <c r="H606" s="47">
        <v>70168</v>
      </c>
      <c r="I606" s="47">
        <v>70263</v>
      </c>
      <c r="J606" s="47" t="s">
        <v>28</v>
      </c>
      <c r="K606" s="47" t="s">
        <v>2605</v>
      </c>
      <c r="L606" s="47" t="s">
        <v>30</v>
      </c>
      <c r="M606" s="47" t="s">
        <v>259</v>
      </c>
      <c r="N606" s="48">
        <v>797</v>
      </c>
      <c r="O606" s="48">
        <v>877</v>
      </c>
      <c r="P606" s="48">
        <v>906</v>
      </c>
      <c r="Q606" s="48">
        <v>997</v>
      </c>
      <c r="R606" s="48">
        <v>159</v>
      </c>
      <c r="S606" s="48">
        <v>175</v>
      </c>
      <c r="T606" s="48">
        <v>180</v>
      </c>
      <c r="U606" s="48">
        <v>199</v>
      </c>
      <c r="V606" s="48"/>
    </row>
    <row r="607" spans="2:22" ht="23" x14ac:dyDescent="0.25">
      <c r="B607" s="44" t="s">
        <v>761</v>
      </c>
      <c r="C607" s="44" t="s">
        <v>699</v>
      </c>
      <c r="D607" s="44" t="s">
        <v>700</v>
      </c>
      <c r="E607" s="44" t="s">
        <v>27</v>
      </c>
      <c r="F607" s="44" t="s">
        <v>762</v>
      </c>
      <c r="G607" s="44" t="s">
        <v>27</v>
      </c>
      <c r="H607" s="44">
        <v>70173</v>
      </c>
      <c r="I607" s="44">
        <v>70342</v>
      </c>
      <c r="J607" s="44" t="s">
        <v>28</v>
      </c>
      <c r="K607" s="44" t="s">
        <v>761</v>
      </c>
      <c r="L607" s="44" t="s">
        <v>29</v>
      </c>
      <c r="M607" s="44"/>
      <c r="N607" s="45">
        <v>1280</v>
      </c>
      <c r="O607" s="45">
        <v>1408</v>
      </c>
      <c r="P607" s="45">
        <v>1280</v>
      </c>
      <c r="Q607" s="45">
        <v>1408</v>
      </c>
      <c r="R607" s="45">
        <v>255</v>
      </c>
      <c r="S607" s="45">
        <v>280</v>
      </c>
      <c r="T607" s="45">
        <v>255</v>
      </c>
      <c r="U607" s="45">
        <v>280</v>
      </c>
      <c r="V607" s="46"/>
    </row>
    <row r="608" spans="2:22" ht="20" x14ac:dyDescent="0.25">
      <c r="B608" s="47" t="s">
        <v>761</v>
      </c>
      <c r="C608" s="47" t="s">
        <v>699</v>
      </c>
      <c r="D608" s="47" t="s">
        <v>700</v>
      </c>
      <c r="E608" s="47" t="s">
        <v>27</v>
      </c>
      <c r="F608" s="47" t="s">
        <v>762</v>
      </c>
      <c r="G608" s="47" t="s">
        <v>27</v>
      </c>
      <c r="H608" s="47">
        <v>70173</v>
      </c>
      <c r="I608" s="47">
        <v>70342</v>
      </c>
      <c r="J608" s="47" t="s">
        <v>28</v>
      </c>
      <c r="K608" s="47" t="s">
        <v>761</v>
      </c>
      <c r="L608" s="47" t="s">
        <v>30</v>
      </c>
      <c r="M608" s="47" t="s">
        <v>699</v>
      </c>
      <c r="N608" s="48">
        <v>1280</v>
      </c>
      <c r="O608" s="48">
        <v>1408</v>
      </c>
      <c r="P608" s="48">
        <v>1280</v>
      </c>
      <c r="Q608" s="48">
        <v>1408</v>
      </c>
      <c r="R608" s="48">
        <v>255</v>
      </c>
      <c r="S608" s="48">
        <v>280</v>
      </c>
      <c r="T608" s="48">
        <v>255</v>
      </c>
      <c r="U608" s="48">
        <v>280</v>
      </c>
      <c r="V608" s="48"/>
    </row>
    <row r="609" spans="2:22" ht="34.5" x14ac:dyDescent="0.25">
      <c r="B609" s="44" t="s">
        <v>763</v>
      </c>
      <c r="C609" s="44" t="s">
        <v>506</v>
      </c>
      <c r="D609" s="44" t="s">
        <v>370</v>
      </c>
      <c r="E609" s="44" t="s">
        <v>27</v>
      </c>
      <c r="F609" s="44" t="s">
        <v>376</v>
      </c>
      <c r="G609" s="44" t="s">
        <v>27</v>
      </c>
      <c r="H609" s="44">
        <v>70175</v>
      </c>
      <c r="I609" s="44">
        <v>70382</v>
      </c>
      <c r="J609" s="44" t="s">
        <v>28</v>
      </c>
      <c r="K609" s="44" t="s">
        <v>763</v>
      </c>
      <c r="L609" s="44" t="s">
        <v>29</v>
      </c>
      <c r="M609" s="44"/>
      <c r="N609" s="45">
        <v>797</v>
      </c>
      <c r="O609" s="45">
        <v>876</v>
      </c>
      <c r="P609" s="45">
        <v>906</v>
      </c>
      <c r="Q609" s="45">
        <v>997</v>
      </c>
      <c r="R609" s="45">
        <v>159</v>
      </c>
      <c r="S609" s="45">
        <v>174</v>
      </c>
      <c r="T609" s="45">
        <v>180</v>
      </c>
      <c r="U609" s="45">
        <v>199</v>
      </c>
      <c r="V609" s="46"/>
    </row>
    <row r="610" spans="2:22" ht="20" x14ac:dyDescent="0.25">
      <c r="B610" s="47" t="s">
        <v>763</v>
      </c>
      <c r="C610" s="47" t="s">
        <v>506</v>
      </c>
      <c r="D610" s="47" t="s">
        <v>370</v>
      </c>
      <c r="E610" s="47" t="s">
        <v>27</v>
      </c>
      <c r="F610" s="47" t="s">
        <v>376</v>
      </c>
      <c r="G610" s="47" t="s">
        <v>27</v>
      </c>
      <c r="H610" s="47">
        <v>70175</v>
      </c>
      <c r="I610" s="47">
        <v>70382</v>
      </c>
      <c r="J610" s="47" t="s">
        <v>28</v>
      </c>
      <c r="K610" s="47" t="s">
        <v>763</v>
      </c>
      <c r="L610" s="47" t="s">
        <v>30</v>
      </c>
      <c r="M610" s="47" t="s">
        <v>506</v>
      </c>
      <c r="N610" s="48">
        <v>797</v>
      </c>
      <c r="O610" s="48">
        <v>876</v>
      </c>
      <c r="P610" s="48">
        <v>906</v>
      </c>
      <c r="Q610" s="48">
        <v>997</v>
      </c>
      <c r="R610" s="48">
        <v>159</v>
      </c>
      <c r="S610" s="48">
        <v>174</v>
      </c>
      <c r="T610" s="48">
        <v>180</v>
      </c>
      <c r="U610" s="48">
        <v>199</v>
      </c>
      <c r="V610" s="48"/>
    </row>
    <row r="611" spans="2:22" ht="23" x14ac:dyDescent="0.25">
      <c r="B611" s="44" t="s">
        <v>764</v>
      </c>
      <c r="C611" s="44" t="s">
        <v>725</v>
      </c>
      <c r="D611" s="44" t="s">
        <v>726</v>
      </c>
      <c r="E611" s="44" t="s">
        <v>27</v>
      </c>
      <c r="F611" s="44" t="s">
        <v>723</v>
      </c>
      <c r="G611" s="44" t="s">
        <v>27</v>
      </c>
      <c r="H611" s="44">
        <v>70537</v>
      </c>
      <c r="I611" s="44">
        <v>70538</v>
      </c>
      <c r="J611" s="44" t="s">
        <v>28</v>
      </c>
      <c r="K611" s="44" t="s">
        <v>764</v>
      </c>
      <c r="L611" s="44" t="s">
        <v>29</v>
      </c>
      <c r="M611" s="44"/>
      <c r="N611" s="45">
        <v>798</v>
      </c>
      <c r="O611" s="45">
        <v>878</v>
      </c>
      <c r="P611" s="45">
        <v>908</v>
      </c>
      <c r="Q611" s="45">
        <v>999</v>
      </c>
      <c r="R611" s="45">
        <v>159</v>
      </c>
      <c r="S611" s="45">
        <v>175</v>
      </c>
      <c r="T611" s="45">
        <v>181</v>
      </c>
      <c r="U611" s="45">
        <v>199</v>
      </c>
      <c r="V611" s="46"/>
    </row>
    <row r="612" spans="2:22" ht="20" x14ac:dyDescent="0.25">
      <c r="B612" s="47" t="s">
        <v>764</v>
      </c>
      <c r="C612" s="47" t="s">
        <v>725</v>
      </c>
      <c r="D612" s="47" t="s">
        <v>726</v>
      </c>
      <c r="E612" s="47" t="s">
        <v>27</v>
      </c>
      <c r="F612" s="47" t="s">
        <v>723</v>
      </c>
      <c r="G612" s="47" t="s">
        <v>27</v>
      </c>
      <c r="H612" s="47">
        <v>70537</v>
      </c>
      <c r="I612" s="47">
        <v>70538</v>
      </c>
      <c r="J612" s="47" t="s">
        <v>28</v>
      </c>
      <c r="K612" s="47" t="s">
        <v>764</v>
      </c>
      <c r="L612" s="47" t="s">
        <v>30</v>
      </c>
      <c r="M612" s="47" t="s">
        <v>725</v>
      </c>
      <c r="N612" s="48">
        <v>798</v>
      </c>
      <c r="O612" s="48">
        <v>878</v>
      </c>
      <c r="P612" s="48">
        <v>908</v>
      </c>
      <c r="Q612" s="48">
        <v>999</v>
      </c>
      <c r="R612" s="48">
        <v>159</v>
      </c>
      <c r="S612" s="48">
        <v>175</v>
      </c>
      <c r="T612" s="48">
        <v>181</v>
      </c>
      <c r="U612" s="48">
        <v>199</v>
      </c>
      <c r="V612" s="48"/>
    </row>
    <row r="613" spans="2:22" ht="34.5" x14ac:dyDescent="0.25">
      <c r="B613" s="44" t="s">
        <v>765</v>
      </c>
      <c r="C613" s="44" t="s">
        <v>766</v>
      </c>
      <c r="D613" s="44" t="s">
        <v>767</v>
      </c>
      <c r="E613" s="44" t="s">
        <v>27</v>
      </c>
      <c r="F613" s="44" t="s">
        <v>768</v>
      </c>
      <c r="G613" s="44" t="s">
        <v>27</v>
      </c>
      <c r="H613" s="44">
        <v>70192</v>
      </c>
      <c r="I613" s="44">
        <v>70410</v>
      </c>
      <c r="J613" s="44" t="s">
        <v>28</v>
      </c>
      <c r="K613" s="44" t="s">
        <v>765</v>
      </c>
      <c r="L613" s="44" t="s">
        <v>29</v>
      </c>
      <c r="M613" s="44"/>
      <c r="N613" s="45">
        <v>1200</v>
      </c>
      <c r="O613" s="45">
        <v>1200</v>
      </c>
      <c r="P613" s="45">
        <v>1200</v>
      </c>
      <c r="Q613" s="45">
        <v>1200</v>
      </c>
      <c r="R613" s="45">
        <v>478</v>
      </c>
      <c r="S613" s="45">
        <v>478</v>
      </c>
      <c r="T613" s="45">
        <v>478</v>
      </c>
      <c r="U613" s="45">
        <v>478</v>
      </c>
      <c r="V613" s="46"/>
    </row>
    <row r="614" spans="2:22" ht="30" x14ac:dyDescent="0.25">
      <c r="B614" s="47" t="s">
        <v>765</v>
      </c>
      <c r="C614" s="47" t="s">
        <v>766</v>
      </c>
      <c r="D614" s="47" t="s">
        <v>767</v>
      </c>
      <c r="E614" s="47" t="s">
        <v>27</v>
      </c>
      <c r="F614" s="47" t="s">
        <v>768</v>
      </c>
      <c r="G614" s="47" t="s">
        <v>27</v>
      </c>
      <c r="H614" s="47">
        <v>70192</v>
      </c>
      <c r="I614" s="47">
        <v>70410</v>
      </c>
      <c r="J614" s="47" t="s">
        <v>28</v>
      </c>
      <c r="K614" s="47" t="s">
        <v>2430</v>
      </c>
      <c r="L614" s="47" t="s">
        <v>36</v>
      </c>
      <c r="M614" s="47" t="s">
        <v>769</v>
      </c>
      <c r="N614" s="48">
        <v>1200</v>
      </c>
      <c r="O614" s="48">
        <v>1200</v>
      </c>
      <c r="P614" s="48">
        <v>1200</v>
      </c>
      <c r="Q614" s="48">
        <v>1200</v>
      </c>
      <c r="R614" s="48">
        <v>478</v>
      </c>
      <c r="S614" s="48">
        <v>478</v>
      </c>
      <c r="T614" s="48">
        <v>478</v>
      </c>
      <c r="U614" s="48">
        <v>478</v>
      </c>
      <c r="V614" s="48"/>
    </row>
    <row r="615" spans="2:22" ht="30" x14ac:dyDescent="0.25">
      <c r="B615" s="47" t="s">
        <v>765</v>
      </c>
      <c r="C615" s="47" t="s">
        <v>766</v>
      </c>
      <c r="D615" s="47" t="s">
        <v>767</v>
      </c>
      <c r="E615" s="47" t="s">
        <v>27</v>
      </c>
      <c r="F615" s="47" t="s">
        <v>768</v>
      </c>
      <c r="G615" s="47" t="s">
        <v>27</v>
      </c>
      <c r="H615" s="47">
        <v>70192</v>
      </c>
      <c r="I615" s="47">
        <v>70410</v>
      </c>
      <c r="J615" s="47" t="s">
        <v>28</v>
      </c>
      <c r="K615" s="47" t="s">
        <v>2426</v>
      </c>
      <c r="L615" s="47" t="s">
        <v>36</v>
      </c>
      <c r="M615" s="47" t="s">
        <v>771</v>
      </c>
      <c r="N615" s="48">
        <v>1200</v>
      </c>
      <c r="O615" s="48">
        <v>1200</v>
      </c>
      <c r="P615" s="48">
        <v>1200</v>
      </c>
      <c r="Q615" s="48">
        <v>1200</v>
      </c>
      <c r="R615" s="48">
        <v>478</v>
      </c>
      <c r="S615" s="48">
        <v>478</v>
      </c>
      <c r="T615" s="48">
        <v>478</v>
      </c>
      <c r="U615" s="48">
        <v>478</v>
      </c>
      <c r="V615" s="48"/>
    </row>
    <row r="616" spans="2:22" ht="30" x14ac:dyDescent="0.25">
      <c r="B616" s="47" t="s">
        <v>765</v>
      </c>
      <c r="C616" s="47" t="s">
        <v>766</v>
      </c>
      <c r="D616" s="47" t="s">
        <v>767</v>
      </c>
      <c r="E616" s="47" t="s">
        <v>27</v>
      </c>
      <c r="F616" s="47" t="s">
        <v>768</v>
      </c>
      <c r="G616" s="47" t="s">
        <v>27</v>
      </c>
      <c r="H616" s="47">
        <v>70192</v>
      </c>
      <c r="I616" s="47">
        <v>70410</v>
      </c>
      <c r="J616" s="47" t="s">
        <v>28</v>
      </c>
      <c r="K616" s="47" t="s">
        <v>770</v>
      </c>
      <c r="L616" s="47" t="s">
        <v>36</v>
      </c>
      <c r="M616" s="47" t="s">
        <v>771</v>
      </c>
      <c r="N616" s="48">
        <v>1200</v>
      </c>
      <c r="O616" s="48">
        <v>1200</v>
      </c>
      <c r="P616" s="48">
        <v>1200</v>
      </c>
      <c r="Q616" s="48">
        <v>1200</v>
      </c>
      <c r="R616" s="48">
        <v>478</v>
      </c>
      <c r="S616" s="48">
        <v>478</v>
      </c>
      <c r="T616" s="48">
        <v>478</v>
      </c>
      <c r="U616" s="48">
        <v>478</v>
      </c>
      <c r="V616" s="48"/>
    </row>
    <row r="617" spans="2:22" ht="30" x14ac:dyDescent="0.25">
      <c r="B617" s="47" t="s">
        <v>765</v>
      </c>
      <c r="C617" s="47" t="s">
        <v>766</v>
      </c>
      <c r="D617" s="47" t="s">
        <v>767</v>
      </c>
      <c r="E617" s="47" t="s">
        <v>27</v>
      </c>
      <c r="F617" s="47" t="s">
        <v>768</v>
      </c>
      <c r="G617" s="47" t="s">
        <v>27</v>
      </c>
      <c r="H617" s="47">
        <v>70192</v>
      </c>
      <c r="I617" s="47">
        <v>70410</v>
      </c>
      <c r="J617" s="47" t="s">
        <v>28</v>
      </c>
      <c r="K617" s="47" t="s">
        <v>2428</v>
      </c>
      <c r="L617" s="47" t="s">
        <v>36</v>
      </c>
      <c r="M617" s="47" t="s">
        <v>769</v>
      </c>
      <c r="N617" s="48">
        <v>1200</v>
      </c>
      <c r="O617" s="48">
        <v>1200</v>
      </c>
      <c r="P617" s="48">
        <v>1200</v>
      </c>
      <c r="Q617" s="48">
        <v>1200</v>
      </c>
      <c r="R617" s="48">
        <v>478</v>
      </c>
      <c r="S617" s="48">
        <v>478</v>
      </c>
      <c r="T617" s="48">
        <v>478</v>
      </c>
      <c r="U617" s="48">
        <v>478</v>
      </c>
      <c r="V617" s="48"/>
    </row>
    <row r="618" spans="2:22" ht="30" x14ac:dyDescent="0.25">
      <c r="B618" s="47" t="s">
        <v>765</v>
      </c>
      <c r="C618" s="47" t="s">
        <v>766</v>
      </c>
      <c r="D618" s="47" t="s">
        <v>767</v>
      </c>
      <c r="E618" s="47" t="s">
        <v>27</v>
      </c>
      <c r="F618" s="47" t="s">
        <v>768</v>
      </c>
      <c r="G618" s="47" t="s">
        <v>27</v>
      </c>
      <c r="H618" s="47">
        <v>70192</v>
      </c>
      <c r="I618" s="47">
        <v>70410</v>
      </c>
      <c r="J618" s="47" t="s">
        <v>28</v>
      </c>
      <c r="K618" s="47" t="s">
        <v>2426</v>
      </c>
      <c r="L618" s="47" t="s">
        <v>36</v>
      </c>
      <c r="M618" s="47" t="s">
        <v>769</v>
      </c>
      <c r="N618" s="48">
        <v>1200</v>
      </c>
      <c r="O618" s="48">
        <v>1200</v>
      </c>
      <c r="P618" s="48">
        <v>1200</v>
      </c>
      <c r="Q618" s="48">
        <v>1200</v>
      </c>
      <c r="R618" s="48">
        <v>478</v>
      </c>
      <c r="S618" s="48">
        <v>478</v>
      </c>
      <c r="T618" s="48">
        <v>478</v>
      </c>
      <c r="U618" s="48">
        <v>478</v>
      </c>
      <c r="V618" s="48"/>
    </row>
    <row r="619" spans="2:22" ht="30" x14ac:dyDescent="0.25">
      <c r="B619" s="47" t="s">
        <v>765</v>
      </c>
      <c r="C619" s="47" t="s">
        <v>766</v>
      </c>
      <c r="D619" s="47" t="s">
        <v>767</v>
      </c>
      <c r="E619" s="47" t="s">
        <v>27</v>
      </c>
      <c r="F619" s="47" t="s">
        <v>768</v>
      </c>
      <c r="G619" s="47" t="s">
        <v>27</v>
      </c>
      <c r="H619" s="47">
        <v>70192</v>
      </c>
      <c r="I619" s="47">
        <v>70410</v>
      </c>
      <c r="J619" s="47" t="s">
        <v>28</v>
      </c>
      <c r="K619" s="47" t="s">
        <v>2427</v>
      </c>
      <c r="L619" s="47" t="s">
        <v>36</v>
      </c>
      <c r="M619" s="47" t="s">
        <v>769</v>
      </c>
      <c r="N619" s="48">
        <v>1200</v>
      </c>
      <c r="O619" s="48">
        <v>1200</v>
      </c>
      <c r="P619" s="48">
        <v>1200</v>
      </c>
      <c r="Q619" s="48">
        <v>1200</v>
      </c>
      <c r="R619" s="48">
        <v>478</v>
      </c>
      <c r="S619" s="48">
        <v>478</v>
      </c>
      <c r="T619" s="48">
        <v>478</v>
      </c>
      <c r="U619" s="48">
        <v>478</v>
      </c>
      <c r="V619" s="48"/>
    </row>
    <row r="620" spans="2:22" ht="30" x14ac:dyDescent="0.25">
      <c r="B620" s="47" t="s">
        <v>765</v>
      </c>
      <c r="C620" s="47" t="s">
        <v>766</v>
      </c>
      <c r="D620" s="47" t="s">
        <v>767</v>
      </c>
      <c r="E620" s="47" t="s">
        <v>27</v>
      </c>
      <c r="F620" s="47" t="s">
        <v>768</v>
      </c>
      <c r="G620" s="47" t="s">
        <v>27</v>
      </c>
      <c r="H620" s="47">
        <v>70192</v>
      </c>
      <c r="I620" s="47">
        <v>70410</v>
      </c>
      <c r="J620" s="47" t="s">
        <v>28</v>
      </c>
      <c r="K620" s="47" t="s">
        <v>2429</v>
      </c>
      <c r="L620" s="47" t="s">
        <v>36</v>
      </c>
      <c r="M620" s="47" t="s">
        <v>769</v>
      </c>
      <c r="N620" s="48">
        <v>1200</v>
      </c>
      <c r="O620" s="48">
        <v>1200</v>
      </c>
      <c r="P620" s="48">
        <v>1200</v>
      </c>
      <c r="Q620" s="48">
        <v>1200</v>
      </c>
      <c r="R620" s="48">
        <v>478</v>
      </c>
      <c r="S620" s="48">
        <v>478</v>
      </c>
      <c r="T620" s="48">
        <v>478</v>
      </c>
      <c r="U620" s="48">
        <v>478</v>
      </c>
      <c r="V620" s="48"/>
    </row>
    <row r="621" spans="2:22" ht="34.5" x14ac:dyDescent="0.25">
      <c r="B621" s="44" t="s">
        <v>772</v>
      </c>
      <c r="C621" s="44" t="s">
        <v>773</v>
      </c>
      <c r="D621" s="44" t="s">
        <v>767</v>
      </c>
      <c r="E621" s="44" t="s">
        <v>27</v>
      </c>
      <c r="F621" s="44" t="s">
        <v>768</v>
      </c>
      <c r="G621" s="44" t="s">
        <v>27</v>
      </c>
      <c r="H621" s="44">
        <v>70192</v>
      </c>
      <c r="I621" s="44">
        <v>70410</v>
      </c>
      <c r="J621" s="44" t="s">
        <v>28</v>
      </c>
      <c r="K621" s="44" t="s">
        <v>772</v>
      </c>
      <c r="L621" s="44" t="s">
        <v>29</v>
      </c>
      <c r="M621" s="44"/>
      <c r="N621" s="45">
        <v>1376</v>
      </c>
      <c r="O621" s="45">
        <v>1514</v>
      </c>
      <c r="P621" s="45">
        <v>1537</v>
      </c>
      <c r="Q621" s="45">
        <v>1690</v>
      </c>
      <c r="R621" s="45">
        <v>548</v>
      </c>
      <c r="S621" s="45">
        <v>603</v>
      </c>
      <c r="T621" s="45">
        <v>612</v>
      </c>
      <c r="U621" s="45">
        <v>673</v>
      </c>
      <c r="V621" s="46"/>
    </row>
    <row r="622" spans="2:22" ht="20" x14ac:dyDescent="0.25">
      <c r="B622" s="47" t="s">
        <v>772</v>
      </c>
      <c r="C622" s="47" t="s">
        <v>773</v>
      </c>
      <c r="D622" s="47" t="s">
        <v>767</v>
      </c>
      <c r="E622" s="47" t="s">
        <v>27</v>
      </c>
      <c r="F622" s="47" t="s">
        <v>768</v>
      </c>
      <c r="G622" s="47" t="s">
        <v>27</v>
      </c>
      <c r="H622" s="47">
        <v>70192</v>
      </c>
      <c r="I622" s="47">
        <v>70410</v>
      </c>
      <c r="J622" s="47" t="s">
        <v>28</v>
      </c>
      <c r="K622" s="47" t="s">
        <v>772</v>
      </c>
      <c r="L622" s="47" t="s">
        <v>30</v>
      </c>
      <c r="M622" s="47" t="s">
        <v>773</v>
      </c>
      <c r="N622" s="48">
        <v>1376</v>
      </c>
      <c r="O622" s="48">
        <v>1514</v>
      </c>
      <c r="P622" s="48">
        <v>1537</v>
      </c>
      <c r="Q622" s="48">
        <v>1690</v>
      </c>
      <c r="R622" s="48">
        <v>548</v>
      </c>
      <c r="S622" s="48">
        <v>603</v>
      </c>
      <c r="T622" s="48">
        <v>612</v>
      </c>
      <c r="U622" s="48">
        <v>673</v>
      </c>
      <c r="V622" s="48"/>
    </row>
    <row r="623" spans="2:22" ht="20" x14ac:dyDescent="0.25">
      <c r="B623" s="47" t="s">
        <v>772</v>
      </c>
      <c r="C623" s="47" t="s">
        <v>773</v>
      </c>
      <c r="D623" s="47" t="s">
        <v>767</v>
      </c>
      <c r="E623" s="47" t="s">
        <v>27</v>
      </c>
      <c r="F623" s="47" t="s">
        <v>768</v>
      </c>
      <c r="G623" s="47" t="s">
        <v>27</v>
      </c>
      <c r="H623" s="47">
        <v>70192</v>
      </c>
      <c r="I623" s="47">
        <v>70410</v>
      </c>
      <c r="J623" s="47" t="s">
        <v>28</v>
      </c>
      <c r="K623" s="47" t="s">
        <v>388</v>
      </c>
      <c r="L623" s="47" t="s">
        <v>31</v>
      </c>
      <c r="M623" s="47" t="s">
        <v>769</v>
      </c>
      <c r="N623" s="48">
        <v>1376</v>
      </c>
      <c r="O623" s="48">
        <v>1514</v>
      </c>
      <c r="P623" s="48">
        <v>1537</v>
      </c>
      <c r="Q623" s="48">
        <v>1690</v>
      </c>
      <c r="R623" s="48">
        <v>548</v>
      </c>
      <c r="S623" s="48">
        <v>603</v>
      </c>
      <c r="T623" s="48">
        <v>612</v>
      </c>
      <c r="U623" s="48">
        <v>673</v>
      </c>
      <c r="V623" s="48"/>
    </row>
    <row r="624" spans="2:22" ht="23" x14ac:dyDescent="0.25">
      <c r="B624" s="44" t="s">
        <v>2431</v>
      </c>
      <c r="C624" s="44" t="s">
        <v>886</v>
      </c>
      <c r="D624" s="44" t="s">
        <v>767</v>
      </c>
      <c r="E624" s="44" t="s">
        <v>27</v>
      </c>
      <c r="F624" s="44" t="s">
        <v>312</v>
      </c>
      <c r="G624" s="44" t="s">
        <v>27</v>
      </c>
      <c r="H624" s="44">
        <v>70192</v>
      </c>
      <c r="I624" s="44">
        <v>70048</v>
      </c>
      <c r="J624" s="44" t="s">
        <v>28</v>
      </c>
      <c r="K624" s="44" t="s">
        <v>2431</v>
      </c>
      <c r="L624" s="44" t="s">
        <v>29</v>
      </c>
      <c r="M624" s="44"/>
      <c r="N624" s="45">
        <v>1430</v>
      </c>
      <c r="O624" s="45">
        <v>1573</v>
      </c>
      <c r="P624" s="45">
        <v>1629</v>
      </c>
      <c r="Q624" s="45">
        <v>1792</v>
      </c>
      <c r="R624" s="45">
        <v>570</v>
      </c>
      <c r="S624" s="45">
        <v>627</v>
      </c>
      <c r="T624" s="45">
        <v>649</v>
      </c>
      <c r="U624" s="45">
        <v>714</v>
      </c>
      <c r="V624" s="46"/>
    </row>
    <row r="625" spans="2:22" ht="20" x14ac:dyDescent="0.25">
      <c r="B625" s="47" t="s">
        <v>2431</v>
      </c>
      <c r="C625" s="47" t="s">
        <v>886</v>
      </c>
      <c r="D625" s="47" t="s">
        <v>767</v>
      </c>
      <c r="E625" s="47" t="s">
        <v>27</v>
      </c>
      <c r="F625" s="47" t="s">
        <v>312</v>
      </c>
      <c r="G625" s="47" t="s">
        <v>27</v>
      </c>
      <c r="H625" s="47">
        <v>70192</v>
      </c>
      <c r="I625" s="47">
        <v>70048</v>
      </c>
      <c r="J625" s="47" t="s">
        <v>28</v>
      </c>
      <c r="K625" s="47" t="s">
        <v>388</v>
      </c>
      <c r="L625" s="47" t="s">
        <v>31</v>
      </c>
      <c r="M625" s="47" t="s">
        <v>771</v>
      </c>
      <c r="N625" s="48">
        <v>1430</v>
      </c>
      <c r="O625" s="48">
        <v>1573</v>
      </c>
      <c r="P625" s="48">
        <v>1629</v>
      </c>
      <c r="Q625" s="48">
        <v>1792</v>
      </c>
      <c r="R625" s="48">
        <v>570</v>
      </c>
      <c r="S625" s="48">
        <v>627</v>
      </c>
      <c r="T625" s="48">
        <v>649</v>
      </c>
      <c r="U625" s="48">
        <v>714</v>
      </c>
      <c r="V625" s="48"/>
    </row>
    <row r="626" spans="2:22" ht="23" x14ac:dyDescent="0.25">
      <c r="B626" s="44" t="s">
        <v>774</v>
      </c>
      <c r="C626" s="44" t="s">
        <v>775</v>
      </c>
      <c r="D626" s="44" t="s">
        <v>767</v>
      </c>
      <c r="E626" s="44" t="s">
        <v>27</v>
      </c>
      <c r="F626" s="44" t="s">
        <v>776</v>
      </c>
      <c r="G626" s="44" t="s">
        <v>40</v>
      </c>
      <c r="H626" s="44">
        <v>70192</v>
      </c>
      <c r="I626" s="44">
        <v>70605</v>
      </c>
      <c r="J626" s="44" t="s">
        <v>28</v>
      </c>
      <c r="K626" s="44" t="s">
        <v>774</v>
      </c>
      <c r="L626" s="44" t="s">
        <v>29</v>
      </c>
      <c r="M626" s="44"/>
      <c r="N626" s="45">
        <v>1270</v>
      </c>
      <c r="O626" s="45">
        <v>1397</v>
      </c>
      <c r="P626" s="45">
        <v>1447</v>
      </c>
      <c r="Q626" s="45">
        <v>1592</v>
      </c>
      <c r="R626" s="45">
        <v>506</v>
      </c>
      <c r="S626" s="45">
        <v>557</v>
      </c>
      <c r="T626" s="45">
        <v>576</v>
      </c>
      <c r="U626" s="45">
        <v>634</v>
      </c>
      <c r="V626" s="46"/>
    </row>
    <row r="627" spans="2:22" ht="20" x14ac:dyDescent="0.25">
      <c r="B627" s="47" t="s">
        <v>774</v>
      </c>
      <c r="C627" s="47" t="s">
        <v>775</v>
      </c>
      <c r="D627" s="47" t="s">
        <v>767</v>
      </c>
      <c r="E627" s="47" t="s">
        <v>27</v>
      </c>
      <c r="F627" s="47" t="s">
        <v>776</v>
      </c>
      <c r="G627" s="47" t="s">
        <v>40</v>
      </c>
      <c r="H627" s="47">
        <v>70192</v>
      </c>
      <c r="I627" s="47">
        <v>70605</v>
      </c>
      <c r="J627" s="47" t="s">
        <v>28</v>
      </c>
      <c r="K627" s="47" t="s">
        <v>774</v>
      </c>
      <c r="L627" s="47" t="s">
        <v>30</v>
      </c>
      <c r="M627" s="47" t="s">
        <v>775</v>
      </c>
      <c r="N627" s="48">
        <v>1270</v>
      </c>
      <c r="O627" s="48">
        <v>1397</v>
      </c>
      <c r="P627" s="48">
        <v>1447</v>
      </c>
      <c r="Q627" s="48">
        <v>1592</v>
      </c>
      <c r="R627" s="48">
        <v>506</v>
      </c>
      <c r="S627" s="48">
        <v>557</v>
      </c>
      <c r="T627" s="48">
        <v>576</v>
      </c>
      <c r="U627" s="48">
        <v>634</v>
      </c>
      <c r="V627" s="48"/>
    </row>
    <row r="628" spans="2:22" ht="23" x14ac:dyDescent="0.25">
      <c r="B628" s="44" t="s">
        <v>777</v>
      </c>
      <c r="C628" s="44" t="s">
        <v>778</v>
      </c>
      <c r="D628" s="44" t="s">
        <v>767</v>
      </c>
      <c r="E628" s="44" t="s">
        <v>27</v>
      </c>
      <c r="F628" s="44" t="s">
        <v>779</v>
      </c>
      <c r="G628" s="44" t="s">
        <v>40</v>
      </c>
      <c r="H628" s="44">
        <v>70192</v>
      </c>
      <c r="I628" s="44">
        <v>70529</v>
      </c>
      <c r="J628" s="44" t="s">
        <v>42</v>
      </c>
      <c r="K628" s="44" t="s">
        <v>777</v>
      </c>
      <c r="L628" s="44" t="s">
        <v>29</v>
      </c>
      <c r="M628" s="44"/>
      <c r="N628" s="45">
        <v>1223</v>
      </c>
      <c r="O628" s="45">
        <v>1430</v>
      </c>
      <c r="P628" s="45">
        <v>1461</v>
      </c>
      <c r="Q628" s="45">
        <v>1627</v>
      </c>
      <c r="R628" s="45">
        <v>487</v>
      </c>
      <c r="S628" s="45">
        <v>570</v>
      </c>
      <c r="T628" s="45">
        <v>582</v>
      </c>
      <c r="U628" s="45">
        <v>648</v>
      </c>
      <c r="V628" s="46"/>
    </row>
    <row r="629" spans="2:22" ht="20" x14ac:dyDescent="0.25">
      <c r="B629" s="47" t="s">
        <v>777</v>
      </c>
      <c r="C629" s="47" t="s">
        <v>778</v>
      </c>
      <c r="D629" s="47" t="s">
        <v>767</v>
      </c>
      <c r="E629" s="47" t="s">
        <v>27</v>
      </c>
      <c r="F629" s="47" t="s">
        <v>779</v>
      </c>
      <c r="G629" s="47" t="s">
        <v>40</v>
      </c>
      <c r="H629" s="47">
        <v>70192</v>
      </c>
      <c r="I629" s="47">
        <v>70529</v>
      </c>
      <c r="J629" s="47" t="s">
        <v>42</v>
      </c>
      <c r="K629" s="47" t="s">
        <v>388</v>
      </c>
      <c r="L629" s="47" t="s">
        <v>31</v>
      </c>
      <c r="M629" s="47" t="s">
        <v>771</v>
      </c>
      <c r="N629" s="48">
        <v>1223</v>
      </c>
      <c r="O629" s="48">
        <v>1430</v>
      </c>
      <c r="P629" s="48">
        <v>1461</v>
      </c>
      <c r="Q629" s="47">
        <v>1629</v>
      </c>
      <c r="R629" s="48">
        <v>487</v>
      </c>
      <c r="S629" s="48">
        <v>570</v>
      </c>
      <c r="T629" s="48">
        <v>582</v>
      </c>
      <c r="U629" s="47">
        <v>649</v>
      </c>
      <c r="V629" s="47"/>
    </row>
    <row r="630" spans="2:22" ht="20" x14ac:dyDescent="0.25">
      <c r="B630" s="47" t="s">
        <v>777</v>
      </c>
      <c r="C630" s="47" t="s">
        <v>778</v>
      </c>
      <c r="D630" s="47" t="s">
        <v>767</v>
      </c>
      <c r="E630" s="47" t="s">
        <v>27</v>
      </c>
      <c r="F630" s="47" t="s">
        <v>779</v>
      </c>
      <c r="G630" s="47" t="s">
        <v>40</v>
      </c>
      <c r="H630" s="47">
        <v>70192</v>
      </c>
      <c r="I630" s="47">
        <v>70529</v>
      </c>
      <c r="J630" s="47" t="s">
        <v>42</v>
      </c>
      <c r="K630" s="47" t="s">
        <v>213</v>
      </c>
      <c r="L630" s="47" t="s">
        <v>213</v>
      </c>
      <c r="M630" s="47" t="s">
        <v>780</v>
      </c>
      <c r="N630" s="47">
        <v>1599</v>
      </c>
      <c r="O630" s="47">
        <v>1627</v>
      </c>
      <c r="P630" s="47">
        <v>1599</v>
      </c>
      <c r="Q630" s="48">
        <v>1627</v>
      </c>
      <c r="R630" s="47">
        <v>637</v>
      </c>
      <c r="S630" s="47">
        <v>648</v>
      </c>
      <c r="T630" s="47">
        <v>637</v>
      </c>
      <c r="U630" s="48">
        <v>648</v>
      </c>
      <c r="V630" s="48"/>
    </row>
    <row r="631" spans="2:22" ht="23" x14ac:dyDescent="0.25">
      <c r="B631" s="44" t="s">
        <v>781</v>
      </c>
      <c r="C631" s="44" t="s">
        <v>782</v>
      </c>
      <c r="D631" s="44" t="s">
        <v>767</v>
      </c>
      <c r="E631" s="44" t="s">
        <v>27</v>
      </c>
      <c r="F631" s="44" t="s">
        <v>783</v>
      </c>
      <c r="G631" s="44" t="s">
        <v>27</v>
      </c>
      <c r="H631" s="44">
        <v>70192</v>
      </c>
      <c r="I631" s="44">
        <v>70311</v>
      </c>
      <c r="J631" s="44" t="s">
        <v>28</v>
      </c>
      <c r="K631" s="44" t="s">
        <v>781</v>
      </c>
      <c r="L631" s="44" t="s">
        <v>29</v>
      </c>
      <c r="M631" s="44"/>
      <c r="N631" s="45">
        <v>1200</v>
      </c>
      <c r="O631" s="45">
        <v>1200</v>
      </c>
      <c r="P631" s="45">
        <v>1200</v>
      </c>
      <c r="Q631" s="45">
        <v>1200</v>
      </c>
      <c r="R631" s="45">
        <v>478</v>
      </c>
      <c r="S631" s="45">
        <v>478</v>
      </c>
      <c r="T631" s="45">
        <v>478</v>
      </c>
      <c r="U631" s="45">
        <v>478</v>
      </c>
      <c r="V631" s="46"/>
    </row>
    <row r="632" spans="2:22" ht="30" x14ac:dyDescent="0.25">
      <c r="B632" s="47" t="s">
        <v>781</v>
      </c>
      <c r="C632" s="47" t="s">
        <v>782</v>
      </c>
      <c r="D632" s="47" t="s">
        <v>767</v>
      </c>
      <c r="E632" s="47" t="s">
        <v>27</v>
      </c>
      <c r="F632" s="47" t="s">
        <v>783</v>
      </c>
      <c r="G632" s="47" t="s">
        <v>27</v>
      </c>
      <c r="H632" s="47">
        <v>70192</v>
      </c>
      <c r="I632" s="47">
        <v>70311</v>
      </c>
      <c r="J632" s="47" t="s">
        <v>28</v>
      </c>
      <c r="K632" s="47" t="s">
        <v>787</v>
      </c>
      <c r="L632" s="47" t="s">
        <v>36</v>
      </c>
      <c r="M632" s="47" t="s">
        <v>771</v>
      </c>
      <c r="N632" s="48">
        <v>1200</v>
      </c>
      <c r="O632" s="48">
        <v>1200</v>
      </c>
      <c r="P632" s="48">
        <v>1200</v>
      </c>
      <c r="Q632" s="48">
        <v>1200</v>
      </c>
      <c r="R632" s="48">
        <v>478</v>
      </c>
      <c r="S632" s="48">
        <v>478</v>
      </c>
      <c r="T632" s="48">
        <v>478</v>
      </c>
      <c r="U632" s="48">
        <v>478</v>
      </c>
      <c r="V632" s="48"/>
    </row>
    <row r="633" spans="2:22" ht="30" x14ac:dyDescent="0.25">
      <c r="B633" s="47" t="s">
        <v>781</v>
      </c>
      <c r="C633" s="47" t="s">
        <v>782</v>
      </c>
      <c r="D633" s="47" t="s">
        <v>767</v>
      </c>
      <c r="E633" s="47" t="s">
        <v>27</v>
      </c>
      <c r="F633" s="47" t="s">
        <v>783</v>
      </c>
      <c r="G633" s="47" t="s">
        <v>27</v>
      </c>
      <c r="H633" s="47">
        <v>70192</v>
      </c>
      <c r="I633" s="47">
        <v>70311</v>
      </c>
      <c r="J633" s="47" t="s">
        <v>28</v>
      </c>
      <c r="K633" s="47" t="s">
        <v>2433</v>
      </c>
      <c r="L633" s="47" t="s">
        <v>36</v>
      </c>
      <c r="M633" s="47" t="s">
        <v>785</v>
      </c>
      <c r="N633" s="48">
        <v>1200</v>
      </c>
      <c r="O633" s="48">
        <v>1200</v>
      </c>
      <c r="P633" s="48">
        <v>1200</v>
      </c>
      <c r="Q633" s="48">
        <v>1200</v>
      </c>
      <c r="R633" s="48">
        <v>478</v>
      </c>
      <c r="S633" s="48">
        <v>478</v>
      </c>
      <c r="T633" s="48">
        <v>478</v>
      </c>
      <c r="U633" s="48">
        <v>478</v>
      </c>
      <c r="V633" s="48"/>
    </row>
    <row r="634" spans="2:22" ht="30" x14ac:dyDescent="0.25">
      <c r="B634" s="47" t="s">
        <v>781</v>
      </c>
      <c r="C634" s="47" t="s">
        <v>782</v>
      </c>
      <c r="D634" s="47" t="s">
        <v>767</v>
      </c>
      <c r="E634" s="47" t="s">
        <v>27</v>
      </c>
      <c r="F634" s="47" t="s">
        <v>783</v>
      </c>
      <c r="G634" s="47" t="s">
        <v>27</v>
      </c>
      <c r="H634" s="47">
        <v>70192</v>
      </c>
      <c r="I634" s="47">
        <v>70311</v>
      </c>
      <c r="J634" s="47" t="s">
        <v>28</v>
      </c>
      <c r="K634" s="47" t="s">
        <v>786</v>
      </c>
      <c r="L634" s="47" t="s">
        <v>36</v>
      </c>
      <c r="M634" s="47" t="s">
        <v>785</v>
      </c>
      <c r="N634" s="48">
        <v>1200</v>
      </c>
      <c r="O634" s="48">
        <v>1200</v>
      </c>
      <c r="P634" s="48">
        <v>1200</v>
      </c>
      <c r="Q634" s="48">
        <v>1200</v>
      </c>
      <c r="R634" s="48">
        <v>478</v>
      </c>
      <c r="S634" s="48">
        <v>478</v>
      </c>
      <c r="T634" s="48">
        <v>478</v>
      </c>
      <c r="U634" s="48">
        <v>478</v>
      </c>
      <c r="V634" s="48"/>
    </row>
    <row r="635" spans="2:22" ht="30" x14ac:dyDescent="0.25">
      <c r="B635" s="47" t="s">
        <v>781</v>
      </c>
      <c r="C635" s="47" t="s">
        <v>782</v>
      </c>
      <c r="D635" s="47" t="s">
        <v>767</v>
      </c>
      <c r="E635" s="47" t="s">
        <v>27</v>
      </c>
      <c r="F635" s="47" t="s">
        <v>783</v>
      </c>
      <c r="G635" s="47" t="s">
        <v>27</v>
      </c>
      <c r="H635" s="47">
        <v>70192</v>
      </c>
      <c r="I635" s="47">
        <v>70311</v>
      </c>
      <c r="J635" s="47" t="s">
        <v>28</v>
      </c>
      <c r="K635" s="47" t="s">
        <v>2435</v>
      </c>
      <c r="L635" s="47" t="s">
        <v>36</v>
      </c>
      <c r="M635" s="47" t="s">
        <v>771</v>
      </c>
      <c r="N635" s="48">
        <v>1200</v>
      </c>
      <c r="O635" s="48">
        <v>1200</v>
      </c>
      <c r="P635" s="48">
        <v>1200</v>
      </c>
      <c r="Q635" s="48">
        <v>1200</v>
      </c>
      <c r="R635" s="48">
        <v>478</v>
      </c>
      <c r="S635" s="48">
        <v>478</v>
      </c>
      <c r="T635" s="48">
        <v>478</v>
      </c>
      <c r="U635" s="48">
        <v>478</v>
      </c>
      <c r="V635" s="48"/>
    </row>
    <row r="636" spans="2:22" ht="30" x14ac:dyDescent="0.25">
      <c r="B636" s="47" t="s">
        <v>781</v>
      </c>
      <c r="C636" s="47" t="s">
        <v>782</v>
      </c>
      <c r="D636" s="47" t="s">
        <v>767</v>
      </c>
      <c r="E636" s="47" t="s">
        <v>27</v>
      </c>
      <c r="F636" s="47" t="s">
        <v>783</v>
      </c>
      <c r="G636" s="47" t="s">
        <v>27</v>
      </c>
      <c r="H636" s="47">
        <v>70192</v>
      </c>
      <c r="I636" s="47">
        <v>70311</v>
      </c>
      <c r="J636" s="47" t="s">
        <v>28</v>
      </c>
      <c r="K636" s="47" t="s">
        <v>784</v>
      </c>
      <c r="L636" s="47" t="s">
        <v>36</v>
      </c>
      <c r="M636" s="47" t="s">
        <v>785</v>
      </c>
      <c r="N636" s="48">
        <v>1200</v>
      </c>
      <c r="O636" s="48">
        <v>1200</v>
      </c>
      <c r="P636" s="48">
        <v>1200</v>
      </c>
      <c r="Q636" s="48">
        <v>1200</v>
      </c>
      <c r="R636" s="48">
        <v>478</v>
      </c>
      <c r="S636" s="48">
        <v>478</v>
      </c>
      <c r="T636" s="48">
        <v>478</v>
      </c>
      <c r="U636" s="48">
        <v>478</v>
      </c>
      <c r="V636" s="48"/>
    </row>
    <row r="637" spans="2:22" ht="30" x14ac:dyDescent="0.25">
      <c r="B637" s="47" t="s">
        <v>781</v>
      </c>
      <c r="C637" s="47" t="s">
        <v>782</v>
      </c>
      <c r="D637" s="47" t="s">
        <v>767</v>
      </c>
      <c r="E637" s="47" t="s">
        <v>27</v>
      </c>
      <c r="F637" s="47" t="s">
        <v>783</v>
      </c>
      <c r="G637" s="47" t="s">
        <v>27</v>
      </c>
      <c r="H637" s="47">
        <v>70192</v>
      </c>
      <c r="I637" s="47">
        <v>70311</v>
      </c>
      <c r="J637" s="47" t="s">
        <v>28</v>
      </c>
      <c r="K637" s="47" t="s">
        <v>2432</v>
      </c>
      <c r="L637" s="47" t="s">
        <v>36</v>
      </c>
      <c r="M637" s="47" t="s">
        <v>785</v>
      </c>
      <c r="N637" s="48">
        <v>1200</v>
      </c>
      <c r="O637" s="48">
        <v>1200</v>
      </c>
      <c r="P637" s="48">
        <v>1200</v>
      </c>
      <c r="Q637" s="48">
        <v>1200</v>
      </c>
      <c r="R637" s="48">
        <v>478</v>
      </c>
      <c r="S637" s="48">
        <v>478</v>
      </c>
      <c r="T637" s="48">
        <v>478</v>
      </c>
      <c r="U637" s="48">
        <v>478</v>
      </c>
      <c r="V637" s="48"/>
    </row>
    <row r="638" spans="2:22" ht="30" x14ac:dyDescent="0.25">
      <c r="B638" s="47" t="s">
        <v>781</v>
      </c>
      <c r="C638" s="47" t="s">
        <v>782</v>
      </c>
      <c r="D638" s="47" t="s">
        <v>767</v>
      </c>
      <c r="E638" s="47" t="s">
        <v>27</v>
      </c>
      <c r="F638" s="47" t="s">
        <v>783</v>
      </c>
      <c r="G638" s="47" t="s">
        <v>27</v>
      </c>
      <c r="H638" s="47">
        <v>70192</v>
      </c>
      <c r="I638" s="47">
        <v>70311</v>
      </c>
      <c r="J638" s="47" t="s">
        <v>28</v>
      </c>
      <c r="K638" s="47" t="s">
        <v>2434</v>
      </c>
      <c r="L638" s="47" t="s">
        <v>36</v>
      </c>
      <c r="M638" s="47" t="s">
        <v>785</v>
      </c>
      <c r="N638" s="48">
        <v>1200</v>
      </c>
      <c r="O638" s="48">
        <v>1200</v>
      </c>
      <c r="P638" s="48">
        <v>1200</v>
      </c>
      <c r="Q638" s="48">
        <v>1200</v>
      </c>
      <c r="R638" s="48">
        <v>478</v>
      </c>
      <c r="S638" s="48">
        <v>478</v>
      </c>
      <c r="T638" s="48">
        <v>478</v>
      </c>
      <c r="U638" s="48">
        <v>478</v>
      </c>
      <c r="V638" s="48"/>
    </row>
    <row r="639" spans="2:22" ht="23" x14ac:dyDescent="0.25">
      <c r="B639" s="94" t="s">
        <v>145</v>
      </c>
      <c r="C639" s="44" t="s">
        <v>146</v>
      </c>
      <c r="D639" s="44" t="s">
        <v>767</v>
      </c>
      <c r="E639" s="44" t="s">
        <v>27</v>
      </c>
      <c r="F639" s="44" t="s">
        <v>788</v>
      </c>
      <c r="G639" s="44" t="s">
        <v>27</v>
      </c>
      <c r="H639" s="44">
        <v>70090</v>
      </c>
      <c r="I639" s="44">
        <v>70307</v>
      </c>
      <c r="J639" s="44" t="s">
        <v>28</v>
      </c>
      <c r="K639" s="44" t="s">
        <v>145</v>
      </c>
      <c r="L639" s="44" t="s">
        <v>29</v>
      </c>
      <c r="M639" s="44"/>
      <c r="N639" s="45">
        <v>1200</v>
      </c>
      <c r="O639" s="97">
        <v>1330</v>
      </c>
      <c r="P639" s="97">
        <v>1377</v>
      </c>
      <c r="Q639" s="97">
        <v>1515</v>
      </c>
      <c r="R639" s="45">
        <v>239</v>
      </c>
      <c r="S639" s="97">
        <v>265</v>
      </c>
      <c r="T639" s="97">
        <v>274</v>
      </c>
      <c r="U639" s="97">
        <v>302</v>
      </c>
      <c r="V639" s="46"/>
    </row>
    <row r="640" spans="2:22" ht="20" x14ac:dyDescent="0.25">
      <c r="B640" s="47" t="s">
        <v>145</v>
      </c>
      <c r="C640" s="47" t="s">
        <v>146</v>
      </c>
      <c r="D640" s="47" t="s">
        <v>767</v>
      </c>
      <c r="E640" s="47" t="s">
        <v>27</v>
      </c>
      <c r="F640" s="47" t="s">
        <v>788</v>
      </c>
      <c r="G640" s="47" t="s">
        <v>27</v>
      </c>
      <c r="H640" s="47">
        <v>70090</v>
      </c>
      <c r="I640" s="47">
        <v>70307</v>
      </c>
      <c r="J640" s="47" t="s">
        <v>28</v>
      </c>
      <c r="K640" s="47" t="s">
        <v>2437</v>
      </c>
      <c r="L640" s="47" t="s">
        <v>34</v>
      </c>
      <c r="M640" s="47" t="s">
        <v>790</v>
      </c>
      <c r="N640" s="48">
        <v>1200</v>
      </c>
      <c r="O640" s="47">
        <v>1549</v>
      </c>
      <c r="P640" s="47">
        <v>1486</v>
      </c>
      <c r="Q640" s="47">
        <v>1780</v>
      </c>
      <c r="R640" s="48">
        <v>239</v>
      </c>
      <c r="S640" s="47">
        <v>309</v>
      </c>
      <c r="T640" s="47">
        <v>296</v>
      </c>
      <c r="U640" s="47">
        <v>355</v>
      </c>
      <c r="V640" s="47"/>
    </row>
    <row r="641" spans="2:22" ht="20" x14ac:dyDescent="0.25">
      <c r="B641" s="47" t="s">
        <v>145</v>
      </c>
      <c r="C641" s="47" t="s">
        <v>146</v>
      </c>
      <c r="D641" s="47" t="s">
        <v>767</v>
      </c>
      <c r="E641" s="47" t="s">
        <v>27</v>
      </c>
      <c r="F641" s="47" t="s">
        <v>788</v>
      </c>
      <c r="G641" s="47" t="s">
        <v>27</v>
      </c>
      <c r="H641" s="47">
        <v>70090</v>
      </c>
      <c r="I641" s="47">
        <v>70307</v>
      </c>
      <c r="J641" s="47" t="s">
        <v>28</v>
      </c>
      <c r="K641" s="47" t="s">
        <v>2436</v>
      </c>
      <c r="L641" s="47" t="s">
        <v>34</v>
      </c>
      <c r="M641" s="47" t="s">
        <v>790</v>
      </c>
      <c r="N641" s="48">
        <v>1200</v>
      </c>
      <c r="O641" s="47">
        <v>1549</v>
      </c>
      <c r="P641" s="47">
        <v>1486</v>
      </c>
      <c r="Q641" s="47">
        <v>1780</v>
      </c>
      <c r="R641" s="48">
        <v>239</v>
      </c>
      <c r="S641" s="47">
        <v>309</v>
      </c>
      <c r="T641" s="47">
        <v>296</v>
      </c>
      <c r="U641" s="47">
        <v>355</v>
      </c>
      <c r="V641" s="47"/>
    </row>
    <row r="642" spans="2:22" ht="20" x14ac:dyDescent="0.25">
      <c r="B642" s="96" t="s">
        <v>145</v>
      </c>
      <c r="C642" s="96" t="s">
        <v>146</v>
      </c>
      <c r="D642" s="96" t="s">
        <v>767</v>
      </c>
      <c r="E642" s="96" t="s">
        <v>27</v>
      </c>
      <c r="F642" s="96" t="s">
        <v>788</v>
      </c>
      <c r="G642" s="96" t="s">
        <v>27</v>
      </c>
      <c r="H642" s="96">
        <v>70090</v>
      </c>
      <c r="I642" s="96">
        <v>70307</v>
      </c>
      <c r="J642" s="96" t="s">
        <v>28</v>
      </c>
      <c r="K642" s="96" t="s">
        <v>2525</v>
      </c>
      <c r="L642" s="96" t="s">
        <v>31</v>
      </c>
      <c r="M642" s="96" t="s">
        <v>790</v>
      </c>
      <c r="N642" s="96">
        <v>1209</v>
      </c>
      <c r="O642" s="95">
        <v>1330</v>
      </c>
      <c r="P642" s="95">
        <v>1377</v>
      </c>
      <c r="Q642" s="95">
        <v>1515</v>
      </c>
      <c r="R642" s="96">
        <v>241</v>
      </c>
      <c r="S642" s="95">
        <v>265</v>
      </c>
      <c r="T642" s="95">
        <v>274</v>
      </c>
      <c r="U642" s="95">
        <v>302</v>
      </c>
      <c r="V642" s="95"/>
    </row>
    <row r="643" spans="2:22" ht="20" x14ac:dyDescent="0.25">
      <c r="B643" s="96" t="s">
        <v>145</v>
      </c>
      <c r="C643" s="96" t="s">
        <v>146</v>
      </c>
      <c r="D643" s="96" t="s">
        <v>767</v>
      </c>
      <c r="E643" s="96" t="s">
        <v>27</v>
      </c>
      <c r="F643" s="96" t="s">
        <v>788</v>
      </c>
      <c r="G643" s="96" t="s">
        <v>27</v>
      </c>
      <c r="H643" s="96">
        <v>70090</v>
      </c>
      <c r="I643" s="96">
        <v>70307</v>
      </c>
      <c r="J643" s="96" t="s">
        <v>28</v>
      </c>
      <c r="K643" s="96" t="s">
        <v>2525</v>
      </c>
      <c r="L643" s="96" t="s">
        <v>31</v>
      </c>
      <c r="M643" s="96" t="s">
        <v>771</v>
      </c>
      <c r="N643" s="96">
        <v>1209</v>
      </c>
      <c r="O643" s="95">
        <v>1330</v>
      </c>
      <c r="P643" s="95">
        <v>1377</v>
      </c>
      <c r="Q643" s="95">
        <v>1515</v>
      </c>
      <c r="R643" s="96">
        <v>241</v>
      </c>
      <c r="S643" s="95">
        <v>265</v>
      </c>
      <c r="T643" s="95">
        <v>274</v>
      </c>
      <c r="U643" s="95">
        <v>302</v>
      </c>
      <c r="V643" s="95"/>
    </row>
    <row r="644" spans="2:22" ht="20" x14ac:dyDescent="0.25">
      <c r="B644" s="96" t="s">
        <v>145</v>
      </c>
      <c r="C644" s="96" t="s">
        <v>146</v>
      </c>
      <c r="D644" s="96" t="s">
        <v>767</v>
      </c>
      <c r="E644" s="96" t="s">
        <v>27</v>
      </c>
      <c r="F644" s="96" t="s">
        <v>788</v>
      </c>
      <c r="G644" s="96" t="s">
        <v>27</v>
      </c>
      <c r="H644" s="96">
        <v>70090</v>
      </c>
      <c r="I644" s="96">
        <v>70307</v>
      </c>
      <c r="J644" s="96" t="s">
        <v>28</v>
      </c>
      <c r="K644" s="96" t="s">
        <v>145</v>
      </c>
      <c r="L644" s="96" t="s">
        <v>30</v>
      </c>
      <c r="M644" s="96" t="s">
        <v>146</v>
      </c>
      <c r="N644" s="96">
        <v>1210</v>
      </c>
      <c r="O644" s="96">
        <v>1331</v>
      </c>
      <c r="P644" s="96">
        <v>1378</v>
      </c>
      <c r="Q644" s="95">
        <v>1515</v>
      </c>
      <c r="R644" s="96">
        <v>241</v>
      </c>
      <c r="S644" s="95">
        <v>265</v>
      </c>
      <c r="T644" s="95">
        <v>274</v>
      </c>
      <c r="U644" s="95">
        <v>302</v>
      </c>
      <c r="V644" s="95"/>
    </row>
    <row r="645" spans="2:22" ht="23" x14ac:dyDescent="0.25">
      <c r="B645" s="44" t="s">
        <v>125</v>
      </c>
      <c r="C645" s="44" t="s">
        <v>126</v>
      </c>
      <c r="D645" s="44" t="s">
        <v>767</v>
      </c>
      <c r="E645" s="44" t="s">
        <v>27</v>
      </c>
      <c r="F645" s="44" t="s">
        <v>2438</v>
      </c>
      <c r="G645" s="44" t="s">
        <v>40</v>
      </c>
      <c r="H645" s="44">
        <v>70192</v>
      </c>
      <c r="I645" s="44">
        <v>70488</v>
      </c>
      <c r="J645" s="44" t="s">
        <v>42</v>
      </c>
      <c r="K645" s="44" t="s">
        <v>125</v>
      </c>
      <c r="L645" s="44" t="s">
        <v>29</v>
      </c>
      <c r="M645" s="44"/>
      <c r="N645" s="45">
        <v>1274</v>
      </c>
      <c r="O645" s="45">
        <v>1401</v>
      </c>
      <c r="P645" s="45">
        <v>1450</v>
      </c>
      <c r="Q645" s="45">
        <v>1595</v>
      </c>
      <c r="R645" s="45">
        <v>508</v>
      </c>
      <c r="S645" s="45">
        <v>558</v>
      </c>
      <c r="T645" s="45">
        <v>578</v>
      </c>
      <c r="U645" s="45">
        <v>635</v>
      </c>
      <c r="V645" s="46"/>
    </row>
    <row r="646" spans="2:22" ht="20" x14ac:dyDescent="0.25">
      <c r="B646" s="47" t="s">
        <v>125</v>
      </c>
      <c r="C646" s="47" t="s">
        <v>126</v>
      </c>
      <c r="D646" s="47" t="s">
        <v>767</v>
      </c>
      <c r="E646" s="47" t="s">
        <v>27</v>
      </c>
      <c r="F646" s="47" t="s">
        <v>2438</v>
      </c>
      <c r="G646" s="47" t="s">
        <v>40</v>
      </c>
      <c r="H646" s="47">
        <v>70192</v>
      </c>
      <c r="I646" s="47">
        <v>70488</v>
      </c>
      <c r="J646" s="47" t="s">
        <v>42</v>
      </c>
      <c r="K646" s="47" t="s">
        <v>125</v>
      </c>
      <c r="L646" s="47" t="s">
        <v>30</v>
      </c>
      <c r="M646" s="47" t="s">
        <v>126</v>
      </c>
      <c r="N646" s="48">
        <v>1274</v>
      </c>
      <c r="O646" s="48">
        <v>1401</v>
      </c>
      <c r="P646" s="48">
        <v>1450</v>
      </c>
      <c r="Q646" s="48">
        <v>1595</v>
      </c>
      <c r="R646" s="48">
        <v>508</v>
      </c>
      <c r="S646" s="48">
        <v>558</v>
      </c>
      <c r="T646" s="48">
        <v>578</v>
      </c>
      <c r="U646" s="48">
        <v>635</v>
      </c>
      <c r="V646" s="48"/>
    </row>
    <row r="647" spans="2:22" ht="23" x14ac:dyDescent="0.25">
      <c r="B647" s="94" t="s">
        <v>797</v>
      </c>
      <c r="C647" s="44" t="s">
        <v>228</v>
      </c>
      <c r="D647" s="44" t="s">
        <v>767</v>
      </c>
      <c r="E647" s="44" t="s">
        <v>27</v>
      </c>
      <c r="F647" s="44" t="s">
        <v>232</v>
      </c>
      <c r="G647" s="44" t="s">
        <v>27</v>
      </c>
      <c r="H647" s="44">
        <v>70191</v>
      </c>
      <c r="I647" s="44">
        <v>70450</v>
      </c>
      <c r="J647" s="44" t="s">
        <v>28</v>
      </c>
      <c r="K647" s="44" t="s">
        <v>797</v>
      </c>
      <c r="L647" s="44" t="s">
        <v>29</v>
      </c>
      <c r="M647" s="44"/>
      <c r="N647" s="97">
        <v>801</v>
      </c>
      <c r="O647" s="97">
        <v>881</v>
      </c>
      <c r="P647" s="97">
        <v>911</v>
      </c>
      <c r="Q647" s="97">
        <v>1002</v>
      </c>
      <c r="R647" s="97">
        <v>160</v>
      </c>
      <c r="S647" s="97">
        <v>175</v>
      </c>
      <c r="T647" s="97">
        <v>181</v>
      </c>
      <c r="U647" s="97">
        <v>200</v>
      </c>
      <c r="V647" s="46"/>
    </row>
    <row r="648" spans="2:22" ht="20" x14ac:dyDescent="0.25">
      <c r="B648" s="96" t="s">
        <v>797</v>
      </c>
      <c r="C648" s="96" t="s">
        <v>228</v>
      </c>
      <c r="D648" s="96" t="s">
        <v>767</v>
      </c>
      <c r="E648" s="96" t="s">
        <v>27</v>
      </c>
      <c r="F648" s="96" t="s">
        <v>232</v>
      </c>
      <c r="G648" s="96" t="s">
        <v>27</v>
      </c>
      <c r="H648" s="96">
        <v>70191</v>
      </c>
      <c r="I648" s="96">
        <v>70450</v>
      </c>
      <c r="J648" s="96" t="s">
        <v>28</v>
      </c>
      <c r="K648" s="96" t="s">
        <v>797</v>
      </c>
      <c r="L648" s="96" t="s">
        <v>30</v>
      </c>
      <c r="M648" s="96" t="s">
        <v>228</v>
      </c>
      <c r="N648" s="95">
        <v>801</v>
      </c>
      <c r="O648" s="95">
        <v>881</v>
      </c>
      <c r="P648" s="95">
        <v>911</v>
      </c>
      <c r="Q648" s="95">
        <v>1002</v>
      </c>
      <c r="R648" s="95">
        <v>160</v>
      </c>
      <c r="S648" s="95">
        <v>175</v>
      </c>
      <c r="T648" s="95">
        <v>181</v>
      </c>
      <c r="U648" s="95">
        <v>200</v>
      </c>
      <c r="V648" s="95"/>
    </row>
    <row r="649" spans="2:22" ht="34.5" x14ac:dyDescent="0.25">
      <c r="B649" s="44" t="s">
        <v>87</v>
      </c>
      <c r="C649" s="44" t="s">
        <v>88</v>
      </c>
      <c r="D649" s="44" t="s">
        <v>89</v>
      </c>
      <c r="E649" s="44" t="s">
        <v>27</v>
      </c>
      <c r="F649" s="44" t="s">
        <v>44</v>
      </c>
      <c r="G649" s="44" t="s">
        <v>27</v>
      </c>
      <c r="H649" s="44">
        <v>523853</v>
      </c>
      <c r="I649" s="44">
        <v>599950</v>
      </c>
      <c r="J649" s="44" t="s">
        <v>28</v>
      </c>
      <c r="K649" s="44" t="s">
        <v>87</v>
      </c>
      <c r="L649" s="44" t="s">
        <v>29</v>
      </c>
      <c r="M649" s="44"/>
      <c r="N649" s="45">
        <v>636</v>
      </c>
      <c r="O649" s="45">
        <v>636</v>
      </c>
      <c r="P649" s="45">
        <v>1000</v>
      </c>
      <c r="Q649" s="45">
        <v>1000</v>
      </c>
      <c r="R649" s="45">
        <v>380</v>
      </c>
      <c r="S649" s="45">
        <v>380</v>
      </c>
      <c r="T649" s="45">
        <v>598</v>
      </c>
      <c r="U649" s="45">
        <v>598</v>
      </c>
      <c r="V649" s="46"/>
    </row>
    <row r="650" spans="2:22" ht="20" x14ac:dyDescent="0.25">
      <c r="B650" s="47" t="s">
        <v>87</v>
      </c>
      <c r="C650" s="47" t="s">
        <v>88</v>
      </c>
      <c r="D650" s="47" t="s">
        <v>89</v>
      </c>
      <c r="E650" s="47" t="s">
        <v>27</v>
      </c>
      <c r="F650" s="47" t="s">
        <v>44</v>
      </c>
      <c r="G650" s="47" t="s">
        <v>27</v>
      </c>
      <c r="H650" s="47">
        <v>523853</v>
      </c>
      <c r="I650" s="47">
        <v>599950</v>
      </c>
      <c r="J650" s="47" t="s">
        <v>28</v>
      </c>
      <c r="K650" s="47" t="s">
        <v>87</v>
      </c>
      <c r="L650" s="47" t="s">
        <v>30</v>
      </c>
      <c r="M650" s="47" t="s">
        <v>88</v>
      </c>
      <c r="N650" s="48">
        <v>636</v>
      </c>
      <c r="O650" s="48">
        <v>636</v>
      </c>
      <c r="P650" s="47">
        <v>1471</v>
      </c>
      <c r="Q650" s="47">
        <v>1471</v>
      </c>
      <c r="R650" s="48">
        <v>380</v>
      </c>
      <c r="S650" s="48">
        <v>380</v>
      </c>
      <c r="T650" s="47">
        <v>879</v>
      </c>
      <c r="U650" s="47">
        <v>879</v>
      </c>
      <c r="V650" s="47"/>
    </row>
    <row r="651" spans="2:22" ht="20" x14ac:dyDescent="0.25">
      <c r="B651" s="47" t="s">
        <v>87</v>
      </c>
      <c r="C651" s="47" t="s">
        <v>88</v>
      </c>
      <c r="D651" s="47" t="s">
        <v>89</v>
      </c>
      <c r="E651" s="47" t="s">
        <v>27</v>
      </c>
      <c r="F651" s="47" t="s">
        <v>44</v>
      </c>
      <c r="G651" s="47" t="s">
        <v>27</v>
      </c>
      <c r="H651" s="47">
        <v>523853</v>
      </c>
      <c r="I651" s="47">
        <v>599950</v>
      </c>
      <c r="J651" s="47" t="s">
        <v>28</v>
      </c>
      <c r="K651" s="47" t="s">
        <v>90</v>
      </c>
      <c r="L651" s="47" t="s">
        <v>39</v>
      </c>
      <c r="M651" s="47" t="s">
        <v>59</v>
      </c>
      <c r="N651" s="47">
        <v>1000</v>
      </c>
      <c r="O651" s="47">
        <v>1000</v>
      </c>
      <c r="P651" s="48">
        <v>1000</v>
      </c>
      <c r="Q651" s="48">
        <v>1000</v>
      </c>
      <c r="R651" s="47">
        <v>598</v>
      </c>
      <c r="S651" s="47">
        <v>598</v>
      </c>
      <c r="T651" s="48">
        <v>598</v>
      </c>
      <c r="U651" s="48">
        <v>598</v>
      </c>
      <c r="V651" s="48"/>
    </row>
    <row r="652" spans="2:22" ht="23" x14ac:dyDescent="0.25">
      <c r="B652" s="44" t="s">
        <v>2606</v>
      </c>
      <c r="C652" s="44" t="s">
        <v>1105</v>
      </c>
      <c r="D652" s="44" t="s">
        <v>2607</v>
      </c>
      <c r="E652" s="44" t="s">
        <v>40</v>
      </c>
      <c r="F652" s="44" t="s">
        <v>475</v>
      </c>
      <c r="G652" s="44" t="s">
        <v>27</v>
      </c>
      <c r="H652" s="44">
        <v>73414</v>
      </c>
      <c r="I652" s="44">
        <v>70308</v>
      </c>
      <c r="J652" s="44" t="s">
        <v>42</v>
      </c>
      <c r="K652" s="44" t="s">
        <v>2606</v>
      </c>
      <c r="L652" s="44" t="s">
        <v>29</v>
      </c>
      <c r="M652" s="44"/>
      <c r="N652" s="45">
        <v>783</v>
      </c>
      <c r="O652" s="45">
        <v>813</v>
      </c>
      <c r="P652" s="45">
        <v>813</v>
      </c>
      <c r="Q652" s="45">
        <v>813</v>
      </c>
      <c r="R652" s="45">
        <v>156</v>
      </c>
      <c r="S652" s="45">
        <v>162</v>
      </c>
      <c r="T652" s="45">
        <v>162</v>
      </c>
      <c r="U652" s="45">
        <v>162</v>
      </c>
      <c r="V652" s="46"/>
    </row>
    <row r="653" spans="2:22" ht="20" x14ac:dyDescent="0.25">
      <c r="B653" s="47" t="s">
        <v>2606</v>
      </c>
      <c r="C653" s="47" t="s">
        <v>1105</v>
      </c>
      <c r="D653" s="47" t="s">
        <v>2607</v>
      </c>
      <c r="E653" s="47" t="s">
        <v>40</v>
      </c>
      <c r="F653" s="47" t="s">
        <v>475</v>
      </c>
      <c r="G653" s="47" t="s">
        <v>27</v>
      </c>
      <c r="H653" s="47">
        <v>73414</v>
      </c>
      <c r="I653" s="47">
        <v>70308</v>
      </c>
      <c r="J653" s="47" t="s">
        <v>42</v>
      </c>
      <c r="K653" s="47" t="s">
        <v>32</v>
      </c>
      <c r="L653" s="47" t="s">
        <v>31</v>
      </c>
      <c r="M653" s="47" t="s">
        <v>2001</v>
      </c>
      <c r="N653" s="48">
        <v>783</v>
      </c>
      <c r="O653" s="47">
        <v>861</v>
      </c>
      <c r="P653" s="47">
        <v>891</v>
      </c>
      <c r="Q653" s="47">
        <v>980</v>
      </c>
      <c r="R653" s="48">
        <v>156</v>
      </c>
      <c r="S653" s="47">
        <v>172</v>
      </c>
      <c r="T653" s="47">
        <v>178</v>
      </c>
      <c r="U653" s="47">
        <v>195</v>
      </c>
      <c r="V653" s="47"/>
    </row>
    <row r="654" spans="2:22" ht="20" x14ac:dyDescent="0.25">
      <c r="B654" s="47" t="s">
        <v>2606</v>
      </c>
      <c r="C654" s="47" t="s">
        <v>1105</v>
      </c>
      <c r="D654" s="47" t="s">
        <v>2607</v>
      </c>
      <c r="E654" s="47" t="s">
        <v>40</v>
      </c>
      <c r="F654" s="47" t="s">
        <v>475</v>
      </c>
      <c r="G654" s="47" t="s">
        <v>27</v>
      </c>
      <c r="H654" s="47">
        <v>73414</v>
      </c>
      <c r="I654" s="47">
        <v>70308</v>
      </c>
      <c r="J654" s="47" t="s">
        <v>42</v>
      </c>
      <c r="K654" s="47" t="s">
        <v>213</v>
      </c>
      <c r="L654" s="47" t="s">
        <v>213</v>
      </c>
      <c r="M654" s="47" t="s">
        <v>1105</v>
      </c>
      <c r="N654" s="47">
        <v>813</v>
      </c>
      <c r="O654" s="48">
        <v>813</v>
      </c>
      <c r="P654" s="48">
        <v>813</v>
      </c>
      <c r="Q654" s="48">
        <v>813</v>
      </c>
      <c r="R654" s="47">
        <v>162</v>
      </c>
      <c r="S654" s="48">
        <v>162</v>
      </c>
      <c r="T654" s="48">
        <v>162</v>
      </c>
      <c r="U654" s="48">
        <v>162</v>
      </c>
      <c r="V654" s="48"/>
    </row>
    <row r="655" spans="2:22" ht="23" x14ac:dyDescent="0.25">
      <c r="B655" s="44" t="s">
        <v>801</v>
      </c>
      <c r="C655" s="44" t="s">
        <v>146</v>
      </c>
      <c r="D655" s="44" t="s">
        <v>802</v>
      </c>
      <c r="E655" s="44" t="s">
        <v>27</v>
      </c>
      <c r="F655" s="44" t="s">
        <v>788</v>
      </c>
      <c r="G655" s="44" t="s">
        <v>27</v>
      </c>
      <c r="H655" s="44">
        <v>70081</v>
      </c>
      <c r="I655" s="44">
        <v>70307</v>
      </c>
      <c r="J655" s="44" t="s">
        <v>28</v>
      </c>
      <c r="K655" s="44" t="s">
        <v>801</v>
      </c>
      <c r="L655" s="44" t="s">
        <v>29</v>
      </c>
      <c r="M655" s="44"/>
      <c r="N655" s="45">
        <v>800</v>
      </c>
      <c r="O655" s="45">
        <v>880</v>
      </c>
      <c r="P655" s="45">
        <v>910</v>
      </c>
      <c r="Q655" s="45">
        <v>1001</v>
      </c>
      <c r="R655" s="45">
        <v>159</v>
      </c>
      <c r="S655" s="45">
        <v>175</v>
      </c>
      <c r="T655" s="45">
        <v>181</v>
      </c>
      <c r="U655" s="45">
        <v>199</v>
      </c>
      <c r="V655" s="46"/>
    </row>
    <row r="656" spans="2:22" ht="20" x14ac:dyDescent="0.25">
      <c r="B656" s="47" t="s">
        <v>801</v>
      </c>
      <c r="C656" s="47" t="s">
        <v>146</v>
      </c>
      <c r="D656" s="47" t="s">
        <v>802</v>
      </c>
      <c r="E656" s="47" t="s">
        <v>27</v>
      </c>
      <c r="F656" s="47" t="s">
        <v>788</v>
      </c>
      <c r="G656" s="47" t="s">
        <v>27</v>
      </c>
      <c r="H656" s="47">
        <v>70081</v>
      </c>
      <c r="I656" s="47">
        <v>70307</v>
      </c>
      <c r="J656" s="47" t="s">
        <v>28</v>
      </c>
      <c r="K656" s="47" t="s">
        <v>801</v>
      </c>
      <c r="L656" s="47" t="s">
        <v>30</v>
      </c>
      <c r="M656" s="47" t="s">
        <v>146</v>
      </c>
      <c r="N656" s="48">
        <v>800</v>
      </c>
      <c r="O656" s="48">
        <v>880</v>
      </c>
      <c r="P656" s="48">
        <v>910</v>
      </c>
      <c r="Q656" s="48">
        <v>1001</v>
      </c>
      <c r="R656" s="48">
        <v>159</v>
      </c>
      <c r="S656" s="48">
        <v>175</v>
      </c>
      <c r="T656" s="48">
        <v>181</v>
      </c>
      <c r="U656" s="48">
        <v>199</v>
      </c>
      <c r="V656" s="48"/>
    </row>
    <row r="657" spans="2:22" ht="23" x14ac:dyDescent="0.25">
      <c r="B657" s="44" t="s">
        <v>803</v>
      </c>
      <c r="C657" s="44" t="s">
        <v>146</v>
      </c>
      <c r="D657" s="44" t="s">
        <v>802</v>
      </c>
      <c r="E657" s="44" t="s">
        <v>27</v>
      </c>
      <c r="F657" s="44" t="s">
        <v>537</v>
      </c>
      <c r="G657" s="44" t="s">
        <v>27</v>
      </c>
      <c r="H657" s="44">
        <v>70081</v>
      </c>
      <c r="I657" s="44">
        <v>70099</v>
      </c>
      <c r="J657" s="44" t="s">
        <v>28</v>
      </c>
      <c r="K657" s="44" t="s">
        <v>803</v>
      </c>
      <c r="L657" s="44" t="s">
        <v>29</v>
      </c>
      <c r="M657" s="44"/>
      <c r="N657" s="45">
        <v>800</v>
      </c>
      <c r="O657" s="45">
        <v>880</v>
      </c>
      <c r="P657" s="45">
        <v>909</v>
      </c>
      <c r="Q657" s="45">
        <v>1000</v>
      </c>
      <c r="R657" s="45">
        <v>159</v>
      </c>
      <c r="S657" s="45">
        <v>175</v>
      </c>
      <c r="T657" s="45">
        <v>181</v>
      </c>
      <c r="U657" s="45">
        <v>199</v>
      </c>
      <c r="V657" s="46"/>
    </row>
    <row r="658" spans="2:22" ht="20" x14ac:dyDescent="0.25">
      <c r="B658" s="47" t="s">
        <v>803</v>
      </c>
      <c r="C658" s="47" t="s">
        <v>146</v>
      </c>
      <c r="D658" s="47" t="s">
        <v>802</v>
      </c>
      <c r="E658" s="47" t="s">
        <v>27</v>
      </c>
      <c r="F658" s="47" t="s">
        <v>537</v>
      </c>
      <c r="G658" s="47" t="s">
        <v>27</v>
      </c>
      <c r="H658" s="47">
        <v>70081</v>
      </c>
      <c r="I658" s="47">
        <v>70099</v>
      </c>
      <c r="J658" s="47" t="s">
        <v>28</v>
      </c>
      <c r="K658" s="47" t="s">
        <v>803</v>
      </c>
      <c r="L658" s="47" t="s">
        <v>30</v>
      </c>
      <c r="M658" s="47" t="s">
        <v>146</v>
      </c>
      <c r="N658" s="48">
        <v>800</v>
      </c>
      <c r="O658" s="48">
        <v>880</v>
      </c>
      <c r="P658" s="48">
        <v>909</v>
      </c>
      <c r="Q658" s="48">
        <v>1000</v>
      </c>
      <c r="R658" s="48">
        <v>159</v>
      </c>
      <c r="S658" s="48">
        <v>175</v>
      </c>
      <c r="T658" s="48">
        <v>181</v>
      </c>
      <c r="U658" s="48">
        <v>199</v>
      </c>
      <c r="V658" s="48"/>
    </row>
    <row r="659" spans="2:22" ht="34.5" x14ac:dyDescent="0.25">
      <c r="B659" s="44" t="s">
        <v>804</v>
      </c>
      <c r="C659" s="44" t="s">
        <v>805</v>
      </c>
      <c r="D659" s="44" t="s">
        <v>768</v>
      </c>
      <c r="E659" s="44" t="s">
        <v>27</v>
      </c>
      <c r="F659" s="44" t="s">
        <v>806</v>
      </c>
      <c r="G659" s="44" t="s">
        <v>27</v>
      </c>
      <c r="H659" s="44">
        <v>70410</v>
      </c>
      <c r="I659" s="44">
        <v>70544</v>
      </c>
      <c r="J659" s="44" t="s">
        <v>28</v>
      </c>
      <c r="K659" s="44" t="s">
        <v>804</v>
      </c>
      <c r="L659" s="44" t="s">
        <v>29</v>
      </c>
      <c r="M659" s="44"/>
      <c r="N659" s="45">
        <v>1274</v>
      </c>
      <c r="O659" s="45">
        <v>1401</v>
      </c>
      <c r="P659" s="45">
        <v>1450</v>
      </c>
      <c r="Q659" s="45">
        <v>1595</v>
      </c>
      <c r="R659" s="45">
        <v>508</v>
      </c>
      <c r="S659" s="45">
        <v>558</v>
      </c>
      <c r="T659" s="45">
        <v>578</v>
      </c>
      <c r="U659" s="45">
        <v>635</v>
      </c>
      <c r="V659" s="46"/>
    </row>
    <row r="660" spans="2:22" ht="20" x14ac:dyDescent="0.25">
      <c r="B660" s="47" t="s">
        <v>804</v>
      </c>
      <c r="C660" s="47" t="s">
        <v>805</v>
      </c>
      <c r="D660" s="47" t="s">
        <v>768</v>
      </c>
      <c r="E660" s="47" t="s">
        <v>27</v>
      </c>
      <c r="F660" s="47" t="s">
        <v>806</v>
      </c>
      <c r="G660" s="47" t="s">
        <v>27</v>
      </c>
      <c r="H660" s="47">
        <v>70410</v>
      </c>
      <c r="I660" s="47">
        <v>70544</v>
      </c>
      <c r="J660" s="47" t="s">
        <v>28</v>
      </c>
      <c r="K660" s="47" t="s">
        <v>804</v>
      </c>
      <c r="L660" s="47" t="s">
        <v>30</v>
      </c>
      <c r="M660" s="47" t="s">
        <v>805</v>
      </c>
      <c r="N660" s="48">
        <v>1274</v>
      </c>
      <c r="O660" s="48">
        <v>1401</v>
      </c>
      <c r="P660" s="48">
        <v>1450</v>
      </c>
      <c r="Q660" s="48">
        <v>1595</v>
      </c>
      <c r="R660" s="48">
        <v>508</v>
      </c>
      <c r="S660" s="48">
        <v>558</v>
      </c>
      <c r="T660" s="48">
        <v>578</v>
      </c>
      <c r="U660" s="48">
        <v>635</v>
      </c>
      <c r="V660" s="48"/>
    </row>
    <row r="661" spans="2:22" ht="34.5" x14ac:dyDescent="0.25">
      <c r="B661" s="44" t="s">
        <v>807</v>
      </c>
      <c r="C661" s="44" t="s">
        <v>808</v>
      </c>
      <c r="D661" s="44" t="s">
        <v>768</v>
      </c>
      <c r="E661" s="44" t="s">
        <v>27</v>
      </c>
      <c r="F661" s="44" t="s">
        <v>809</v>
      </c>
      <c r="G661" s="44" t="s">
        <v>27</v>
      </c>
      <c r="H661" s="44">
        <v>70410</v>
      </c>
      <c r="I661" s="44">
        <v>70820</v>
      </c>
      <c r="J661" s="44" t="s">
        <v>28</v>
      </c>
      <c r="K661" s="44" t="s">
        <v>807</v>
      </c>
      <c r="L661" s="44" t="s">
        <v>29</v>
      </c>
      <c r="M661" s="44"/>
      <c r="N661" s="45">
        <v>1694</v>
      </c>
      <c r="O661" s="45">
        <v>2074</v>
      </c>
      <c r="P661" s="45">
        <v>2152</v>
      </c>
      <c r="Q661" s="45">
        <v>2400</v>
      </c>
      <c r="R661" s="45">
        <v>675</v>
      </c>
      <c r="S661" s="45">
        <v>826</v>
      </c>
      <c r="T661" s="45">
        <v>857</v>
      </c>
      <c r="U661" s="45">
        <v>956</v>
      </c>
      <c r="V661" s="46"/>
    </row>
    <row r="662" spans="2:22" ht="20" x14ac:dyDescent="0.25">
      <c r="B662" s="47" t="s">
        <v>807</v>
      </c>
      <c r="C662" s="47" t="s">
        <v>808</v>
      </c>
      <c r="D662" s="47" t="s">
        <v>768</v>
      </c>
      <c r="E662" s="47" t="s">
        <v>27</v>
      </c>
      <c r="F662" s="47" t="s">
        <v>809</v>
      </c>
      <c r="G662" s="47" t="s">
        <v>27</v>
      </c>
      <c r="H662" s="47">
        <v>70410</v>
      </c>
      <c r="I662" s="47">
        <v>70820</v>
      </c>
      <c r="J662" s="47" t="s">
        <v>28</v>
      </c>
      <c r="K662" s="47" t="s">
        <v>2298</v>
      </c>
      <c r="L662" s="47" t="s">
        <v>31</v>
      </c>
      <c r="M662" s="47" t="s">
        <v>769</v>
      </c>
      <c r="N662" s="48">
        <v>1694</v>
      </c>
      <c r="O662" s="48">
        <v>2074</v>
      </c>
      <c r="P662" s="48">
        <v>2152</v>
      </c>
      <c r="Q662" s="47">
        <v>2451</v>
      </c>
      <c r="R662" s="48">
        <v>675</v>
      </c>
      <c r="S662" s="48">
        <v>826</v>
      </c>
      <c r="T662" s="48">
        <v>857</v>
      </c>
      <c r="U662" s="47">
        <v>977</v>
      </c>
      <c r="V662" s="47"/>
    </row>
    <row r="663" spans="2:22" ht="30" x14ac:dyDescent="0.25">
      <c r="B663" s="47" t="s">
        <v>807</v>
      </c>
      <c r="C663" s="47" t="s">
        <v>808</v>
      </c>
      <c r="D663" s="47" t="s">
        <v>768</v>
      </c>
      <c r="E663" s="47" t="s">
        <v>27</v>
      </c>
      <c r="F663" s="47" t="s">
        <v>809</v>
      </c>
      <c r="G663" s="47" t="s">
        <v>27</v>
      </c>
      <c r="H663" s="47">
        <v>70410</v>
      </c>
      <c r="I663" s="47">
        <v>70820</v>
      </c>
      <c r="J663" s="47" t="s">
        <v>28</v>
      </c>
      <c r="K663" s="47" t="s">
        <v>2182</v>
      </c>
      <c r="L663" s="47" t="s">
        <v>36</v>
      </c>
      <c r="M663" s="47" t="s">
        <v>1857</v>
      </c>
      <c r="N663" s="47">
        <v>2400</v>
      </c>
      <c r="O663" s="47">
        <v>2400</v>
      </c>
      <c r="P663" s="47">
        <v>2400</v>
      </c>
      <c r="Q663" s="48">
        <v>2400</v>
      </c>
      <c r="R663" s="47">
        <v>956</v>
      </c>
      <c r="S663" s="47">
        <v>956</v>
      </c>
      <c r="T663" s="47">
        <v>956</v>
      </c>
      <c r="U663" s="48">
        <v>956</v>
      </c>
      <c r="V663" s="48"/>
    </row>
    <row r="664" spans="2:22" ht="30" x14ac:dyDescent="0.25">
      <c r="B664" s="47" t="s">
        <v>807</v>
      </c>
      <c r="C664" s="47" t="s">
        <v>808</v>
      </c>
      <c r="D664" s="47" t="s">
        <v>768</v>
      </c>
      <c r="E664" s="47" t="s">
        <v>27</v>
      </c>
      <c r="F664" s="47" t="s">
        <v>809</v>
      </c>
      <c r="G664" s="47" t="s">
        <v>27</v>
      </c>
      <c r="H664" s="47">
        <v>70410</v>
      </c>
      <c r="I664" s="47">
        <v>70820</v>
      </c>
      <c r="J664" s="47" t="s">
        <v>28</v>
      </c>
      <c r="K664" s="47" t="s">
        <v>2184</v>
      </c>
      <c r="L664" s="47" t="s">
        <v>36</v>
      </c>
      <c r="M664" s="47" t="s">
        <v>1857</v>
      </c>
      <c r="N664" s="47">
        <v>2400</v>
      </c>
      <c r="O664" s="47">
        <v>2400</v>
      </c>
      <c r="P664" s="47">
        <v>2400</v>
      </c>
      <c r="Q664" s="48">
        <v>2400</v>
      </c>
      <c r="R664" s="47">
        <v>956</v>
      </c>
      <c r="S664" s="47">
        <v>956</v>
      </c>
      <c r="T664" s="47">
        <v>956</v>
      </c>
      <c r="U664" s="48">
        <v>956</v>
      </c>
      <c r="V664" s="48"/>
    </row>
    <row r="665" spans="2:22" ht="30" x14ac:dyDescent="0.25">
      <c r="B665" s="47" t="s">
        <v>807</v>
      </c>
      <c r="C665" s="47" t="s">
        <v>808</v>
      </c>
      <c r="D665" s="47" t="s">
        <v>768</v>
      </c>
      <c r="E665" s="47" t="s">
        <v>27</v>
      </c>
      <c r="F665" s="47" t="s">
        <v>809</v>
      </c>
      <c r="G665" s="47" t="s">
        <v>27</v>
      </c>
      <c r="H665" s="47">
        <v>70410</v>
      </c>
      <c r="I665" s="47">
        <v>70820</v>
      </c>
      <c r="J665" s="47" t="s">
        <v>28</v>
      </c>
      <c r="K665" s="47" t="s">
        <v>2186</v>
      </c>
      <c r="L665" s="47" t="s">
        <v>36</v>
      </c>
      <c r="M665" s="47" t="s">
        <v>1857</v>
      </c>
      <c r="N665" s="47">
        <v>2400</v>
      </c>
      <c r="O665" s="47">
        <v>2400</v>
      </c>
      <c r="P665" s="47">
        <v>2400</v>
      </c>
      <c r="Q665" s="48">
        <v>2400</v>
      </c>
      <c r="R665" s="47">
        <v>956</v>
      </c>
      <c r="S665" s="47">
        <v>956</v>
      </c>
      <c r="T665" s="47">
        <v>956</v>
      </c>
      <c r="U665" s="48">
        <v>956</v>
      </c>
      <c r="V665" s="48"/>
    </row>
    <row r="666" spans="2:22" ht="30" x14ac:dyDescent="0.25">
      <c r="B666" s="47" t="s">
        <v>807</v>
      </c>
      <c r="C666" s="47" t="s">
        <v>808</v>
      </c>
      <c r="D666" s="47" t="s">
        <v>768</v>
      </c>
      <c r="E666" s="47" t="s">
        <v>27</v>
      </c>
      <c r="F666" s="47" t="s">
        <v>809</v>
      </c>
      <c r="G666" s="47" t="s">
        <v>27</v>
      </c>
      <c r="H666" s="47">
        <v>70410</v>
      </c>
      <c r="I666" s="47">
        <v>70820</v>
      </c>
      <c r="J666" s="47" t="s">
        <v>28</v>
      </c>
      <c r="K666" s="47" t="s">
        <v>2187</v>
      </c>
      <c r="L666" s="47" t="s">
        <v>36</v>
      </c>
      <c r="M666" s="47" t="s">
        <v>769</v>
      </c>
      <c r="N666" s="47">
        <v>2400</v>
      </c>
      <c r="O666" s="47">
        <v>2400</v>
      </c>
      <c r="P666" s="47">
        <v>2400</v>
      </c>
      <c r="Q666" s="48">
        <v>2400</v>
      </c>
      <c r="R666" s="47">
        <v>956</v>
      </c>
      <c r="S666" s="47">
        <v>956</v>
      </c>
      <c r="T666" s="47">
        <v>956</v>
      </c>
      <c r="U666" s="48">
        <v>956</v>
      </c>
      <c r="V666" s="48"/>
    </row>
    <row r="667" spans="2:22" ht="20" x14ac:dyDescent="0.25">
      <c r="B667" s="47" t="s">
        <v>807</v>
      </c>
      <c r="C667" s="47" t="s">
        <v>808</v>
      </c>
      <c r="D667" s="47" t="s">
        <v>768</v>
      </c>
      <c r="E667" s="47" t="s">
        <v>27</v>
      </c>
      <c r="F667" s="47" t="s">
        <v>809</v>
      </c>
      <c r="G667" s="47" t="s">
        <v>27</v>
      </c>
      <c r="H667" s="47">
        <v>70410</v>
      </c>
      <c r="I667" s="47">
        <v>70820</v>
      </c>
      <c r="J667" s="47" t="s">
        <v>28</v>
      </c>
      <c r="K667" s="47" t="s">
        <v>2189</v>
      </c>
      <c r="L667" s="47" t="s">
        <v>39</v>
      </c>
      <c r="M667" s="47" t="s">
        <v>769</v>
      </c>
      <c r="N667" s="47">
        <v>2400</v>
      </c>
      <c r="O667" s="47">
        <v>2400</v>
      </c>
      <c r="P667" s="47">
        <v>2400</v>
      </c>
      <c r="Q667" s="48">
        <v>2400</v>
      </c>
      <c r="R667" s="47">
        <v>956</v>
      </c>
      <c r="S667" s="47">
        <v>956</v>
      </c>
      <c r="T667" s="47">
        <v>956</v>
      </c>
      <c r="U667" s="48">
        <v>956</v>
      </c>
      <c r="V667" s="48"/>
    </row>
    <row r="668" spans="2:22" ht="20" x14ac:dyDescent="0.25">
      <c r="B668" s="47" t="s">
        <v>807</v>
      </c>
      <c r="C668" s="47" t="s">
        <v>808</v>
      </c>
      <c r="D668" s="47" t="s">
        <v>768</v>
      </c>
      <c r="E668" s="47" t="s">
        <v>27</v>
      </c>
      <c r="F668" s="47" t="s">
        <v>809</v>
      </c>
      <c r="G668" s="47" t="s">
        <v>27</v>
      </c>
      <c r="H668" s="47">
        <v>70410</v>
      </c>
      <c r="I668" s="47">
        <v>70820</v>
      </c>
      <c r="J668" s="47" t="s">
        <v>28</v>
      </c>
      <c r="K668" s="47" t="s">
        <v>2178</v>
      </c>
      <c r="L668" s="47" t="s">
        <v>39</v>
      </c>
      <c r="M668" s="47" t="s">
        <v>769</v>
      </c>
      <c r="N668" s="47">
        <v>2400</v>
      </c>
      <c r="O668" s="47">
        <v>2400</v>
      </c>
      <c r="P668" s="47">
        <v>2400</v>
      </c>
      <c r="Q668" s="48">
        <v>2400</v>
      </c>
      <c r="R668" s="47">
        <v>956</v>
      </c>
      <c r="S668" s="47">
        <v>956</v>
      </c>
      <c r="T668" s="47">
        <v>956</v>
      </c>
      <c r="U668" s="48">
        <v>956</v>
      </c>
      <c r="V668" s="48"/>
    </row>
    <row r="669" spans="2:22" ht="20" x14ac:dyDescent="0.25">
      <c r="B669" s="47" t="s">
        <v>807</v>
      </c>
      <c r="C669" s="47" t="s">
        <v>808</v>
      </c>
      <c r="D669" s="47" t="s">
        <v>768</v>
      </c>
      <c r="E669" s="47" t="s">
        <v>27</v>
      </c>
      <c r="F669" s="47" t="s">
        <v>809</v>
      </c>
      <c r="G669" s="47" t="s">
        <v>27</v>
      </c>
      <c r="H669" s="47">
        <v>70410</v>
      </c>
      <c r="I669" s="47">
        <v>70820</v>
      </c>
      <c r="J669" s="47" t="s">
        <v>28</v>
      </c>
      <c r="K669" s="47" t="s">
        <v>2190</v>
      </c>
      <c r="L669" s="47" t="s">
        <v>39</v>
      </c>
      <c r="M669" s="47" t="s">
        <v>769</v>
      </c>
      <c r="N669" s="47">
        <v>2400</v>
      </c>
      <c r="O669" s="47">
        <v>2400</v>
      </c>
      <c r="P669" s="47">
        <v>2400</v>
      </c>
      <c r="Q669" s="48">
        <v>2400</v>
      </c>
      <c r="R669" s="47">
        <v>956</v>
      </c>
      <c r="S669" s="47">
        <v>956</v>
      </c>
      <c r="T669" s="47">
        <v>956</v>
      </c>
      <c r="U669" s="48">
        <v>956</v>
      </c>
      <c r="V669" s="48"/>
    </row>
    <row r="670" spans="2:22" ht="20" x14ac:dyDescent="0.25">
      <c r="B670" s="47" t="s">
        <v>807</v>
      </c>
      <c r="C670" s="47" t="s">
        <v>808</v>
      </c>
      <c r="D670" s="47" t="s">
        <v>768</v>
      </c>
      <c r="E670" s="47" t="s">
        <v>27</v>
      </c>
      <c r="F670" s="47" t="s">
        <v>809</v>
      </c>
      <c r="G670" s="47" t="s">
        <v>27</v>
      </c>
      <c r="H670" s="47">
        <v>70410</v>
      </c>
      <c r="I670" s="47">
        <v>70820</v>
      </c>
      <c r="J670" s="47" t="s">
        <v>28</v>
      </c>
      <c r="K670" s="47" t="s">
        <v>2085</v>
      </c>
      <c r="L670" s="47" t="s">
        <v>39</v>
      </c>
      <c r="M670" s="47" t="s">
        <v>1857</v>
      </c>
      <c r="N670" s="47">
        <v>2400</v>
      </c>
      <c r="O670" s="47">
        <v>2400</v>
      </c>
      <c r="P670" s="47">
        <v>2400</v>
      </c>
      <c r="Q670" s="48">
        <v>2400</v>
      </c>
      <c r="R670" s="47">
        <v>956</v>
      </c>
      <c r="S670" s="47">
        <v>956</v>
      </c>
      <c r="T670" s="47">
        <v>956</v>
      </c>
      <c r="U670" s="48">
        <v>956</v>
      </c>
      <c r="V670" s="48"/>
    </row>
    <row r="671" spans="2:22" ht="20" x14ac:dyDescent="0.25">
      <c r="B671" s="47" t="s">
        <v>807</v>
      </c>
      <c r="C671" s="47" t="s">
        <v>808</v>
      </c>
      <c r="D671" s="47" t="s">
        <v>768</v>
      </c>
      <c r="E671" s="47" t="s">
        <v>27</v>
      </c>
      <c r="F671" s="47" t="s">
        <v>809</v>
      </c>
      <c r="G671" s="47" t="s">
        <v>27</v>
      </c>
      <c r="H671" s="47">
        <v>70410</v>
      </c>
      <c r="I671" s="47">
        <v>70820</v>
      </c>
      <c r="J671" s="47" t="s">
        <v>28</v>
      </c>
      <c r="K671" s="47" t="s">
        <v>2181</v>
      </c>
      <c r="L671" s="47" t="s">
        <v>39</v>
      </c>
      <c r="M671" s="47" t="s">
        <v>769</v>
      </c>
      <c r="N671" s="47">
        <v>2400</v>
      </c>
      <c r="O671" s="47">
        <v>2400</v>
      </c>
      <c r="P671" s="47">
        <v>2400</v>
      </c>
      <c r="Q671" s="48">
        <v>2400</v>
      </c>
      <c r="R671" s="47">
        <v>956</v>
      </c>
      <c r="S671" s="47">
        <v>956</v>
      </c>
      <c r="T671" s="47">
        <v>956</v>
      </c>
      <c r="U671" s="48">
        <v>956</v>
      </c>
      <c r="V671" s="48"/>
    </row>
    <row r="672" spans="2:22" ht="30" x14ac:dyDescent="0.25">
      <c r="B672" s="47" t="s">
        <v>807</v>
      </c>
      <c r="C672" s="47" t="s">
        <v>808</v>
      </c>
      <c r="D672" s="47" t="s">
        <v>768</v>
      </c>
      <c r="E672" s="47" t="s">
        <v>27</v>
      </c>
      <c r="F672" s="47" t="s">
        <v>809</v>
      </c>
      <c r="G672" s="47" t="s">
        <v>27</v>
      </c>
      <c r="H672" s="47">
        <v>70410</v>
      </c>
      <c r="I672" s="47">
        <v>70820</v>
      </c>
      <c r="J672" s="47" t="s">
        <v>28</v>
      </c>
      <c r="K672" s="47" t="s">
        <v>2179</v>
      </c>
      <c r="L672" s="47" t="s">
        <v>36</v>
      </c>
      <c r="M672" s="47" t="s">
        <v>1857</v>
      </c>
      <c r="N672" s="47">
        <v>2400</v>
      </c>
      <c r="O672" s="47">
        <v>2400</v>
      </c>
      <c r="P672" s="47">
        <v>2400</v>
      </c>
      <c r="Q672" s="48">
        <v>2400</v>
      </c>
      <c r="R672" s="47">
        <v>956</v>
      </c>
      <c r="S672" s="47">
        <v>956</v>
      </c>
      <c r="T672" s="47">
        <v>956</v>
      </c>
      <c r="U672" s="48">
        <v>956</v>
      </c>
      <c r="V672" s="48"/>
    </row>
    <row r="673" spans="2:22" ht="30" x14ac:dyDescent="0.25">
      <c r="B673" s="47" t="s">
        <v>807</v>
      </c>
      <c r="C673" s="47" t="s">
        <v>808</v>
      </c>
      <c r="D673" s="47" t="s">
        <v>768</v>
      </c>
      <c r="E673" s="47" t="s">
        <v>27</v>
      </c>
      <c r="F673" s="47" t="s">
        <v>809</v>
      </c>
      <c r="G673" s="47" t="s">
        <v>27</v>
      </c>
      <c r="H673" s="47">
        <v>70410</v>
      </c>
      <c r="I673" s="47">
        <v>70820</v>
      </c>
      <c r="J673" s="47" t="s">
        <v>28</v>
      </c>
      <c r="K673" s="47" t="s">
        <v>810</v>
      </c>
      <c r="L673" s="47" t="s">
        <v>36</v>
      </c>
      <c r="M673" s="47" t="s">
        <v>769</v>
      </c>
      <c r="N673" s="47">
        <v>2400</v>
      </c>
      <c r="O673" s="47">
        <v>2400</v>
      </c>
      <c r="P673" s="47">
        <v>2400</v>
      </c>
      <c r="Q673" s="48">
        <v>2400</v>
      </c>
      <c r="R673" s="47">
        <v>956</v>
      </c>
      <c r="S673" s="47">
        <v>956</v>
      </c>
      <c r="T673" s="47">
        <v>956</v>
      </c>
      <c r="U673" s="48">
        <v>956</v>
      </c>
      <c r="V673" s="48"/>
    </row>
    <row r="674" spans="2:22" ht="20" x14ac:dyDescent="0.25">
      <c r="B674" s="47" t="s">
        <v>807</v>
      </c>
      <c r="C674" s="47" t="s">
        <v>808</v>
      </c>
      <c r="D674" s="47" t="s">
        <v>768</v>
      </c>
      <c r="E674" s="47" t="s">
        <v>27</v>
      </c>
      <c r="F674" s="47" t="s">
        <v>809</v>
      </c>
      <c r="G674" s="47" t="s">
        <v>27</v>
      </c>
      <c r="H674" s="47">
        <v>70410</v>
      </c>
      <c r="I674" s="47">
        <v>70820</v>
      </c>
      <c r="J674" s="47" t="s">
        <v>28</v>
      </c>
      <c r="K674" s="47" t="s">
        <v>2087</v>
      </c>
      <c r="L674" s="47" t="s">
        <v>39</v>
      </c>
      <c r="M674" s="47" t="s">
        <v>1857</v>
      </c>
      <c r="N674" s="47">
        <v>2400</v>
      </c>
      <c r="O674" s="47">
        <v>2400</v>
      </c>
      <c r="P674" s="47">
        <v>2400</v>
      </c>
      <c r="Q674" s="48">
        <v>2400</v>
      </c>
      <c r="R674" s="47">
        <v>956</v>
      </c>
      <c r="S674" s="47">
        <v>956</v>
      </c>
      <c r="T674" s="47">
        <v>956</v>
      </c>
      <c r="U674" s="48">
        <v>956</v>
      </c>
      <c r="V674" s="48"/>
    </row>
    <row r="675" spans="2:22" ht="20" x14ac:dyDescent="0.25">
      <c r="B675" s="47" t="s">
        <v>807</v>
      </c>
      <c r="C675" s="47" t="s">
        <v>808</v>
      </c>
      <c r="D675" s="47" t="s">
        <v>768</v>
      </c>
      <c r="E675" s="47" t="s">
        <v>27</v>
      </c>
      <c r="F675" s="47" t="s">
        <v>809</v>
      </c>
      <c r="G675" s="47" t="s">
        <v>27</v>
      </c>
      <c r="H675" s="47">
        <v>70410</v>
      </c>
      <c r="I675" s="47">
        <v>70820</v>
      </c>
      <c r="J675" s="47" t="s">
        <v>28</v>
      </c>
      <c r="K675" s="47" t="s">
        <v>2084</v>
      </c>
      <c r="L675" s="47" t="s">
        <v>39</v>
      </c>
      <c r="M675" s="47" t="s">
        <v>1857</v>
      </c>
      <c r="N675" s="47">
        <v>2400</v>
      </c>
      <c r="O675" s="47">
        <v>2400</v>
      </c>
      <c r="P675" s="47">
        <v>2400</v>
      </c>
      <c r="Q675" s="48">
        <v>2400</v>
      </c>
      <c r="R675" s="47">
        <v>956</v>
      </c>
      <c r="S675" s="47">
        <v>956</v>
      </c>
      <c r="T675" s="47">
        <v>956</v>
      </c>
      <c r="U675" s="48">
        <v>956</v>
      </c>
      <c r="V675" s="48"/>
    </row>
    <row r="676" spans="2:22" ht="30" x14ac:dyDescent="0.25">
      <c r="B676" s="47" t="s">
        <v>807</v>
      </c>
      <c r="C676" s="47" t="s">
        <v>808</v>
      </c>
      <c r="D676" s="47" t="s">
        <v>768</v>
      </c>
      <c r="E676" s="47" t="s">
        <v>27</v>
      </c>
      <c r="F676" s="47" t="s">
        <v>809</v>
      </c>
      <c r="G676" s="47" t="s">
        <v>27</v>
      </c>
      <c r="H676" s="47">
        <v>70410</v>
      </c>
      <c r="I676" s="47">
        <v>70820</v>
      </c>
      <c r="J676" s="47" t="s">
        <v>28</v>
      </c>
      <c r="K676" s="47" t="s">
        <v>2440</v>
      </c>
      <c r="L676" s="47" t="s">
        <v>36</v>
      </c>
      <c r="M676" s="47" t="s">
        <v>769</v>
      </c>
      <c r="N676" s="47">
        <v>2400</v>
      </c>
      <c r="O676" s="47">
        <v>2400</v>
      </c>
      <c r="P676" s="47">
        <v>2400</v>
      </c>
      <c r="Q676" s="48">
        <v>2400</v>
      </c>
      <c r="R676" s="47">
        <v>956</v>
      </c>
      <c r="S676" s="47">
        <v>956</v>
      </c>
      <c r="T676" s="47">
        <v>956</v>
      </c>
      <c r="U676" s="48">
        <v>956</v>
      </c>
      <c r="V676" s="48"/>
    </row>
    <row r="677" spans="2:22" ht="30" x14ac:dyDescent="0.25">
      <c r="B677" s="47" t="s">
        <v>807</v>
      </c>
      <c r="C677" s="47" t="s">
        <v>808</v>
      </c>
      <c r="D677" s="47" t="s">
        <v>768</v>
      </c>
      <c r="E677" s="47" t="s">
        <v>27</v>
      </c>
      <c r="F677" s="47" t="s">
        <v>809</v>
      </c>
      <c r="G677" s="47" t="s">
        <v>27</v>
      </c>
      <c r="H677" s="47">
        <v>70410</v>
      </c>
      <c r="I677" s="47">
        <v>70820</v>
      </c>
      <c r="J677" s="47" t="s">
        <v>28</v>
      </c>
      <c r="K677" s="47" t="s">
        <v>2192</v>
      </c>
      <c r="L677" s="47" t="s">
        <v>36</v>
      </c>
      <c r="M677" s="47" t="s">
        <v>769</v>
      </c>
      <c r="N677" s="47">
        <v>2400</v>
      </c>
      <c r="O677" s="47">
        <v>2400</v>
      </c>
      <c r="P677" s="47">
        <v>2400</v>
      </c>
      <c r="Q677" s="48">
        <v>2400</v>
      </c>
      <c r="R677" s="47">
        <v>956</v>
      </c>
      <c r="S677" s="47">
        <v>956</v>
      </c>
      <c r="T677" s="47">
        <v>956</v>
      </c>
      <c r="U677" s="48">
        <v>956</v>
      </c>
      <c r="V677" s="48"/>
    </row>
    <row r="678" spans="2:22" ht="30" x14ac:dyDescent="0.25">
      <c r="B678" s="47" t="s">
        <v>807</v>
      </c>
      <c r="C678" s="47" t="s">
        <v>808</v>
      </c>
      <c r="D678" s="47" t="s">
        <v>768</v>
      </c>
      <c r="E678" s="47" t="s">
        <v>27</v>
      </c>
      <c r="F678" s="47" t="s">
        <v>809</v>
      </c>
      <c r="G678" s="47" t="s">
        <v>27</v>
      </c>
      <c r="H678" s="47">
        <v>70410</v>
      </c>
      <c r="I678" s="47">
        <v>70820</v>
      </c>
      <c r="J678" s="47" t="s">
        <v>28</v>
      </c>
      <c r="K678" s="47" t="s">
        <v>2177</v>
      </c>
      <c r="L678" s="47" t="s">
        <v>36</v>
      </c>
      <c r="M678" s="47" t="s">
        <v>769</v>
      </c>
      <c r="N678" s="47">
        <v>2400</v>
      </c>
      <c r="O678" s="47">
        <v>2400</v>
      </c>
      <c r="P678" s="47">
        <v>2400</v>
      </c>
      <c r="Q678" s="48">
        <v>2400</v>
      </c>
      <c r="R678" s="47">
        <v>956</v>
      </c>
      <c r="S678" s="47">
        <v>956</v>
      </c>
      <c r="T678" s="47">
        <v>956</v>
      </c>
      <c r="U678" s="48">
        <v>956</v>
      </c>
      <c r="V678" s="48"/>
    </row>
    <row r="679" spans="2:22" ht="30" x14ac:dyDescent="0.25">
      <c r="B679" s="47" t="s">
        <v>807</v>
      </c>
      <c r="C679" s="47" t="s">
        <v>808</v>
      </c>
      <c r="D679" s="47" t="s">
        <v>768</v>
      </c>
      <c r="E679" s="47" t="s">
        <v>27</v>
      </c>
      <c r="F679" s="47" t="s">
        <v>809</v>
      </c>
      <c r="G679" s="47" t="s">
        <v>27</v>
      </c>
      <c r="H679" s="47">
        <v>70410</v>
      </c>
      <c r="I679" s="47">
        <v>70820</v>
      </c>
      <c r="J679" s="47" t="s">
        <v>28</v>
      </c>
      <c r="K679" s="47" t="s">
        <v>2185</v>
      </c>
      <c r="L679" s="47" t="s">
        <v>36</v>
      </c>
      <c r="M679" s="47" t="s">
        <v>769</v>
      </c>
      <c r="N679" s="47">
        <v>2400</v>
      </c>
      <c r="O679" s="47">
        <v>2400</v>
      </c>
      <c r="P679" s="47">
        <v>2400</v>
      </c>
      <c r="Q679" s="48">
        <v>2400</v>
      </c>
      <c r="R679" s="47">
        <v>956</v>
      </c>
      <c r="S679" s="47">
        <v>956</v>
      </c>
      <c r="T679" s="47">
        <v>956</v>
      </c>
      <c r="U679" s="48">
        <v>956</v>
      </c>
      <c r="V679" s="48"/>
    </row>
    <row r="680" spans="2:22" ht="30" x14ac:dyDescent="0.25">
      <c r="B680" s="47" t="s">
        <v>807</v>
      </c>
      <c r="C680" s="47" t="s">
        <v>808</v>
      </c>
      <c r="D680" s="47" t="s">
        <v>768</v>
      </c>
      <c r="E680" s="47" t="s">
        <v>27</v>
      </c>
      <c r="F680" s="47" t="s">
        <v>809</v>
      </c>
      <c r="G680" s="47" t="s">
        <v>27</v>
      </c>
      <c r="H680" s="47">
        <v>70410</v>
      </c>
      <c r="I680" s="47">
        <v>70820</v>
      </c>
      <c r="J680" s="47" t="s">
        <v>28</v>
      </c>
      <c r="K680" s="47" t="s">
        <v>2188</v>
      </c>
      <c r="L680" s="47" t="s">
        <v>36</v>
      </c>
      <c r="M680" s="47" t="s">
        <v>769</v>
      </c>
      <c r="N680" s="47">
        <v>2400</v>
      </c>
      <c r="O680" s="47">
        <v>2400</v>
      </c>
      <c r="P680" s="47">
        <v>2400</v>
      </c>
      <c r="Q680" s="48">
        <v>2400</v>
      </c>
      <c r="R680" s="47">
        <v>956</v>
      </c>
      <c r="S680" s="47">
        <v>956</v>
      </c>
      <c r="T680" s="47">
        <v>956</v>
      </c>
      <c r="U680" s="48">
        <v>956</v>
      </c>
      <c r="V680" s="48"/>
    </row>
    <row r="681" spans="2:22" ht="30" x14ac:dyDescent="0.25">
      <c r="B681" s="47" t="s">
        <v>807</v>
      </c>
      <c r="C681" s="47" t="s">
        <v>808</v>
      </c>
      <c r="D681" s="47" t="s">
        <v>768</v>
      </c>
      <c r="E681" s="47" t="s">
        <v>27</v>
      </c>
      <c r="F681" s="47" t="s">
        <v>809</v>
      </c>
      <c r="G681" s="47" t="s">
        <v>27</v>
      </c>
      <c r="H681" s="47">
        <v>70410</v>
      </c>
      <c r="I681" s="47">
        <v>70820</v>
      </c>
      <c r="J681" s="47" t="s">
        <v>28</v>
      </c>
      <c r="K681" s="47" t="s">
        <v>2191</v>
      </c>
      <c r="L681" s="47" t="s">
        <v>36</v>
      </c>
      <c r="M681" s="47" t="s">
        <v>1857</v>
      </c>
      <c r="N681" s="47">
        <v>2400</v>
      </c>
      <c r="O681" s="47">
        <v>2400</v>
      </c>
      <c r="P681" s="47">
        <v>2400</v>
      </c>
      <c r="Q681" s="48">
        <v>2400</v>
      </c>
      <c r="R681" s="47">
        <v>956</v>
      </c>
      <c r="S681" s="47">
        <v>956</v>
      </c>
      <c r="T681" s="47">
        <v>956</v>
      </c>
      <c r="U681" s="48">
        <v>956</v>
      </c>
      <c r="V681" s="48"/>
    </row>
    <row r="682" spans="2:22" ht="20" x14ac:dyDescent="0.25">
      <c r="B682" s="47" t="s">
        <v>807</v>
      </c>
      <c r="C682" s="47" t="s">
        <v>808</v>
      </c>
      <c r="D682" s="47" t="s">
        <v>768</v>
      </c>
      <c r="E682" s="47" t="s">
        <v>27</v>
      </c>
      <c r="F682" s="47" t="s">
        <v>809</v>
      </c>
      <c r="G682" s="47" t="s">
        <v>27</v>
      </c>
      <c r="H682" s="47">
        <v>70410</v>
      </c>
      <c r="I682" s="47">
        <v>70820</v>
      </c>
      <c r="J682" s="47" t="s">
        <v>28</v>
      </c>
      <c r="K682" s="47" t="s">
        <v>2086</v>
      </c>
      <c r="L682" s="47" t="s">
        <v>39</v>
      </c>
      <c r="M682" s="47" t="s">
        <v>1857</v>
      </c>
      <c r="N682" s="47">
        <v>2400</v>
      </c>
      <c r="O682" s="47">
        <v>2400</v>
      </c>
      <c r="P682" s="47">
        <v>2400</v>
      </c>
      <c r="Q682" s="48">
        <v>2400</v>
      </c>
      <c r="R682" s="47">
        <v>956</v>
      </c>
      <c r="S682" s="47">
        <v>956</v>
      </c>
      <c r="T682" s="47">
        <v>956</v>
      </c>
      <c r="U682" s="48">
        <v>956</v>
      </c>
      <c r="V682" s="48"/>
    </row>
    <row r="683" spans="2:22" ht="20" x14ac:dyDescent="0.25">
      <c r="B683" s="47" t="s">
        <v>807</v>
      </c>
      <c r="C683" s="47" t="s">
        <v>808</v>
      </c>
      <c r="D683" s="47" t="s">
        <v>768</v>
      </c>
      <c r="E683" s="47" t="s">
        <v>27</v>
      </c>
      <c r="F683" s="47" t="s">
        <v>809</v>
      </c>
      <c r="G683" s="47" t="s">
        <v>27</v>
      </c>
      <c r="H683" s="47">
        <v>70410</v>
      </c>
      <c r="I683" s="47">
        <v>70820</v>
      </c>
      <c r="J683" s="47" t="s">
        <v>28</v>
      </c>
      <c r="K683" s="47" t="s">
        <v>2083</v>
      </c>
      <c r="L683" s="47" t="s">
        <v>39</v>
      </c>
      <c r="M683" s="47" t="s">
        <v>1857</v>
      </c>
      <c r="N683" s="47">
        <v>2400</v>
      </c>
      <c r="O683" s="47">
        <v>2400</v>
      </c>
      <c r="P683" s="47">
        <v>2400</v>
      </c>
      <c r="Q683" s="48">
        <v>2400</v>
      </c>
      <c r="R683" s="47">
        <v>956</v>
      </c>
      <c r="S683" s="47">
        <v>956</v>
      </c>
      <c r="T683" s="47">
        <v>956</v>
      </c>
      <c r="U683" s="48">
        <v>956</v>
      </c>
      <c r="V683" s="48"/>
    </row>
    <row r="684" spans="2:22" ht="30" x14ac:dyDescent="0.25">
      <c r="B684" s="47" t="s">
        <v>807</v>
      </c>
      <c r="C684" s="47" t="s">
        <v>808</v>
      </c>
      <c r="D684" s="47" t="s">
        <v>768</v>
      </c>
      <c r="E684" s="47" t="s">
        <v>27</v>
      </c>
      <c r="F684" s="47" t="s">
        <v>809</v>
      </c>
      <c r="G684" s="47" t="s">
        <v>27</v>
      </c>
      <c r="H684" s="47">
        <v>70410</v>
      </c>
      <c r="I684" s="47">
        <v>70820</v>
      </c>
      <c r="J684" s="47" t="s">
        <v>28</v>
      </c>
      <c r="K684" s="47" t="s">
        <v>2180</v>
      </c>
      <c r="L684" s="47" t="s">
        <v>36</v>
      </c>
      <c r="M684" s="47" t="s">
        <v>769</v>
      </c>
      <c r="N684" s="47">
        <v>2400</v>
      </c>
      <c r="O684" s="47">
        <v>2400</v>
      </c>
      <c r="P684" s="47">
        <v>2400</v>
      </c>
      <c r="Q684" s="48">
        <v>2400</v>
      </c>
      <c r="R684" s="47">
        <v>956</v>
      </c>
      <c r="S684" s="47">
        <v>956</v>
      </c>
      <c r="T684" s="47">
        <v>956</v>
      </c>
      <c r="U684" s="48">
        <v>956</v>
      </c>
      <c r="V684" s="48"/>
    </row>
    <row r="685" spans="2:22" ht="30" x14ac:dyDescent="0.25">
      <c r="B685" s="47" t="s">
        <v>807</v>
      </c>
      <c r="C685" s="47" t="s">
        <v>808</v>
      </c>
      <c r="D685" s="47" t="s">
        <v>768</v>
      </c>
      <c r="E685" s="47" t="s">
        <v>27</v>
      </c>
      <c r="F685" s="47" t="s">
        <v>809</v>
      </c>
      <c r="G685" s="47" t="s">
        <v>27</v>
      </c>
      <c r="H685" s="47">
        <v>70410</v>
      </c>
      <c r="I685" s="47">
        <v>70820</v>
      </c>
      <c r="J685" s="47" t="s">
        <v>28</v>
      </c>
      <c r="K685" s="47" t="s">
        <v>2183</v>
      </c>
      <c r="L685" s="47" t="s">
        <v>36</v>
      </c>
      <c r="M685" s="47" t="s">
        <v>1857</v>
      </c>
      <c r="N685" s="47">
        <v>2400</v>
      </c>
      <c r="O685" s="47">
        <v>2400</v>
      </c>
      <c r="P685" s="47">
        <v>2400</v>
      </c>
      <c r="Q685" s="48">
        <v>2400</v>
      </c>
      <c r="R685" s="47">
        <v>956</v>
      </c>
      <c r="S685" s="47">
        <v>956</v>
      </c>
      <c r="T685" s="47">
        <v>956</v>
      </c>
      <c r="U685" s="48">
        <v>956</v>
      </c>
      <c r="V685" s="48"/>
    </row>
    <row r="686" spans="2:22" ht="20" x14ac:dyDescent="0.25">
      <c r="B686" s="47" t="s">
        <v>807</v>
      </c>
      <c r="C686" s="47" t="s">
        <v>808</v>
      </c>
      <c r="D686" s="47" t="s">
        <v>768</v>
      </c>
      <c r="E686" s="47" t="s">
        <v>27</v>
      </c>
      <c r="F686" s="47" t="s">
        <v>809</v>
      </c>
      <c r="G686" s="47" t="s">
        <v>27</v>
      </c>
      <c r="H686" s="47">
        <v>70410</v>
      </c>
      <c r="I686" s="47">
        <v>70820</v>
      </c>
      <c r="J686" s="47" t="s">
        <v>28</v>
      </c>
      <c r="K686" s="47" t="s">
        <v>2088</v>
      </c>
      <c r="L686" s="47" t="s">
        <v>39</v>
      </c>
      <c r="M686" s="47" t="s">
        <v>1857</v>
      </c>
      <c r="N686" s="47">
        <v>2400</v>
      </c>
      <c r="O686" s="47">
        <v>2400</v>
      </c>
      <c r="P686" s="47">
        <v>2400</v>
      </c>
      <c r="Q686" s="48">
        <v>2400</v>
      </c>
      <c r="R686" s="47">
        <v>956</v>
      </c>
      <c r="S686" s="47">
        <v>956</v>
      </c>
      <c r="T686" s="47">
        <v>956</v>
      </c>
      <c r="U686" s="48">
        <v>956</v>
      </c>
      <c r="V686" s="48"/>
    </row>
    <row r="687" spans="2:22" ht="30" x14ac:dyDescent="0.25">
      <c r="B687" s="47" t="s">
        <v>807</v>
      </c>
      <c r="C687" s="47" t="s">
        <v>808</v>
      </c>
      <c r="D687" s="47" t="s">
        <v>768</v>
      </c>
      <c r="E687" s="47" t="s">
        <v>27</v>
      </c>
      <c r="F687" s="47" t="s">
        <v>809</v>
      </c>
      <c r="G687" s="47" t="s">
        <v>27</v>
      </c>
      <c r="H687" s="47">
        <v>70410</v>
      </c>
      <c r="I687" s="47">
        <v>70820</v>
      </c>
      <c r="J687" s="47" t="s">
        <v>28</v>
      </c>
      <c r="K687" s="47" t="s">
        <v>811</v>
      </c>
      <c r="L687" s="47" t="s">
        <v>36</v>
      </c>
      <c r="M687" s="47" t="s">
        <v>769</v>
      </c>
      <c r="N687" s="47">
        <v>2400</v>
      </c>
      <c r="O687" s="47">
        <v>2400</v>
      </c>
      <c r="P687" s="47">
        <v>2400</v>
      </c>
      <c r="Q687" s="48">
        <v>2400</v>
      </c>
      <c r="R687" s="47">
        <v>956</v>
      </c>
      <c r="S687" s="47">
        <v>956</v>
      </c>
      <c r="T687" s="47">
        <v>956</v>
      </c>
      <c r="U687" s="48">
        <v>956</v>
      </c>
      <c r="V687" s="48"/>
    </row>
    <row r="688" spans="2:22" ht="30" x14ac:dyDescent="0.25">
      <c r="B688" s="47" t="s">
        <v>807</v>
      </c>
      <c r="C688" s="47" t="s">
        <v>808</v>
      </c>
      <c r="D688" s="47" t="s">
        <v>768</v>
      </c>
      <c r="E688" s="47" t="s">
        <v>27</v>
      </c>
      <c r="F688" s="47" t="s">
        <v>809</v>
      </c>
      <c r="G688" s="47" t="s">
        <v>27</v>
      </c>
      <c r="H688" s="47">
        <v>70410</v>
      </c>
      <c r="I688" s="47">
        <v>70820</v>
      </c>
      <c r="J688" s="47" t="s">
        <v>28</v>
      </c>
      <c r="K688" s="47" t="s">
        <v>2441</v>
      </c>
      <c r="L688" s="47" t="s">
        <v>36</v>
      </c>
      <c r="M688" s="47" t="s">
        <v>769</v>
      </c>
      <c r="N688" s="47">
        <v>2400</v>
      </c>
      <c r="O688" s="47">
        <v>2400</v>
      </c>
      <c r="P688" s="47">
        <v>2400</v>
      </c>
      <c r="Q688" s="48">
        <v>2400</v>
      </c>
      <c r="R688" s="47">
        <v>956</v>
      </c>
      <c r="S688" s="47">
        <v>956</v>
      </c>
      <c r="T688" s="47">
        <v>956</v>
      </c>
      <c r="U688" s="48">
        <v>956</v>
      </c>
      <c r="V688" s="48"/>
    </row>
    <row r="689" spans="2:22" ht="30" x14ac:dyDescent="0.25">
      <c r="B689" s="47" t="s">
        <v>807</v>
      </c>
      <c r="C689" s="47" t="s">
        <v>808</v>
      </c>
      <c r="D689" s="47" t="s">
        <v>768</v>
      </c>
      <c r="E689" s="47" t="s">
        <v>27</v>
      </c>
      <c r="F689" s="47" t="s">
        <v>809</v>
      </c>
      <c r="G689" s="47" t="s">
        <v>27</v>
      </c>
      <c r="H689" s="47">
        <v>70410</v>
      </c>
      <c r="I689" s="47">
        <v>70820</v>
      </c>
      <c r="J689" s="47" t="s">
        <v>28</v>
      </c>
      <c r="K689" s="47" t="s">
        <v>2439</v>
      </c>
      <c r="L689" s="47" t="s">
        <v>36</v>
      </c>
      <c r="M689" s="47" t="s">
        <v>769</v>
      </c>
      <c r="N689" s="47">
        <v>2400</v>
      </c>
      <c r="O689" s="47">
        <v>2400</v>
      </c>
      <c r="P689" s="47">
        <v>2400</v>
      </c>
      <c r="Q689" s="48">
        <v>2400</v>
      </c>
      <c r="R689" s="47">
        <v>956</v>
      </c>
      <c r="S689" s="47">
        <v>956</v>
      </c>
      <c r="T689" s="47">
        <v>956</v>
      </c>
      <c r="U689" s="48">
        <v>956</v>
      </c>
      <c r="V689" s="48"/>
    </row>
    <row r="690" spans="2:22" ht="34.5" x14ac:dyDescent="0.25">
      <c r="B690" s="44" t="s">
        <v>812</v>
      </c>
      <c r="C690" s="44" t="s">
        <v>813</v>
      </c>
      <c r="D690" s="44" t="s">
        <v>768</v>
      </c>
      <c r="E690" s="44" t="s">
        <v>27</v>
      </c>
      <c r="F690" s="44" t="s">
        <v>814</v>
      </c>
      <c r="G690" s="44" t="s">
        <v>27</v>
      </c>
      <c r="H690" s="44">
        <v>70410</v>
      </c>
      <c r="I690" s="44">
        <v>70592</v>
      </c>
      <c r="J690" s="44" t="s">
        <v>28</v>
      </c>
      <c r="K690" s="44" t="s">
        <v>812</v>
      </c>
      <c r="L690" s="44" t="s">
        <v>29</v>
      </c>
      <c r="M690" s="44"/>
      <c r="N690" s="45">
        <v>1200</v>
      </c>
      <c r="O690" s="45">
        <v>1200</v>
      </c>
      <c r="P690" s="45">
        <v>1200</v>
      </c>
      <c r="Q690" s="45">
        <v>1200</v>
      </c>
      <c r="R690" s="45">
        <v>478</v>
      </c>
      <c r="S690" s="45">
        <v>478</v>
      </c>
      <c r="T690" s="45">
        <v>478</v>
      </c>
      <c r="U690" s="45">
        <v>478</v>
      </c>
      <c r="V690" s="46"/>
    </row>
    <row r="691" spans="2:22" ht="30" x14ac:dyDescent="0.25">
      <c r="B691" s="47" t="s">
        <v>812</v>
      </c>
      <c r="C691" s="47" t="s">
        <v>813</v>
      </c>
      <c r="D691" s="47" t="s">
        <v>768</v>
      </c>
      <c r="E691" s="47" t="s">
        <v>27</v>
      </c>
      <c r="F691" s="47" t="s">
        <v>814</v>
      </c>
      <c r="G691" s="47" t="s">
        <v>27</v>
      </c>
      <c r="H691" s="47">
        <v>70410</v>
      </c>
      <c r="I691" s="47">
        <v>70592</v>
      </c>
      <c r="J691" s="47" t="s">
        <v>28</v>
      </c>
      <c r="K691" s="47" t="s">
        <v>2442</v>
      </c>
      <c r="L691" s="47" t="s">
        <v>36</v>
      </c>
      <c r="M691" s="47" t="s">
        <v>769</v>
      </c>
      <c r="N691" s="48">
        <v>1200</v>
      </c>
      <c r="O691" s="48">
        <v>1200</v>
      </c>
      <c r="P691" s="48">
        <v>1200</v>
      </c>
      <c r="Q691" s="48">
        <v>1200</v>
      </c>
      <c r="R691" s="48">
        <v>478</v>
      </c>
      <c r="S691" s="48">
        <v>478</v>
      </c>
      <c r="T691" s="48">
        <v>478</v>
      </c>
      <c r="U691" s="48">
        <v>478</v>
      </c>
      <c r="V691" s="48"/>
    </row>
    <row r="692" spans="2:22" ht="30" x14ac:dyDescent="0.25">
      <c r="B692" s="47" t="s">
        <v>812</v>
      </c>
      <c r="C692" s="47" t="s">
        <v>813</v>
      </c>
      <c r="D692" s="47" t="s">
        <v>768</v>
      </c>
      <c r="E692" s="47" t="s">
        <v>27</v>
      </c>
      <c r="F692" s="47" t="s">
        <v>814</v>
      </c>
      <c r="G692" s="47" t="s">
        <v>27</v>
      </c>
      <c r="H692" s="47">
        <v>70410</v>
      </c>
      <c r="I692" s="47">
        <v>70592</v>
      </c>
      <c r="J692" s="47" t="s">
        <v>28</v>
      </c>
      <c r="K692" s="47" t="s">
        <v>2093</v>
      </c>
      <c r="L692" s="47" t="s">
        <v>36</v>
      </c>
      <c r="M692" s="47" t="s">
        <v>769</v>
      </c>
      <c r="N692" s="48">
        <v>1200</v>
      </c>
      <c r="O692" s="48">
        <v>1200</v>
      </c>
      <c r="P692" s="48">
        <v>1200</v>
      </c>
      <c r="Q692" s="48">
        <v>1200</v>
      </c>
      <c r="R692" s="48">
        <v>478</v>
      </c>
      <c r="S692" s="48">
        <v>478</v>
      </c>
      <c r="T692" s="48">
        <v>478</v>
      </c>
      <c r="U692" s="48">
        <v>478</v>
      </c>
      <c r="V692" s="48"/>
    </row>
    <row r="693" spans="2:22" ht="34.5" x14ac:dyDescent="0.25">
      <c r="B693" s="44" t="s">
        <v>815</v>
      </c>
      <c r="C693" s="44" t="s">
        <v>816</v>
      </c>
      <c r="D693" s="44" t="s">
        <v>768</v>
      </c>
      <c r="E693" s="44" t="s">
        <v>27</v>
      </c>
      <c r="F693" s="44" t="s">
        <v>817</v>
      </c>
      <c r="G693" s="44" t="s">
        <v>27</v>
      </c>
      <c r="H693" s="44">
        <v>70410</v>
      </c>
      <c r="I693" s="44">
        <v>70471</v>
      </c>
      <c r="J693" s="44" t="s">
        <v>28</v>
      </c>
      <c r="K693" s="44" t="s">
        <v>815</v>
      </c>
      <c r="L693" s="44" t="s">
        <v>29</v>
      </c>
      <c r="M693" s="44"/>
      <c r="N693" s="45">
        <v>1200</v>
      </c>
      <c r="O693" s="45">
        <v>1200</v>
      </c>
      <c r="P693" s="45">
        <v>1200</v>
      </c>
      <c r="Q693" s="45">
        <v>1200</v>
      </c>
      <c r="R693" s="45">
        <v>478</v>
      </c>
      <c r="S693" s="45">
        <v>478</v>
      </c>
      <c r="T693" s="45">
        <v>478</v>
      </c>
      <c r="U693" s="45">
        <v>478</v>
      </c>
      <c r="V693" s="46"/>
    </row>
    <row r="694" spans="2:22" ht="30" x14ac:dyDescent="0.25">
      <c r="B694" s="47" t="s">
        <v>815</v>
      </c>
      <c r="C694" s="47" t="s">
        <v>816</v>
      </c>
      <c r="D694" s="47" t="s">
        <v>768</v>
      </c>
      <c r="E694" s="47" t="s">
        <v>27</v>
      </c>
      <c r="F694" s="47" t="s">
        <v>817</v>
      </c>
      <c r="G694" s="47" t="s">
        <v>27</v>
      </c>
      <c r="H694" s="47">
        <v>70410</v>
      </c>
      <c r="I694" s="47">
        <v>70471</v>
      </c>
      <c r="J694" s="47" t="s">
        <v>28</v>
      </c>
      <c r="K694" s="47" t="s">
        <v>2443</v>
      </c>
      <c r="L694" s="47" t="s">
        <v>36</v>
      </c>
      <c r="M694" s="47" t="s">
        <v>769</v>
      </c>
      <c r="N694" s="48">
        <v>1200</v>
      </c>
      <c r="O694" s="48">
        <v>1200</v>
      </c>
      <c r="P694" s="48">
        <v>1200</v>
      </c>
      <c r="Q694" s="48">
        <v>1200</v>
      </c>
      <c r="R694" s="48">
        <v>478</v>
      </c>
      <c r="S694" s="48">
        <v>478</v>
      </c>
      <c r="T694" s="48">
        <v>478</v>
      </c>
      <c r="U694" s="48">
        <v>478</v>
      </c>
      <c r="V694" s="48"/>
    </row>
    <row r="695" spans="2:22" ht="34.5" x14ac:dyDescent="0.25">
      <c r="B695" s="44" t="s">
        <v>820</v>
      </c>
      <c r="C695" s="44" t="s">
        <v>115</v>
      </c>
      <c r="D695" s="44" t="s">
        <v>768</v>
      </c>
      <c r="E695" s="44" t="s">
        <v>27</v>
      </c>
      <c r="F695" s="44" t="s">
        <v>215</v>
      </c>
      <c r="G695" s="44" t="s">
        <v>27</v>
      </c>
      <c r="H695" s="44">
        <v>70410</v>
      </c>
      <c r="I695" s="44">
        <v>70474</v>
      </c>
      <c r="J695" s="44" t="s">
        <v>42</v>
      </c>
      <c r="K695" s="44" t="s">
        <v>820</v>
      </c>
      <c r="L695" s="44" t="s">
        <v>29</v>
      </c>
      <c r="M695" s="44"/>
      <c r="N695" s="45">
        <v>1449</v>
      </c>
      <c r="O695" s="45">
        <v>1594</v>
      </c>
      <c r="P695" s="45">
        <v>1600</v>
      </c>
      <c r="Q695" s="45">
        <v>1600</v>
      </c>
      <c r="R695" s="45">
        <v>577</v>
      </c>
      <c r="S695" s="45">
        <v>635</v>
      </c>
      <c r="T695" s="45">
        <v>637</v>
      </c>
      <c r="U695" s="45">
        <v>637</v>
      </c>
      <c r="V695" s="46"/>
    </row>
    <row r="696" spans="2:22" ht="20" x14ac:dyDescent="0.25">
      <c r="B696" s="47" t="s">
        <v>820</v>
      </c>
      <c r="C696" s="47" t="s">
        <v>115</v>
      </c>
      <c r="D696" s="47" t="s">
        <v>768</v>
      </c>
      <c r="E696" s="47" t="s">
        <v>27</v>
      </c>
      <c r="F696" s="47" t="s">
        <v>215</v>
      </c>
      <c r="G696" s="47" t="s">
        <v>27</v>
      </c>
      <c r="H696" s="47">
        <v>70410</v>
      </c>
      <c r="I696" s="47">
        <v>70474</v>
      </c>
      <c r="J696" s="47" t="s">
        <v>42</v>
      </c>
      <c r="K696" s="47" t="s">
        <v>820</v>
      </c>
      <c r="L696" s="47" t="s">
        <v>30</v>
      </c>
      <c r="M696" s="47" t="s">
        <v>115</v>
      </c>
      <c r="N696" s="48">
        <v>1449</v>
      </c>
      <c r="O696" s="48">
        <v>1594</v>
      </c>
      <c r="P696" s="47">
        <v>1653</v>
      </c>
      <c r="Q696" s="47">
        <v>1818</v>
      </c>
      <c r="R696" s="48">
        <v>577</v>
      </c>
      <c r="S696" s="48">
        <v>635</v>
      </c>
      <c r="T696" s="47">
        <v>659</v>
      </c>
      <c r="U696" s="47">
        <v>724</v>
      </c>
      <c r="V696" s="47"/>
    </row>
    <row r="697" spans="2:22" ht="20" x14ac:dyDescent="0.25">
      <c r="B697" s="47" t="s">
        <v>820</v>
      </c>
      <c r="C697" s="47" t="s">
        <v>115</v>
      </c>
      <c r="D697" s="47" t="s">
        <v>768</v>
      </c>
      <c r="E697" s="47" t="s">
        <v>27</v>
      </c>
      <c r="F697" s="47" t="s">
        <v>215</v>
      </c>
      <c r="G697" s="47" t="s">
        <v>27</v>
      </c>
      <c r="H697" s="47">
        <v>70410</v>
      </c>
      <c r="I697" s="47">
        <v>70474</v>
      </c>
      <c r="J697" s="47" t="s">
        <v>42</v>
      </c>
      <c r="K697" s="47" t="s">
        <v>1996</v>
      </c>
      <c r="L697" s="47" t="s">
        <v>1315</v>
      </c>
      <c r="M697" s="47" t="s">
        <v>1993</v>
      </c>
      <c r="N697" s="47">
        <v>1600</v>
      </c>
      <c r="O697" s="47">
        <v>1600</v>
      </c>
      <c r="P697" s="48">
        <v>1600</v>
      </c>
      <c r="Q697" s="48">
        <v>1600</v>
      </c>
      <c r="R697" s="47">
        <v>637</v>
      </c>
      <c r="S697" s="47">
        <v>637</v>
      </c>
      <c r="T697" s="48">
        <v>637</v>
      </c>
      <c r="U697" s="48">
        <v>637</v>
      </c>
      <c r="V697" s="48"/>
    </row>
    <row r="698" spans="2:22" ht="20" x14ac:dyDescent="0.25">
      <c r="B698" s="47" t="s">
        <v>820</v>
      </c>
      <c r="C698" s="47" t="s">
        <v>115</v>
      </c>
      <c r="D698" s="47" t="s">
        <v>768</v>
      </c>
      <c r="E698" s="47" t="s">
        <v>27</v>
      </c>
      <c r="F698" s="47" t="s">
        <v>215</v>
      </c>
      <c r="G698" s="47" t="s">
        <v>27</v>
      </c>
      <c r="H698" s="47">
        <v>70410</v>
      </c>
      <c r="I698" s="47">
        <v>70474</v>
      </c>
      <c r="J698" s="47" t="s">
        <v>42</v>
      </c>
      <c r="K698" s="47" t="s">
        <v>1992</v>
      </c>
      <c r="L698" s="47" t="s">
        <v>1315</v>
      </c>
      <c r="M698" s="47" t="s">
        <v>1993</v>
      </c>
      <c r="N698" s="47">
        <v>1600</v>
      </c>
      <c r="O698" s="47">
        <v>1600</v>
      </c>
      <c r="P698" s="48">
        <v>1600</v>
      </c>
      <c r="Q698" s="48">
        <v>1600</v>
      </c>
      <c r="R698" s="47">
        <v>637</v>
      </c>
      <c r="S698" s="47">
        <v>637</v>
      </c>
      <c r="T698" s="48">
        <v>637</v>
      </c>
      <c r="U698" s="48">
        <v>637</v>
      </c>
      <c r="V698" s="48"/>
    </row>
    <row r="699" spans="2:22" ht="20" x14ac:dyDescent="0.25">
      <c r="B699" s="47" t="s">
        <v>820</v>
      </c>
      <c r="C699" s="47" t="s">
        <v>115</v>
      </c>
      <c r="D699" s="47" t="s">
        <v>768</v>
      </c>
      <c r="E699" s="47" t="s">
        <v>27</v>
      </c>
      <c r="F699" s="47" t="s">
        <v>215</v>
      </c>
      <c r="G699" s="47" t="s">
        <v>27</v>
      </c>
      <c r="H699" s="47">
        <v>70410</v>
      </c>
      <c r="I699" s="47">
        <v>70474</v>
      </c>
      <c r="J699" s="47" t="s">
        <v>42</v>
      </c>
      <c r="K699" s="47" t="s">
        <v>1995</v>
      </c>
      <c r="L699" s="47" t="s">
        <v>49</v>
      </c>
      <c r="M699" s="47" t="s">
        <v>1993</v>
      </c>
      <c r="N699" s="47">
        <v>1600</v>
      </c>
      <c r="O699" s="47">
        <v>1600</v>
      </c>
      <c r="P699" s="48">
        <v>1600</v>
      </c>
      <c r="Q699" s="48">
        <v>1600</v>
      </c>
      <c r="R699" s="47">
        <v>637</v>
      </c>
      <c r="S699" s="47">
        <v>637</v>
      </c>
      <c r="T699" s="48">
        <v>637</v>
      </c>
      <c r="U699" s="48">
        <v>637</v>
      </c>
      <c r="V699" s="48"/>
    </row>
    <row r="700" spans="2:22" ht="20" x14ac:dyDescent="0.25">
      <c r="B700" s="47" t="s">
        <v>820</v>
      </c>
      <c r="C700" s="47" t="s">
        <v>115</v>
      </c>
      <c r="D700" s="47" t="s">
        <v>768</v>
      </c>
      <c r="E700" s="47" t="s">
        <v>27</v>
      </c>
      <c r="F700" s="47" t="s">
        <v>215</v>
      </c>
      <c r="G700" s="47" t="s">
        <v>27</v>
      </c>
      <c r="H700" s="47">
        <v>70410</v>
      </c>
      <c r="I700" s="47">
        <v>70474</v>
      </c>
      <c r="J700" s="47" t="s">
        <v>42</v>
      </c>
      <c r="K700" s="47" t="s">
        <v>1994</v>
      </c>
      <c r="L700" s="47" t="s">
        <v>49</v>
      </c>
      <c r="M700" s="47" t="s">
        <v>1993</v>
      </c>
      <c r="N700" s="47">
        <v>1600</v>
      </c>
      <c r="O700" s="47">
        <v>1600</v>
      </c>
      <c r="P700" s="48">
        <v>1600</v>
      </c>
      <c r="Q700" s="48">
        <v>1600</v>
      </c>
      <c r="R700" s="47">
        <v>637</v>
      </c>
      <c r="S700" s="47">
        <v>637</v>
      </c>
      <c r="T700" s="48">
        <v>637</v>
      </c>
      <c r="U700" s="48">
        <v>637</v>
      </c>
      <c r="V700" s="48"/>
    </row>
    <row r="701" spans="2:22" ht="23" x14ac:dyDescent="0.25">
      <c r="B701" s="44" t="s">
        <v>205</v>
      </c>
      <c r="C701" s="44" t="s">
        <v>206</v>
      </c>
      <c r="D701" s="44" t="s">
        <v>821</v>
      </c>
      <c r="E701" s="44" t="s">
        <v>27</v>
      </c>
      <c r="F701" s="44" t="s">
        <v>822</v>
      </c>
      <c r="G701" s="44" t="s">
        <v>40</v>
      </c>
      <c r="H701" s="44">
        <v>70194</v>
      </c>
      <c r="I701" s="44">
        <v>70604</v>
      </c>
      <c r="J701" s="44" t="s">
        <v>42</v>
      </c>
      <c r="K701" s="44" t="s">
        <v>205</v>
      </c>
      <c r="L701" s="44" t="s">
        <v>29</v>
      </c>
      <c r="M701" s="44"/>
      <c r="N701" s="45">
        <v>921</v>
      </c>
      <c r="O701" s="45">
        <v>1072</v>
      </c>
      <c r="P701" s="45">
        <v>1096</v>
      </c>
      <c r="Q701" s="45">
        <v>1200</v>
      </c>
      <c r="R701" s="45">
        <v>183</v>
      </c>
      <c r="S701" s="45">
        <v>213</v>
      </c>
      <c r="T701" s="45">
        <v>218</v>
      </c>
      <c r="U701" s="45">
        <v>239</v>
      </c>
      <c r="V701" s="46"/>
    </row>
    <row r="702" spans="2:22" ht="20" x14ac:dyDescent="0.25">
      <c r="B702" s="47" t="s">
        <v>205</v>
      </c>
      <c r="C702" s="47" t="s">
        <v>206</v>
      </c>
      <c r="D702" s="47" t="s">
        <v>821</v>
      </c>
      <c r="E702" s="47" t="s">
        <v>27</v>
      </c>
      <c r="F702" s="47" t="s">
        <v>822</v>
      </c>
      <c r="G702" s="47" t="s">
        <v>40</v>
      </c>
      <c r="H702" s="47">
        <v>70194</v>
      </c>
      <c r="I702" s="47">
        <v>70604</v>
      </c>
      <c r="J702" s="47" t="s">
        <v>42</v>
      </c>
      <c r="K702" s="47" t="s">
        <v>239</v>
      </c>
      <c r="L702" s="47" t="s">
        <v>31</v>
      </c>
      <c r="M702" s="47" t="s">
        <v>823</v>
      </c>
      <c r="N702" s="48">
        <v>921</v>
      </c>
      <c r="O702" s="48">
        <v>1072</v>
      </c>
      <c r="P702" s="48">
        <v>1096</v>
      </c>
      <c r="Q702" s="47">
        <v>1219</v>
      </c>
      <c r="R702" s="48">
        <v>183</v>
      </c>
      <c r="S702" s="48">
        <v>213</v>
      </c>
      <c r="T702" s="48">
        <v>218</v>
      </c>
      <c r="U702" s="47">
        <v>243</v>
      </c>
      <c r="V702" s="47"/>
    </row>
    <row r="703" spans="2:22" ht="20" x14ac:dyDescent="0.25">
      <c r="B703" s="47" t="s">
        <v>205</v>
      </c>
      <c r="C703" s="47" t="s">
        <v>206</v>
      </c>
      <c r="D703" s="47" t="s">
        <v>821</v>
      </c>
      <c r="E703" s="47" t="s">
        <v>27</v>
      </c>
      <c r="F703" s="47" t="s">
        <v>822</v>
      </c>
      <c r="G703" s="47" t="s">
        <v>40</v>
      </c>
      <c r="H703" s="47">
        <v>70194</v>
      </c>
      <c r="I703" s="47">
        <v>70604</v>
      </c>
      <c r="J703" s="47" t="s">
        <v>42</v>
      </c>
      <c r="K703" s="47" t="s">
        <v>207</v>
      </c>
      <c r="L703" s="47" t="s">
        <v>1315</v>
      </c>
      <c r="M703" s="47" t="s">
        <v>823</v>
      </c>
      <c r="N703" s="47">
        <v>1200</v>
      </c>
      <c r="O703" s="47">
        <v>1200</v>
      </c>
      <c r="P703" s="47">
        <v>1200</v>
      </c>
      <c r="Q703" s="48">
        <v>1200</v>
      </c>
      <c r="R703" s="47">
        <v>239</v>
      </c>
      <c r="S703" s="47">
        <v>239</v>
      </c>
      <c r="T703" s="47">
        <v>239</v>
      </c>
      <c r="U703" s="48">
        <v>239</v>
      </c>
      <c r="V703" s="48"/>
    </row>
    <row r="704" spans="2:22" ht="34.5" x14ac:dyDescent="0.25">
      <c r="B704" s="44" t="s">
        <v>824</v>
      </c>
      <c r="C704" s="44" t="s">
        <v>825</v>
      </c>
      <c r="D704" s="44" t="s">
        <v>826</v>
      </c>
      <c r="E704" s="44" t="s">
        <v>27</v>
      </c>
      <c r="F704" s="44" t="s">
        <v>45</v>
      </c>
      <c r="G704" s="44" t="s">
        <v>27</v>
      </c>
      <c r="H704" s="44">
        <v>70193</v>
      </c>
      <c r="I704" s="44">
        <v>70286</v>
      </c>
      <c r="J704" s="44" t="s">
        <v>28</v>
      </c>
      <c r="K704" s="44" t="s">
        <v>824</v>
      </c>
      <c r="L704" s="44" t="s">
        <v>29</v>
      </c>
      <c r="M704" s="44"/>
      <c r="N704" s="45">
        <v>1267</v>
      </c>
      <c r="O704" s="45">
        <v>1394</v>
      </c>
      <c r="P704" s="45">
        <v>1443</v>
      </c>
      <c r="Q704" s="45">
        <v>1500</v>
      </c>
      <c r="R704" s="45">
        <v>505</v>
      </c>
      <c r="S704" s="45">
        <v>555</v>
      </c>
      <c r="T704" s="45">
        <v>575</v>
      </c>
      <c r="U704" s="45">
        <v>598</v>
      </c>
      <c r="V704" s="46"/>
    </row>
    <row r="705" spans="2:22" ht="20" x14ac:dyDescent="0.25">
      <c r="B705" s="47" t="s">
        <v>824</v>
      </c>
      <c r="C705" s="47" t="s">
        <v>825</v>
      </c>
      <c r="D705" s="47" t="s">
        <v>826</v>
      </c>
      <c r="E705" s="47" t="s">
        <v>27</v>
      </c>
      <c r="F705" s="47" t="s">
        <v>45</v>
      </c>
      <c r="G705" s="47" t="s">
        <v>27</v>
      </c>
      <c r="H705" s="47">
        <v>70193</v>
      </c>
      <c r="I705" s="47">
        <v>70286</v>
      </c>
      <c r="J705" s="47" t="s">
        <v>28</v>
      </c>
      <c r="K705" s="47" t="s">
        <v>824</v>
      </c>
      <c r="L705" s="47" t="s">
        <v>30</v>
      </c>
      <c r="M705" s="47" t="s">
        <v>825</v>
      </c>
      <c r="N705" s="48">
        <v>1267</v>
      </c>
      <c r="O705" s="48">
        <v>1394</v>
      </c>
      <c r="P705" s="48">
        <v>1443</v>
      </c>
      <c r="Q705" s="47">
        <v>1587</v>
      </c>
      <c r="R705" s="48">
        <v>505</v>
      </c>
      <c r="S705" s="48">
        <v>555</v>
      </c>
      <c r="T705" s="48">
        <v>575</v>
      </c>
      <c r="U705" s="47">
        <v>632</v>
      </c>
      <c r="V705" s="47"/>
    </row>
    <row r="706" spans="2:22" ht="20" x14ac:dyDescent="0.25">
      <c r="B706" s="47" t="s">
        <v>824</v>
      </c>
      <c r="C706" s="47" t="s">
        <v>825</v>
      </c>
      <c r="D706" s="47" t="s">
        <v>826</v>
      </c>
      <c r="E706" s="47" t="s">
        <v>27</v>
      </c>
      <c r="F706" s="47" t="s">
        <v>45</v>
      </c>
      <c r="G706" s="47" t="s">
        <v>27</v>
      </c>
      <c r="H706" s="47">
        <v>70193</v>
      </c>
      <c r="I706" s="47">
        <v>70286</v>
      </c>
      <c r="J706" s="47" t="s">
        <v>28</v>
      </c>
      <c r="K706" s="47" t="s">
        <v>2277</v>
      </c>
      <c r="L706" s="47" t="s">
        <v>39</v>
      </c>
      <c r="M706" s="47" t="s">
        <v>828</v>
      </c>
      <c r="N706" s="47">
        <v>1500</v>
      </c>
      <c r="O706" s="47">
        <v>1500</v>
      </c>
      <c r="P706" s="47">
        <v>1500</v>
      </c>
      <c r="Q706" s="48">
        <v>1500</v>
      </c>
      <c r="R706" s="47">
        <v>598</v>
      </c>
      <c r="S706" s="47">
        <v>598</v>
      </c>
      <c r="T706" s="47">
        <v>598</v>
      </c>
      <c r="U706" s="48">
        <v>598</v>
      </c>
      <c r="V706" s="48"/>
    </row>
    <row r="707" spans="2:22" ht="20" x14ac:dyDescent="0.25">
      <c r="B707" s="47" t="s">
        <v>824</v>
      </c>
      <c r="C707" s="47" t="s">
        <v>825</v>
      </c>
      <c r="D707" s="47" t="s">
        <v>826</v>
      </c>
      <c r="E707" s="47" t="s">
        <v>27</v>
      </c>
      <c r="F707" s="47" t="s">
        <v>45</v>
      </c>
      <c r="G707" s="47" t="s">
        <v>27</v>
      </c>
      <c r="H707" s="47">
        <v>70193</v>
      </c>
      <c r="I707" s="47">
        <v>70286</v>
      </c>
      <c r="J707" s="47" t="s">
        <v>28</v>
      </c>
      <c r="K707" s="47" t="s">
        <v>2278</v>
      </c>
      <c r="L707" s="47" t="s">
        <v>39</v>
      </c>
      <c r="M707" s="47" t="s">
        <v>828</v>
      </c>
      <c r="N707" s="47">
        <v>1500</v>
      </c>
      <c r="O707" s="47">
        <v>1500</v>
      </c>
      <c r="P707" s="47">
        <v>1500</v>
      </c>
      <c r="Q707" s="48">
        <v>1500</v>
      </c>
      <c r="R707" s="47">
        <v>598</v>
      </c>
      <c r="S707" s="47">
        <v>598</v>
      </c>
      <c r="T707" s="47">
        <v>598</v>
      </c>
      <c r="U707" s="48">
        <v>598</v>
      </c>
      <c r="V707" s="48"/>
    </row>
    <row r="708" spans="2:22" ht="20" x14ac:dyDescent="0.25">
      <c r="B708" s="47" t="s">
        <v>824</v>
      </c>
      <c r="C708" s="47" t="s">
        <v>825</v>
      </c>
      <c r="D708" s="47" t="s">
        <v>826</v>
      </c>
      <c r="E708" s="47" t="s">
        <v>27</v>
      </c>
      <c r="F708" s="47" t="s">
        <v>45</v>
      </c>
      <c r="G708" s="47" t="s">
        <v>27</v>
      </c>
      <c r="H708" s="47">
        <v>70193</v>
      </c>
      <c r="I708" s="47">
        <v>70286</v>
      </c>
      <c r="J708" s="47" t="s">
        <v>28</v>
      </c>
      <c r="K708" s="47" t="s">
        <v>2276</v>
      </c>
      <c r="L708" s="47" t="s">
        <v>39</v>
      </c>
      <c r="M708" s="47" t="s">
        <v>828</v>
      </c>
      <c r="N708" s="47">
        <v>1500</v>
      </c>
      <c r="O708" s="47">
        <v>1500</v>
      </c>
      <c r="P708" s="47">
        <v>1500</v>
      </c>
      <c r="Q708" s="48">
        <v>1500</v>
      </c>
      <c r="R708" s="47">
        <v>598</v>
      </c>
      <c r="S708" s="47">
        <v>598</v>
      </c>
      <c r="T708" s="47">
        <v>598</v>
      </c>
      <c r="U708" s="48">
        <v>598</v>
      </c>
      <c r="V708" s="48"/>
    </row>
    <row r="709" spans="2:22" ht="34.5" x14ac:dyDescent="0.25">
      <c r="B709" s="94" t="s">
        <v>831</v>
      </c>
      <c r="C709" s="44" t="s">
        <v>433</v>
      </c>
      <c r="D709" s="44" t="s">
        <v>434</v>
      </c>
      <c r="E709" s="44" t="s">
        <v>27</v>
      </c>
      <c r="F709" s="44" t="s">
        <v>832</v>
      </c>
      <c r="G709" s="44" t="s">
        <v>27</v>
      </c>
      <c r="H709" s="44">
        <v>70197</v>
      </c>
      <c r="I709" s="44">
        <v>70218</v>
      </c>
      <c r="J709" s="44" t="s">
        <v>28</v>
      </c>
      <c r="K709" s="44" t="s">
        <v>831</v>
      </c>
      <c r="L709" s="44" t="s">
        <v>29</v>
      </c>
      <c r="M709" s="44"/>
      <c r="N709" s="97">
        <v>748</v>
      </c>
      <c r="O709" s="97">
        <v>748</v>
      </c>
      <c r="P709" s="97">
        <v>827</v>
      </c>
      <c r="Q709" s="97">
        <v>827</v>
      </c>
      <c r="R709" s="97">
        <v>149</v>
      </c>
      <c r="S709" s="97">
        <v>149</v>
      </c>
      <c r="T709" s="97">
        <v>165</v>
      </c>
      <c r="U709" s="97">
        <v>165</v>
      </c>
      <c r="V709" s="46"/>
    </row>
    <row r="710" spans="2:22" ht="20" x14ac:dyDescent="0.25">
      <c r="B710" s="96" t="s">
        <v>831</v>
      </c>
      <c r="C710" s="47" t="s">
        <v>433</v>
      </c>
      <c r="D710" s="47" t="s">
        <v>434</v>
      </c>
      <c r="E710" s="47" t="s">
        <v>27</v>
      </c>
      <c r="F710" s="47" t="s">
        <v>832</v>
      </c>
      <c r="G710" s="47" t="s">
        <v>27</v>
      </c>
      <c r="H710" s="47">
        <v>70197</v>
      </c>
      <c r="I710" s="47">
        <v>70218</v>
      </c>
      <c r="J710" s="47" t="s">
        <v>28</v>
      </c>
      <c r="K710" s="47" t="s">
        <v>831</v>
      </c>
      <c r="L710" s="47" t="s">
        <v>30</v>
      </c>
      <c r="M710" s="47" t="s">
        <v>433</v>
      </c>
      <c r="N710" s="95">
        <v>748</v>
      </c>
      <c r="O710" s="95">
        <v>748</v>
      </c>
      <c r="P710" s="95">
        <v>827</v>
      </c>
      <c r="Q710" s="95">
        <v>827</v>
      </c>
      <c r="R710" s="95">
        <v>149</v>
      </c>
      <c r="S710" s="95">
        <v>149</v>
      </c>
      <c r="T710" s="95">
        <v>165</v>
      </c>
      <c r="U710" s="95">
        <v>165</v>
      </c>
      <c r="V710" s="48"/>
    </row>
    <row r="711" spans="2:22" ht="23" x14ac:dyDescent="0.25">
      <c r="B711" s="365" t="s">
        <v>836</v>
      </c>
      <c r="C711" s="366" t="s">
        <v>228</v>
      </c>
      <c r="D711" s="366" t="s">
        <v>230</v>
      </c>
      <c r="E711" s="366" t="s">
        <v>27</v>
      </c>
      <c r="F711" s="366" t="s">
        <v>837</v>
      </c>
      <c r="G711" s="366" t="s">
        <v>27</v>
      </c>
      <c r="H711" s="366">
        <v>70198</v>
      </c>
      <c r="I711" s="366">
        <v>70202</v>
      </c>
      <c r="J711" s="366" t="s">
        <v>28</v>
      </c>
      <c r="K711" s="366" t="s">
        <v>836</v>
      </c>
      <c r="L711" s="366" t="s">
        <v>29</v>
      </c>
      <c r="M711" s="366"/>
      <c r="N711" s="367">
        <v>1074</v>
      </c>
      <c r="O711" s="367">
        <v>1181</v>
      </c>
      <c r="P711" s="367">
        <v>1200</v>
      </c>
      <c r="Q711" s="367">
        <v>1200</v>
      </c>
      <c r="R711" s="367">
        <v>214</v>
      </c>
      <c r="S711" s="367">
        <v>235</v>
      </c>
      <c r="T711" s="367">
        <v>239</v>
      </c>
      <c r="U711" s="367">
        <v>239</v>
      </c>
      <c r="V711" s="368"/>
    </row>
    <row r="712" spans="2:22" ht="20" x14ac:dyDescent="0.25">
      <c r="B712" s="369" t="s">
        <v>836</v>
      </c>
      <c r="C712" s="369" t="s">
        <v>228</v>
      </c>
      <c r="D712" s="369" t="s">
        <v>230</v>
      </c>
      <c r="E712" s="369" t="s">
        <v>27</v>
      </c>
      <c r="F712" s="369" t="s">
        <v>837</v>
      </c>
      <c r="G712" s="369" t="s">
        <v>27</v>
      </c>
      <c r="H712" s="369">
        <v>70198</v>
      </c>
      <c r="I712" s="369">
        <v>70202</v>
      </c>
      <c r="J712" s="369" t="s">
        <v>28</v>
      </c>
      <c r="K712" s="369" t="s">
        <v>239</v>
      </c>
      <c r="L712" s="369" t="s">
        <v>31</v>
      </c>
      <c r="M712" s="369" t="s">
        <v>2754</v>
      </c>
      <c r="N712" s="370">
        <v>1074</v>
      </c>
      <c r="O712" s="370">
        <v>1181</v>
      </c>
      <c r="P712" s="369">
        <v>1222</v>
      </c>
      <c r="Q712" s="369">
        <v>1344</v>
      </c>
      <c r="R712" s="370">
        <v>214</v>
      </c>
      <c r="S712" s="370">
        <v>235</v>
      </c>
      <c r="T712" s="369">
        <v>243</v>
      </c>
      <c r="U712" s="369">
        <v>268</v>
      </c>
      <c r="V712" s="369"/>
    </row>
    <row r="713" spans="2:22" s="364" customFormat="1" ht="20" x14ac:dyDescent="0.25">
      <c r="B713" s="369" t="s">
        <v>836</v>
      </c>
      <c r="C713" s="369" t="s">
        <v>228</v>
      </c>
      <c r="D713" s="369" t="s">
        <v>230</v>
      </c>
      <c r="E713" s="369" t="s">
        <v>27</v>
      </c>
      <c r="F713" s="369" t="s">
        <v>837</v>
      </c>
      <c r="G713" s="369" t="s">
        <v>27</v>
      </c>
      <c r="H713" s="369">
        <v>70198</v>
      </c>
      <c r="I713" s="369">
        <v>70202</v>
      </c>
      <c r="J713" s="369" t="s">
        <v>28</v>
      </c>
      <c r="K713" s="369" t="s">
        <v>2755</v>
      </c>
      <c r="L713" s="369" t="s">
        <v>1315</v>
      </c>
      <c r="M713" s="369" t="s">
        <v>2754</v>
      </c>
      <c r="N713" s="369">
        <v>1200</v>
      </c>
      <c r="O713" s="369">
        <v>1200</v>
      </c>
      <c r="P713" s="370">
        <v>1200</v>
      </c>
      <c r="Q713" s="370">
        <v>1200</v>
      </c>
      <c r="R713" s="369">
        <v>239</v>
      </c>
      <c r="S713" s="369">
        <v>239</v>
      </c>
      <c r="T713" s="370">
        <v>239</v>
      </c>
      <c r="U713" s="370">
        <v>239</v>
      </c>
      <c r="V713" s="370"/>
    </row>
    <row r="714" spans="2:22" ht="34.5" x14ac:dyDescent="0.25">
      <c r="B714" s="44" t="s">
        <v>186</v>
      </c>
      <c r="C714" s="44" t="s">
        <v>128</v>
      </c>
      <c r="D714" s="44" t="s">
        <v>552</v>
      </c>
      <c r="E714" s="44" t="s">
        <v>27</v>
      </c>
      <c r="F714" s="44" t="s">
        <v>838</v>
      </c>
      <c r="G714" s="44" t="s">
        <v>27</v>
      </c>
      <c r="H714" s="44">
        <v>70206</v>
      </c>
      <c r="I714" s="44">
        <v>70233</v>
      </c>
      <c r="J714" s="44" t="s">
        <v>28</v>
      </c>
      <c r="K714" s="44" t="s">
        <v>186</v>
      </c>
      <c r="L714" s="44" t="s">
        <v>29</v>
      </c>
      <c r="M714" s="44"/>
      <c r="N714" s="45">
        <v>1200</v>
      </c>
      <c r="O714" s="45">
        <v>1436</v>
      </c>
      <c r="P714" s="45">
        <v>1468</v>
      </c>
      <c r="Q714" s="45">
        <v>1600</v>
      </c>
      <c r="R714" s="45">
        <v>478</v>
      </c>
      <c r="S714" s="45">
        <v>572</v>
      </c>
      <c r="T714" s="45">
        <v>585</v>
      </c>
      <c r="U714" s="45">
        <v>637</v>
      </c>
      <c r="V714" s="46"/>
    </row>
    <row r="715" spans="2:22" ht="20" x14ac:dyDescent="0.25">
      <c r="B715" s="47" t="s">
        <v>186</v>
      </c>
      <c r="C715" s="47" t="s">
        <v>128</v>
      </c>
      <c r="D715" s="47" t="s">
        <v>552</v>
      </c>
      <c r="E715" s="47" t="s">
        <v>27</v>
      </c>
      <c r="F715" s="47" t="s">
        <v>838</v>
      </c>
      <c r="G715" s="47" t="s">
        <v>27</v>
      </c>
      <c r="H715" s="47">
        <v>70206</v>
      </c>
      <c r="I715" s="47">
        <v>70233</v>
      </c>
      <c r="J715" s="47" t="s">
        <v>28</v>
      </c>
      <c r="K715" s="47" t="s">
        <v>2279</v>
      </c>
      <c r="L715" s="47" t="s">
        <v>34</v>
      </c>
      <c r="M715" s="47" t="s">
        <v>839</v>
      </c>
      <c r="N715" s="48">
        <v>1200</v>
      </c>
      <c r="O715" s="47">
        <v>1549</v>
      </c>
      <c r="P715" s="47">
        <v>1486</v>
      </c>
      <c r="Q715" s="47">
        <v>1780</v>
      </c>
      <c r="R715" s="48">
        <v>478</v>
      </c>
      <c r="S715" s="47">
        <v>617</v>
      </c>
      <c r="T715" s="47">
        <v>592</v>
      </c>
      <c r="U715" s="47">
        <v>709</v>
      </c>
      <c r="V715" s="47"/>
    </row>
    <row r="716" spans="2:22" ht="20" x14ac:dyDescent="0.25">
      <c r="B716" s="47" t="s">
        <v>186</v>
      </c>
      <c r="C716" s="47" t="s">
        <v>128</v>
      </c>
      <c r="D716" s="47" t="s">
        <v>552</v>
      </c>
      <c r="E716" s="47" t="s">
        <v>27</v>
      </c>
      <c r="F716" s="47" t="s">
        <v>838</v>
      </c>
      <c r="G716" s="47" t="s">
        <v>27</v>
      </c>
      <c r="H716" s="47">
        <v>70206</v>
      </c>
      <c r="I716" s="47">
        <v>70233</v>
      </c>
      <c r="J716" s="47" t="s">
        <v>28</v>
      </c>
      <c r="K716" s="47" t="s">
        <v>388</v>
      </c>
      <c r="L716" s="47" t="s">
        <v>31</v>
      </c>
      <c r="M716" s="47" t="s">
        <v>839</v>
      </c>
      <c r="N716" s="47">
        <v>1229</v>
      </c>
      <c r="O716" s="48">
        <v>1436</v>
      </c>
      <c r="P716" s="48">
        <v>1468</v>
      </c>
      <c r="Q716" s="47">
        <v>1635</v>
      </c>
      <c r="R716" s="47">
        <v>489</v>
      </c>
      <c r="S716" s="48">
        <v>572</v>
      </c>
      <c r="T716" s="48">
        <v>585</v>
      </c>
      <c r="U716" s="47">
        <v>651</v>
      </c>
      <c r="V716" s="47"/>
    </row>
    <row r="717" spans="2:22" ht="20" x14ac:dyDescent="0.25">
      <c r="B717" s="47" t="s">
        <v>186</v>
      </c>
      <c r="C717" s="47" t="s">
        <v>128</v>
      </c>
      <c r="D717" s="47" t="s">
        <v>552</v>
      </c>
      <c r="E717" s="47" t="s">
        <v>27</v>
      </c>
      <c r="F717" s="47" t="s">
        <v>838</v>
      </c>
      <c r="G717" s="47" t="s">
        <v>27</v>
      </c>
      <c r="H717" s="47">
        <v>70206</v>
      </c>
      <c r="I717" s="47">
        <v>70233</v>
      </c>
      <c r="J717" s="47" t="s">
        <v>28</v>
      </c>
      <c r="K717" s="47" t="s">
        <v>388</v>
      </c>
      <c r="L717" s="47" t="s">
        <v>31</v>
      </c>
      <c r="M717" s="47" t="s">
        <v>555</v>
      </c>
      <c r="N717" s="47">
        <v>1229</v>
      </c>
      <c r="O717" s="48">
        <v>1436</v>
      </c>
      <c r="P717" s="48">
        <v>1468</v>
      </c>
      <c r="Q717" s="47">
        <v>1635</v>
      </c>
      <c r="R717" s="47">
        <v>489</v>
      </c>
      <c r="S717" s="48">
        <v>572</v>
      </c>
      <c r="T717" s="48">
        <v>585</v>
      </c>
      <c r="U717" s="47">
        <v>651</v>
      </c>
      <c r="V717" s="47"/>
    </row>
    <row r="718" spans="2:22" ht="20" x14ac:dyDescent="0.25">
      <c r="B718" s="47" t="s">
        <v>186</v>
      </c>
      <c r="C718" s="47" t="s">
        <v>128</v>
      </c>
      <c r="D718" s="47" t="s">
        <v>552</v>
      </c>
      <c r="E718" s="47" t="s">
        <v>27</v>
      </c>
      <c r="F718" s="47" t="s">
        <v>838</v>
      </c>
      <c r="G718" s="47" t="s">
        <v>27</v>
      </c>
      <c r="H718" s="47">
        <v>70206</v>
      </c>
      <c r="I718" s="47">
        <v>70233</v>
      </c>
      <c r="J718" s="47" t="s">
        <v>28</v>
      </c>
      <c r="K718" s="47" t="s">
        <v>187</v>
      </c>
      <c r="L718" s="47" t="s">
        <v>1315</v>
      </c>
      <c r="M718" s="47" t="s">
        <v>839</v>
      </c>
      <c r="N718" s="47">
        <v>1600</v>
      </c>
      <c r="O718" s="47">
        <v>1600</v>
      </c>
      <c r="P718" s="47">
        <v>1600</v>
      </c>
      <c r="Q718" s="48">
        <v>1600</v>
      </c>
      <c r="R718" s="47">
        <v>637</v>
      </c>
      <c r="S718" s="47">
        <v>637</v>
      </c>
      <c r="T718" s="47">
        <v>637</v>
      </c>
      <c r="U718" s="48">
        <v>637</v>
      </c>
      <c r="V718" s="48"/>
    </row>
    <row r="719" spans="2:22" ht="23" x14ac:dyDescent="0.25">
      <c r="B719" s="44" t="s">
        <v>180</v>
      </c>
      <c r="C719" s="44" t="s">
        <v>120</v>
      </c>
      <c r="D719" s="44" t="s">
        <v>507</v>
      </c>
      <c r="E719" s="44" t="s">
        <v>27</v>
      </c>
      <c r="F719" s="44" t="s">
        <v>840</v>
      </c>
      <c r="G719" s="44" t="s">
        <v>27</v>
      </c>
      <c r="H719" s="44">
        <v>70200</v>
      </c>
      <c r="I719" s="44">
        <v>70461</v>
      </c>
      <c r="J719" s="44" t="s">
        <v>28</v>
      </c>
      <c r="K719" s="44" t="s">
        <v>180</v>
      </c>
      <c r="L719" s="44" t="s">
        <v>29</v>
      </c>
      <c r="M719" s="44"/>
      <c r="N719" s="45">
        <v>1218</v>
      </c>
      <c r="O719" s="45">
        <v>1424</v>
      </c>
      <c r="P719" s="45">
        <v>1454</v>
      </c>
      <c r="Q719" s="45">
        <v>1600</v>
      </c>
      <c r="R719" s="45">
        <v>485</v>
      </c>
      <c r="S719" s="45">
        <v>567</v>
      </c>
      <c r="T719" s="45">
        <v>579</v>
      </c>
      <c r="U719" s="45">
        <v>637</v>
      </c>
      <c r="V719" s="46"/>
    </row>
    <row r="720" spans="2:22" ht="20" x14ac:dyDescent="0.25">
      <c r="B720" s="47" t="s">
        <v>180</v>
      </c>
      <c r="C720" s="47" t="s">
        <v>120</v>
      </c>
      <c r="D720" s="47" t="s">
        <v>507</v>
      </c>
      <c r="E720" s="47" t="s">
        <v>27</v>
      </c>
      <c r="F720" s="47" t="s">
        <v>840</v>
      </c>
      <c r="G720" s="47" t="s">
        <v>27</v>
      </c>
      <c r="H720" s="47">
        <v>70200</v>
      </c>
      <c r="I720" s="47">
        <v>70461</v>
      </c>
      <c r="J720" s="47" t="s">
        <v>28</v>
      </c>
      <c r="K720" s="47" t="s">
        <v>388</v>
      </c>
      <c r="L720" s="47" t="s">
        <v>31</v>
      </c>
      <c r="M720" s="47" t="s">
        <v>509</v>
      </c>
      <c r="N720" s="48">
        <v>1218</v>
      </c>
      <c r="O720" s="48">
        <v>1424</v>
      </c>
      <c r="P720" s="48">
        <v>1454</v>
      </c>
      <c r="Q720" s="47">
        <v>1623</v>
      </c>
      <c r="R720" s="48">
        <v>485</v>
      </c>
      <c r="S720" s="48">
        <v>567</v>
      </c>
      <c r="T720" s="48">
        <v>579</v>
      </c>
      <c r="U720" s="47">
        <v>647</v>
      </c>
      <c r="V720" s="47"/>
    </row>
    <row r="721" spans="2:22" ht="20" x14ac:dyDescent="0.25">
      <c r="B721" s="47" t="s">
        <v>180</v>
      </c>
      <c r="C721" s="47" t="s">
        <v>120</v>
      </c>
      <c r="D721" s="47" t="s">
        <v>507</v>
      </c>
      <c r="E721" s="47" t="s">
        <v>27</v>
      </c>
      <c r="F721" s="47" t="s">
        <v>840</v>
      </c>
      <c r="G721" s="47" t="s">
        <v>27</v>
      </c>
      <c r="H721" s="47">
        <v>70200</v>
      </c>
      <c r="I721" s="47">
        <v>70461</v>
      </c>
      <c r="J721" s="47" t="s">
        <v>28</v>
      </c>
      <c r="K721" s="47" t="s">
        <v>181</v>
      </c>
      <c r="L721" s="47" t="s">
        <v>1315</v>
      </c>
      <c r="M721" s="47" t="s">
        <v>841</v>
      </c>
      <c r="N721" s="47">
        <v>1600</v>
      </c>
      <c r="O721" s="47">
        <v>1600</v>
      </c>
      <c r="P721" s="47">
        <v>1600</v>
      </c>
      <c r="Q721" s="48">
        <v>1600</v>
      </c>
      <c r="R721" s="47">
        <v>637</v>
      </c>
      <c r="S721" s="47">
        <v>637</v>
      </c>
      <c r="T721" s="47">
        <v>637</v>
      </c>
      <c r="U721" s="48">
        <v>637</v>
      </c>
      <c r="V721" s="48"/>
    </row>
    <row r="722" spans="2:22" ht="20" x14ac:dyDescent="0.25">
      <c r="B722" s="47" t="s">
        <v>180</v>
      </c>
      <c r="C722" s="47" t="s">
        <v>120</v>
      </c>
      <c r="D722" s="47" t="s">
        <v>507</v>
      </c>
      <c r="E722" s="47" t="s">
        <v>27</v>
      </c>
      <c r="F722" s="47" t="s">
        <v>840</v>
      </c>
      <c r="G722" s="47" t="s">
        <v>27</v>
      </c>
      <c r="H722" s="47">
        <v>70200</v>
      </c>
      <c r="I722" s="47">
        <v>70461</v>
      </c>
      <c r="J722" s="47" t="s">
        <v>28</v>
      </c>
      <c r="K722" s="47" t="s">
        <v>182</v>
      </c>
      <c r="L722" s="47" t="s">
        <v>1315</v>
      </c>
      <c r="M722" s="47" t="s">
        <v>509</v>
      </c>
      <c r="N722" s="47">
        <v>1600</v>
      </c>
      <c r="O722" s="47">
        <v>1600</v>
      </c>
      <c r="P722" s="47">
        <v>1600</v>
      </c>
      <c r="Q722" s="48">
        <v>1600</v>
      </c>
      <c r="R722" s="47">
        <v>637</v>
      </c>
      <c r="S722" s="47">
        <v>637</v>
      </c>
      <c r="T722" s="47">
        <v>637</v>
      </c>
      <c r="U722" s="48">
        <v>637</v>
      </c>
      <c r="V722" s="48"/>
    </row>
    <row r="723" spans="2:22" ht="23" x14ac:dyDescent="0.25">
      <c r="B723" s="44" t="s">
        <v>842</v>
      </c>
      <c r="C723" s="44" t="s">
        <v>843</v>
      </c>
      <c r="D723" s="44" t="s">
        <v>837</v>
      </c>
      <c r="E723" s="44" t="s">
        <v>27</v>
      </c>
      <c r="F723" s="44" t="s">
        <v>844</v>
      </c>
      <c r="G723" s="44" t="s">
        <v>27</v>
      </c>
      <c r="H723" s="44">
        <v>70202</v>
      </c>
      <c r="I723" s="44">
        <v>70209</v>
      </c>
      <c r="J723" s="44" t="s">
        <v>28</v>
      </c>
      <c r="K723" s="44" t="s">
        <v>842</v>
      </c>
      <c r="L723" s="44" t="s">
        <v>29</v>
      </c>
      <c r="M723" s="44"/>
      <c r="N723" s="45">
        <v>785</v>
      </c>
      <c r="O723" s="45">
        <v>785</v>
      </c>
      <c r="P723" s="45">
        <v>898</v>
      </c>
      <c r="Q723" s="45">
        <v>898</v>
      </c>
      <c r="R723" s="45">
        <v>156</v>
      </c>
      <c r="S723" s="45">
        <v>156</v>
      </c>
      <c r="T723" s="45">
        <v>179</v>
      </c>
      <c r="U723" s="45">
        <v>179</v>
      </c>
      <c r="V723" s="46"/>
    </row>
    <row r="724" spans="2:22" ht="20" x14ac:dyDescent="0.25">
      <c r="B724" s="47" t="s">
        <v>842</v>
      </c>
      <c r="C724" s="47" t="s">
        <v>843</v>
      </c>
      <c r="D724" s="47" t="s">
        <v>837</v>
      </c>
      <c r="E724" s="47" t="s">
        <v>27</v>
      </c>
      <c r="F724" s="47" t="s">
        <v>844</v>
      </c>
      <c r="G724" s="47" t="s">
        <v>27</v>
      </c>
      <c r="H724" s="47">
        <v>70202</v>
      </c>
      <c r="I724" s="47">
        <v>70209</v>
      </c>
      <c r="J724" s="47" t="s">
        <v>28</v>
      </c>
      <c r="K724" s="47" t="s">
        <v>842</v>
      </c>
      <c r="L724" s="47" t="s">
        <v>30</v>
      </c>
      <c r="M724" s="47" t="s">
        <v>843</v>
      </c>
      <c r="N724" s="48">
        <v>785</v>
      </c>
      <c r="O724" s="48">
        <v>785</v>
      </c>
      <c r="P724" s="48">
        <v>898</v>
      </c>
      <c r="Q724" s="48">
        <v>898</v>
      </c>
      <c r="R724" s="48">
        <v>156</v>
      </c>
      <c r="S724" s="48">
        <v>156</v>
      </c>
      <c r="T724" s="48">
        <v>179</v>
      </c>
      <c r="U724" s="48">
        <v>179</v>
      </c>
      <c r="V724" s="48"/>
    </row>
    <row r="725" spans="2:22" ht="23" x14ac:dyDescent="0.25">
      <c r="B725" s="44" t="s">
        <v>849</v>
      </c>
      <c r="C725" s="44" t="s">
        <v>850</v>
      </c>
      <c r="D725" s="44" t="s">
        <v>837</v>
      </c>
      <c r="E725" s="44" t="s">
        <v>27</v>
      </c>
      <c r="F725" s="44" t="s">
        <v>851</v>
      </c>
      <c r="G725" s="44" t="s">
        <v>27</v>
      </c>
      <c r="H725" s="44">
        <v>70202</v>
      </c>
      <c r="I725" s="44">
        <v>70240</v>
      </c>
      <c r="J725" s="44" t="s">
        <v>28</v>
      </c>
      <c r="K725" s="44" t="s">
        <v>849</v>
      </c>
      <c r="L725" s="44" t="s">
        <v>29</v>
      </c>
      <c r="M725" s="44"/>
      <c r="N725" s="45">
        <v>939</v>
      </c>
      <c r="O725" s="45">
        <v>1033</v>
      </c>
      <c r="P725" s="45">
        <v>1068</v>
      </c>
      <c r="Q725" s="45">
        <v>1175</v>
      </c>
      <c r="R725" s="45">
        <v>187</v>
      </c>
      <c r="S725" s="45">
        <v>206</v>
      </c>
      <c r="T725" s="45">
        <v>213</v>
      </c>
      <c r="U725" s="45">
        <v>234</v>
      </c>
      <c r="V725" s="46"/>
    </row>
    <row r="726" spans="2:22" ht="20" x14ac:dyDescent="0.25">
      <c r="B726" s="47" t="s">
        <v>849</v>
      </c>
      <c r="C726" s="47" t="s">
        <v>850</v>
      </c>
      <c r="D726" s="47" t="s">
        <v>837</v>
      </c>
      <c r="E726" s="47" t="s">
        <v>27</v>
      </c>
      <c r="F726" s="47" t="s">
        <v>851</v>
      </c>
      <c r="G726" s="47" t="s">
        <v>27</v>
      </c>
      <c r="H726" s="47">
        <v>70202</v>
      </c>
      <c r="I726" s="47">
        <v>70240</v>
      </c>
      <c r="J726" s="47" t="s">
        <v>28</v>
      </c>
      <c r="K726" s="47" t="s">
        <v>960</v>
      </c>
      <c r="L726" s="47" t="s">
        <v>31</v>
      </c>
      <c r="M726" s="47" t="s">
        <v>972</v>
      </c>
      <c r="N726" s="48">
        <v>939</v>
      </c>
      <c r="O726" s="48">
        <v>1033</v>
      </c>
      <c r="P726" s="48">
        <v>1068</v>
      </c>
      <c r="Q726" s="48">
        <v>1175</v>
      </c>
      <c r="R726" s="48">
        <v>187</v>
      </c>
      <c r="S726" s="48">
        <v>206</v>
      </c>
      <c r="T726" s="48">
        <v>213</v>
      </c>
      <c r="U726" s="48">
        <v>234</v>
      </c>
      <c r="V726" s="48"/>
    </row>
    <row r="727" spans="2:22" ht="23" x14ac:dyDescent="0.25">
      <c r="B727" s="94" t="s">
        <v>2706</v>
      </c>
      <c r="C727" s="94" t="s">
        <v>2705</v>
      </c>
      <c r="D727" s="94" t="s">
        <v>2696</v>
      </c>
      <c r="E727" s="94" t="s">
        <v>27</v>
      </c>
      <c r="F727" s="94" t="s">
        <v>2700</v>
      </c>
      <c r="G727" s="94" t="s">
        <v>27</v>
      </c>
      <c r="H727" s="94">
        <v>70918</v>
      </c>
      <c r="I727" s="94">
        <v>70919</v>
      </c>
      <c r="J727" s="94" t="s">
        <v>28</v>
      </c>
      <c r="K727" s="94" t="s">
        <v>2706</v>
      </c>
      <c r="L727" s="94" t="s">
        <v>29</v>
      </c>
      <c r="M727" s="94"/>
      <c r="N727" s="97">
        <v>2914</v>
      </c>
      <c r="O727" s="97">
        <v>3000</v>
      </c>
      <c r="P727" s="97">
        <v>3000</v>
      </c>
      <c r="Q727" s="97">
        <v>3000</v>
      </c>
      <c r="R727" s="97">
        <v>1741</v>
      </c>
      <c r="S727" s="97">
        <v>1793</v>
      </c>
      <c r="T727" s="97">
        <v>1793</v>
      </c>
      <c r="U727" s="97">
        <v>1793</v>
      </c>
      <c r="V727" s="98"/>
    </row>
    <row r="728" spans="2:22" ht="20" x14ac:dyDescent="0.25">
      <c r="B728" s="96" t="s">
        <v>2706</v>
      </c>
      <c r="C728" s="96" t="s">
        <v>2705</v>
      </c>
      <c r="D728" s="96" t="s">
        <v>2696</v>
      </c>
      <c r="E728" s="96" t="s">
        <v>27</v>
      </c>
      <c r="F728" s="96" t="s">
        <v>2700</v>
      </c>
      <c r="G728" s="96" t="s">
        <v>27</v>
      </c>
      <c r="H728" s="96">
        <v>70918</v>
      </c>
      <c r="I728" s="96">
        <v>70919</v>
      </c>
      <c r="J728" s="96" t="s">
        <v>28</v>
      </c>
      <c r="K728" s="96" t="s">
        <v>2706</v>
      </c>
      <c r="L728" s="96" t="s">
        <v>30</v>
      </c>
      <c r="M728" s="96" t="s">
        <v>2705</v>
      </c>
      <c r="N728" s="95">
        <v>2914</v>
      </c>
      <c r="O728" s="96">
        <v>3205</v>
      </c>
      <c r="P728" s="96">
        <v>3322</v>
      </c>
      <c r="Q728" s="96">
        <v>3654</v>
      </c>
      <c r="R728" s="95">
        <v>1741</v>
      </c>
      <c r="S728" s="96">
        <v>1915</v>
      </c>
      <c r="T728" s="96">
        <v>1985</v>
      </c>
      <c r="U728" s="96">
        <v>2183</v>
      </c>
      <c r="V728" s="96"/>
    </row>
    <row r="729" spans="2:22" ht="20" x14ac:dyDescent="0.25">
      <c r="B729" s="96" t="s">
        <v>2706</v>
      </c>
      <c r="C729" s="96" t="s">
        <v>2705</v>
      </c>
      <c r="D729" s="96" t="s">
        <v>2696</v>
      </c>
      <c r="E729" s="96" t="s">
        <v>27</v>
      </c>
      <c r="F729" s="96" t="s">
        <v>2700</v>
      </c>
      <c r="G729" s="96" t="s">
        <v>27</v>
      </c>
      <c r="H729" s="96">
        <v>70918</v>
      </c>
      <c r="I729" s="96">
        <v>70919</v>
      </c>
      <c r="J729" s="96" t="s">
        <v>28</v>
      </c>
      <c r="K729" s="96" t="s">
        <v>2708</v>
      </c>
      <c r="L729" s="96" t="s">
        <v>49</v>
      </c>
      <c r="M729" s="96" t="s">
        <v>2703</v>
      </c>
      <c r="N729" s="96">
        <v>3000</v>
      </c>
      <c r="O729" s="95">
        <v>3000</v>
      </c>
      <c r="P729" s="95">
        <v>3000</v>
      </c>
      <c r="Q729" s="95">
        <v>3000</v>
      </c>
      <c r="R729" s="96">
        <v>1793</v>
      </c>
      <c r="S729" s="95">
        <v>1793</v>
      </c>
      <c r="T729" s="95">
        <v>1793</v>
      </c>
      <c r="U729" s="95">
        <v>1793</v>
      </c>
      <c r="V729" s="95"/>
    </row>
    <row r="730" spans="2:22" ht="20" x14ac:dyDescent="0.25">
      <c r="B730" s="96" t="s">
        <v>2706</v>
      </c>
      <c r="C730" s="96" t="s">
        <v>2705</v>
      </c>
      <c r="D730" s="96" t="s">
        <v>2696</v>
      </c>
      <c r="E730" s="96" t="s">
        <v>27</v>
      </c>
      <c r="F730" s="96" t="s">
        <v>2700</v>
      </c>
      <c r="G730" s="96" t="s">
        <v>27</v>
      </c>
      <c r="H730" s="96">
        <v>70918</v>
      </c>
      <c r="I730" s="96">
        <v>70919</v>
      </c>
      <c r="J730" s="96" t="s">
        <v>28</v>
      </c>
      <c r="K730" s="96" t="s">
        <v>2707</v>
      </c>
      <c r="L730" s="96" t="s">
        <v>49</v>
      </c>
      <c r="M730" s="96" t="s">
        <v>2698</v>
      </c>
      <c r="N730" s="96">
        <v>3000</v>
      </c>
      <c r="O730" s="95">
        <v>3000</v>
      </c>
      <c r="P730" s="95">
        <v>3000</v>
      </c>
      <c r="Q730" s="95">
        <v>3000</v>
      </c>
      <c r="R730" s="96">
        <v>1793</v>
      </c>
      <c r="S730" s="95">
        <v>1793</v>
      </c>
      <c r="T730" s="95">
        <v>1793</v>
      </c>
      <c r="U730" s="95">
        <v>1793</v>
      </c>
      <c r="V730" s="95"/>
    </row>
    <row r="731" spans="2:22" ht="20" x14ac:dyDescent="0.25">
      <c r="B731" s="96" t="s">
        <v>2706</v>
      </c>
      <c r="C731" s="96" t="s">
        <v>2705</v>
      </c>
      <c r="D731" s="96" t="s">
        <v>2696</v>
      </c>
      <c r="E731" s="96" t="s">
        <v>27</v>
      </c>
      <c r="F731" s="96" t="s">
        <v>2700</v>
      </c>
      <c r="G731" s="96" t="s">
        <v>27</v>
      </c>
      <c r="H731" s="96">
        <v>70918</v>
      </c>
      <c r="I731" s="96">
        <v>70919</v>
      </c>
      <c r="J731" s="96" t="s">
        <v>28</v>
      </c>
      <c r="K731" s="96" t="s">
        <v>2705</v>
      </c>
      <c r="L731" s="96" t="s">
        <v>49</v>
      </c>
      <c r="M731" s="96" t="s">
        <v>2703</v>
      </c>
      <c r="N731" s="96">
        <v>3000</v>
      </c>
      <c r="O731" s="95">
        <v>3000</v>
      </c>
      <c r="P731" s="95">
        <v>3000</v>
      </c>
      <c r="Q731" s="95">
        <v>3000</v>
      </c>
      <c r="R731" s="96">
        <v>1793</v>
      </c>
      <c r="S731" s="95">
        <v>1793</v>
      </c>
      <c r="T731" s="95">
        <v>1793</v>
      </c>
      <c r="U731" s="95">
        <v>1793</v>
      </c>
      <c r="V731" s="95"/>
    </row>
    <row r="732" spans="2:22" ht="20" x14ac:dyDescent="0.25">
      <c r="B732" s="96" t="s">
        <v>2706</v>
      </c>
      <c r="C732" s="96" t="s">
        <v>2705</v>
      </c>
      <c r="D732" s="96" t="s">
        <v>2696</v>
      </c>
      <c r="E732" s="96" t="s">
        <v>27</v>
      </c>
      <c r="F732" s="96" t="s">
        <v>2700</v>
      </c>
      <c r="G732" s="96" t="s">
        <v>27</v>
      </c>
      <c r="H732" s="96">
        <v>70918</v>
      </c>
      <c r="I732" s="96">
        <v>70919</v>
      </c>
      <c r="J732" s="96" t="s">
        <v>28</v>
      </c>
      <c r="K732" s="96" t="s">
        <v>2705</v>
      </c>
      <c r="L732" s="96" t="s">
        <v>49</v>
      </c>
      <c r="M732" s="96" t="s">
        <v>2698</v>
      </c>
      <c r="N732" s="96">
        <v>3000</v>
      </c>
      <c r="O732" s="95">
        <v>3000</v>
      </c>
      <c r="P732" s="95">
        <v>3000</v>
      </c>
      <c r="Q732" s="95">
        <v>3000</v>
      </c>
      <c r="R732" s="96">
        <v>1793</v>
      </c>
      <c r="S732" s="95">
        <v>1793</v>
      </c>
      <c r="T732" s="95">
        <v>1793</v>
      </c>
      <c r="U732" s="95">
        <v>1793</v>
      </c>
      <c r="V732" s="95"/>
    </row>
    <row r="733" spans="2:22" ht="23" x14ac:dyDescent="0.25">
      <c r="B733" s="94" t="s">
        <v>2702</v>
      </c>
      <c r="C733" s="94" t="s">
        <v>2701</v>
      </c>
      <c r="D733" s="94" t="s">
        <v>2696</v>
      </c>
      <c r="E733" s="94" t="s">
        <v>27</v>
      </c>
      <c r="F733" s="94" t="s">
        <v>2700</v>
      </c>
      <c r="G733" s="94" t="s">
        <v>27</v>
      </c>
      <c r="H733" s="94">
        <v>70918</v>
      </c>
      <c r="I733" s="94">
        <v>70919</v>
      </c>
      <c r="J733" s="94" t="s">
        <v>28</v>
      </c>
      <c r="K733" s="94" t="s">
        <v>2702</v>
      </c>
      <c r="L733" s="94" t="s">
        <v>29</v>
      </c>
      <c r="M733" s="94"/>
      <c r="N733" s="97">
        <v>2914</v>
      </c>
      <c r="O733" s="97">
        <v>3000</v>
      </c>
      <c r="P733" s="97">
        <v>3000</v>
      </c>
      <c r="Q733" s="97">
        <v>3000</v>
      </c>
      <c r="R733" s="97">
        <v>1741</v>
      </c>
      <c r="S733" s="97">
        <v>1793</v>
      </c>
      <c r="T733" s="97">
        <v>1793</v>
      </c>
      <c r="U733" s="97">
        <v>1793</v>
      </c>
      <c r="V733" s="98"/>
    </row>
    <row r="734" spans="2:22" ht="20" x14ac:dyDescent="0.25">
      <c r="B734" s="96" t="s">
        <v>2702</v>
      </c>
      <c r="C734" s="96" t="s">
        <v>2701</v>
      </c>
      <c r="D734" s="96" t="s">
        <v>2696</v>
      </c>
      <c r="E734" s="96" t="s">
        <v>27</v>
      </c>
      <c r="F734" s="96" t="s">
        <v>2700</v>
      </c>
      <c r="G734" s="96" t="s">
        <v>27</v>
      </c>
      <c r="H734" s="96">
        <v>70918</v>
      </c>
      <c r="I734" s="96">
        <v>70919</v>
      </c>
      <c r="J734" s="96" t="s">
        <v>28</v>
      </c>
      <c r="K734" s="96" t="s">
        <v>2702</v>
      </c>
      <c r="L734" s="96" t="s">
        <v>30</v>
      </c>
      <c r="M734" s="96" t="s">
        <v>2701</v>
      </c>
      <c r="N734" s="95">
        <v>2914</v>
      </c>
      <c r="O734" s="96">
        <v>3205</v>
      </c>
      <c r="P734" s="96">
        <v>3322</v>
      </c>
      <c r="Q734" s="96">
        <v>3654</v>
      </c>
      <c r="R734" s="95">
        <v>1741</v>
      </c>
      <c r="S734" s="96">
        <v>1915</v>
      </c>
      <c r="T734" s="96">
        <v>1985</v>
      </c>
      <c r="U734" s="96">
        <v>2183</v>
      </c>
      <c r="V734" s="96"/>
    </row>
    <row r="735" spans="2:22" ht="20" x14ac:dyDescent="0.25">
      <c r="B735" s="96" t="s">
        <v>2702</v>
      </c>
      <c r="C735" s="96" t="s">
        <v>2701</v>
      </c>
      <c r="D735" s="96" t="s">
        <v>2696</v>
      </c>
      <c r="E735" s="96" t="s">
        <v>27</v>
      </c>
      <c r="F735" s="96" t="s">
        <v>2700</v>
      </c>
      <c r="G735" s="96" t="s">
        <v>27</v>
      </c>
      <c r="H735" s="96">
        <v>70918</v>
      </c>
      <c r="I735" s="96">
        <v>70919</v>
      </c>
      <c r="J735" s="96" t="s">
        <v>28</v>
      </c>
      <c r="K735" s="96" t="s">
        <v>2701</v>
      </c>
      <c r="L735" s="96" t="s">
        <v>49</v>
      </c>
      <c r="M735" s="96" t="s">
        <v>2698</v>
      </c>
      <c r="N735" s="96">
        <v>3000</v>
      </c>
      <c r="O735" s="95">
        <v>3000</v>
      </c>
      <c r="P735" s="95">
        <v>3000</v>
      </c>
      <c r="Q735" s="95">
        <v>3000</v>
      </c>
      <c r="R735" s="96">
        <v>1793</v>
      </c>
      <c r="S735" s="95">
        <v>1793</v>
      </c>
      <c r="T735" s="95">
        <v>1793</v>
      </c>
      <c r="U735" s="95">
        <v>1793</v>
      </c>
      <c r="V735" s="95"/>
    </row>
    <row r="736" spans="2:22" ht="20" x14ac:dyDescent="0.25">
      <c r="B736" s="96" t="s">
        <v>2702</v>
      </c>
      <c r="C736" s="96" t="s">
        <v>2701</v>
      </c>
      <c r="D736" s="96" t="s">
        <v>2696</v>
      </c>
      <c r="E736" s="96" t="s">
        <v>27</v>
      </c>
      <c r="F736" s="96" t="s">
        <v>2700</v>
      </c>
      <c r="G736" s="96" t="s">
        <v>27</v>
      </c>
      <c r="H736" s="96">
        <v>70918</v>
      </c>
      <c r="I736" s="96">
        <v>70919</v>
      </c>
      <c r="J736" s="96" t="s">
        <v>28</v>
      </c>
      <c r="K736" s="96" t="s">
        <v>2704</v>
      </c>
      <c r="L736" s="96" t="s">
        <v>49</v>
      </c>
      <c r="M736" s="96" t="s">
        <v>2703</v>
      </c>
      <c r="N736" s="96">
        <v>3000</v>
      </c>
      <c r="O736" s="95">
        <v>3000</v>
      </c>
      <c r="P736" s="95">
        <v>3000</v>
      </c>
      <c r="Q736" s="95">
        <v>3000</v>
      </c>
      <c r="R736" s="96">
        <v>1793</v>
      </c>
      <c r="S736" s="95">
        <v>1793</v>
      </c>
      <c r="T736" s="95">
        <v>1793</v>
      </c>
      <c r="U736" s="95">
        <v>1793</v>
      </c>
      <c r="V736" s="95"/>
    </row>
    <row r="737" spans="2:22" ht="20" x14ac:dyDescent="0.25">
      <c r="B737" s="96" t="s">
        <v>2702</v>
      </c>
      <c r="C737" s="96" t="s">
        <v>2701</v>
      </c>
      <c r="D737" s="96" t="s">
        <v>2696</v>
      </c>
      <c r="E737" s="96" t="s">
        <v>27</v>
      </c>
      <c r="F737" s="96" t="s">
        <v>2700</v>
      </c>
      <c r="G737" s="96" t="s">
        <v>27</v>
      </c>
      <c r="H737" s="96">
        <v>70918</v>
      </c>
      <c r="I737" s="96">
        <v>70919</v>
      </c>
      <c r="J737" s="96" t="s">
        <v>28</v>
      </c>
      <c r="K737" s="96" t="s">
        <v>2701</v>
      </c>
      <c r="L737" s="96" t="s">
        <v>49</v>
      </c>
      <c r="M737" s="96" t="s">
        <v>2703</v>
      </c>
      <c r="N737" s="96">
        <v>3000</v>
      </c>
      <c r="O737" s="95">
        <v>3000</v>
      </c>
      <c r="P737" s="95">
        <v>3000</v>
      </c>
      <c r="Q737" s="95">
        <v>3000</v>
      </c>
      <c r="R737" s="96">
        <v>1793</v>
      </c>
      <c r="S737" s="95">
        <v>1793</v>
      </c>
      <c r="T737" s="95">
        <v>1793</v>
      </c>
      <c r="U737" s="95">
        <v>1793</v>
      </c>
      <c r="V737" s="95"/>
    </row>
    <row r="738" spans="2:22" ht="20" x14ac:dyDescent="0.25">
      <c r="B738" s="96" t="s">
        <v>2702</v>
      </c>
      <c r="C738" s="96" t="s">
        <v>2701</v>
      </c>
      <c r="D738" s="96" t="s">
        <v>2696</v>
      </c>
      <c r="E738" s="96" t="s">
        <v>27</v>
      </c>
      <c r="F738" s="96" t="s">
        <v>2700</v>
      </c>
      <c r="G738" s="96" t="s">
        <v>27</v>
      </c>
      <c r="H738" s="96">
        <v>70918</v>
      </c>
      <c r="I738" s="96">
        <v>70919</v>
      </c>
      <c r="J738" s="96" t="s">
        <v>28</v>
      </c>
      <c r="K738" s="96" t="s">
        <v>2699</v>
      </c>
      <c r="L738" s="96" t="s">
        <v>49</v>
      </c>
      <c r="M738" s="96" t="s">
        <v>2698</v>
      </c>
      <c r="N738" s="96">
        <v>3000</v>
      </c>
      <c r="O738" s="95">
        <v>3000</v>
      </c>
      <c r="P738" s="95">
        <v>3000</v>
      </c>
      <c r="Q738" s="95">
        <v>3000</v>
      </c>
      <c r="R738" s="96">
        <v>1793</v>
      </c>
      <c r="S738" s="95">
        <v>1793</v>
      </c>
      <c r="T738" s="95">
        <v>1793</v>
      </c>
      <c r="U738" s="95">
        <v>1793</v>
      </c>
      <c r="V738" s="95"/>
    </row>
    <row r="739" spans="2:22" x14ac:dyDescent="0.25">
      <c r="B739" s="94" t="s">
        <v>2697</v>
      </c>
      <c r="C739" s="94" t="s">
        <v>2238</v>
      </c>
      <c r="D739" s="94" t="s">
        <v>2696</v>
      </c>
      <c r="E739" s="94" t="s">
        <v>27</v>
      </c>
      <c r="F739" s="94" t="s">
        <v>2239</v>
      </c>
      <c r="G739" s="94" t="s">
        <v>27</v>
      </c>
      <c r="H739" s="94">
        <v>70918</v>
      </c>
      <c r="I739" s="94">
        <v>70630</v>
      </c>
      <c r="J739" s="94" t="s">
        <v>28</v>
      </c>
      <c r="K739" s="94" t="s">
        <v>2697</v>
      </c>
      <c r="L739" s="94" t="s">
        <v>29</v>
      </c>
      <c r="M739" s="94"/>
      <c r="N739" s="97">
        <v>1200</v>
      </c>
      <c r="O739" s="97">
        <v>1200</v>
      </c>
      <c r="P739" s="97">
        <v>1200</v>
      </c>
      <c r="Q739" s="97">
        <v>1200</v>
      </c>
      <c r="R739" s="97">
        <v>717</v>
      </c>
      <c r="S739" s="97">
        <v>717</v>
      </c>
      <c r="T739" s="97">
        <v>717</v>
      </c>
      <c r="U739" s="97">
        <v>717</v>
      </c>
      <c r="V739" s="98"/>
    </row>
    <row r="740" spans="2:22" ht="20" x14ac:dyDescent="0.25">
      <c r="B740" s="96" t="s">
        <v>2697</v>
      </c>
      <c r="C740" s="96" t="s">
        <v>2238</v>
      </c>
      <c r="D740" s="96" t="s">
        <v>2696</v>
      </c>
      <c r="E740" s="96" t="s">
        <v>27</v>
      </c>
      <c r="F740" s="96" t="s">
        <v>2239</v>
      </c>
      <c r="G740" s="96" t="s">
        <v>27</v>
      </c>
      <c r="H740" s="96">
        <v>70918</v>
      </c>
      <c r="I740" s="96">
        <v>70630</v>
      </c>
      <c r="J740" s="96" t="s">
        <v>28</v>
      </c>
      <c r="K740" s="96" t="s">
        <v>2244</v>
      </c>
      <c r="L740" s="96" t="s">
        <v>39</v>
      </c>
      <c r="M740" s="96" t="s">
        <v>2241</v>
      </c>
      <c r="N740" s="95">
        <v>1200</v>
      </c>
      <c r="O740" s="95">
        <v>1200</v>
      </c>
      <c r="P740" s="95">
        <v>1200</v>
      </c>
      <c r="Q740" s="95">
        <v>1200</v>
      </c>
      <c r="R740" s="95">
        <v>717</v>
      </c>
      <c r="S740" s="95">
        <v>717</v>
      </c>
      <c r="T740" s="95">
        <v>717</v>
      </c>
      <c r="U740" s="95">
        <v>717</v>
      </c>
      <c r="V740" s="95"/>
    </row>
    <row r="741" spans="2:22" ht="30" x14ac:dyDescent="0.25">
      <c r="B741" s="96" t="s">
        <v>2697</v>
      </c>
      <c r="C741" s="96" t="s">
        <v>2238</v>
      </c>
      <c r="D741" s="96" t="s">
        <v>2696</v>
      </c>
      <c r="E741" s="96" t="s">
        <v>27</v>
      </c>
      <c r="F741" s="96" t="s">
        <v>2239</v>
      </c>
      <c r="G741" s="96" t="s">
        <v>27</v>
      </c>
      <c r="H741" s="96">
        <v>70918</v>
      </c>
      <c r="I741" s="96">
        <v>70630</v>
      </c>
      <c r="J741" s="96" t="s">
        <v>28</v>
      </c>
      <c r="K741" s="96" t="s">
        <v>2243</v>
      </c>
      <c r="L741" s="96" t="s">
        <v>36</v>
      </c>
      <c r="M741" s="96" t="s">
        <v>2241</v>
      </c>
      <c r="N741" s="95">
        <v>1200</v>
      </c>
      <c r="O741" s="95">
        <v>1200</v>
      </c>
      <c r="P741" s="95">
        <v>1200</v>
      </c>
      <c r="Q741" s="95">
        <v>1200</v>
      </c>
      <c r="R741" s="95">
        <v>717</v>
      </c>
      <c r="S741" s="95">
        <v>717</v>
      </c>
      <c r="T741" s="95">
        <v>717</v>
      </c>
      <c r="U741" s="95">
        <v>717</v>
      </c>
      <c r="V741" s="95"/>
    </row>
    <row r="742" spans="2:22" ht="20" x14ac:dyDescent="0.25">
      <c r="B742" s="96" t="s">
        <v>2697</v>
      </c>
      <c r="C742" s="96" t="s">
        <v>2238</v>
      </c>
      <c r="D742" s="96" t="s">
        <v>2696</v>
      </c>
      <c r="E742" s="96" t="s">
        <v>27</v>
      </c>
      <c r="F742" s="96" t="s">
        <v>2239</v>
      </c>
      <c r="G742" s="96" t="s">
        <v>27</v>
      </c>
      <c r="H742" s="96">
        <v>70918</v>
      </c>
      <c r="I742" s="96">
        <v>70630</v>
      </c>
      <c r="J742" s="96" t="s">
        <v>28</v>
      </c>
      <c r="K742" s="96" t="s">
        <v>2242</v>
      </c>
      <c r="L742" s="96" t="s">
        <v>39</v>
      </c>
      <c r="M742" s="96" t="s">
        <v>2241</v>
      </c>
      <c r="N742" s="95">
        <v>1200</v>
      </c>
      <c r="O742" s="95">
        <v>1200</v>
      </c>
      <c r="P742" s="95">
        <v>1200</v>
      </c>
      <c r="Q742" s="95">
        <v>1200</v>
      </c>
      <c r="R742" s="95">
        <v>717</v>
      </c>
      <c r="S742" s="95">
        <v>717</v>
      </c>
      <c r="T742" s="95">
        <v>717</v>
      </c>
      <c r="U742" s="95">
        <v>717</v>
      </c>
      <c r="V742" s="95"/>
    </row>
    <row r="743" spans="2:22" ht="20" x14ac:dyDescent="0.25">
      <c r="B743" s="96" t="s">
        <v>2697</v>
      </c>
      <c r="C743" s="96" t="s">
        <v>2238</v>
      </c>
      <c r="D743" s="96" t="s">
        <v>2696</v>
      </c>
      <c r="E743" s="96" t="s">
        <v>27</v>
      </c>
      <c r="F743" s="96" t="s">
        <v>2239</v>
      </c>
      <c r="G743" s="96" t="s">
        <v>27</v>
      </c>
      <c r="H743" s="96">
        <v>70918</v>
      </c>
      <c r="I743" s="96">
        <v>70630</v>
      </c>
      <c r="J743" s="96" t="s">
        <v>28</v>
      </c>
      <c r="K743" s="96" t="s">
        <v>2240</v>
      </c>
      <c r="L743" s="96" t="s">
        <v>39</v>
      </c>
      <c r="M743" s="96" t="s">
        <v>2241</v>
      </c>
      <c r="N743" s="95">
        <v>1200</v>
      </c>
      <c r="O743" s="95">
        <v>1200</v>
      </c>
      <c r="P743" s="95">
        <v>1200</v>
      </c>
      <c r="Q743" s="95">
        <v>1200</v>
      </c>
      <c r="R743" s="95">
        <v>717</v>
      </c>
      <c r="S743" s="95">
        <v>717</v>
      </c>
      <c r="T743" s="95">
        <v>717</v>
      </c>
      <c r="U743" s="95">
        <v>717</v>
      </c>
      <c r="V743" s="95"/>
    </row>
    <row r="744" spans="2:22" ht="23" x14ac:dyDescent="0.25">
      <c r="B744" s="44" t="s">
        <v>853</v>
      </c>
      <c r="C744" s="44" t="s">
        <v>854</v>
      </c>
      <c r="D744" s="44" t="s">
        <v>305</v>
      </c>
      <c r="E744" s="44" t="s">
        <v>27</v>
      </c>
      <c r="F744" s="44" t="s">
        <v>855</v>
      </c>
      <c r="G744" s="44" t="s">
        <v>27</v>
      </c>
      <c r="H744" s="44">
        <v>70208</v>
      </c>
      <c r="I744" s="44">
        <v>70251</v>
      </c>
      <c r="J744" s="44" t="s">
        <v>28</v>
      </c>
      <c r="K744" s="44" t="s">
        <v>853</v>
      </c>
      <c r="L744" s="44" t="s">
        <v>29</v>
      </c>
      <c r="M744" s="44"/>
      <c r="N744" s="45">
        <v>557</v>
      </c>
      <c r="O744" s="45">
        <v>600</v>
      </c>
      <c r="P744" s="45">
        <v>600</v>
      </c>
      <c r="Q744" s="45">
        <v>600</v>
      </c>
      <c r="R744" s="45">
        <v>111</v>
      </c>
      <c r="S744" s="45">
        <v>120</v>
      </c>
      <c r="T744" s="45">
        <v>120</v>
      </c>
      <c r="U744" s="45">
        <v>120</v>
      </c>
      <c r="V744" s="46"/>
    </row>
    <row r="745" spans="2:22" ht="20" x14ac:dyDescent="0.25">
      <c r="B745" s="47" t="s">
        <v>853</v>
      </c>
      <c r="C745" s="47" t="s">
        <v>854</v>
      </c>
      <c r="D745" s="47" t="s">
        <v>305</v>
      </c>
      <c r="E745" s="47" t="s">
        <v>27</v>
      </c>
      <c r="F745" s="47" t="s">
        <v>855</v>
      </c>
      <c r="G745" s="47" t="s">
        <v>27</v>
      </c>
      <c r="H745" s="47">
        <v>70208</v>
      </c>
      <c r="I745" s="47">
        <v>70251</v>
      </c>
      <c r="J745" s="47" t="s">
        <v>28</v>
      </c>
      <c r="K745" s="47" t="s">
        <v>856</v>
      </c>
      <c r="L745" s="47" t="s">
        <v>31</v>
      </c>
      <c r="M745" s="47" t="s">
        <v>857</v>
      </c>
      <c r="N745" s="48">
        <v>557</v>
      </c>
      <c r="O745" s="47">
        <v>613</v>
      </c>
      <c r="P745" s="47">
        <v>640</v>
      </c>
      <c r="Q745" s="47">
        <v>704</v>
      </c>
      <c r="R745" s="48">
        <v>111</v>
      </c>
      <c r="S745" s="47">
        <v>122</v>
      </c>
      <c r="T745" s="47">
        <v>127</v>
      </c>
      <c r="U745" s="47">
        <v>140</v>
      </c>
      <c r="V745" s="47"/>
    </row>
    <row r="746" spans="2:22" ht="30" x14ac:dyDescent="0.25">
      <c r="B746" s="47" t="s">
        <v>853</v>
      </c>
      <c r="C746" s="47" t="s">
        <v>854</v>
      </c>
      <c r="D746" s="47" t="s">
        <v>305</v>
      </c>
      <c r="E746" s="47" t="s">
        <v>27</v>
      </c>
      <c r="F746" s="47" t="s">
        <v>855</v>
      </c>
      <c r="G746" s="47" t="s">
        <v>27</v>
      </c>
      <c r="H746" s="47">
        <v>70208</v>
      </c>
      <c r="I746" s="47">
        <v>70251</v>
      </c>
      <c r="J746" s="47" t="s">
        <v>28</v>
      </c>
      <c r="K746" s="47" t="s">
        <v>2285</v>
      </c>
      <c r="L746" s="47" t="s">
        <v>36</v>
      </c>
      <c r="M746" s="47" t="s">
        <v>710</v>
      </c>
      <c r="N746" s="47">
        <v>600</v>
      </c>
      <c r="O746" s="48">
        <v>600</v>
      </c>
      <c r="P746" s="48">
        <v>600</v>
      </c>
      <c r="Q746" s="48">
        <v>600</v>
      </c>
      <c r="R746" s="47">
        <v>120</v>
      </c>
      <c r="S746" s="48">
        <v>120</v>
      </c>
      <c r="T746" s="48">
        <v>120</v>
      </c>
      <c r="U746" s="48">
        <v>120</v>
      </c>
      <c r="V746" s="48"/>
    </row>
    <row r="747" spans="2:22" ht="30" x14ac:dyDescent="0.25">
      <c r="B747" s="47" t="s">
        <v>853</v>
      </c>
      <c r="C747" s="47" t="s">
        <v>854</v>
      </c>
      <c r="D747" s="47" t="s">
        <v>305</v>
      </c>
      <c r="E747" s="47" t="s">
        <v>27</v>
      </c>
      <c r="F747" s="47" t="s">
        <v>855</v>
      </c>
      <c r="G747" s="47" t="s">
        <v>27</v>
      </c>
      <c r="H747" s="47">
        <v>70208</v>
      </c>
      <c r="I747" s="47">
        <v>70251</v>
      </c>
      <c r="J747" s="47" t="s">
        <v>28</v>
      </c>
      <c r="K747" s="47" t="s">
        <v>2281</v>
      </c>
      <c r="L747" s="47" t="s">
        <v>36</v>
      </c>
      <c r="M747" s="47" t="s">
        <v>710</v>
      </c>
      <c r="N747" s="47">
        <v>600</v>
      </c>
      <c r="O747" s="48">
        <v>600</v>
      </c>
      <c r="P747" s="48">
        <v>600</v>
      </c>
      <c r="Q747" s="48">
        <v>600</v>
      </c>
      <c r="R747" s="47">
        <v>120</v>
      </c>
      <c r="S747" s="48">
        <v>120</v>
      </c>
      <c r="T747" s="48">
        <v>120</v>
      </c>
      <c r="U747" s="48">
        <v>120</v>
      </c>
      <c r="V747" s="48"/>
    </row>
    <row r="748" spans="2:22" ht="30" x14ac:dyDescent="0.25">
      <c r="B748" s="47" t="s">
        <v>853</v>
      </c>
      <c r="C748" s="47" t="s">
        <v>854</v>
      </c>
      <c r="D748" s="47" t="s">
        <v>305</v>
      </c>
      <c r="E748" s="47" t="s">
        <v>27</v>
      </c>
      <c r="F748" s="47" t="s">
        <v>855</v>
      </c>
      <c r="G748" s="47" t="s">
        <v>27</v>
      </c>
      <c r="H748" s="47">
        <v>70208</v>
      </c>
      <c r="I748" s="47">
        <v>70251</v>
      </c>
      <c r="J748" s="47" t="s">
        <v>28</v>
      </c>
      <c r="K748" s="47" t="s">
        <v>2283</v>
      </c>
      <c r="L748" s="47" t="s">
        <v>36</v>
      </c>
      <c r="M748" s="47" t="s">
        <v>710</v>
      </c>
      <c r="N748" s="47">
        <v>600</v>
      </c>
      <c r="O748" s="48">
        <v>600</v>
      </c>
      <c r="P748" s="48">
        <v>600</v>
      </c>
      <c r="Q748" s="48">
        <v>600</v>
      </c>
      <c r="R748" s="47">
        <v>120</v>
      </c>
      <c r="S748" s="48">
        <v>120</v>
      </c>
      <c r="T748" s="48">
        <v>120</v>
      </c>
      <c r="U748" s="48">
        <v>120</v>
      </c>
      <c r="V748" s="48"/>
    </row>
    <row r="749" spans="2:22" ht="30" x14ac:dyDescent="0.25">
      <c r="B749" s="47" t="s">
        <v>853</v>
      </c>
      <c r="C749" s="47" t="s">
        <v>854</v>
      </c>
      <c r="D749" s="47" t="s">
        <v>305</v>
      </c>
      <c r="E749" s="47" t="s">
        <v>27</v>
      </c>
      <c r="F749" s="47" t="s">
        <v>855</v>
      </c>
      <c r="G749" s="47" t="s">
        <v>27</v>
      </c>
      <c r="H749" s="47">
        <v>70208</v>
      </c>
      <c r="I749" s="47">
        <v>70251</v>
      </c>
      <c r="J749" s="47" t="s">
        <v>28</v>
      </c>
      <c r="K749" s="47" t="s">
        <v>2284</v>
      </c>
      <c r="L749" s="47" t="s">
        <v>36</v>
      </c>
      <c r="M749" s="47" t="s">
        <v>710</v>
      </c>
      <c r="N749" s="47">
        <v>600</v>
      </c>
      <c r="O749" s="48">
        <v>600</v>
      </c>
      <c r="P749" s="48">
        <v>600</v>
      </c>
      <c r="Q749" s="48">
        <v>600</v>
      </c>
      <c r="R749" s="47">
        <v>120</v>
      </c>
      <c r="S749" s="48">
        <v>120</v>
      </c>
      <c r="T749" s="48">
        <v>120</v>
      </c>
      <c r="U749" s="48">
        <v>120</v>
      </c>
      <c r="V749" s="48"/>
    </row>
    <row r="750" spans="2:22" ht="30" x14ac:dyDescent="0.25">
      <c r="B750" s="47" t="s">
        <v>853</v>
      </c>
      <c r="C750" s="47" t="s">
        <v>854</v>
      </c>
      <c r="D750" s="47" t="s">
        <v>305</v>
      </c>
      <c r="E750" s="47" t="s">
        <v>27</v>
      </c>
      <c r="F750" s="47" t="s">
        <v>855</v>
      </c>
      <c r="G750" s="47" t="s">
        <v>27</v>
      </c>
      <c r="H750" s="47">
        <v>70208</v>
      </c>
      <c r="I750" s="47">
        <v>70251</v>
      </c>
      <c r="J750" s="47" t="s">
        <v>28</v>
      </c>
      <c r="K750" s="47" t="s">
        <v>2280</v>
      </c>
      <c r="L750" s="47" t="s">
        <v>36</v>
      </c>
      <c r="M750" s="47" t="s">
        <v>710</v>
      </c>
      <c r="N750" s="47">
        <v>600</v>
      </c>
      <c r="O750" s="48">
        <v>600</v>
      </c>
      <c r="P750" s="48">
        <v>600</v>
      </c>
      <c r="Q750" s="48">
        <v>600</v>
      </c>
      <c r="R750" s="47">
        <v>120</v>
      </c>
      <c r="S750" s="48">
        <v>120</v>
      </c>
      <c r="T750" s="48">
        <v>120</v>
      </c>
      <c r="U750" s="48">
        <v>120</v>
      </c>
      <c r="V750" s="48"/>
    </row>
    <row r="751" spans="2:22" ht="30" x14ac:dyDescent="0.25">
      <c r="B751" s="47" t="s">
        <v>853</v>
      </c>
      <c r="C751" s="47" t="s">
        <v>854</v>
      </c>
      <c r="D751" s="47" t="s">
        <v>305</v>
      </c>
      <c r="E751" s="47" t="s">
        <v>27</v>
      </c>
      <c r="F751" s="47" t="s">
        <v>855</v>
      </c>
      <c r="G751" s="47" t="s">
        <v>27</v>
      </c>
      <c r="H751" s="47">
        <v>70208</v>
      </c>
      <c r="I751" s="47">
        <v>70251</v>
      </c>
      <c r="J751" s="47" t="s">
        <v>28</v>
      </c>
      <c r="K751" s="47" t="s">
        <v>2286</v>
      </c>
      <c r="L751" s="47" t="s">
        <v>36</v>
      </c>
      <c r="M751" s="47" t="s">
        <v>710</v>
      </c>
      <c r="N751" s="47">
        <v>600</v>
      </c>
      <c r="O751" s="48">
        <v>600</v>
      </c>
      <c r="P751" s="48">
        <v>600</v>
      </c>
      <c r="Q751" s="48">
        <v>600</v>
      </c>
      <c r="R751" s="47">
        <v>120</v>
      </c>
      <c r="S751" s="48">
        <v>120</v>
      </c>
      <c r="T751" s="48">
        <v>120</v>
      </c>
      <c r="U751" s="48">
        <v>120</v>
      </c>
      <c r="V751" s="48"/>
    </row>
    <row r="752" spans="2:22" ht="30" x14ac:dyDescent="0.25">
      <c r="B752" s="47" t="s">
        <v>853</v>
      </c>
      <c r="C752" s="47" t="s">
        <v>854</v>
      </c>
      <c r="D752" s="47" t="s">
        <v>305</v>
      </c>
      <c r="E752" s="47" t="s">
        <v>27</v>
      </c>
      <c r="F752" s="47" t="s">
        <v>855</v>
      </c>
      <c r="G752" s="47" t="s">
        <v>27</v>
      </c>
      <c r="H752" s="47">
        <v>70208</v>
      </c>
      <c r="I752" s="47">
        <v>70251</v>
      </c>
      <c r="J752" s="47" t="s">
        <v>28</v>
      </c>
      <c r="K752" s="47" t="s">
        <v>2282</v>
      </c>
      <c r="L752" s="47" t="s">
        <v>36</v>
      </c>
      <c r="M752" s="47" t="s">
        <v>710</v>
      </c>
      <c r="N752" s="47">
        <v>600</v>
      </c>
      <c r="O752" s="48">
        <v>600</v>
      </c>
      <c r="P752" s="48">
        <v>600</v>
      </c>
      <c r="Q752" s="48">
        <v>600</v>
      </c>
      <c r="R752" s="47">
        <v>120</v>
      </c>
      <c r="S752" s="48">
        <v>120</v>
      </c>
      <c r="T752" s="48">
        <v>120</v>
      </c>
      <c r="U752" s="48">
        <v>120</v>
      </c>
      <c r="V752" s="48"/>
    </row>
    <row r="753" spans="2:22" ht="23" x14ac:dyDescent="0.25">
      <c r="B753" s="44" t="s">
        <v>859</v>
      </c>
      <c r="C753" s="44" t="s">
        <v>860</v>
      </c>
      <c r="D753" s="44" t="s">
        <v>305</v>
      </c>
      <c r="E753" s="44" t="s">
        <v>27</v>
      </c>
      <c r="F753" s="44" t="s">
        <v>855</v>
      </c>
      <c r="G753" s="44" t="s">
        <v>27</v>
      </c>
      <c r="H753" s="44">
        <v>70208</v>
      </c>
      <c r="I753" s="44">
        <v>70252</v>
      </c>
      <c r="J753" s="44" t="s">
        <v>28</v>
      </c>
      <c r="K753" s="44" t="s">
        <v>859</v>
      </c>
      <c r="L753" s="44" t="s">
        <v>29</v>
      </c>
      <c r="M753" s="44"/>
      <c r="N753" s="45">
        <v>557</v>
      </c>
      <c r="O753" s="45">
        <v>600</v>
      </c>
      <c r="P753" s="45">
        <v>600</v>
      </c>
      <c r="Q753" s="45">
        <v>600</v>
      </c>
      <c r="R753" s="45">
        <v>111</v>
      </c>
      <c r="S753" s="45">
        <v>120</v>
      </c>
      <c r="T753" s="45">
        <v>120</v>
      </c>
      <c r="U753" s="45">
        <v>120</v>
      </c>
      <c r="V753" s="46"/>
    </row>
    <row r="754" spans="2:22" ht="20" x14ac:dyDescent="0.25">
      <c r="B754" s="47" t="s">
        <v>859</v>
      </c>
      <c r="C754" s="47" t="s">
        <v>860</v>
      </c>
      <c r="D754" s="47" t="s">
        <v>305</v>
      </c>
      <c r="E754" s="47" t="s">
        <v>27</v>
      </c>
      <c r="F754" s="47" t="s">
        <v>855</v>
      </c>
      <c r="G754" s="47" t="s">
        <v>27</v>
      </c>
      <c r="H754" s="47">
        <v>70208</v>
      </c>
      <c r="I754" s="47">
        <v>70252</v>
      </c>
      <c r="J754" s="47" t="s">
        <v>28</v>
      </c>
      <c r="K754" s="47" t="s">
        <v>856</v>
      </c>
      <c r="L754" s="47" t="s">
        <v>31</v>
      </c>
      <c r="M754" s="47" t="s">
        <v>857</v>
      </c>
      <c r="N754" s="48">
        <v>557</v>
      </c>
      <c r="O754" s="47">
        <v>613</v>
      </c>
      <c r="P754" s="47">
        <v>640</v>
      </c>
      <c r="Q754" s="47">
        <v>704</v>
      </c>
      <c r="R754" s="48">
        <v>111</v>
      </c>
      <c r="S754" s="47">
        <v>122</v>
      </c>
      <c r="T754" s="47">
        <v>127</v>
      </c>
      <c r="U754" s="47">
        <v>140</v>
      </c>
      <c r="V754" s="47"/>
    </row>
    <row r="755" spans="2:22" ht="30" x14ac:dyDescent="0.25">
      <c r="B755" s="47" t="s">
        <v>859</v>
      </c>
      <c r="C755" s="47" t="s">
        <v>860</v>
      </c>
      <c r="D755" s="47" t="s">
        <v>305</v>
      </c>
      <c r="E755" s="47" t="s">
        <v>27</v>
      </c>
      <c r="F755" s="47" t="s">
        <v>855</v>
      </c>
      <c r="G755" s="47" t="s">
        <v>27</v>
      </c>
      <c r="H755" s="47">
        <v>70208</v>
      </c>
      <c r="I755" s="47">
        <v>70252</v>
      </c>
      <c r="J755" s="47" t="s">
        <v>28</v>
      </c>
      <c r="K755" s="47" t="s">
        <v>2290</v>
      </c>
      <c r="L755" s="47" t="s">
        <v>36</v>
      </c>
      <c r="M755" s="47" t="s">
        <v>710</v>
      </c>
      <c r="N755" s="47">
        <v>600</v>
      </c>
      <c r="O755" s="48">
        <v>600</v>
      </c>
      <c r="P755" s="48">
        <v>600</v>
      </c>
      <c r="Q755" s="48">
        <v>600</v>
      </c>
      <c r="R755" s="47">
        <v>120</v>
      </c>
      <c r="S755" s="48">
        <v>120</v>
      </c>
      <c r="T755" s="48">
        <v>120</v>
      </c>
      <c r="U755" s="48">
        <v>120</v>
      </c>
      <c r="V755" s="48"/>
    </row>
    <row r="756" spans="2:22" ht="30" x14ac:dyDescent="0.25">
      <c r="B756" s="47" t="s">
        <v>859</v>
      </c>
      <c r="C756" s="47" t="s">
        <v>860</v>
      </c>
      <c r="D756" s="47" t="s">
        <v>305</v>
      </c>
      <c r="E756" s="47" t="s">
        <v>27</v>
      </c>
      <c r="F756" s="47" t="s">
        <v>855</v>
      </c>
      <c r="G756" s="47" t="s">
        <v>27</v>
      </c>
      <c r="H756" s="47">
        <v>70208</v>
      </c>
      <c r="I756" s="47">
        <v>70252</v>
      </c>
      <c r="J756" s="47" t="s">
        <v>28</v>
      </c>
      <c r="K756" s="47" t="s">
        <v>2291</v>
      </c>
      <c r="L756" s="47" t="s">
        <v>36</v>
      </c>
      <c r="M756" s="47" t="s">
        <v>710</v>
      </c>
      <c r="N756" s="47">
        <v>600</v>
      </c>
      <c r="O756" s="48">
        <v>600</v>
      </c>
      <c r="P756" s="48">
        <v>600</v>
      </c>
      <c r="Q756" s="48">
        <v>600</v>
      </c>
      <c r="R756" s="47">
        <v>120</v>
      </c>
      <c r="S756" s="48">
        <v>120</v>
      </c>
      <c r="T756" s="48">
        <v>120</v>
      </c>
      <c r="U756" s="48">
        <v>120</v>
      </c>
      <c r="V756" s="48"/>
    </row>
    <row r="757" spans="2:22" ht="30" x14ac:dyDescent="0.25">
      <c r="B757" s="47" t="s">
        <v>859</v>
      </c>
      <c r="C757" s="47" t="s">
        <v>860</v>
      </c>
      <c r="D757" s="47" t="s">
        <v>305</v>
      </c>
      <c r="E757" s="47" t="s">
        <v>27</v>
      </c>
      <c r="F757" s="47" t="s">
        <v>855</v>
      </c>
      <c r="G757" s="47" t="s">
        <v>27</v>
      </c>
      <c r="H757" s="47">
        <v>70208</v>
      </c>
      <c r="I757" s="47">
        <v>70252</v>
      </c>
      <c r="J757" s="47" t="s">
        <v>28</v>
      </c>
      <c r="K757" s="47" t="s">
        <v>2293</v>
      </c>
      <c r="L757" s="47" t="s">
        <v>36</v>
      </c>
      <c r="M757" s="47" t="s">
        <v>710</v>
      </c>
      <c r="N757" s="47">
        <v>600</v>
      </c>
      <c r="O757" s="48">
        <v>600</v>
      </c>
      <c r="P757" s="48">
        <v>600</v>
      </c>
      <c r="Q757" s="48">
        <v>600</v>
      </c>
      <c r="R757" s="47">
        <v>120</v>
      </c>
      <c r="S757" s="48">
        <v>120</v>
      </c>
      <c r="T757" s="48">
        <v>120</v>
      </c>
      <c r="U757" s="48">
        <v>120</v>
      </c>
      <c r="V757" s="48"/>
    </row>
    <row r="758" spans="2:22" ht="30" x14ac:dyDescent="0.25">
      <c r="B758" s="47" t="s">
        <v>859</v>
      </c>
      <c r="C758" s="47" t="s">
        <v>860</v>
      </c>
      <c r="D758" s="47" t="s">
        <v>305</v>
      </c>
      <c r="E758" s="47" t="s">
        <v>27</v>
      </c>
      <c r="F758" s="47" t="s">
        <v>855</v>
      </c>
      <c r="G758" s="47" t="s">
        <v>27</v>
      </c>
      <c r="H758" s="47">
        <v>70208</v>
      </c>
      <c r="I758" s="47">
        <v>70252</v>
      </c>
      <c r="J758" s="47" t="s">
        <v>28</v>
      </c>
      <c r="K758" s="47" t="s">
        <v>2289</v>
      </c>
      <c r="L758" s="47" t="s">
        <v>36</v>
      </c>
      <c r="M758" s="47" t="s">
        <v>710</v>
      </c>
      <c r="N758" s="47">
        <v>600</v>
      </c>
      <c r="O758" s="48">
        <v>600</v>
      </c>
      <c r="P758" s="48">
        <v>600</v>
      </c>
      <c r="Q758" s="48">
        <v>600</v>
      </c>
      <c r="R758" s="47">
        <v>120</v>
      </c>
      <c r="S758" s="48">
        <v>120</v>
      </c>
      <c r="T758" s="48">
        <v>120</v>
      </c>
      <c r="U758" s="48">
        <v>120</v>
      </c>
      <c r="V758" s="48"/>
    </row>
    <row r="759" spans="2:22" ht="30" x14ac:dyDescent="0.25">
      <c r="B759" s="47" t="s">
        <v>859</v>
      </c>
      <c r="C759" s="47" t="s">
        <v>860</v>
      </c>
      <c r="D759" s="47" t="s">
        <v>305</v>
      </c>
      <c r="E759" s="47" t="s">
        <v>27</v>
      </c>
      <c r="F759" s="47" t="s">
        <v>855</v>
      </c>
      <c r="G759" s="47" t="s">
        <v>27</v>
      </c>
      <c r="H759" s="47">
        <v>70208</v>
      </c>
      <c r="I759" s="47">
        <v>70252</v>
      </c>
      <c r="J759" s="47" t="s">
        <v>28</v>
      </c>
      <c r="K759" s="47" t="s">
        <v>2294</v>
      </c>
      <c r="L759" s="47" t="s">
        <v>36</v>
      </c>
      <c r="M759" s="47" t="s">
        <v>710</v>
      </c>
      <c r="N759" s="47">
        <v>600</v>
      </c>
      <c r="O759" s="48">
        <v>600</v>
      </c>
      <c r="P759" s="48">
        <v>600</v>
      </c>
      <c r="Q759" s="48">
        <v>600</v>
      </c>
      <c r="R759" s="47">
        <v>120</v>
      </c>
      <c r="S759" s="48">
        <v>120</v>
      </c>
      <c r="T759" s="48">
        <v>120</v>
      </c>
      <c r="U759" s="48">
        <v>120</v>
      </c>
      <c r="V759" s="48"/>
    </row>
    <row r="760" spans="2:22" ht="30" x14ac:dyDescent="0.25">
      <c r="B760" s="47" t="s">
        <v>859</v>
      </c>
      <c r="C760" s="47" t="s">
        <v>860</v>
      </c>
      <c r="D760" s="47" t="s">
        <v>305</v>
      </c>
      <c r="E760" s="47" t="s">
        <v>27</v>
      </c>
      <c r="F760" s="47" t="s">
        <v>855</v>
      </c>
      <c r="G760" s="47" t="s">
        <v>27</v>
      </c>
      <c r="H760" s="47">
        <v>70208</v>
      </c>
      <c r="I760" s="47">
        <v>70252</v>
      </c>
      <c r="J760" s="47" t="s">
        <v>28</v>
      </c>
      <c r="K760" s="47" t="s">
        <v>2292</v>
      </c>
      <c r="L760" s="47" t="s">
        <v>36</v>
      </c>
      <c r="M760" s="47" t="s">
        <v>710</v>
      </c>
      <c r="N760" s="47">
        <v>600</v>
      </c>
      <c r="O760" s="48">
        <v>600</v>
      </c>
      <c r="P760" s="48">
        <v>600</v>
      </c>
      <c r="Q760" s="48">
        <v>600</v>
      </c>
      <c r="R760" s="47">
        <v>120</v>
      </c>
      <c r="S760" s="48">
        <v>120</v>
      </c>
      <c r="T760" s="48">
        <v>120</v>
      </c>
      <c r="U760" s="48">
        <v>120</v>
      </c>
      <c r="V760" s="48"/>
    </row>
    <row r="761" spans="2:22" ht="30" x14ac:dyDescent="0.25">
      <c r="B761" s="47" t="s">
        <v>859</v>
      </c>
      <c r="C761" s="47" t="s">
        <v>860</v>
      </c>
      <c r="D761" s="47" t="s">
        <v>305</v>
      </c>
      <c r="E761" s="47" t="s">
        <v>27</v>
      </c>
      <c r="F761" s="47" t="s">
        <v>855</v>
      </c>
      <c r="G761" s="47" t="s">
        <v>27</v>
      </c>
      <c r="H761" s="47">
        <v>70208</v>
      </c>
      <c r="I761" s="47">
        <v>70252</v>
      </c>
      <c r="J761" s="47" t="s">
        <v>28</v>
      </c>
      <c r="K761" s="47" t="s">
        <v>2288</v>
      </c>
      <c r="L761" s="47" t="s">
        <v>36</v>
      </c>
      <c r="M761" s="47" t="s">
        <v>710</v>
      </c>
      <c r="N761" s="47">
        <v>600</v>
      </c>
      <c r="O761" s="48">
        <v>600</v>
      </c>
      <c r="P761" s="48">
        <v>600</v>
      </c>
      <c r="Q761" s="48">
        <v>600</v>
      </c>
      <c r="R761" s="47">
        <v>120</v>
      </c>
      <c r="S761" s="48">
        <v>120</v>
      </c>
      <c r="T761" s="48">
        <v>120</v>
      </c>
      <c r="U761" s="48">
        <v>120</v>
      </c>
      <c r="V761" s="48"/>
    </row>
    <row r="762" spans="2:22" ht="30" x14ac:dyDescent="0.25">
      <c r="B762" s="47" t="s">
        <v>859</v>
      </c>
      <c r="C762" s="47" t="s">
        <v>860</v>
      </c>
      <c r="D762" s="47" t="s">
        <v>305</v>
      </c>
      <c r="E762" s="47" t="s">
        <v>27</v>
      </c>
      <c r="F762" s="47" t="s">
        <v>855</v>
      </c>
      <c r="G762" s="47" t="s">
        <v>27</v>
      </c>
      <c r="H762" s="47">
        <v>70208</v>
      </c>
      <c r="I762" s="47">
        <v>70252</v>
      </c>
      <c r="J762" s="47" t="s">
        <v>28</v>
      </c>
      <c r="K762" s="47" t="s">
        <v>2287</v>
      </c>
      <c r="L762" s="47" t="s">
        <v>36</v>
      </c>
      <c r="M762" s="47" t="s">
        <v>710</v>
      </c>
      <c r="N762" s="47">
        <v>600</v>
      </c>
      <c r="O762" s="48">
        <v>600</v>
      </c>
      <c r="P762" s="48">
        <v>600</v>
      </c>
      <c r="Q762" s="48">
        <v>600</v>
      </c>
      <c r="R762" s="47">
        <v>120</v>
      </c>
      <c r="S762" s="48">
        <v>120</v>
      </c>
      <c r="T762" s="48">
        <v>120</v>
      </c>
      <c r="U762" s="48">
        <v>120</v>
      </c>
      <c r="V762" s="48"/>
    </row>
    <row r="763" spans="2:22" ht="23" x14ac:dyDescent="0.25">
      <c r="B763" s="44" t="s">
        <v>862</v>
      </c>
      <c r="C763" s="44" t="s">
        <v>252</v>
      </c>
      <c r="D763" s="44" t="s">
        <v>305</v>
      </c>
      <c r="E763" s="44" t="s">
        <v>27</v>
      </c>
      <c r="F763" s="44" t="s">
        <v>54</v>
      </c>
      <c r="G763" s="44" t="s">
        <v>27</v>
      </c>
      <c r="H763" s="44">
        <v>70208</v>
      </c>
      <c r="I763" s="44">
        <v>70402</v>
      </c>
      <c r="J763" s="44" t="s">
        <v>28</v>
      </c>
      <c r="K763" s="44" t="s">
        <v>862</v>
      </c>
      <c r="L763" s="44" t="s">
        <v>29</v>
      </c>
      <c r="M763" s="44"/>
      <c r="N763" s="45">
        <v>600</v>
      </c>
      <c r="O763" s="45">
        <v>775</v>
      </c>
      <c r="P763" s="45">
        <v>743</v>
      </c>
      <c r="Q763" s="45">
        <v>890</v>
      </c>
      <c r="R763" s="45">
        <v>120</v>
      </c>
      <c r="S763" s="45">
        <v>154</v>
      </c>
      <c r="T763" s="45">
        <v>148</v>
      </c>
      <c r="U763" s="45">
        <v>177</v>
      </c>
      <c r="V763" s="46"/>
    </row>
    <row r="764" spans="2:22" ht="20" x14ac:dyDescent="0.25">
      <c r="B764" s="47" t="s">
        <v>862</v>
      </c>
      <c r="C764" s="47" t="s">
        <v>252</v>
      </c>
      <c r="D764" s="47" t="s">
        <v>305</v>
      </c>
      <c r="E764" s="47" t="s">
        <v>27</v>
      </c>
      <c r="F764" s="47" t="s">
        <v>54</v>
      </c>
      <c r="G764" s="47" t="s">
        <v>27</v>
      </c>
      <c r="H764" s="47">
        <v>70208</v>
      </c>
      <c r="I764" s="47">
        <v>70402</v>
      </c>
      <c r="J764" s="47" t="s">
        <v>28</v>
      </c>
      <c r="K764" s="47" t="s">
        <v>864</v>
      </c>
      <c r="L764" s="47" t="s">
        <v>34</v>
      </c>
      <c r="M764" s="47" t="s">
        <v>710</v>
      </c>
      <c r="N764" s="48">
        <v>600</v>
      </c>
      <c r="O764" s="48">
        <v>775</v>
      </c>
      <c r="P764" s="48">
        <v>743</v>
      </c>
      <c r="Q764" s="48">
        <v>890</v>
      </c>
      <c r="R764" s="48">
        <v>120</v>
      </c>
      <c r="S764" s="48">
        <v>154</v>
      </c>
      <c r="T764" s="48">
        <v>148</v>
      </c>
      <c r="U764" s="48">
        <v>177</v>
      </c>
      <c r="V764" s="48"/>
    </row>
    <row r="765" spans="2:22" ht="20" x14ac:dyDescent="0.25">
      <c r="B765" s="47" t="s">
        <v>862</v>
      </c>
      <c r="C765" s="47" t="s">
        <v>252</v>
      </c>
      <c r="D765" s="47" t="s">
        <v>305</v>
      </c>
      <c r="E765" s="47" t="s">
        <v>27</v>
      </c>
      <c r="F765" s="47" t="s">
        <v>54</v>
      </c>
      <c r="G765" s="47" t="s">
        <v>27</v>
      </c>
      <c r="H765" s="47">
        <v>70208</v>
      </c>
      <c r="I765" s="47">
        <v>70402</v>
      </c>
      <c r="J765" s="47" t="s">
        <v>28</v>
      </c>
      <c r="K765" s="47" t="s">
        <v>254</v>
      </c>
      <c r="L765" s="47" t="s">
        <v>34</v>
      </c>
      <c r="M765" s="47" t="s">
        <v>710</v>
      </c>
      <c r="N765" s="48">
        <v>600</v>
      </c>
      <c r="O765" s="48">
        <v>775</v>
      </c>
      <c r="P765" s="48">
        <v>743</v>
      </c>
      <c r="Q765" s="48">
        <v>890</v>
      </c>
      <c r="R765" s="48">
        <v>120</v>
      </c>
      <c r="S765" s="48">
        <v>154</v>
      </c>
      <c r="T765" s="48">
        <v>148</v>
      </c>
      <c r="U765" s="48">
        <v>177</v>
      </c>
      <c r="V765" s="48"/>
    </row>
    <row r="766" spans="2:22" ht="20" x14ac:dyDescent="0.25">
      <c r="B766" s="47" t="s">
        <v>862</v>
      </c>
      <c r="C766" s="47" t="s">
        <v>252</v>
      </c>
      <c r="D766" s="47" t="s">
        <v>305</v>
      </c>
      <c r="E766" s="47" t="s">
        <v>27</v>
      </c>
      <c r="F766" s="47" t="s">
        <v>54</v>
      </c>
      <c r="G766" s="47" t="s">
        <v>27</v>
      </c>
      <c r="H766" s="47">
        <v>70208</v>
      </c>
      <c r="I766" s="47">
        <v>70402</v>
      </c>
      <c r="J766" s="47" t="s">
        <v>28</v>
      </c>
      <c r="K766" s="47" t="s">
        <v>1997</v>
      </c>
      <c r="L766" s="47" t="s">
        <v>34</v>
      </c>
      <c r="M766" s="47" t="s">
        <v>55</v>
      </c>
      <c r="N766" s="48">
        <v>600</v>
      </c>
      <c r="O766" s="48">
        <v>775</v>
      </c>
      <c r="P766" s="48">
        <v>743</v>
      </c>
      <c r="Q766" s="48">
        <v>890</v>
      </c>
      <c r="R766" s="48">
        <v>120</v>
      </c>
      <c r="S766" s="48">
        <v>154</v>
      </c>
      <c r="T766" s="48">
        <v>148</v>
      </c>
      <c r="U766" s="48">
        <v>177</v>
      </c>
      <c r="V766" s="48"/>
    </row>
    <row r="767" spans="2:22" ht="23" x14ac:dyDescent="0.25">
      <c r="B767" s="44" t="s">
        <v>865</v>
      </c>
      <c r="C767" s="44" t="s">
        <v>866</v>
      </c>
      <c r="D767" s="44" t="s">
        <v>548</v>
      </c>
      <c r="E767" s="44" t="s">
        <v>27</v>
      </c>
      <c r="F767" s="44" t="s">
        <v>867</v>
      </c>
      <c r="G767" s="44" t="s">
        <v>27</v>
      </c>
      <c r="H767" s="44">
        <v>70189</v>
      </c>
      <c r="I767" s="44">
        <v>70481</v>
      </c>
      <c r="J767" s="44" t="s">
        <v>28</v>
      </c>
      <c r="K767" s="44" t="s">
        <v>865</v>
      </c>
      <c r="L767" s="44" t="s">
        <v>29</v>
      </c>
      <c r="M767" s="44"/>
      <c r="N767" s="45">
        <v>1263</v>
      </c>
      <c r="O767" s="45">
        <v>1389</v>
      </c>
      <c r="P767" s="45">
        <v>1263</v>
      </c>
      <c r="Q767" s="45">
        <v>1389</v>
      </c>
      <c r="R767" s="45">
        <v>503</v>
      </c>
      <c r="S767" s="45">
        <v>553</v>
      </c>
      <c r="T767" s="45">
        <v>503</v>
      </c>
      <c r="U767" s="45">
        <v>553</v>
      </c>
      <c r="V767" s="46"/>
    </row>
    <row r="768" spans="2:22" ht="20" x14ac:dyDescent="0.25">
      <c r="B768" s="47" t="s">
        <v>865</v>
      </c>
      <c r="C768" s="47" t="s">
        <v>866</v>
      </c>
      <c r="D768" s="47" t="s">
        <v>548</v>
      </c>
      <c r="E768" s="47" t="s">
        <v>27</v>
      </c>
      <c r="F768" s="47" t="s">
        <v>867</v>
      </c>
      <c r="G768" s="47" t="s">
        <v>27</v>
      </c>
      <c r="H768" s="47">
        <v>70189</v>
      </c>
      <c r="I768" s="47">
        <v>70481</v>
      </c>
      <c r="J768" s="47" t="s">
        <v>28</v>
      </c>
      <c r="K768" s="47" t="s">
        <v>865</v>
      </c>
      <c r="L768" s="47" t="s">
        <v>30</v>
      </c>
      <c r="M768" s="47" t="s">
        <v>866</v>
      </c>
      <c r="N768" s="48">
        <v>1263</v>
      </c>
      <c r="O768" s="48">
        <v>1389</v>
      </c>
      <c r="P768" s="48">
        <v>1263</v>
      </c>
      <c r="Q768" s="48">
        <v>1389</v>
      </c>
      <c r="R768" s="48">
        <v>503</v>
      </c>
      <c r="S768" s="48">
        <v>553</v>
      </c>
      <c r="T768" s="48">
        <v>503</v>
      </c>
      <c r="U768" s="48">
        <v>553</v>
      </c>
      <c r="V768" s="48"/>
    </row>
    <row r="769" spans="2:22" ht="23" x14ac:dyDescent="0.25">
      <c r="B769" s="44" t="s">
        <v>869</v>
      </c>
      <c r="C769" s="44" t="s">
        <v>200</v>
      </c>
      <c r="D769" s="44" t="s">
        <v>548</v>
      </c>
      <c r="E769" s="44" t="s">
        <v>27</v>
      </c>
      <c r="F769" s="44" t="s">
        <v>643</v>
      </c>
      <c r="G769" s="44" t="s">
        <v>27</v>
      </c>
      <c r="H769" s="44">
        <v>70189</v>
      </c>
      <c r="I769" s="44">
        <v>70323</v>
      </c>
      <c r="J769" s="44" t="s">
        <v>28</v>
      </c>
      <c r="K769" s="44" t="s">
        <v>869</v>
      </c>
      <c r="L769" s="44" t="s">
        <v>29</v>
      </c>
      <c r="M769" s="44"/>
      <c r="N769" s="45">
        <v>1436</v>
      </c>
      <c r="O769" s="45">
        <v>1579</v>
      </c>
      <c r="P769" s="45">
        <v>1600</v>
      </c>
      <c r="Q769" s="45">
        <v>1600</v>
      </c>
      <c r="R769" s="45">
        <v>572</v>
      </c>
      <c r="S769" s="45">
        <v>629</v>
      </c>
      <c r="T769" s="45">
        <v>637</v>
      </c>
      <c r="U769" s="45">
        <v>637</v>
      </c>
      <c r="V769" s="46"/>
    </row>
    <row r="770" spans="2:22" ht="20" x14ac:dyDescent="0.25">
      <c r="B770" s="47" t="s">
        <v>869</v>
      </c>
      <c r="C770" s="47" t="s">
        <v>200</v>
      </c>
      <c r="D770" s="47" t="s">
        <v>548</v>
      </c>
      <c r="E770" s="47" t="s">
        <v>27</v>
      </c>
      <c r="F770" s="47" t="s">
        <v>643</v>
      </c>
      <c r="G770" s="47" t="s">
        <v>27</v>
      </c>
      <c r="H770" s="47">
        <v>70189</v>
      </c>
      <c r="I770" s="47">
        <v>70323</v>
      </c>
      <c r="J770" s="47" t="s">
        <v>28</v>
      </c>
      <c r="K770" s="47" t="s">
        <v>869</v>
      </c>
      <c r="L770" s="47" t="s">
        <v>30</v>
      </c>
      <c r="M770" s="47" t="s">
        <v>200</v>
      </c>
      <c r="N770" s="48">
        <v>1436</v>
      </c>
      <c r="O770" s="48">
        <v>1579</v>
      </c>
      <c r="P770" s="47">
        <v>1637</v>
      </c>
      <c r="Q770" s="47">
        <v>1800</v>
      </c>
      <c r="R770" s="48">
        <v>572</v>
      </c>
      <c r="S770" s="48">
        <v>629</v>
      </c>
      <c r="T770" s="47">
        <v>652</v>
      </c>
      <c r="U770" s="47">
        <v>717</v>
      </c>
      <c r="V770" s="47"/>
    </row>
    <row r="771" spans="2:22" ht="20" x14ac:dyDescent="0.25">
      <c r="B771" s="47" t="s">
        <v>869</v>
      </c>
      <c r="C771" s="47" t="s">
        <v>200</v>
      </c>
      <c r="D771" s="47" t="s">
        <v>548</v>
      </c>
      <c r="E771" s="47" t="s">
        <v>27</v>
      </c>
      <c r="F771" s="47" t="s">
        <v>643</v>
      </c>
      <c r="G771" s="47" t="s">
        <v>27</v>
      </c>
      <c r="H771" s="47">
        <v>70189</v>
      </c>
      <c r="I771" s="47">
        <v>70323</v>
      </c>
      <c r="J771" s="47" t="s">
        <v>28</v>
      </c>
      <c r="K771" s="47" t="s">
        <v>2037</v>
      </c>
      <c r="L771" s="47" t="s">
        <v>1315</v>
      </c>
      <c r="M771" s="47" t="s">
        <v>644</v>
      </c>
      <c r="N771" s="47">
        <v>1600</v>
      </c>
      <c r="O771" s="47">
        <v>1600</v>
      </c>
      <c r="P771" s="48">
        <v>1600</v>
      </c>
      <c r="Q771" s="48">
        <v>1600</v>
      </c>
      <c r="R771" s="47">
        <v>637</v>
      </c>
      <c r="S771" s="47">
        <v>637</v>
      </c>
      <c r="T771" s="48">
        <v>637</v>
      </c>
      <c r="U771" s="48">
        <v>637</v>
      </c>
      <c r="V771" s="48"/>
    </row>
    <row r="772" spans="2:22" ht="23" x14ac:dyDescent="0.25">
      <c r="B772" s="44" t="s">
        <v>871</v>
      </c>
      <c r="C772" s="44" t="s">
        <v>642</v>
      </c>
      <c r="D772" s="44" t="s">
        <v>548</v>
      </c>
      <c r="E772" s="44" t="s">
        <v>27</v>
      </c>
      <c r="F772" s="44" t="s">
        <v>643</v>
      </c>
      <c r="G772" s="44" t="s">
        <v>27</v>
      </c>
      <c r="H772" s="44">
        <v>70212</v>
      </c>
      <c r="I772" s="44">
        <v>70331</v>
      </c>
      <c r="J772" s="44" t="s">
        <v>28</v>
      </c>
      <c r="K772" s="44" t="s">
        <v>871</v>
      </c>
      <c r="L772" s="44" t="s">
        <v>29</v>
      </c>
      <c r="M772" s="44"/>
      <c r="N772" s="45">
        <v>1436</v>
      </c>
      <c r="O772" s="45">
        <v>1579</v>
      </c>
      <c r="P772" s="45">
        <v>1600</v>
      </c>
      <c r="Q772" s="45">
        <v>1600</v>
      </c>
      <c r="R772" s="45">
        <v>572</v>
      </c>
      <c r="S772" s="45">
        <v>629</v>
      </c>
      <c r="T772" s="45">
        <v>637</v>
      </c>
      <c r="U772" s="45">
        <v>637</v>
      </c>
      <c r="V772" s="46"/>
    </row>
    <row r="773" spans="2:22" ht="20" x14ac:dyDescent="0.25">
      <c r="B773" s="47" t="s">
        <v>871</v>
      </c>
      <c r="C773" s="47" t="s">
        <v>642</v>
      </c>
      <c r="D773" s="47" t="s">
        <v>548</v>
      </c>
      <c r="E773" s="47" t="s">
        <v>27</v>
      </c>
      <c r="F773" s="47" t="s">
        <v>643</v>
      </c>
      <c r="G773" s="47" t="s">
        <v>27</v>
      </c>
      <c r="H773" s="47">
        <v>70212</v>
      </c>
      <c r="I773" s="47">
        <v>70331</v>
      </c>
      <c r="J773" s="47" t="s">
        <v>28</v>
      </c>
      <c r="K773" s="47" t="s">
        <v>871</v>
      </c>
      <c r="L773" s="47" t="s">
        <v>30</v>
      </c>
      <c r="M773" s="47" t="s">
        <v>642</v>
      </c>
      <c r="N773" s="48">
        <v>1436</v>
      </c>
      <c r="O773" s="48">
        <v>1579</v>
      </c>
      <c r="P773" s="47">
        <v>1637</v>
      </c>
      <c r="Q773" s="47">
        <v>1800</v>
      </c>
      <c r="R773" s="48">
        <v>572</v>
      </c>
      <c r="S773" s="48">
        <v>629</v>
      </c>
      <c r="T773" s="47">
        <v>652</v>
      </c>
      <c r="U773" s="47">
        <v>717</v>
      </c>
      <c r="V773" s="47"/>
    </row>
    <row r="774" spans="2:22" ht="20" x14ac:dyDescent="0.25">
      <c r="B774" s="47" t="s">
        <v>871</v>
      </c>
      <c r="C774" s="47" t="s">
        <v>642</v>
      </c>
      <c r="D774" s="47" t="s">
        <v>548</v>
      </c>
      <c r="E774" s="47" t="s">
        <v>27</v>
      </c>
      <c r="F774" s="47" t="s">
        <v>643</v>
      </c>
      <c r="G774" s="47" t="s">
        <v>27</v>
      </c>
      <c r="H774" s="47">
        <v>70212</v>
      </c>
      <c r="I774" s="47">
        <v>70331</v>
      </c>
      <c r="J774" s="47" t="s">
        <v>28</v>
      </c>
      <c r="K774" s="47" t="s">
        <v>2038</v>
      </c>
      <c r="L774" s="47" t="s">
        <v>1315</v>
      </c>
      <c r="M774" s="47" t="s">
        <v>644</v>
      </c>
      <c r="N774" s="47">
        <v>1600</v>
      </c>
      <c r="O774" s="47">
        <v>1600</v>
      </c>
      <c r="P774" s="48">
        <v>1600</v>
      </c>
      <c r="Q774" s="48">
        <v>1600</v>
      </c>
      <c r="R774" s="47">
        <v>637</v>
      </c>
      <c r="S774" s="47">
        <v>637</v>
      </c>
      <c r="T774" s="48">
        <v>637</v>
      </c>
      <c r="U774" s="48">
        <v>637</v>
      </c>
      <c r="V774" s="48"/>
    </row>
    <row r="775" spans="2:22" ht="23" x14ac:dyDescent="0.25">
      <c r="B775" s="44" t="s">
        <v>872</v>
      </c>
      <c r="C775" s="44" t="s">
        <v>873</v>
      </c>
      <c r="D775" s="44" t="s">
        <v>844</v>
      </c>
      <c r="E775" s="44" t="s">
        <v>27</v>
      </c>
      <c r="F775" s="44" t="s">
        <v>874</v>
      </c>
      <c r="G775" s="44" t="s">
        <v>27</v>
      </c>
      <c r="H775" s="44">
        <v>70209</v>
      </c>
      <c r="I775" s="44">
        <v>70290</v>
      </c>
      <c r="J775" s="44" t="s">
        <v>28</v>
      </c>
      <c r="K775" s="44" t="s">
        <v>872</v>
      </c>
      <c r="L775" s="44" t="s">
        <v>29</v>
      </c>
      <c r="M775" s="44"/>
      <c r="N775" s="45">
        <v>1110</v>
      </c>
      <c r="O775" s="45">
        <v>1200</v>
      </c>
      <c r="P775" s="45">
        <v>1200</v>
      </c>
      <c r="Q775" s="45">
        <v>1200</v>
      </c>
      <c r="R775" s="45">
        <v>221</v>
      </c>
      <c r="S775" s="45">
        <v>239</v>
      </c>
      <c r="T775" s="45">
        <v>239</v>
      </c>
      <c r="U775" s="45">
        <v>239</v>
      </c>
      <c r="V775" s="46"/>
    </row>
    <row r="776" spans="2:22" ht="20" x14ac:dyDescent="0.25">
      <c r="B776" s="47" t="s">
        <v>872</v>
      </c>
      <c r="C776" s="47" t="s">
        <v>873</v>
      </c>
      <c r="D776" s="47" t="s">
        <v>844</v>
      </c>
      <c r="E776" s="47" t="s">
        <v>27</v>
      </c>
      <c r="F776" s="47" t="s">
        <v>874</v>
      </c>
      <c r="G776" s="47" t="s">
        <v>27</v>
      </c>
      <c r="H776" s="47">
        <v>70209</v>
      </c>
      <c r="I776" s="47">
        <v>70290</v>
      </c>
      <c r="J776" s="47" t="s">
        <v>28</v>
      </c>
      <c r="K776" s="47" t="s">
        <v>872</v>
      </c>
      <c r="L776" s="47" t="s">
        <v>30</v>
      </c>
      <c r="M776" s="47" t="s">
        <v>873</v>
      </c>
      <c r="N776" s="48">
        <v>1110</v>
      </c>
      <c r="O776" s="47">
        <v>1221</v>
      </c>
      <c r="P776" s="47">
        <v>1263</v>
      </c>
      <c r="Q776" s="47">
        <v>1390</v>
      </c>
      <c r="R776" s="48">
        <v>221</v>
      </c>
      <c r="S776" s="47">
        <v>243</v>
      </c>
      <c r="T776" s="47">
        <v>252</v>
      </c>
      <c r="U776" s="47">
        <v>277</v>
      </c>
      <c r="V776" s="47"/>
    </row>
    <row r="777" spans="2:22" ht="20" x14ac:dyDescent="0.25">
      <c r="B777" s="47" t="s">
        <v>872</v>
      </c>
      <c r="C777" s="47" t="s">
        <v>873</v>
      </c>
      <c r="D777" s="47" t="s">
        <v>844</v>
      </c>
      <c r="E777" s="47" t="s">
        <v>27</v>
      </c>
      <c r="F777" s="47" t="s">
        <v>874</v>
      </c>
      <c r="G777" s="47" t="s">
        <v>27</v>
      </c>
      <c r="H777" s="47">
        <v>70209</v>
      </c>
      <c r="I777" s="47">
        <v>70290</v>
      </c>
      <c r="J777" s="47" t="s">
        <v>28</v>
      </c>
      <c r="K777" s="47" t="s">
        <v>878</v>
      </c>
      <c r="L777" s="47" t="s">
        <v>39</v>
      </c>
      <c r="M777" s="47" t="s">
        <v>876</v>
      </c>
      <c r="N777" s="47">
        <v>1200</v>
      </c>
      <c r="O777" s="48">
        <v>1200</v>
      </c>
      <c r="P777" s="48">
        <v>1200</v>
      </c>
      <c r="Q777" s="48">
        <v>1200</v>
      </c>
      <c r="R777" s="47">
        <v>239</v>
      </c>
      <c r="S777" s="48">
        <v>239</v>
      </c>
      <c r="T777" s="48">
        <v>239</v>
      </c>
      <c r="U777" s="48">
        <v>239</v>
      </c>
      <c r="V777" s="48"/>
    </row>
    <row r="778" spans="2:22" ht="20" x14ac:dyDescent="0.25">
      <c r="B778" s="47" t="s">
        <v>872</v>
      </c>
      <c r="C778" s="47" t="s">
        <v>873</v>
      </c>
      <c r="D778" s="47" t="s">
        <v>844</v>
      </c>
      <c r="E778" s="47" t="s">
        <v>27</v>
      </c>
      <c r="F778" s="47" t="s">
        <v>874</v>
      </c>
      <c r="G778" s="47" t="s">
        <v>27</v>
      </c>
      <c r="H778" s="47">
        <v>70209</v>
      </c>
      <c r="I778" s="47">
        <v>70290</v>
      </c>
      <c r="J778" s="47" t="s">
        <v>28</v>
      </c>
      <c r="K778" s="47" t="s">
        <v>2444</v>
      </c>
      <c r="L778" s="47" t="s">
        <v>39</v>
      </c>
      <c r="M778" s="47" t="s">
        <v>876</v>
      </c>
      <c r="N778" s="47">
        <v>1200</v>
      </c>
      <c r="O778" s="48">
        <v>1200</v>
      </c>
      <c r="P778" s="48">
        <v>1200</v>
      </c>
      <c r="Q778" s="48">
        <v>1200</v>
      </c>
      <c r="R778" s="47">
        <v>239</v>
      </c>
      <c r="S778" s="48">
        <v>239</v>
      </c>
      <c r="T778" s="48">
        <v>239</v>
      </c>
      <c r="U778" s="48">
        <v>239</v>
      </c>
      <c r="V778" s="48"/>
    </row>
    <row r="779" spans="2:22" ht="20" x14ac:dyDescent="0.25">
      <c r="B779" s="47" t="s">
        <v>872</v>
      </c>
      <c r="C779" s="47" t="s">
        <v>873</v>
      </c>
      <c r="D779" s="47" t="s">
        <v>844</v>
      </c>
      <c r="E779" s="47" t="s">
        <v>27</v>
      </c>
      <c r="F779" s="47" t="s">
        <v>874</v>
      </c>
      <c r="G779" s="47" t="s">
        <v>27</v>
      </c>
      <c r="H779" s="47">
        <v>70209</v>
      </c>
      <c r="I779" s="47">
        <v>70290</v>
      </c>
      <c r="J779" s="47" t="s">
        <v>28</v>
      </c>
      <c r="K779" s="47" t="s">
        <v>2445</v>
      </c>
      <c r="L779" s="47" t="s">
        <v>39</v>
      </c>
      <c r="M779" s="47" t="s">
        <v>876</v>
      </c>
      <c r="N779" s="47">
        <v>1200</v>
      </c>
      <c r="O779" s="48">
        <v>1200</v>
      </c>
      <c r="P779" s="48">
        <v>1200</v>
      </c>
      <c r="Q779" s="48">
        <v>1200</v>
      </c>
      <c r="R779" s="47">
        <v>239</v>
      </c>
      <c r="S779" s="48">
        <v>239</v>
      </c>
      <c r="T779" s="48">
        <v>239</v>
      </c>
      <c r="U779" s="48">
        <v>239</v>
      </c>
      <c r="V779" s="48"/>
    </row>
    <row r="780" spans="2:22" ht="20" x14ac:dyDescent="0.25">
      <c r="B780" s="47" t="s">
        <v>872</v>
      </c>
      <c r="C780" s="47" t="s">
        <v>873</v>
      </c>
      <c r="D780" s="47" t="s">
        <v>844</v>
      </c>
      <c r="E780" s="47" t="s">
        <v>27</v>
      </c>
      <c r="F780" s="47" t="s">
        <v>874</v>
      </c>
      <c r="G780" s="47" t="s">
        <v>27</v>
      </c>
      <c r="H780" s="47">
        <v>70209</v>
      </c>
      <c r="I780" s="47">
        <v>70290</v>
      </c>
      <c r="J780" s="47" t="s">
        <v>28</v>
      </c>
      <c r="K780" s="47"/>
      <c r="L780" s="47" t="s">
        <v>301</v>
      </c>
      <c r="M780" s="47" t="s">
        <v>876</v>
      </c>
      <c r="N780" s="47">
        <v>1200</v>
      </c>
      <c r="O780" s="48">
        <v>1200</v>
      </c>
      <c r="P780" s="47">
        <v>1267</v>
      </c>
      <c r="Q780" s="47">
        <v>1267</v>
      </c>
      <c r="R780" s="47">
        <v>239</v>
      </c>
      <c r="S780" s="48">
        <v>239</v>
      </c>
      <c r="T780" s="47">
        <v>252</v>
      </c>
      <c r="U780" s="47">
        <v>252</v>
      </c>
      <c r="V780" s="47"/>
    </row>
    <row r="781" spans="2:22" ht="23" x14ac:dyDescent="0.25">
      <c r="B781" s="44" t="s">
        <v>879</v>
      </c>
      <c r="C781" s="44" t="s">
        <v>880</v>
      </c>
      <c r="D781" s="44" t="s">
        <v>844</v>
      </c>
      <c r="E781" s="44" t="s">
        <v>27</v>
      </c>
      <c r="F781" s="44" t="s">
        <v>817</v>
      </c>
      <c r="G781" s="44" t="s">
        <v>27</v>
      </c>
      <c r="H781" s="44">
        <v>70209</v>
      </c>
      <c r="I781" s="44">
        <v>70470</v>
      </c>
      <c r="J781" s="44" t="s">
        <v>28</v>
      </c>
      <c r="K781" s="44" t="s">
        <v>879</v>
      </c>
      <c r="L781" s="44" t="s">
        <v>29</v>
      </c>
      <c r="M781" s="44"/>
      <c r="N781" s="45">
        <v>1109</v>
      </c>
      <c r="O781" s="45">
        <v>1220</v>
      </c>
      <c r="P781" s="45">
        <v>1262</v>
      </c>
      <c r="Q781" s="45">
        <v>1388</v>
      </c>
      <c r="R781" s="45">
        <v>221</v>
      </c>
      <c r="S781" s="45">
        <v>243</v>
      </c>
      <c r="T781" s="45">
        <v>251</v>
      </c>
      <c r="U781" s="45">
        <v>276</v>
      </c>
      <c r="V781" s="46"/>
    </row>
    <row r="782" spans="2:22" ht="20" x14ac:dyDescent="0.25">
      <c r="B782" s="47" t="s">
        <v>879</v>
      </c>
      <c r="C782" s="47" t="s">
        <v>880</v>
      </c>
      <c r="D782" s="47" t="s">
        <v>844</v>
      </c>
      <c r="E782" s="47" t="s">
        <v>27</v>
      </c>
      <c r="F782" s="47" t="s">
        <v>817</v>
      </c>
      <c r="G782" s="47" t="s">
        <v>27</v>
      </c>
      <c r="H782" s="47">
        <v>70209</v>
      </c>
      <c r="I782" s="47">
        <v>70470</v>
      </c>
      <c r="J782" s="47" t="s">
        <v>28</v>
      </c>
      <c r="K782" s="47" t="s">
        <v>879</v>
      </c>
      <c r="L782" s="47" t="s">
        <v>30</v>
      </c>
      <c r="M782" s="47" t="s">
        <v>880</v>
      </c>
      <c r="N782" s="48">
        <v>1109</v>
      </c>
      <c r="O782" s="48">
        <v>1220</v>
      </c>
      <c r="P782" s="48">
        <v>1262</v>
      </c>
      <c r="Q782" s="48">
        <v>1388</v>
      </c>
      <c r="R782" s="48">
        <v>221</v>
      </c>
      <c r="S782" s="48">
        <v>243</v>
      </c>
      <c r="T782" s="48">
        <v>251</v>
      </c>
      <c r="U782" s="48">
        <v>276</v>
      </c>
      <c r="V782" s="48"/>
    </row>
    <row r="783" spans="2:22" ht="23" x14ac:dyDescent="0.25">
      <c r="B783" s="44" t="s">
        <v>887</v>
      </c>
      <c r="C783" s="44" t="s">
        <v>888</v>
      </c>
      <c r="D783" s="44" t="s">
        <v>312</v>
      </c>
      <c r="E783" s="44" t="s">
        <v>27</v>
      </c>
      <c r="F783" s="44" t="s">
        <v>889</v>
      </c>
      <c r="G783" s="44" t="s">
        <v>27</v>
      </c>
      <c r="H783" s="44">
        <v>70048</v>
      </c>
      <c r="I783" s="44">
        <v>70526</v>
      </c>
      <c r="J783" s="44" t="s">
        <v>28</v>
      </c>
      <c r="K783" s="44" t="s">
        <v>887</v>
      </c>
      <c r="L783" s="44" t="s">
        <v>29</v>
      </c>
      <c r="M783" s="44"/>
      <c r="N783" s="45">
        <v>1423</v>
      </c>
      <c r="O783" s="45">
        <v>1565</v>
      </c>
      <c r="P783" s="45">
        <v>1622</v>
      </c>
      <c r="Q783" s="45">
        <v>1784</v>
      </c>
      <c r="R783" s="45">
        <v>567</v>
      </c>
      <c r="S783" s="45">
        <v>624</v>
      </c>
      <c r="T783" s="45">
        <v>646</v>
      </c>
      <c r="U783" s="45">
        <v>711</v>
      </c>
      <c r="V783" s="46"/>
    </row>
    <row r="784" spans="2:22" ht="20" x14ac:dyDescent="0.25">
      <c r="B784" s="47" t="s">
        <v>887</v>
      </c>
      <c r="C784" s="47" t="s">
        <v>888</v>
      </c>
      <c r="D784" s="47" t="s">
        <v>312</v>
      </c>
      <c r="E784" s="47" t="s">
        <v>27</v>
      </c>
      <c r="F784" s="47" t="s">
        <v>889</v>
      </c>
      <c r="G784" s="47" t="s">
        <v>27</v>
      </c>
      <c r="H784" s="47">
        <v>70048</v>
      </c>
      <c r="I784" s="47">
        <v>70526</v>
      </c>
      <c r="J784" s="47" t="s">
        <v>28</v>
      </c>
      <c r="K784" s="47" t="s">
        <v>388</v>
      </c>
      <c r="L784" s="47" t="s">
        <v>31</v>
      </c>
      <c r="M784" s="47" t="s">
        <v>890</v>
      </c>
      <c r="N784" s="48">
        <v>1423</v>
      </c>
      <c r="O784" s="48">
        <v>1565</v>
      </c>
      <c r="P784" s="48">
        <v>1622</v>
      </c>
      <c r="Q784" s="48">
        <v>1784</v>
      </c>
      <c r="R784" s="48">
        <v>567</v>
      </c>
      <c r="S784" s="48">
        <v>624</v>
      </c>
      <c r="T784" s="48">
        <v>646</v>
      </c>
      <c r="U784" s="48">
        <v>711</v>
      </c>
      <c r="V784" s="48"/>
    </row>
    <row r="785" spans="2:22" ht="23" x14ac:dyDescent="0.25">
      <c r="B785" s="44" t="s">
        <v>891</v>
      </c>
      <c r="C785" s="44" t="s">
        <v>892</v>
      </c>
      <c r="D785" s="44" t="s">
        <v>312</v>
      </c>
      <c r="E785" s="44" t="s">
        <v>27</v>
      </c>
      <c r="F785" s="44" t="s">
        <v>809</v>
      </c>
      <c r="G785" s="44" t="s">
        <v>27</v>
      </c>
      <c r="H785" s="44">
        <v>70048</v>
      </c>
      <c r="I785" s="44">
        <v>70820</v>
      </c>
      <c r="J785" s="44" t="s">
        <v>28</v>
      </c>
      <c r="K785" s="44" t="s">
        <v>891</v>
      </c>
      <c r="L785" s="44" t="s">
        <v>29</v>
      </c>
      <c r="M785" s="44"/>
      <c r="N785" s="45">
        <v>1800</v>
      </c>
      <c r="O785" s="45">
        <v>1800</v>
      </c>
      <c r="P785" s="45">
        <v>1800</v>
      </c>
      <c r="Q785" s="45">
        <v>1800</v>
      </c>
      <c r="R785" s="45">
        <v>717</v>
      </c>
      <c r="S785" s="45">
        <v>717</v>
      </c>
      <c r="T785" s="45">
        <v>717</v>
      </c>
      <c r="U785" s="45">
        <v>717</v>
      </c>
      <c r="V785" s="46"/>
    </row>
    <row r="786" spans="2:22" ht="30" x14ac:dyDescent="0.25">
      <c r="B786" s="47" t="s">
        <v>891</v>
      </c>
      <c r="C786" s="47" t="s">
        <v>892</v>
      </c>
      <c r="D786" s="47" t="s">
        <v>312</v>
      </c>
      <c r="E786" s="47" t="s">
        <v>27</v>
      </c>
      <c r="F786" s="47" t="s">
        <v>809</v>
      </c>
      <c r="G786" s="47" t="s">
        <v>27</v>
      </c>
      <c r="H786" s="47">
        <v>70048</v>
      </c>
      <c r="I786" s="47">
        <v>70820</v>
      </c>
      <c r="J786" s="47" t="s">
        <v>28</v>
      </c>
      <c r="K786" s="47" t="s">
        <v>2106</v>
      </c>
      <c r="L786" s="47" t="s">
        <v>36</v>
      </c>
      <c r="M786" s="47" t="s">
        <v>894</v>
      </c>
      <c r="N786" s="48">
        <v>1800</v>
      </c>
      <c r="O786" s="48">
        <v>1800</v>
      </c>
      <c r="P786" s="48">
        <v>1800</v>
      </c>
      <c r="Q786" s="48">
        <v>1800</v>
      </c>
      <c r="R786" s="48">
        <v>717</v>
      </c>
      <c r="S786" s="48">
        <v>717</v>
      </c>
      <c r="T786" s="48">
        <v>717</v>
      </c>
      <c r="U786" s="48">
        <v>717</v>
      </c>
      <c r="V786" s="48"/>
    </row>
    <row r="787" spans="2:22" ht="23" x14ac:dyDescent="0.25">
      <c r="B787" s="44" t="s">
        <v>895</v>
      </c>
      <c r="C787" s="44" t="s">
        <v>896</v>
      </c>
      <c r="D787" s="44" t="s">
        <v>312</v>
      </c>
      <c r="E787" s="44" t="s">
        <v>27</v>
      </c>
      <c r="F787" s="44" t="s">
        <v>809</v>
      </c>
      <c r="G787" s="44" t="s">
        <v>27</v>
      </c>
      <c r="H787" s="44">
        <v>70048</v>
      </c>
      <c r="I787" s="44">
        <v>70820</v>
      </c>
      <c r="J787" s="44" t="s">
        <v>28</v>
      </c>
      <c r="K787" s="44" t="s">
        <v>895</v>
      </c>
      <c r="L787" s="44" t="s">
        <v>29</v>
      </c>
      <c r="M787" s="44"/>
      <c r="N787" s="45">
        <v>1800</v>
      </c>
      <c r="O787" s="45">
        <v>1800</v>
      </c>
      <c r="P787" s="45">
        <v>1800</v>
      </c>
      <c r="Q787" s="45">
        <v>1800</v>
      </c>
      <c r="R787" s="45">
        <v>717</v>
      </c>
      <c r="S787" s="45">
        <v>717</v>
      </c>
      <c r="T787" s="45">
        <v>717</v>
      </c>
      <c r="U787" s="45">
        <v>717</v>
      </c>
      <c r="V787" s="46"/>
    </row>
    <row r="788" spans="2:22" ht="30" x14ac:dyDescent="0.25">
      <c r="B788" s="47" t="s">
        <v>895</v>
      </c>
      <c r="C788" s="47" t="s">
        <v>896</v>
      </c>
      <c r="D788" s="47" t="s">
        <v>312</v>
      </c>
      <c r="E788" s="47" t="s">
        <v>27</v>
      </c>
      <c r="F788" s="47" t="s">
        <v>809</v>
      </c>
      <c r="G788" s="47" t="s">
        <v>27</v>
      </c>
      <c r="H788" s="47">
        <v>70048</v>
      </c>
      <c r="I788" s="47">
        <v>70820</v>
      </c>
      <c r="J788" s="47" t="s">
        <v>28</v>
      </c>
      <c r="K788" s="47" t="s">
        <v>2107</v>
      </c>
      <c r="L788" s="47" t="s">
        <v>36</v>
      </c>
      <c r="M788" s="47" t="s">
        <v>894</v>
      </c>
      <c r="N788" s="48">
        <v>1800</v>
      </c>
      <c r="O788" s="48">
        <v>1800</v>
      </c>
      <c r="P788" s="48">
        <v>1800</v>
      </c>
      <c r="Q788" s="48">
        <v>1800</v>
      </c>
      <c r="R788" s="48">
        <v>717</v>
      </c>
      <c r="S788" s="48">
        <v>717</v>
      </c>
      <c r="T788" s="48">
        <v>717</v>
      </c>
      <c r="U788" s="48">
        <v>717</v>
      </c>
      <c r="V788" s="48"/>
    </row>
    <row r="789" spans="2:22" ht="23" x14ac:dyDescent="0.25">
      <c r="B789" s="44" t="s">
        <v>898</v>
      </c>
      <c r="C789" s="44" t="s">
        <v>899</v>
      </c>
      <c r="D789" s="44" t="s">
        <v>312</v>
      </c>
      <c r="E789" s="44" t="s">
        <v>27</v>
      </c>
      <c r="F789" s="44" t="s">
        <v>900</v>
      </c>
      <c r="G789" s="44" t="s">
        <v>27</v>
      </c>
      <c r="H789" s="44">
        <v>70048</v>
      </c>
      <c r="I789" s="44">
        <v>70590</v>
      </c>
      <c r="J789" s="44" t="s">
        <v>28</v>
      </c>
      <c r="K789" s="44" t="s">
        <v>898</v>
      </c>
      <c r="L789" s="44" t="s">
        <v>29</v>
      </c>
      <c r="M789" s="44"/>
      <c r="N789" s="45">
        <v>1800</v>
      </c>
      <c r="O789" s="45">
        <v>1800</v>
      </c>
      <c r="P789" s="45">
        <v>1800</v>
      </c>
      <c r="Q789" s="45">
        <v>1800</v>
      </c>
      <c r="R789" s="45">
        <v>717</v>
      </c>
      <c r="S789" s="45">
        <v>717</v>
      </c>
      <c r="T789" s="45">
        <v>717</v>
      </c>
      <c r="U789" s="45">
        <v>717</v>
      </c>
      <c r="V789" s="46"/>
    </row>
    <row r="790" spans="2:22" ht="30" x14ac:dyDescent="0.25">
      <c r="B790" s="47" t="s">
        <v>898</v>
      </c>
      <c r="C790" s="47" t="s">
        <v>899</v>
      </c>
      <c r="D790" s="47" t="s">
        <v>312</v>
      </c>
      <c r="E790" s="47" t="s">
        <v>27</v>
      </c>
      <c r="F790" s="47" t="s">
        <v>900</v>
      </c>
      <c r="G790" s="47" t="s">
        <v>27</v>
      </c>
      <c r="H790" s="47">
        <v>70048</v>
      </c>
      <c r="I790" s="47">
        <v>70590</v>
      </c>
      <c r="J790" s="47" t="s">
        <v>28</v>
      </c>
      <c r="K790" s="47" t="s">
        <v>2108</v>
      </c>
      <c r="L790" s="47" t="s">
        <v>36</v>
      </c>
      <c r="M790" s="47" t="s">
        <v>894</v>
      </c>
      <c r="N790" s="48">
        <v>1800</v>
      </c>
      <c r="O790" s="48">
        <v>1800</v>
      </c>
      <c r="P790" s="48">
        <v>1800</v>
      </c>
      <c r="Q790" s="48">
        <v>1800</v>
      </c>
      <c r="R790" s="48">
        <v>717</v>
      </c>
      <c r="S790" s="48">
        <v>717</v>
      </c>
      <c r="T790" s="48">
        <v>717</v>
      </c>
      <c r="U790" s="48">
        <v>717</v>
      </c>
      <c r="V790" s="48"/>
    </row>
    <row r="791" spans="2:22" ht="23" x14ac:dyDescent="0.25">
      <c r="B791" s="44" t="s">
        <v>902</v>
      </c>
      <c r="C791" s="44" t="s">
        <v>903</v>
      </c>
      <c r="D791" s="44" t="s">
        <v>312</v>
      </c>
      <c r="E791" s="44" t="s">
        <v>27</v>
      </c>
      <c r="F791" s="44" t="s">
        <v>904</v>
      </c>
      <c r="G791" s="44" t="s">
        <v>27</v>
      </c>
      <c r="H791" s="44">
        <v>70048</v>
      </c>
      <c r="I791" s="44">
        <v>70392</v>
      </c>
      <c r="J791" s="44" t="s">
        <v>28</v>
      </c>
      <c r="K791" s="44" t="s">
        <v>902</v>
      </c>
      <c r="L791" s="44" t="s">
        <v>29</v>
      </c>
      <c r="M791" s="44"/>
      <c r="N791" s="45">
        <v>1215</v>
      </c>
      <c r="O791" s="45">
        <v>1393</v>
      </c>
      <c r="P791" s="45">
        <v>1442</v>
      </c>
      <c r="Q791" s="45">
        <v>1587</v>
      </c>
      <c r="R791" s="45">
        <v>484</v>
      </c>
      <c r="S791" s="45">
        <v>555</v>
      </c>
      <c r="T791" s="45">
        <v>574</v>
      </c>
      <c r="U791" s="45">
        <v>632</v>
      </c>
      <c r="V791" s="46"/>
    </row>
    <row r="792" spans="2:22" ht="20" x14ac:dyDescent="0.25">
      <c r="B792" s="47" t="s">
        <v>902</v>
      </c>
      <c r="C792" s="47" t="s">
        <v>903</v>
      </c>
      <c r="D792" s="47" t="s">
        <v>312</v>
      </c>
      <c r="E792" s="47" t="s">
        <v>27</v>
      </c>
      <c r="F792" s="47" t="s">
        <v>904</v>
      </c>
      <c r="G792" s="47" t="s">
        <v>27</v>
      </c>
      <c r="H792" s="47">
        <v>70048</v>
      </c>
      <c r="I792" s="47">
        <v>70392</v>
      </c>
      <c r="J792" s="47" t="s">
        <v>28</v>
      </c>
      <c r="K792" s="47" t="s">
        <v>388</v>
      </c>
      <c r="L792" s="47" t="s">
        <v>31</v>
      </c>
      <c r="M792" s="47" t="s">
        <v>905</v>
      </c>
      <c r="N792" s="48">
        <v>1215</v>
      </c>
      <c r="O792" s="47">
        <v>1422</v>
      </c>
      <c r="P792" s="47">
        <v>1452</v>
      </c>
      <c r="Q792" s="47">
        <v>1621</v>
      </c>
      <c r="R792" s="48">
        <v>484</v>
      </c>
      <c r="S792" s="47">
        <v>566</v>
      </c>
      <c r="T792" s="47">
        <v>578</v>
      </c>
      <c r="U792" s="47">
        <v>646</v>
      </c>
      <c r="V792" s="47"/>
    </row>
    <row r="793" spans="2:22" ht="20" x14ac:dyDescent="0.25">
      <c r="B793" s="47" t="s">
        <v>902</v>
      </c>
      <c r="C793" s="47" t="s">
        <v>903</v>
      </c>
      <c r="D793" s="47" t="s">
        <v>312</v>
      </c>
      <c r="E793" s="47" t="s">
        <v>27</v>
      </c>
      <c r="F793" s="47" t="s">
        <v>904</v>
      </c>
      <c r="G793" s="47" t="s">
        <v>27</v>
      </c>
      <c r="H793" s="47">
        <v>70048</v>
      </c>
      <c r="I793" s="47">
        <v>70392</v>
      </c>
      <c r="J793" s="47" t="s">
        <v>28</v>
      </c>
      <c r="K793" s="47" t="s">
        <v>902</v>
      </c>
      <c r="L793" s="47" t="s">
        <v>30</v>
      </c>
      <c r="M793" s="47" t="s">
        <v>903</v>
      </c>
      <c r="N793" s="47">
        <v>1266</v>
      </c>
      <c r="O793" s="48">
        <v>1393</v>
      </c>
      <c r="P793" s="48">
        <v>1442</v>
      </c>
      <c r="Q793" s="48">
        <v>1587</v>
      </c>
      <c r="R793" s="47">
        <v>504</v>
      </c>
      <c r="S793" s="48">
        <v>555</v>
      </c>
      <c r="T793" s="48">
        <v>574</v>
      </c>
      <c r="U793" s="48">
        <v>632</v>
      </c>
      <c r="V793" s="48"/>
    </row>
    <row r="794" spans="2:22" ht="23" x14ac:dyDescent="0.25">
      <c r="B794" s="44" t="s">
        <v>906</v>
      </c>
      <c r="C794" s="44" t="s">
        <v>907</v>
      </c>
      <c r="D794" s="44" t="s">
        <v>312</v>
      </c>
      <c r="E794" s="44" t="s">
        <v>27</v>
      </c>
      <c r="F794" s="44" t="s">
        <v>908</v>
      </c>
      <c r="G794" s="44" t="s">
        <v>27</v>
      </c>
      <c r="H794" s="44">
        <v>70048</v>
      </c>
      <c r="I794" s="44">
        <v>70528</v>
      </c>
      <c r="J794" s="44" t="s">
        <v>28</v>
      </c>
      <c r="K794" s="44" t="s">
        <v>906</v>
      </c>
      <c r="L794" s="44" t="s">
        <v>29</v>
      </c>
      <c r="M794" s="44"/>
      <c r="N794" s="45">
        <v>1800</v>
      </c>
      <c r="O794" s="45">
        <v>1800</v>
      </c>
      <c r="P794" s="45">
        <v>1800</v>
      </c>
      <c r="Q794" s="45">
        <v>1800</v>
      </c>
      <c r="R794" s="45">
        <v>717</v>
      </c>
      <c r="S794" s="45">
        <v>717</v>
      </c>
      <c r="T794" s="45">
        <v>717</v>
      </c>
      <c r="U794" s="45">
        <v>717</v>
      </c>
      <c r="V794" s="46"/>
    </row>
    <row r="795" spans="2:22" ht="30" x14ac:dyDescent="0.25">
      <c r="B795" s="47" t="s">
        <v>906</v>
      </c>
      <c r="C795" s="47" t="s">
        <v>907</v>
      </c>
      <c r="D795" s="47" t="s">
        <v>312</v>
      </c>
      <c r="E795" s="47" t="s">
        <v>27</v>
      </c>
      <c r="F795" s="47" t="s">
        <v>908</v>
      </c>
      <c r="G795" s="47" t="s">
        <v>27</v>
      </c>
      <c r="H795" s="47">
        <v>70048</v>
      </c>
      <c r="I795" s="47">
        <v>70528</v>
      </c>
      <c r="J795" s="47" t="s">
        <v>28</v>
      </c>
      <c r="K795" s="47" t="s">
        <v>2109</v>
      </c>
      <c r="L795" s="47" t="s">
        <v>36</v>
      </c>
      <c r="M795" s="47" t="s">
        <v>894</v>
      </c>
      <c r="N795" s="48">
        <v>1800</v>
      </c>
      <c r="O795" s="48">
        <v>1800</v>
      </c>
      <c r="P795" s="48">
        <v>1800</v>
      </c>
      <c r="Q795" s="48">
        <v>1800</v>
      </c>
      <c r="R795" s="48">
        <v>717</v>
      </c>
      <c r="S795" s="48">
        <v>717</v>
      </c>
      <c r="T795" s="48">
        <v>717</v>
      </c>
      <c r="U795" s="48">
        <v>717</v>
      </c>
      <c r="V795" s="48"/>
    </row>
    <row r="796" spans="2:22" ht="23" x14ac:dyDescent="0.25">
      <c r="B796" s="44" t="s">
        <v>912</v>
      </c>
      <c r="C796" s="44" t="s">
        <v>913</v>
      </c>
      <c r="D796" s="44" t="s">
        <v>914</v>
      </c>
      <c r="E796" s="44" t="s">
        <v>27</v>
      </c>
      <c r="F796" s="44" t="s">
        <v>915</v>
      </c>
      <c r="G796" s="44" t="s">
        <v>27</v>
      </c>
      <c r="H796" s="44">
        <v>70213</v>
      </c>
      <c r="I796" s="44">
        <v>70297</v>
      </c>
      <c r="J796" s="44" t="s">
        <v>28</v>
      </c>
      <c r="K796" s="44" t="s">
        <v>912</v>
      </c>
      <c r="L796" s="44" t="s">
        <v>29</v>
      </c>
      <c r="M796" s="44"/>
      <c r="N796" s="45">
        <v>793</v>
      </c>
      <c r="O796" s="45">
        <v>872</v>
      </c>
      <c r="P796" s="45">
        <v>793</v>
      </c>
      <c r="Q796" s="45">
        <v>872</v>
      </c>
      <c r="R796" s="45">
        <v>316</v>
      </c>
      <c r="S796" s="45">
        <v>347</v>
      </c>
      <c r="T796" s="45">
        <v>316</v>
      </c>
      <c r="U796" s="45">
        <v>347</v>
      </c>
      <c r="V796" s="46"/>
    </row>
    <row r="797" spans="2:22" ht="20" x14ac:dyDescent="0.25">
      <c r="B797" s="47" t="s">
        <v>912</v>
      </c>
      <c r="C797" s="47" t="s">
        <v>913</v>
      </c>
      <c r="D797" s="47" t="s">
        <v>914</v>
      </c>
      <c r="E797" s="47" t="s">
        <v>27</v>
      </c>
      <c r="F797" s="47" t="s">
        <v>915</v>
      </c>
      <c r="G797" s="47" t="s">
        <v>27</v>
      </c>
      <c r="H797" s="47">
        <v>70213</v>
      </c>
      <c r="I797" s="47">
        <v>70297</v>
      </c>
      <c r="J797" s="47" t="s">
        <v>28</v>
      </c>
      <c r="K797" s="47" t="s">
        <v>912</v>
      </c>
      <c r="L797" s="47" t="s">
        <v>30</v>
      </c>
      <c r="M797" s="47" t="s">
        <v>913</v>
      </c>
      <c r="N797" s="48">
        <v>793</v>
      </c>
      <c r="O797" s="48">
        <v>872</v>
      </c>
      <c r="P797" s="48">
        <v>793</v>
      </c>
      <c r="Q797" s="48">
        <v>872</v>
      </c>
      <c r="R797" s="48">
        <v>316</v>
      </c>
      <c r="S797" s="48">
        <v>347</v>
      </c>
      <c r="T797" s="48">
        <v>316</v>
      </c>
      <c r="U797" s="48">
        <v>347</v>
      </c>
      <c r="V797" s="48"/>
    </row>
    <row r="798" spans="2:22" ht="23" x14ac:dyDescent="0.25">
      <c r="B798" s="44" t="s">
        <v>916</v>
      </c>
      <c r="C798" s="44" t="s">
        <v>917</v>
      </c>
      <c r="D798" s="44" t="s">
        <v>914</v>
      </c>
      <c r="E798" s="44" t="s">
        <v>27</v>
      </c>
      <c r="F798" s="44" t="s">
        <v>915</v>
      </c>
      <c r="G798" s="44" t="s">
        <v>27</v>
      </c>
      <c r="H798" s="44">
        <v>70213</v>
      </c>
      <c r="I798" s="44">
        <v>70297</v>
      </c>
      <c r="J798" s="44" t="s">
        <v>28</v>
      </c>
      <c r="K798" s="44" t="s">
        <v>916</v>
      </c>
      <c r="L798" s="44" t="s">
        <v>29</v>
      </c>
      <c r="M798" s="44"/>
      <c r="N798" s="45">
        <v>720</v>
      </c>
      <c r="O798" s="45">
        <v>792</v>
      </c>
      <c r="P798" s="45">
        <v>720</v>
      </c>
      <c r="Q798" s="45">
        <v>792</v>
      </c>
      <c r="R798" s="45">
        <v>287</v>
      </c>
      <c r="S798" s="45">
        <v>316</v>
      </c>
      <c r="T798" s="45">
        <v>287</v>
      </c>
      <c r="U798" s="45">
        <v>316</v>
      </c>
      <c r="V798" s="46"/>
    </row>
    <row r="799" spans="2:22" ht="20" x14ac:dyDescent="0.25">
      <c r="B799" s="47" t="s">
        <v>916</v>
      </c>
      <c r="C799" s="47" t="s">
        <v>917</v>
      </c>
      <c r="D799" s="47" t="s">
        <v>914</v>
      </c>
      <c r="E799" s="47" t="s">
        <v>27</v>
      </c>
      <c r="F799" s="47" t="s">
        <v>915</v>
      </c>
      <c r="G799" s="47" t="s">
        <v>27</v>
      </c>
      <c r="H799" s="47">
        <v>70213</v>
      </c>
      <c r="I799" s="47">
        <v>70297</v>
      </c>
      <c r="J799" s="47" t="s">
        <v>28</v>
      </c>
      <c r="K799" s="47" t="s">
        <v>916</v>
      </c>
      <c r="L799" s="47" t="s">
        <v>30</v>
      </c>
      <c r="M799" s="47" t="s">
        <v>917</v>
      </c>
      <c r="N799" s="48">
        <v>720</v>
      </c>
      <c r="O799" s="48">
        <v>792</v>
      </c>
      <c r="P799" s="48">
        <v>720</v>
      </c>
      <c r="Q799" s="48">
        <v>792</v>
      </c>
      <c r="R799" s="48">
        <v>287</v>
      </c>
      <c r="S799" s="48">
        <v>316</v>
      </c>
      <c r="T799" s="48">
        <v>287</v>
      </c>
      <c r="U799" s="48">
        <v>316</v>
      </c>
      <c r="V799" s="48"/>
    </row>
    <row r="800" spans="2:22" ht="23" x14ac:dyDescent="0.25">
      <c r="B800" s="44" t="s">
        <v>918</v>
      </c>
      <c r="C800" s="44" t="s">
        <v>919</v>
      </c>
      <c r="D800" s="44" t="s">
        <v>920</v>
      </c>
      <c r="E800" s="44" t="s">
        <v>27</v>
      </c>
      <c r="F800" s="44" t="s">
        <v>223</v>
      </c>
      <c r="G800" s="44" t="s">
        <v>27</v>
      </c>
      <c r="H800" s="44">
        <v>2053</v>
      </c>
      <c r="I800" s="44">
        <v>70274</v>
      </c>
      <c r="J800" s="44" t="s">
        <v>28</v>
      </c>
      <c r="K800" s="44" t="s">
        <v>918</v>
      </c>
      <c r="L800" s="44" t="s">
        <v>29</v>
      </c>
      <c r="M800" s="44"/>
      <c r="N800" s="45">
        <v>1037</v>
      </c>
      <c r="O800" s="45">
        <v>1215</v>
      </c>
      <c r="P800" s="45">
        <v>1224</v>
      </c>
      <c r="Q800" s="45">
        <v>1347</v>
      </c>
      <c r="R800" s="45">
        <v>413</v>
      </c>
      <c r="S800" s="45">
        <v>484</v>
      </c>
      <c r="T800" s="45">
        <v>488</v>
      </c>
      <c r="U800" s="45">
        <v>537</v>
      </c>
      <c r="V800" s="46"/>
    </row>
    <row r="801" spans="2:22" ht="20" x14ac:dyDescent="0.25">
      <c r="B801" s="47" t="s">
        <v>918</v>
      </c>
      <c r="C801" s="47" t="s">
        <v>919</v>
      </c>
      <c r="D801" s="47" t="s">
        <v>920</v>
      </c>
      <c r="E801" s="47" t="s">
        <v>27</v>
      </c>
      <c r="F801" s="47" t="s">
        <v>223</v>
      </c>
      <c r="G801" s="47" t="s">
        <v>27</v>
      </c>
      <c r="H801" s="47">
        <v>2053</v>
      </c>
      <c r="I801" s="47">
        <v>70274</v>
      </c>
      <c r="J801" s="47" t="s">
        <v>28</v>
      </c>
      <c r="K801" s="47" t="s">
        <v>249</v>
      </c>
      <c r="L801" s="47" t="s">
        <v>31</v>
      </c>
      <c r="M801" s="47" t="s">
        <v>250</v>
      </c>
      <c r="N801" s="48">
        <v>1037</v>
      </c>
      <c r="O801" s="48">
        <v>1215</v>
      </c>
      <c r="P801" s="47">
        <v>1244</v>
      </c>
      <c r="Q801" s="47">
        <v>1387</v>
      </c>
      <c r="R801" s="48">
        <v>413</v>
      </c>
      <c r="S801" s="48">
        <v>484</v>
      </c>
      <c r="T801" s="47">
        <v>496</v>
      </c>
      <c r="U801" s="47">
        <v>553</v>
      </c>
      <c r="V801" s="47"/>
    </row>
    <row r="802" spans="2:22" ht="20" x14ac:dyDescent="0.25">
      <c r="B802" s="47" t="s">
        <v>918</v>
      </c>
      <c r="C802" s="47" t="s">
        <v>919</v>
      </c>
      <c r="D802" s="47" t="s">
        <v>920</v>
      </c>
      <c r="E802" s="47" t="s">
        <v>27</v>
      </c>
      <c r="F802" s="47" t="s">
        <v>223</v>
      </c>
      <c r="G802" s="47" t="s">
        <v>27</v>
      </c>
      <c r="H802" s="47">
        <v>2053</v>
      </c>
      <c r="I802" s="47">
        <v>70274</v>
      </c>
      <c r="J802" s="47" t="s">
        <v>28</v>
      </c>
      <c r="K802" s="47" t="s">
        <v>918</v>
      </c>
      <c r="L802" s="47" t="s">
        <v>30</v>
      </c>
      <c r="M802" s="47" t="s">
        <v>919</v>
      </c>
      <c r="N802" s="47">
        <v>1130</v>
      </c>
      <c r="O802" s="47">
        <v>1243</v>
      </c>
      <c r="P802" s="48">
        <v>1224</v>
      </c>
      <c r="Q802" s="48">
        <v>1347</v>
      </c>
      <c r="R802" s="47">
        <v>450</v>
      </c>
      <c r="S802" s="47">
        <v>495</v>
      </c>
      <c r="T802" s="48">
        <v>488</v>
      </c>
      <c r="U802" s="48">
        <v>537</v>
      </c>
      <c r="V802" s="48"/>
    </row>
    <row r="803" spans="2:22" ht="23" x14ac:dyDescent="0.25">
      <c r="B803" s="44" t="s">
        <v>921</v>
      </c>
      <c r="C803" s="44" t="s">
        <v>922</v>
      </c>
      <c r="D803" s="44" t="s">
        <v>453</v>
      </c>
      <c r="E803" s="44" t="s">
        <v>27</v>
      </c>
      <c r="F803" s="44" t="s">
        <v>923</v>
      </c>
      <c r="G803" s="44" t="s">
        <v>27</v>
      </c>
      <c r="H803" s="44">
        <v>70215</v>
      </c>
      <c r="I803" s="44">
        <v>70282</v>
      </c>
      <c r="J803" s="44" t="s">
        <v>28</v>
      </c>
      <c r="K803" s="44" t="s">
        <v>921</v>
      </c>
      <c r="L803" s="44" t="s">
        <v>29</v>
      </c>
      <c r="M803" s="44"/>
      <c r="N803" s="45">
        <v>708</v>
      </c>
      <c r="O803" s="45">
        <v>708</v>
      </c>
      <c r="P803" s="45">
        <v>708</v>
      </c>
      <c r="Q803" s="45">
        <v>708</v>
      </c>
      <c r="R803" s="45">
        <v>141</v>
      </c>
      <c r="S803" s="45">
        <v>141</v>
      </c>
      <c r="T803" s="45">
        <v>141</v>
      </c>
      <c r="U803" s="45">
        <v>141</v>
      </c>
      <c r="V803" s="46"/>
    </row>
    <row r="804" spans="2:22" ht="20" x14ac:dyDescent="0.25">
      <c r="B804" s="47" t="s">
        <v>921</v>
      </c>
      <c r="C804" s="47" t="s">
        <v>922</v>
      </c>
      <c r="D804" s="47" t="s">
        <v>453</v>
      </c>
      <c r="E804" s="47" t="s">
        <v>27</v>
      </c>
      <c r="F804" s="47" t="s">
        <v>923</v>
      </c>
      <c r="G804" s="47" t="s">
        <v>27</v>
      </c>
      <c r="H804" s="47">
        <v>70215</v>
      </c>
      <c r="I804" s="47">
        <v>70282</v>
      </c>
      <c r="J804" s="47" t="s">
        <v>28</v>
      </c>
      <c r="K804" s="47" t="s">
        <v>921</v>
      </c>
      <c r="L804" s="47" t="s">
        <v>30</v>
      </c>
      <c r="M804" s="47" t="s">
        <v>922</v>
      </c>
      <c r="N804" s="48">
        <v>708</v>
      </c>
      <c r="O804" s="48">
        <v>708</v>
      </c>
      <c r="P804" s="48">
        <v>708</v>
      </c>
      <c r="Q804" s="48">
        <v>708</v>
      </c>
      <c r="R804" s="48">
        <v>141</v>
      </c>
      <c r="S804" s="48">
        <v>141</v>
      </c>
      <c r="T804" s="48">
        <v>141</v>
      </c>
      <c r="U804" s="48">
        <v>141</v>
      </c>
      <c r="V804" s="48"/>
    </row>
    <row r="805" spans="2:22" ht="23" x14ac:dyDescent="0.25">
      <c r="B805" s="44" t="s">
        <v>924</v>
      </c>
      <c r="C805" s="44" t="s">
        <v>287</v>
      </c>
      <c r="D805" s="44" t="s">
        <v>289</v>
      </c>
      <c r="E805" s="44" t="s">
        <v>27</v>
      </c>
      <c r="F805" s="44" t="s">
        <v>723</v>
      </c>
      <c r="G805" s="44" t="s">
        <v>27</v>
      </c>
      <c r="H805" s="44">
        <v>70216</v>
      </c>
      <c r="I805" s="44">
        <v>70538</v>
      </c>
      <c r="J805" s="44" t="s">
        <v>28</v>
      </c>
      <c r="K805" s="44" t="s">
        <v>924</v>
      </c>
      <c r="L805" s="44" t="s">
        <v>29</v>
      </c>
      <c r="M805" s="44"/>
      <c r="N805" s="45">
        <v>798</v>
      </c>
      <c r="O805" s="45">
        <v>878</v>
      </c>
      <c r="P805" s="45">
        <v>908</v>
      </c>
      <c r="Q805" s="45">
        <v>998</v>
      </c>
      <c r="R805" s="45">
        <v>159</v>
      </c>
      <c r="S805" s="45">
        <v>175</v>
      </c>
      <c r="T805" s="45">
        <v>181</v>
      </c>
      <c r="U805" s="45">
        <v>199</v>
      </c>
      <c r="V805" s="46"/>
    </row>
    <row r="806" spans="2:22" ht="20" x14ac:dyDescent="0.25">
      <c r="B806" s="47" t="s">
        <v>924</v>
      </c>
      <c r="C806" s="47" t="s">
        <v>287</v>
      </c>
      <c r="D806" s="47" t="s">
        <v>289</v>
      </c>
      <c r="E806" s="47" t="s">
        <v>27</v>
      </c>
      <c r="F806" s="47" t="s">
        <v>723</v>
      </c>
      <c r="G806" s="47" t="s">
        <v>27</v>
      </c>
      <c r="H806" s="47">
        <v>70216</v>
      </c>
      <c r="I806" s="47">
        <v>70538</v>
      </c>
      <c r="J806" s="47" t="s">
        <v>28</v>
      </c>
      <c r="K806" s="47" t="s">
        <v>924</v>
      </c>
      <c r="L806" s="47" t="s">
        <v>30</v>
      </c>
      <c r="M806" s="47" t="s">
        <v>287</v>
      </c>
      <c r="N806" s="48">
        <v>798</v>
      </c>
      <c r="O806" s="48">
        <v>878</v>
      </c>
      <c r="P806" s="48">
        <v>908</v>
      </c>
      <c r="Q806" s="48">
        <v>998</v>
      </c>
      <c r="R806" s="48">
        <v>159</v>
      </c>
      <c r="S806" s="48">
        <v>175</v>
      </c>
      <c r="T806" s="48">
        <v>181</v>
      </c>
      <c r="U806" s="48">
        <v>199</v>
      </c>
      <c r="V806" s="48"/>
    </row>
    <row r="807" spans="2:22" ht="23" x14ac:dyDescent="0.25">
      <c r="B807" s="44" t="s">
        <v>926</v>
      </c>
      <c r="C807" s="44" t="s">
        <v>497</v>
      </c>
      <c r="D807" s="44" t="s">
        <v>289</v>
      </c>
      <c r="E807" s="44" t="s">
        <v>27</v>
      </c>
      <c r="F807" s="44" t="s">
        <v>723</v>
      </c>
      <c r="G807" s="44" t="s">
        <v>27</v>
      </c>
      <c r="H807" s="44">
        <v>70217</v>
      </c>
      <c r="I807" s="44">
        <v>70538</v>
      </c>
      <c r="J807" s="44" t="s">
        <v>28</v>
      </c>
      <c r="K807" s="44" t="s">
        <v>926</v>
      </c>
      <c r="L807" s="44" t="s">
        <v>29</v>
      </c>
      <c r="M807" s="44"/>
      <c r="N807" s="45">
        <v>798</v>
      </c>
      <c r="O807" s="45">
        <v>878</v>
      </c>
      <c r="P807" s="45">
        <v>908</v>
      </c>
      <c r="Q807" s="45">
        <v>998</v>
      </c>
      <c r="R807" s="45">
        <v>159</v>
      </c>
      <c r="S807" s="45">
        <v>175</v>
      </c>
      <c r="T807" s="45">
        <v>181</v>
      </c>
      <c r="U807" s="45">
        <v>199</v>
      </c>
      <c r="V807" s="46"/>
    </row>
    <row r="808" spans="2:22" ht="20" x14ac:dyDescent="0.25">
      <c r="B808" s="47" t="s">
        <v>926</v>
      </c>
      <c r="C808" s="47" t="s">
        <v>497</v>
      </c>
      <c r="D808" s="47" t="s">
        <v>289</v>
      </c>
      <c r="E808" s="47" t="s">
        <v>27</v>
      </c>
      <c r="F808" s="47" t="s">
        <v>723</v>
      </c>
      <c r="G808" s="47" t="s">
        <v>27</v>
      </c>
      <c r="H808" s="47">
        <v>70217</v>
      </c>
      <c r="I808" s="47">
        <v>70538</v>
      </c>
      <c r="J808" s="47" t="s">
        <v>28</v>
      </c>
      <c r="K808" s="47" t="s">
        <v>926</v>
      </c>
      <c r="L808" s="47" t="s">
        <v>30</v>
      </c>
      <c r="M808" s="47" t="s">
        <v>497</v>
      </c>
      <c r="N808" s="48">
        <v>798</v>
      </c>
      <c r="O808" s="48">
        <v>878</v>
      </c>
      <c r="P808" s="48">
        <v>908</v>
      </c>
      <c r="Q808" s="48">
        <v>998</v>
      </c>
      <c r="R808" s="48">
        <v>159</v>
      </c>
      <c r="S808" s="48">
        <v>175</v>
      </c>
      <c r="T808" s="48">
        <v>181</v>
      </c>
      <c r="U808" s="48">
        <v>199</v>
      </c>
      <c r="V808" s="48"/>
    </row>
    <row r="809" spans="2:22" ht="23" x14ac:dyDescent="0.25">
      <c r="B809" s="44" t="s">
        <v>149</v>
      </c>
      <c r="C809" s="44" t="s">
        <v>150</v>
      </c>
      <c r="D809" s="44" t="s">
        <v>927</v>
      </c>
      <c r="E809" s="44" t="s">
        <v>40</v>
      </c>
      <c r="F809" s="44" t="s">
        <v>928</v>
      </c>
      <c r="G809" s="44" t="s">
        <v>27</v>
      </c>
      <c r="H809" s="44">
        <v>79039</v>
      </c>
      <c r="I809" s="44">
        <v>79091</v>
      </c>
      <c r="J809" s="44" t="s">
        <v>28</v>
      </c>
      <c r="K809" s="44" t="s">
        <v>149</v>
      </c>
      <c r="L809" s="44" t="s">
        <v>29</v>
      </c>
      <c r="M809" s="44"/>
      <c r="N809" s="45">
        <v>1200</v>
      </c>
      <c r="O809" s="45">
        <v>1200</v>
      </c>
      <c r="P809" s="45">
        <v>1200</v>
      </c>
      <c r="Q809" s="45">
        <v>1200</v>
      </c>
      <c r="R809" s="45">
        <v>478</v>
      </c>
      <c r="S809" s="45">
        <v>478</v>
      </c>
      <c r="T809" s="45">
        <v>478</v>
      </c>
      <c r="U809" s="45">
        <v>478</v>
      </c>
      <c r="V809" s="46"/>
    </row>
    <row r="810" spans="2:22" ht="20" x14ac:dyDescent="0.25">
      <c r="B810" s="47" t="s">
        <v>149</v>
      </c>
      <c r="C810" s="47" t="s">
        <v>150</v>
      </c>
      <c r="D810" s="47" t="s">
        <v>927</v>
      </c>
      <c r="E810" s="47" t="s">
        <v>40</v>
      </c>
      <c r="F810" s="47" t="s">
        <v>928</v>
      </c>
      <c r="G810" s="47" t="s">
        <v>27</v>
      </c>
      <c r="H810" s="47">
        <v>79039</v>
      </c>
      <c r="I810" s="47">
        <v>79091</v>
      </c>
      <c r="J810" s="47" t="s">
        <v>28</v>
      </c>
      <c r="K810" s="47" t="s">
        <v>213</v>
      </c>
      <c r="L810" s="47" t="s">
        <v>213</v>
      </c>
      <c r="M810" s="47" t="s">
        <v>929</v>
      </c>
      <c r="N810" s="48">
        <v>1200</v>
      </c>
      <c r="O810" s="48">
        <v>1200</v>
      </c>
      <c r="P810" s="48">
        <v>1200</v>
      </c>
      <c r="Q810" s="48">
        <v>1200</v>
      </c>
      <c r="R810" s="48">
        <v>478</v>
      </c>
      <c r="S810" s="48">
        <v>478</v>
      </c>
      <c r="T810" s="48">
        <v>478</v>
      </c>
      <c r="U810" s="48">
        <v>478</v>
      </c>
      <c r="V810" s="48"/>
    </row>
    <row r="811" spans="2:22" ht="23" x14ac:dyDescent="0.25">
      <c r="B811" s="44" t="s">
        <v>930</v>
      </c>
      <c r="C811" s="44" t="s">
        <v>931</v>
      </c>
      <c r="D811" s="44" t="s">
        <v>832</v>
      </c>
      <c r="E811" s="44" t="s">
        <v>27</v>
      </c>
      <c r="F811" s="44" t="s">
        <v>932</v>
      </c>
      <c r="G811" s="44" t="s">
        <v>27</v>
      </c>
      <c r="H811" s="44">
        <v>70218</v>
      </c>
      <c r="I811" s="44">
        <v>70328</v>
      </c>
      <c r="J811" s="44" t="s">
        <v>42</v>
      </c>
      <c r="K811" s="44" t="s">
        <v>930</v>
      </c>
      <c r="L811" s="44" t="s">
        <v>29</v>
      </c>
      <c r="M811" s="44"/>
      <c r="N811" s="45">
        <v>600</v>
      </c>
      <c r="O811" s="45">
        <v>762</v>
      </c>
      <c r="P811" s="45">
        <v>743</v>
      </c>
      <c r="Q811" s="45">
        <v>839</v>
      </c>
      <c r="R811" s="45">
        <v>120</v>
      </c>
      <c r="S811" s="45">
        <v>152</v>
      </c>
      <c r="T811" s="45">
        <v>148</v>
      </c>
      <c r="U811" s="45">
        <v>167</v>
      </c>
      <c r="V811" s="46"/>
    </row>
    <row r="812" spans="2:22" ht="20" x14ac:dyDescent="0.25">
      <c r="B812" s="47" t="s">
        <v>930</v>
      </c>
      <c r="C812" s="47" t="s">
        <v>931</v>
      </c>
      <c r="D812" s="47" t="s">
        <v>832</v>
      </c>
      <c r="E812" s="47" t="s">
        <v>27</v>
      </c>
      <c r="F812" s="47" t="s">
        <v>932</v>
      </c>
      <c r="G812" s="47" t="s">
        <v>27</v>
      </c>
      <c r="H812" s="47">
        <v>70218</v>
      </c>
      <c r="I812" s="47">
        <v>70328</v>
      </c>
      <c r="J812" s="47" t="s">
        <v>42</v>
      </c>
      <c r="K812" s="47" t="s">
        <v>2446</v>
      </c>
      <c r="L812" s="47" t="s">
        <v>34</v>
      </c>
      <c r="M812" s="47" t="s">
        <v>2039</v>
      </c>
      <c r="N812" s="48">
        <v>600</v>
      </c>
      <c r="O812" s="47">
        <v>775</v>
      </c>
      <c r="P812" s="48">
        <v>743</v>
      </c>
      <c r="Q812" s="47">
        <v>890</v>
      </c>
      <c r="R812" s="48">
        <v>120</v>
      </c>
      <c r="S812" s="47">
        <v>154</v>
      </c>
      <c r="T812" s="48">
        <v>148</v>
      </c>
      <c r="U812" s="47">
        <v>177</v>
      </c>
      <c r="V812" s="47"/>
    </row>
    <row r="813" spans="2:22" ht="20" x14ac:dyDescent="0.25">
      <c r="B813" s="47" t="s">
        <v>930</v>
      </c>
      <c r="C813" s="47" t="s">
        <v>931</v>
      </c>
      <c r="D813" s="47" t="s">
        <v>832</v>
      </c>
      <c r="E813" s="47" t="s">
        <v>27</v>
      </c>
      <c r="F813" s="47" t="s">
        <v>932</v>
      </c>
      <c r="G813" s="47" t="s">
        <v>27</v>
      </c>
      <c r="H813" s="47">
        <v>70218</v>
      </c>
      <c r="I813" s="47">
        <v>70328</v>
      </c>
      <c r="J813" s="47" t="s">
        <v>42</v>
      </c>
      <c r="K813" s="47" t="s">
        <v>930</v>
      </c>
      <c r="L813" s="47" t="s">
        <v>30</v>
      </c>
      <c r="M813" s="47" t="s">
        <v>931</v>
      </c>
      <c r="N813" s="47">
        <v>762</v>
      </c>
      <c r="O813" s="48">
        <v>762</v>
      </c>
      <c r="P813" s="47">
        <v>839</v>
      </c>
      <c r="Q813" s="48">
        <v>839</v>
      </c>
      <c r="R813" s="47">
        <v>152</v>
      </c>
      <c r="S813" s="48">
        <v>152</v>
      </c>
      <c r="T813" s="47">
        <v>167</v>
      </c>
      <c r="U813" s="48">
        <v>167</v>
      </c>
      <c r="V813" s="48"/>
    </row>
    <row r="814" spans="2:22" ht="23" x14ac:dyDescent="0.25">
      <c r="B814" s="44" t="s">
        <v>2554</v>
      </c>
      <c r="C814" s="44" t="s">
        <v>888</v>
      </c>
      <c r="D814" s="44" t="s">
        <v>2555</v>
      </c>
      <c r="E814" s="44" t="s">
        <v>27</v>
      </c>
      <c r="F814" s="44" t="s">
        <v>889</v>
      </c>
      <c r="G814" s="44" t="s">
        <v>27</v>
      </c>
      <c r="H814" s="44">
        <v>70496</v>
      </c>
      <c r="I814" s="44">
        <v>70526</v>
      </c>
      <c r="J814" s="44" t="s">
        <v>28</v>
      </c>
      <c r="K814" s="44" t="s">
        <v>2554</v>
      </c>
      <c r="L814" s="44" t="s">
        <v>29</v>
      </c>
      <c r="M814" s="44"/>
      <c r="N814" s="45">
        <v>1423</v>
      </c>
      <c r="O814" s="45">
        <v>1565</v>
      </c>
      <c r="P814" s="45">
        <v>1622</v>
      </c>
      <c r="Q814" s="45">
        <v>1784</v>
      </c>
      <c r="R814" s="45">
        <v>567</v>
      </c>
      <c r="S814" s="45">
        <v>624</v>
      </c>
      <c r="T814" s="45">
        <v>646</v>
      </c>
      <c r="U814" s="45">
        <v>711</v>
      </c>
      <c r="V814" s="46"/>
    </row>
    <row r="815" spans="2:22" ht="20" x14ac:dyDescent="0.25">
      <c r="B815" s="47" t="s">
        <v>2554</v>
      </c>
      <c r="C815" s="47" t="s">
        <v>888</v>
      </c>
      <c r="D815" s="47" t="s">
        <v>2555</v>
      </c>
      <c r="E815" s="47" t="s">
        <v>27</v>
      </c>
      <c r="F815" s="47" t="s">
        <v>889</v>
      </c>
      <c r="G815" s="47" t="s">
        <v>27</v>
      </c>
      <c r="H815" s="47">
        <v>70496</v>
      </c>
      <c r="I815" s="47">
        <v>70526</v>
      </c>
      <c r="J815" s="47" t="s">
        <v>28</v>
      </c>
      <c r="K815" s="47" t="s">
        <v>388</v>
      </c>
      <c r="L815" s="47" t="s">
        <v>31</v>
      </c>
      <c r="M815" s="47" t="s">
        <v>890</v>
      </c>
      <c r="N815" s="48">
        <v>1423</v>
      </c>
      <c r="O815" s="48">
        <v>1565</v>
      </c>
      <c r="P815" s="48">
        <v>1622</v>
      </c>
      <c r="Q815" s="48">
        <v>1784</v>
      </c>
      <c r="R815" s="48">
        <v>567</v>
      </c>
      <c r="S815" s="48">
        <v>624</v>
      </c>
      <c r="T815" s="48">
        <v>646</v>
      </c>
      <c r="U815" s="48">
        <v>711</v>
      </c>
      <c r="V815" s="48"/>
    </row>
    <row r="816" spans="2:22" ht="23" x14ac:dyDescent="0.25">
      <c r="B816" s="44" t="s">
        <v>2556</v>
      </c>
      <c r="C816" s="44" t="s">
        <v>888</v>
      </c>
      <c r="D816" s="44" t="s">
        <v>2555</v>
      </c>
      <c r="E816" s="44" t="s">
        <v>27</v>
      </c>
      <c r="F816" s="44" t="s">
        <v>908</v>
      </c>
      <c r="G816" s="44" t="s">
        <v>27</v>
      </c>
      <c r="H816" s="44">
        <v>70496</v>
      </c>
      <c r="I816" s="44">
        <v>70528</v>
      </c>
      <c r="J816" s="44" t="s">
        <v>28</v>
      </c>
      <c r="K816" s="44" t="s">
        <v>2556</v>
      </c>
      <c r="L816" s="44" t="s">
        <v>29</v>
      </c>
      <c r="M816" s="44"/>
      <c r="N816" s="45">
        <v>1861</v>
      </c>
      <c r="O816" s="45">
        <v>2047</v>
      </c>
      <c r="P816" s="45">
        <v>2117</v>
      </c>
      <c r="Q816" s="45">
        <v>2329</v>
      </c>
      <c r="R816" s="45">
        <v>741</v>
      </c>
      <c r="S816" s="45">
        <v>815</v>
      </c>
      <c r="T816" s="45">
        <v>843</v>
      </c>
      <c r="U816" s="45">
        <v>928</v>
      </c>
      <c r="V816" s="46"/>
    </row>
    <row r="817" spans="2:22" ht="20" x14ac:dyDescent="0.25">
      <c r="B817" s="47" t="s">
        <v>2556</v>
      </c>
      <c r="C817" s="47" t="s">
        <v>888</v>
      </c>
      <c r="D817" s="47" t="s">
        <v>2555</v>
      </c>
      <c r="E817" s="47" t="s">
        <v>27</v>
      </c>
      <c r="F817" s="47" t="s">
        <v>908</v>
      </c>
      <c r="G817" s="47" t="s">
        <v>27</v>
      </c>
      <c r="H817" s="47">
        <v>70496</v>
      </c>
      <c r="I817" s="47">
        <v>70528</v>
      </c>
      <c r="J817" s="47" t="s">
        <v>28</v>
      </c>
      <c r="K817" s="47" t="s">
        <v>2556</v>
      </c>
      <c r="L817" s="47" t="s">
        <v>30</v>
      </c>
      <c r="M817" s="47" t="s">
        <v>888</v>
      </c>
      <c r="N817" s="48">
        <v>1861</v>
      </c>
      <c r="O817" s="48">
        <v>2047</v>
      </c>
      <c r="P817" s="48">
        <v>2117</v>
      </c>
      <c r="Q817" s="48">
        <v>2329</v>
      </c>
      <c r="R817" s="48">
        <v>741</v>
      </c>
      <c r="S817" s="48">
        <v>815</v>
      </c>
      <c r="T817" s="48">
        <v>843</v>
      </c>
      <c r="U817" s="48">
        <v>928</v>
      </c>
      <c r="V817" s="48"/>
    </row>
    <row r="818" spans="2:22" x14ac:dyDescent="0.25">
      <c r="B818" s="44" t="s">
        <v>936</v>
      </c>
      <c r="C818" s="44" t="s">
        <v>937</v>
      </c>
      <c r="D818" s="44" t="s">
        <v>938</v>
      </c>
      <c r="E818" s="44" t="s">
        <v>27</v>
      </c>
      <c r="F818" s="44" t="s">
        <v>636</v>
      </c>
      <c r="G818" s="44" t="s">
        <v>27</v>
      </c>
      <c r="H818" s="44">
        <v>70597</v>
      </c>
      <c r="I818" s="44">
        <v>70624</v>
      </c>
      <c r="J818" s="44" t="s">
        <v>28</v>
      </c>
      <c r="K818" s="44" t="s">
        <v>936</v>
      </c>
      <c r="L818" s="44" t="s">
        <v>29</v>
      </c>
      <c r="M818" s="44"/>
      <c r="N818" s="45">
        <v>2821</v>
      </c>
      <c r="O818" s="45">
        <v>2970</v>
      </c>
      <c r="P818" s="45">
        <v>3136</v>
      </c>
      <c r="Q818" s="45">
        <v>3136</v>
      </c>
      <c r="R818" s="45">
        <v>1686</v>
      </c>
      <c r="S818" s="45">
        <v>1775</v>
      </c>
      <c r="T818" s="45">
        <v>1874</v>
      </c>
      <c r="U818" s="45">
        <v>1874</v>
      </c>
      <c r="V818" s="46"/>
    </row>
    <row r="819" spans="2:22" ht="20" x14ac:dyDescent="0.25">
      <c r="B819" s="47" t="s">
        <v>936</v>
      </c>
      <c r="C819" s="47" t="s">
        <v>937</v>
      </c>
      <c r="D819" s="47" t="s">
        <v>938</v>
      </c>
      <c r="E819" s="47" t="s">
        <v>27</v>
      </c>
      <c r="F819" s="47" t="s">
        <v>636</v>
      </c>
      <c r="G819" s="47" t="s">
        <v>27</v>
      </c>
      <c r="H819" s="47">
        <v>70597</v>
      </c>
      <c r="I819" s="47">
        <v>70624</v>
      </c>
      <c r="J819" s="47" t="s">
        <v>28</v>
      </c>
      <c r="K819" s="47" t="s">
        <v>388</v>
      </c>
      <c r="L819" s="47" t="s">
        <v>31</v>
      </c>
      <c r="M819" s="47" t="s">
        <v>640</v>
      </c>
      <c r="N819" s="48">
        <v>2821</v>
      </c>
      <c r="O819" s="47">
        <v>3103</v>
      </c>
      <c r="P819" s="47">
        <v>3214</v>
      </c>
      <c r="Q819" s="47">
        <v>3536</v>
      </c>
      <c r="R819" s="48">
        <v>1686</v>
      </c>
      <c r="S819" s="47">
        <v>1854</v>
      </c>
      <c r="T819" s="47">
        <v>1921</v>
      </c>
      <c r="U819" s="47">
        <v>2113</v>
      </c>
      <c r="V819" s="47"/>
    </row>
    <row r="820" spans="2:22" x14ac:dyDescent="0.25">
      <c r="B820" s="47" t="s">
        <v>936</v>
      </c>
      <c r="C820" s="47" t="s">
        <v>937</v>
      </c>
      <c r="D820" s="47" t="s">
        <v>938</v>
      </c>
      <c r="E820" s="47" t="s">
        <v>27</v>
      </c>
      <c r="F820" s="47" t="s">
        <v>636</v>
      </c>
      <c r="G820" s="47" t="s">
        <v>27</v>
      </c>
      <c r="H820" s="47">
        <v>70597</v>
      </c>
      <c r="I820" s="47">
        <v>70624</v>
      </c>
      <c r="J820" s="47" t="s">
        <v>28</v>
      </c>
      <c r="K820" s="47"/>
      <c r="L820" s="47" t="s">
        <v>301</v>
      </c>
      <c r="M820" s="47" t="s">
        <v>640</v>
      </c>
      <c r="N820" s="47">
        <v>2970</v>
      </c>
      <c r="O820" s="48">
        <v>2970</v>
      </c>
      <c r="P820" s="48">
        <v>3136</v>
      </c>
      <c r="Q820" s="48">
        <v>3136</v>
      </c>
      <c r="R820" s="47">
        <v>1775</v>
      </c>
      <c r="S820" s="48">
        <v>1775</v>
      </c>
      <c r="T820" s="48">
        <v>1874</v>
      </c>
      <c r="U820" s="48">
        <v>1874</v>
      </c>
      <c r="V820" s="48"/>
    </row>
    <row r="821" spans="2:22" ht="23" x14ac:dyDescent="0.25">
      <c r="B821" s="44" t="s">
        <v>939</v>
      </c>
      <c r="C821" s="44" t="s">
        <v>940</v>
      </c>
      <c r="D821" s="44" t="s">
        <v>938</v>
      </c>
      <c r="E821" s="44" t="s">
        <v>27</v>
      </c>
      <c r="F821" s="44" t="s">
        <v>422</v>
      </c>
      <c r="G821" s="44" t="s">
        <v>27</v>
      </c>
      <c r="H821" s="44">
        <v>70596</v>
      </c>
      <c r="I821" s="44">
        <v>70396</v>
      </c>
      <c r="J821" s="44" t="s">
        <v>28</v>
      </c>
      <c r="K821" s="44" t="s">
        <v>939</v>
      </c>
      <c r="L821" s="44" t="s">
        <v>29</v>
      </c>
      <c r="M821" s="44"/>
      <c r="N821" s="45">
        <v>2400</v>
      </c>
      <c r="O821" s="45">
        <v>2400</v>
      </c>
      <c r="P821" s="45">
        <v>2400</v>
      </c>
      <c r="Q821" s="45">
        <v>2400</v>
      </c>
      <c r="R821" s="45">
        <v>956</v>
      </c>
      <c r="S821" s="45">
        <v>956</v>
      </c>
      <c r="T821" s="45">
        <v>956</v>
      </c>
      <c r="U821" s="45">
        <v>956</v>
      </c>
      <c r="V821" s="46"/>
    </row>
    <row r="822" spans="2:22" ht="30" x14ac:dyDescent="0.25">
      <c r="B822" s="47" t="s">
        <v>939</v>
      </c>
      <c r="C822" s="47" t="s">
        <v>940</v>
      </c>
      <c r="D822" s="47" t="s">
        <v>938</v>
      </c>
      <c r="E822" s="47" t="s">
        <v>27</v>
      </c>
      <c r="F822" s="47" t="s">
        <v>422</v>
      </c>
      <c r="G822" s="47" t="s">
        <v>27</v>
      </c>
      <c r="H822" s="47">
        <v>70596</v>
      </c>
      <c r="I822" s="47">
        <v>70396</v>
      </c>
      <c r="J822" s="47" t="s">
        <v>28</v>
      </c>
      <c r="K822" s="47" t="s">
        <v>2124</v>
      </c>
      <c r="L822" s="47" t="s">
        <v>36</v>
      </c>
      <c r="M822" s="47" t="s">
        <v>424</v>
      </c>
      <c r="N822" s="48">
        <v>2400</v>
      </c>
      <c r="O822" s="48">
        <v>2400</v>
      </c>
      <c r="P822" s="48">
        <v>2400</v>
      </c>
      <c r="Q822" s="48">
        <v>2400</v>
      </c>
      <c r="R822" s="48">
        <v>956</v>
      </c>
      <c r="S822" s="48">
        <v>956</v>
      </c>
      <c r="T822" s="48">
        <v>956</v>
      </c>
      <c r="U822" s="48">
        <v>956</v>
      </c>
      <c r="V822" s="48"/>
    </row>
    <row r="823" spans="2:22" ht="30" x14ac:dyDescent="0.25">
      <c r="B823" s="47" t="s">
        <v>939</v>
      </c>
      <c r="C823" s="47" t="s">
        <v>940</v>
      </c>
      <c r="D823" s="47" t="s">
        <v>938</v>
      </c>
      <c r="E823" s="47" t="s">
        <v>27</v>
      </c>
      <c r="F823" s="47" t="s">
        <v>422</v>
      </c>
      <c r="G823" s="47" t="s">
        <v>27</v>
      </c>
      <c r="H823" s="47">
        <v>70596</v>
      </c>
      <c r="I823" s="47">
        <v>70396</v>
      </c>
      <c r="J823" s="47" t="s">
        <v>28</v>
      </c>
      <c r="K823" s="47" t="s">
        <v>2122</v>
      </c>
      <c r="L823" s="47" t="s">
        <v>36</v>
      </c>
      <c r="M823" s="47" t="s">
        <v>424</v>
      </c>
      <c r="N823" s="48">
        <v>2400</v>
      </c>
      <c r="O823" s="48">
        <v>2400</v>
      </c>
      <c r="P823" s="48">
        <v>2400</v>
      </c>
      <c r="Q823" s="48">
        <v>2400</v>
      </c>
      <c r="R823" s="48">
        <v>956</v>
      </c>
      <c r="S823" s="48">
        <v>956</v>
      </c>
      <c r="T823" s="48">
        <v>956</v>
      </c>
      <c r="U823" s="48">
        <v>956</v>
      </c>
      <c r="V823" s="48"/>
    </row>
    <row r="824" spans="2:22" ht="20" x14ac:dyDescent="0.25">
      <c r="B824" s="47" t="s">
        <v>939</v>
      </c>
      <c r="C824" s="47" t="s">
        <v>940</v>
      </c>
      <c r="D824" s="47" t="s">
        <v>938</v>
      </c>
      <c r="E824" s="47" t="s">
        <v>27</v>
      </c>
      <c r="F824" s="47" t="s">
        <v>422</v>
      </c>
      <c r="G824" s="47" t="s">
        <v>27</v>
      </c>
      <c r="H824" s="47">
        <v>70596</v>
      </c>
      <c r="I824" s="47">
        <v>70396</v>
      </c>
      <c r="J824" s="47" t="s">
        <v>28</v>
      </c>
      <c r="K824" s="47" t="s">
        <v>2128</v>
      </c>
      <c r="L824" s="47" t="s">
        <v>39</v>
      </c>
      <c r="M824" s="47" t="s">
        <v>424</v>
      </c>
      <c r="N824" s="48">
        <v>2400</v>
      </c>
      <c r="O824" s="48">
        <v>2400</v>
      </c>
      <c r="P824" s="48">
        <v>2400</v>
      </c>
      <c r="Q824" s="48">
        <v>2400</v>
      </c>
      <c r="R824" s="48">
        <v>956</v>
      </c>
      <c r="S824" s="48">
        <v>956</v>
      </c>
      <c r="T824" s="48">
        <v>956</v>
      </c>
      <c r="U824" s="48">
        <v>956</v>
      </c>
      <c r="V824" s="48"/>
    </row>
    <row r="825" spans="2:22" ht="30" x14ac:dyDescent="0.25">
      <c r="B825" s="47" t="s">
        <v>939</v>
      </c>
      <c r="C825" s="47" t="s">
        <v>940</v>
      </c>
      <c r="D825" s="47" t="s">
        <v>938</v>
      </c>
      <c r="E825" s="47" t="s">
        <v>27</v>
      </c>
      <c r="F825" s="47" t="s">
        <v>422</v>
      </c>
      <c r="G825" s="47" t="s">
        <v>27</v>
      </c>
      <c r="H825" s="47">
        <v>70596</v>
      </c>
      <c r="I825" s="47">
        <v>70396</v>
      </c>
      <c r="J825" s="47" t="s">
        <v>28</v>
      </c>
      <c r="K825" s="47" t="s">
        <v>2126</v>
      </c>
      <c r="L825" s="47" t="s">
        <v>36</v>
      </c>
      <c r="M825" s="47" t="s">
        <v>424</v>
      </c>
      <c r="N825" s="48">
        <v>2400</v>
      </c>
      <c r="O825" s="48">
        <v>2400</v>
      </c>
      <c r="P825" s="48">
        <v>2400</v>
      </c>
      <c r="Q825" s="48">
        <v>2400</v>
      </c>
      <c r="R825" s="48">
        <v>956</v>
      </c>
      <c r="S825" s="48">
        <v>956</v>
      </c>
      <c r="T825" s="48">
        <v>956</v>
      </c>
      <c r="U825" s="48">
        <v>956</v>
      </c>
      <c r="V825" s="48"/>
    </row>
    <row r="826" spans="2:22" ht="30" x14ac:dyDescent="0.25">
      <c r="B826" s="47" t="s">
        <v>939</v>
      </c>
      <c r="C826" s="47" t="s">
        <v>940</v>
      </c>
      <c r="D826" s="47" t="s">
        <v>938</v>
      </c>
      <c r="E826" s="47" t="s">
        <v>27</v>
      </c>
      <c r="F826" s="47" t="s">
        <v>422</v>
      </c>
      <c r="G826" s="47" t="s">
        <v>27</v>
      </c>
      <c r="H826" s="47">
        <v>70596</v>
      </c>
      <c r="I826" s="47">
        <v>70396</v>
      </c>
      <c r="J826" s="47" t="s">
        <v>28</v>
      </c>
      <c r="K826" s="47" t="s">
        <v>2125</v>
      </c>
      <c r="L826" s="47" t="s">
        <v>36</v>
      </c>
      <c r="M826" s="47" t="s">
        <v>424</v>
      </c>
      <c r="N826" s="48">
        <v>2400</v>
      </c>
      <c r="O826" s="48">
        <v>2400</v>
      </c>
      <c r="P826" s="48">
        <v>2400</v>
      </c>
      <c r="Q826" s="48">
        <v>2400</v>
      </c>
      <c r="R826" s="48">
        <v>956</v>
      </c>
      <c r="S826" s="48">
        <v>956</v>
      </c>
      <c r="T826" s="48">
        <v>956</v>
      </c>
      <c r="U826" s="48">
        <v>956</v>
      </c>
      <c r="V826" s="48"/>
    </row>
    <row r="827" spans="2:22" ht="20" x14ac:dyDescent="0.25">
      <c r="B827" s="47" t="s">
        <v>939</v>
      </c>
      <c r="C827" s="47" t="s">
        <v>940</v>
      </c>
      <c r="D827" s="47" t="s">
        <v>938</v>
      </c>
      <c r="E827" s="47" t="s">
        <v>27</v>
      </c>
      <c r="F827" s="47" t="s">
        <v>422</v>
      </c>
      <c r="G827" s="47" t="s">
        <v>27</v>
      </c>
      <c r="H827" s="47">
        <v>70596</v>
      </c>
      <c r="I827" s="47">
        <v>70396</v>
      </c>
      <c r="J827" s="47" t="s">
        <v>28</v>
      </c>
      <c r="K827" s="47" t="s">
        <v>2127</v>
      </c>
      <c r="L827" s="47" t="s">
        <v>39</v>
      </c>
      <c r="M827" s="47" t="s">
        <v>424</v>
      </c>
      <c r="N827" s="48">
        <v>2400</v>
      </c>
      <c r="O827" s="48">
        <v>2400</v>
      </c>
      <c r="P827" s="48">
        <v>2400</v>
      </c>
      <c r="Q827" s="48">
        <v>2400</v>
      </c>
      <c r="R827" s="48">
        <v>956</v>
      </c>
      <c r="S827" s="48">
        <v>956</v>
      </c>
      <c r="T827" s="48">
        <v>956</v>
      </c>
      <c r="U827" s="48">
        <v>956</v>
      </c>
      <c r="V827" s="48"/>
    </row>
    <row r="828" spans="2:22" ht="30" x14ac:dyDescent="0.25">
      <c r="B828" s="47" t="s">
        <v>939</v>
      </c>
      <c r="C828" s="47" t="s">
        <v>940</v>
      </c>
      <c r="D828" s="47" t="s">
        <v>938</v>
      </c>
      <c r="E828" s="47" t="s">
        <v>27</v>
      </c>
      <c r="F828" s="47" t="s">
        <v>422</v>
      </c>
      <c r="G828" s="47" t="s">
        <v>27</v>
      </c>
      <c r="H828" s="47">
        <v>70596</v>
      </c>
      <c r="I828" s="47">
        <v>70396</v>
      </c>
      <c r="J828" s="47" t="s">
        <v>28</v>
      </c>
      <c r="K828" s="47" t="s">
        <v>2121</v>
      </c>
      <c r="L828" s="47" t="s">
        <v>36</v>
      </c>
      <c r="M828" s="47" t="s">
        <v>424</v>
      </c>
      <c r="N828" s="48">
        <v>2400</v>
      </c>
      <c r="O828" s="48">
        <v>2400</v>
      </c>
      <c r="P828" s="48">
        <v>2400</v>
      </c>
      <c r="Q828" s="48">
        <v>2400</v>
      </c>
      <c r="R828" s="48">
        <v>956</v>
      </c>
      <c r="S828" s="48">
        <v>956</v>
      </c>
      <c r="T828" s="48">
        <v>956</v>
      </c>
      <c r="U828" s="48">
        <v>956</v>
      </c>
      <c r="V828" s="48"/>
    </row>
    <row r="829" spans="2:22" ht="20" x14ac:dyDescent="0.25">
      <c r="B829" s="47" t="s">
        <v>939</v>
      </c>
      <c r="C829" s="47" t="s">
        <v>940</v>
      </c>
      <c r="D829" s="47" t="s">
        <v>938</v>
      </c>
      <c r="E829" s="47" t="s">
        <v>27</v>
      </c>
      <c r="F829" s="47" t="s">
        <v>422</v>
      </c>
      <c r="G829" s="47" t="s">
        <v>27</v>
      </c>
      <c r="H829" s="47">
        <v>70596</v>
      </c>
      <c r="I829" s="47">
        <v>70396</v>
      </c>
      <c r="J829" s="47" t="s">
        <v>28</v>
      </c>
      <c r="K829" s="47" t="s">
        <v>2129</v>
      </c>
      <c r="L829" s="47" t="s">
        <v>39</v>
      </c>
      <c r="M829" s="47" t="s">
        <v>424</v>
      </c>
      <c r="N829" s="48">
        <v>2400</v>
      </c>
      <c r="O829" s="48">
        <v>2400</v>
      </c>
      <c r="P829" s="48">
        <v>2400</v>
      </c>
      <c r="Q829" s="48">
        <v>2400</v>
      </c>
      <c r="R829" s="48">
        <v>956</v>
      </c>
      <c r="S829" s="48">
        <v>956</v>
      </c>
      <c r="T829" s="48">
        <v>956</v>
      </c>
      <c r="U829" s="48">
        <v>956</v>
      </c>
      <c r="V829" s="48"/>
    </row>
    <row r="830" spans="2:22" ht="30" x14ac:dyDescent="0.25">
      <c r="B830" s="47" t="s">
        <v>939</v>
      </c>
      <c r="C830" s="47" t="s">
        <v>940</v>
      </c>
      <c r="D830" s="47" t="s">
        <v>938</v>
      </c>
      <c r="E830" s="47" t="s">
        <v>27</v>
      </c>
      <c r="F830" s="47" t="s">
        <v>422</v>
      </c>
      <c r="G830" s="47" t="s">
        <v>27</v>
      </c>
      <c r="H830" s="47">
        <v>70596</v>
      </c>
      <c r="I830" s="47">
        <v>70396</v>
      </c>
      <c r="J830" s="47" t="s">
        <v>28</v>
      </c>
      <c r="K830" s="47" t="s">
        <v>2123</v>
      </c>
      <c r="L830" s="47" t="s">
        <v>36</v>
      </c>
      <c r="M830" s="47" t="s">
        <v>424</v>
      </c>
      <c r="N830" s="48">
        <v>2400</v>
      </c>
      <c r="O830" s="48">
        <v>2400</v>
      </c>
      <c r="P830" s="48">
        <v>2400</v>
      </c>
      <c r="Q830" s="48">
        <v>2400</v>
      </c>
      <c r="R830" s="48">
        <v>956</v>
      </c>
      <c r="S830" s="48">
        <v>956</v>
      </c>
      <c r="T830" s="48">
        <v>956</v>
      </c>
      <c r="U830" s="48">
        <v>956</v>
      </c>
      <c r="V830" s="48"/>
    </row>
    <row r="831" spans="2:22" ht="23" x14ac:dyDescent="0.25">
      <c r="B831" s="44" t="s">
        <v>943</v>
      </c>
      <c r="C831" s="44" t="s">
        <v>937</v>
      </c>
      <c r="D831" s="44" t="s">
        <v>938</v>
      </c>
      <c r="E831" s="44" t="s">
        <v>27</v>
      </c>
      <c r="F831" s="44" t="s">
        <v>422</v>
      </c>
      <c r="G831" s="44" t="s">
        <v>27</v>
      </c>
      <c r="H831" s="44">
        <v>70597</v>
      </c>
      <c r="I831" s="44">
        <v>70599</v>
      </c>
      <c r="J831" s="44" t="s">
        <v>28</v>
      </c>
      <c r="K831" s="44" t="s">
        <v>943</v>
      </c>
      <c r="L831" s="44" t="s">
        <v>29</v>
      </c>
      <c r="M831" s="44"/>
      <c r="N831" s="45">
        <v>2832</v>
      </c>
      <c r="O831" s="45">
        <v>2970</v>
      </c>
      <c r="P831" s="45">
        <v>3136</v>
      </c>
      <c r="Q831" s="45">
        <v>3136</v>
      </c>
      <c r="R831" s="45">
        <v>1692</v>
      </c>
      <c r="S831" s="45">
        <v>1775</v>
      </c>
      <c r="T831" s="45">
        <v>1874</v>
      </c>
      <c r="U831" s="45">
        <v>1874</v>
      </c>
      <c r="V831" s="46"/>
    </row>
    <row r="832" spans="2:22" ht="20" x14ac:dyDescent="0.25">
      <c r="B832" s="47" t="s">
        <v>943</v>
      </c>
      <c r="C832" s="47" t="s">
        <v>937</v>
      </c>
      <c r="D832" s="47" t="s">
        <v>938</v>
      </c>
      <c r="E832" s="47" t="s">
        <v>27</v>
      </c>
      <c r="F832" s="47" t="s">
        <v>422</v>
      </c>
      <c r="G832" s="47" t="s">
        <v>27</v>
      </c>
      <c r="H832" s="47">
        <v>70597</v>
      </c>
      <c r="I832" s="47">
        <v>70599</v>
      </c>
      <c r="J832" s="47" t="s">
        <v>28</v>
      </c>
      <c r="K832" s="47" t="s">
        <v>388</v>
      </c>
      <c r="L832" s="47" t="s">
        <v>31</v>
      </c>
      <c r="M832" s="47" t="s">
        <v>424</v>
      </c>
      <c r="N832" s="48">
        <v>2832</v>
      </c>
      <c r="O832" s="47">
        <v>3115</v>
      </c>
      <c r="P832" s="47">
        <v>3228</v>
      </c>
      <c r="Q832" s="47">
        <v>3551</v>
      </c>
      <c r="R832" s="48">
        <v>1692</v>
      </c>
      <c r="S832" s="47">
        <v>1862</v>
      </c>
      <c r="T832" s="47">
        <v>1929</v>
      </c>
      <c r="U832" s="47">
        <v>2122</v>
      </c>
      <c r="V832" s="47"/>
    </row>
    <row r="833" spans="2:22" ht="20" x14ac:dyDescent="0.25">
      <c r="B833" s="47" t="s">
        <v>943</v>
      </c>
      <c r="C833" s="47" t="s">
        <v>937</v>
      </c>
      <c r="D833" s="47" t="s">
        <v>938</v>
      </c>
      <c r="E833" s="47" t="s">
        <v>27</v>
      </c>
      <c r="F833" s="47" t="s">
        <v>422</v>
      </c>
      <c r="G833" s="47" t="s">
        <v>27</v>
      </c>
      <c r="H833" s="47">
        <v>70597</v>
      </c>
      <c r="I833" s="47">
        <v>70599</v>
      </c>
      <c r="J833" s="47" t="s">
        <v>28</v>
      </c>
      <c r="K833" s="47"/>
      <c r="L833" s="47" t="s">
        <v>301</v>
      </c>
      <c r="M833" s="47" t="s">
        <v>424</v>
      </c>
      <c r="N833" s="47">
        <v>2970</v>
      </c>
      <c r="O833" s="48">
        <v>2970</v>
      </c>
      <c r="P833" s="48">
        <v>3136</v>
      </c>
      <c r="Q833" s="48">
        <v>3136</v>
      </c>
      <c r="R833" s="47">
        <v>1775</v>
      </c>
      <c r="S833" s="48">
        <v>1775</v>
      </c>
      <c r="T833" s="48">
        <v>1874</v>
      </c>
      <c r="U833" s="48">
        <v>1874</v>
      </c>
      <c r="V833" s="48"/>
    </row>
    <row r="834" spans="2:22" ht="23" x14ac:dyDescent="0.25">
      <c r="B834" s="44" t="s">
        <v>944</v>
      </c>
      <c r="C834" s="44" t="s">
        <v>945</v>
      </c>
      <c r="D834" s="44" t="s">
        <v>938</v>
      </c>
      <c r="E834" s="44" t="s">
        <v>27</v>
      </c>
      <c r="F834" s="44" t="s">
        <v>422</v>
      </c>
      <c r="G834" s="44" t="s">
        <v>27</v>
      </c>
      <c r="H834" s="44">
        <v>70597</v>
      </c>
      <c r="I834" s="44">
        <v>70599</v>
      </c>
      <c r="J834" s="44" t="s">
        <v>28</v>
      </c>
      <c r="K834" s="44" t="s">
        <v>944</v>
      </c>
      <c r="L834" s="44" t="s">
        <v>29</v>
      </c>
      <c r="M834" s="44"/>
      <c r="N834" s="45">
        <v>2820</v>
      </c>
      <c r="O834" s="45">
        <v>3000</v>
      </c>
      <c r="P834" s="45">
        <v>3000</v>
      </c>
      <c r="Q834" s="45">
        <v>3000</v>
      </c>
      <c r="R834" s="45">
        <v>1685</v>
      </c>
      <c r="S834" s="45">
        <v>1793</v>
      </c>
      <c r="T834" s="45">
        <v>1793</v>
      </c>
      <c r="U834" s="45">
        <v>1793</v>
      </c>
      <c r="V834" s="46"/>
    </row>
    <row r="835" spans="2:22" ht="20" x14ac:dyDescent="0.25">
      <c r="B835" s="47" t="s">
        <v>944</v>
      </c>
      <c r="C835" s="47" t="s">
        <v>945</v>
      </c>
      <c r="D835" s="47" t="s">
        <v>938</v>
      </c>
      <c r="E835" s="47" t="s">
        <v>27</v>
      </c>
      <c r="F835" s="47" t="s">
        <v>422</v>
      </c>
      <c r="G835" s="47" t="s">
        <v>27</v>
      </c>
      <c r="H835" s="47">
        <v>70597</v>
      </c>
      <c r="I835" s="47">
        <v>70599</v>
      </c>
      <c r="J835" s="47" t="s">
        <v>28</v>
      </c>
      <c r="K835" s="47" t="s">
        <v>388</v>
      </c>
      <c r="L835" s="47" t="s">
        <v>31</v>
      </c>
      <c r="M835" s="47" t="s">
        <v>424</v>
      </c>
      <c r="N835" s="48">
        <v>2820</v>
      </c>
      <c r="O835" s="47">
        <v>3102</v>
      </c>
      <c r="P835" s="47">
        <v>3214</v>
      </c>
      <c r="Q835" s="47">
        <v>3536</v>
      </c>
      <c r="R835" s="48">
        <v>1685</v>
      </c>
      <c r="S835" s="47">
        <v>1854</v>
      </c>
      <c r="T835" s="47">
        <v>1921</v>
      </c>
      <c r="U835" s="47">
        <v>2113</v>
      </c>
      <c r="V835" s="47"/>
    </row>
    <row r="836" spans="2:22" ht="20" x14ac:dyDescent="0.25">
      <c r="B836" s="47" t="s">
        <v>944</v>
      </c>
      <c r="C836" s="47" t="s">
        <v>945</v>
      </c>
      <c r="D836" s="47" t="s">
        <v>938</v>
      </c>
      <c r="E836" s="47" t="s">
        <v>27</v>
      </c>
      <c r="F836" s="47" t="s">
        <v>422</v>
      </c>
      <c r="G836" s="47" t="s">
        <v>27</v>
      </c>
      <c r="H836" s="47">
        <v>70597</v>
      </c>
      <c r="I836" s="47">
        <v>70599</v>
      </c>
      <c r="J836" s="47" t="s">
        <v>28</v>
      </c>
      <c r="K836" s="47" t="s">
        <v>945</v>
      </c>
      <c r="L836" s="47" t="s">
        <v>49</v>
      </c>
      <c r="M836" s="47" t="s">
        <v>941</v>
      </c>
      <c r="N836" s="47">
        <v>3000</v>
      </c>
      <c r="O836" s="48">
        <v>3000</v>
      </c>
      <c r="P836" s="48">
        <v>3000</v>
      </c>
      <c r="Q836" s="48">
        <v>3000</v>
      </c>
      <c r="R836" s="47">
        <v>1793</v>
      </c>
      <c r="S836" s="48">
        <v>1793</v>
      </c>
      <c r="T836" s="48">
        <v>1793</v>
      </c>
      <c r="U836" s="48">
        <v>1793</v>
      </c>
      <c r="V836" s="48"/>
    </row>
    <row r="837" spans="2:22" ht="20" x14ac:dyDescent="0.25">
      <c r="B837" s="47" t="s">
        <v>944</v>
      </c>
      <c r="C837" s="47" t="s">
        <v>945</v>
      </c>
      <c r="D837" s="47" t="s">
        <v>938</v>
      </c>
      <c r="E837" s="47" t="s">
        <v>27</v>
      </c>
      <c r="F837" s="47" t="s">
        <v>422</v>
      </c>
      <c r="G837" s="47" t="s">
        <v>27</v>
      </c>
      <c r="H837" s="47">
        <v>70597</v>
      </c>
      <c r="I837" s="47">
        <v>70599</v>
      </c>
      <c r="J837" s="47" t="s">
        <v>28</v>
      </c>
      <c r="K837" s="47" t="s">
        <v>2110</v>
      </c>
      <c r="L837" s="47" t="s">
        <v>49</v>
      </c>
      <c r="M837" s="47" t="s">
        <v>941</v>
      </c>
      <c r="N837" s="47">
        <v>3000</v>
      </c>
      <c r="O837" s="48">
        <v>3000</v>
      </c>
      <c r="P837" s="48">
        <v>3000</v>
      </c>
      <c r="Q837" s="48">
        <v>3000</v>
      </c>
      <c r="R837" s="47">
        <v>1793</v>
      </c>
      <c r="S837" s="48">
        <v>1793</v>
      </c>
      <c r="T837" s="48">
        <v>1793</v>
      </c>
      <c r="U837" s="48">
        <v>1793</v>
      </c>
      <c r="V837" s="48"/>
    </row>
    <row r="838" spans="2:22" ht="20" x14ac:dyDescent="0.25">
      <c r="B838" s="47" t="s">
        <v>944</v>
      </c>
      <c r="C838" s="47" t="s">
        <v>945</v>
      </c>
      <c r="D838" s="47" t="s">
        <v>938</v>
      </c>
      <c r="E838" s="47" t="s">
        <v>27</v>
      </c>
      <c r="F838" s="47" t="s">
        <v>422</v>
      </c>
      <c r="G838" s="47" t="s">
        <v>27</v>
      </c>
      <c r="H838" s="47">
        <v>70597</v>
      </c>
      <c r="I838" s="47">
        <v>70599</v>
      </c>
      <c r="J838" s="47" t="s">
        <v>28</v>
      </c>
      <c r="K838" s="47" t="s">
        <v>2105</v>
      </c>
      <c r="L838" s="47" t="s">
        <v>49</v>
      </c>
      <c r="M838" s="47" t="s">
        <v>941</v>
      </c>
      <c r="N838" s="47">
        <v>3000</v>
      </c>
      <c r="O838" s="48">
        <v>3000</v>
      </c>
      <c r="P838" s="48">
        <v>3000</v>
      </c>
      <c r="Q838" s="48">
        <v>3000</v>
      </c>
      <c r="R838" s="47">
        <v>1793</v>
      </c>
      <c r="S838" s="48">
        <v>1793</v>
      </c>
      <c r="T838" s="48">
        <v>1793</v>
      </c>
      <c r="U838" s="48">
        <v>1793</v>
      </c>
      <c r="V838" s="48"/>
    </row>
    <row r="839" spans="2:22" ht="20" x14ac:dyDescent="0.25">
      <c r="B839" s="47" t="s">
        <v>944</v>
      </c>
      <c r="C839" s="47" t="s">
        <v>945</v>
      </c>
      <c r="D839" s="47" t="s">
        <v>938</v>
      </c>
      <c r="E839" s="47" t="s">
        <v>27</v>
      </c>
      <c r="F839" s="47" t="s">
        <v>422</v>
      </c>
      <c r="G839" s="47" t="s">
        <v>27</v>
      </c>
      <c r="H839" s="47">
        <v>70597</v>
      </c>
      <c r="I839" s="47">
        <v>70599</v>
      </c>
      <c r="J839" s="47" t="s">
        <v>28</v>
      </c>
      <c r="K839" s="47" t="s">
        <v>2295</v>
      </c>
      <c r="L839" s="47" t="s">
        <v>49</v>
      </c>
      <c r="M839" s="47" t="s">
        <v>424</v>
      </c>
      <c r="N839" s="47">
        <v>3000</v>
      </c>
      <c r="O839" s="48">
        <v>3000</v>
      </c>
      <c r="P839" s="48">
        <v>3000</v>
      </c>
      <c r="Q839" s="48">
        <v>3000</v>
      </c>
      <c r="R839" s="47">
        <v>1793</v>
      </c>
      <c r="S839" s="48">
        <v>1793</v>
      </c>
      <c r="T839" s="48">
        <v>1793</v>
      </c>
      <c r="U839" s="48">
        <v>1793</v>
      </c>
      <c r="V839" s="48"/>
    </row>
    <row r="840" spans="2:22" ht="23" x14ac:dyDescent="0.25">
      <c r="B840" s="44" t="s">
        <v>946</v>
      </c>
      <c r="C840" s="44" t="s">
        <v>56</v>
      </c>
      <c r="D840" s="44" t="s">
        <v>57</v>
      </c>
      <c r="E840" s="44" t="s">
        <v>27</v>
      </c>
      <c r="F840" s="44" t="s">
        <v>445</v>
      </c>
      <c r="G840" s="44" t="s">
        <v>27</v>
      </c>
      <c r="H840" s="44">
        <v>70224</v>
      </c>
      <c r="I840" s="44">
        <v>70265</v>
      </c>
      <c r="J840" s="44" t="s">
        <v>28</v>
      </c>
      <c r="K840" s="44" t="s">
        <v>946</v>
      </c>
      <c r="L840" s="44" t="s">
        <v>29</v>
      </c>
      <c r="M840" s="44"/>
      <c r="N840" s="45">
        <v>1000</v>
      </c>
      <c r="O840" s="45">
        <v>1000</v>
      </c>
      <c r="P840" s="45">
        <v>1000</v>
      </c>
      <c r="Q840" s="45">
        <v>1000</v>
      </c>
      <c r="R840" s="45">
        <v>199</v>
      </c>
      <c r="S840" s="45">
        <v>199</v>
      </c>
      <c r="T840" s="45">
        <v>199</v>
      </c>
      <c r="U840" s="45">
        <v>199</v>
      </c>
      <c r="V840" s="46"/>
    </row>
    <row r="841" spans="2:22" ht="30" x14ac:dyDescent="0.25">
      <c r="B841" s="47" t="s">
        <v>946</v>
      </c>
      <c r="C841" s="47" t="s">
        <v>56</v>
      </c>
      <c r="D841" s="47" t="s">
        <v>57</v>
      </c>
      <c r="E841" s="47" t="s">
        <v>27</v>
      </c>
      <c r="F841" s="47" t="s">
        <v>445</v>
      </c>
      <c r="G841" s="47" t="s">
        <v>27</v>
      </c>
      <c r="H841" s="47">
        <v>70224</v>
      </c>
      <c r="I841" s="47">
        <v>70265</v>
      </c>
      <c r="J841" s="47" t="s">
        <v>28</v>
      </c>
      <c r="K841" s="47" t="s">
        <v>2449</v>
      </c>
      <c r="L841" s="47" t="s">
        <v>36</v>
      </c>
      <c r="M841" s="47" t="s">
        <v>447</v>
      </c>
      <c r="N841" s="48">
        <v>1000</v>
      </c>
      <c r="O841" s="48">
        <v>1000</v>
      </c>
      <c r="P841" s="48">
        <v>1000</v>
      </c>
      <c r="Q841" s="48">
        <v>1000</v>
      </c>
      <c r="R841" s="48">
        <v>199</v>
      </c>
      <c r="S841" s="48">
        <v>199</v>
      </c>
      <c r="T841" s="48">
        <v>199</v>
      </c>
      <c r="U841" s="48">
        <v>199</v>
      </c>
      <c r="V841" s="48"/>
    </row>
    <row r="842" spans="2:22" ht="30" x14ac:dyDescent="0.25">
      <c r="B842" s="47" t="s">
        <v>946</v>
      </c>
      <c r="C842" s="47" t="s">
        <v>56</v>
      </c>
      <c r="D842" s="47" t="s">
        <v>57</v>
      </c>
      <c r="E842" s="47" t="s">
        <v>27</v>
      </c>
      <c r="F842" s="47" t="s">
        <v>445</v>
      </c>
      <c r="G842" s="47" t="s">
        <v>27</v>
      </c>
      <c r="H842" s="47">
        <v>70224</v>
      </c>
      <c r="I842" s="47">
        <v>70265</v>
      </c>
      <c r="J842" s="47" t="s">
        <v>28</v>
      </c>
      <c r="K842" s="47" t="s">
        <v>2448</v>
      </c>
      <c r="L842" s="47" t="s">
        <v>36</v>
      </c>
      <c r="M842" s="47" t="s">
        <v>447</v>
      </c>
      <c r="N842" s="48">
        <v>1000</v>
      </c>
      <c r="O842" s="48">
        <v>1000</v>
      </c>
      <c r="P842" s="48">
        <v>1000</v>
      </c>
      <c r="Q842" s="48">
        <v>1000</v>
      </c>
      <c r="R842" s="48">
        <v>199</v>
      </c>
      <c r="S842" s="48">
        <v>199</v>
      </c>
      <c r="T842" s="48">
        <v>199</v>
      </c>
      <c r="U842" s="48">
        <v>199</v>
      </c>
      <c r="V842" s="48"/>
    </row>
    <row r="843" spans="2:22" ht="20" x14ac:dyDescent="0.25">
      <c r="B843" s="47" t="s">
        <v>946</v>
      </c>
      <c r="C843" s="47" t="s">
        <v>56</v>
      </c>
      <c r="D843" s="47" t="s">
        <v>57</v>
      </c>
      <c r="E843" s="47" t="s">
        <v>27</v>
      </c>
      <c r="F843" s="47" t="s">
        <v>445</v>
      </c>
      <c r="G843" s="47" t="s">
        <v>27</v>
      </c>
      <c r="H843" s="47">
        <v>70224</v>
      </c>
      <c r="I843" s="47">
        <v>70265</v>
      </c>
      <c r="J843" s="47" t="s">
        <v>28</v>
      </c>
      <c r="K843" s="47" t="s">
        <v>949</v>
      </c>
      <c r="L843" s="47" t="s">
        <v>39</v>
      </c>
      <c r="M843" s="47" t="s">
        <v>447</v>
      </c>
      <c r="N843" s="48">
        <v>1000</v>
      </c>
      <c r="O843" s="48">
        <v>1000</v>
      </c>
      <c r="P843" s="48">
        <v>1000</v>
      </c>
      <c r="Q843" s="48">
        <v>1000</v>
      </c>
      <c r="R843" s="48">
        <v>199</v>
      </c>
      <c r="S843" s="48">
        <v>199</v>
      </c>
      <c r="T843" s="48">
        <v>199</v>
      </c>
      <c r="U843" s="48">
        <v>199</v>
      </c>
      <c r="V843" s="48"/>
    </row>
    <row r="844" spans="2:22" ht="20" x14ac:dyDescent="0.25">
      <c r="B844" s="47" t="s">
        <v>946</v>
      </c>
      <c r="C844" s="47" t="s">
        <v>56</v>
      </c>
      <c r="D844" s="47" t="s">
        <v>57</v>
      </c>
      <c r="E844" s="47" t="s">
        <v>27</v>
      </c>
      <c r="F844" s="47" t="s">
        <v>445</v>
      </c>
      <c r="G844" s="47" t="s">
        <v>27</v>
      </c>
      <c r="H844" s="47">
        <v>70224</v>
      </c>
      <c r="I844" s="47">
        <v>70265</v>
      </c>
      <c r="J844" s="47" t="s">
        <v>28</v>
      </c>
      <c r="K844" s="47" t="s">
        <v>948</v>
      </c>
      <c r="L844" s="47" t="s">
        <v>39</v>
      </c>
      <c r="M844" s="47" t="s">
        <v>447</v>
      </c>
      <c r="N844" s="48">
        <v>1000</v>
      </c>
      <c r="O844" s="48">
        <v>1000</v>
      </c>
      <c r="P844" s="48">
        <v>1000</v>
      </c>
      <c r="Q844" s="48">
        <v>1000</v>
      </c>
      <c r="R844" s="48">
        <v>199</v>
      </c>
      <c r="S844" s="48">
        <v>199</v>
      </c>
      <c r="T844" s="48">
        <v>199</v>
      </c>
      <c r="U844" s="48">
        <v>199</v>
      </c>
      <c r="V844" s="48"/>
    </row>
    <row r="845" spans="2:22" ht="30" x14ac:dyDescent="0.25">
      <c r="B845" s="47" t="s">
        <v>946</v>
      </c>
      <c r="C845" s="47" t="s">
        <v>56</v>
      </c>
      <c r="D845" s="47" t="s">
        <v>57</v>
      </c>
      <c r="E845" s="47" t="s">
        <v>27</v>
      </c>
      <c r="F845" s="47" t="s">
        <v>445</v>
      </c>
      <c r="G845" s="47" t="s">
        <v>27</v>
      </c>
      <c r="H845" s="47">
        <v>70224</v>
      </c>
      <c r="I845" s="47">
        <v>70265</v>
      </c>
      <c r="J845" s="47" t="s">
        <v>28</v>
      </c>
      <c r="K845" s="47" t="s">
        <v>2447</v>
      </c>
      <c r="L845" s="47" t="s">
        <v>36</v>
      </c>
      <c r="M845" s="47" t="s">
        <v>447</v>
      </c>
      <c r="N845" s="48">
        <v>1000</v>
      </c>
      <c r="O845" s="48">
        <v>1000</v>
      </c>
      <c r="P845" s="48">
        <v>1000</v>
      </c>
      <c r="Q845" s="48">
        <v>1000</v>
      </c>
      <c r="R845" s="48">
        <v>199</v>
      </c>
      <c r="S845" s="48">
        <v>199</v>
      </c>
      <c r="T845" s="48">
        <v>199</v>
      </c>
      <c r="U845" s="48">
        <v>199</v>
      </c>
      <c r="V845" s="48"/>
    </row>
    <row r="846" spans="2:22" ht="20" x14ac:dyDescent="0.25">
      <c r="B846" s="47" t="s">
        <v>946</v>
      </c>
      <c r="C846" s="47" t="s">
        <v>56</v>
      </c>
      <c r="D846" s="47" t="s">
        <v>57</v>
      </c>
      <c r="E846" s="47" t="s">
        <v>27</v>
      </c>
      <c r="F846" s="47" t="s">
        <v>445</v>
      </c>
      <c r="G846" s="47" t="s">
        <v>27</v>
      </c>
      <c r="H846" s="47">
        <v>70224</v>
      </c>
      <c r="I846" s="47">
        <v>70265</v>
      </c>
      <c r="J846" s="47" t="s">
        <v>28</v>
      </c>
      <c r="K846" s="47" t="s">
        <v>947</v>
      </c>
      <c r="L846" s="47" t="s">
        <v>39</v>
      </c>
      <c r="M846" s="47" t="s">
        <v>447</v>
      </c>
      <c r="N846" s="48">
        <v>1000</v>
      </c>
      <c r="O846" s="48">
        <v>1000</v>
      </c>
      <c r="P846" s="48">
        <v>1000</v>
      </c>
      <c r="Q846" s="48">
        <v>1000</v>
      </c>
      <c r="R846" s="48">
        <v>199</v>
      </c>
      <c r="S846" s="48">
        <v>199</v>
      </c>
      <c r="T846" s="48">
        <v>199</v>
      </c>
      <c r="U846" s="48">
        <v>199</v>
      </c>
      <c r="V846" s="48"/>
    </row>
    <row r="847" spans="2:22" ht="23" x14ac:dyDescent="0.25">
      <c r="B847" s="44" t="s">
        <v>951</v>
      </c>
      <c r="C847" s="44" t="s">
        <v>56</v>
      </c>
      <c r="D847" s="44" t="s">
        <v>57</v>
      </c>
      <c r="E847" s="44" t="s">
        <v>27</v>
      </c>
      <c r="F847" s="44" t="s">
        <v>238</v>
      </c>
      <c r="G847" s="44" t="s">
        <v>27</v>
      </c>
      <c r="H847" s="44">
        <v>70224</v>
      </c>
      <c r="I847" s="44">
        <v>70400</v>
      </c>
      <c r="J847" s="44" t="s">
        <v>28</v>
      </c>
      <c r="K847" s="44" t="s">
        <v>951</v>
      </c>
      <c r="L847" s="44" t="s">
        <v>29</v>
      </c>
      <c r="M847" s="44"/>
      <c r="N847" s="45">
        <v>1000</v>
      </c>
      <c r="O847" s="45">
        <v>1000</v>
      </c>
      <c r="P847" s="45">
        <v>1000</v>
      </c>
      <c r="Q847" s="45">
        <v>1000</v>
      </c>
      <c r="R847" s="45">
        <v>199</v>
      </c>
      <c r="S847" s="45">
        <v>199</v>
      </c>
      <c r="T847" s="45">
        <v>199</v>
      </c>
      <c r="U847" s="45">
        <v>199</v>
      </c>
      <c r="V847" s="46"/>
    </row>
    <row r="848" spans="2:22" ht="30" x14ac:dyDescent="0.25">
      <c r="B848" s="47" t="s">
        <v>951</v>
      </c>
      <c r="C848" s="47" t="s">
        <v>56</v>
      </c>
      <c r="D848" s="47" t="s">
        <v>57</v>
      </c>
      <c r="E848" s="47" t="s">
        <v>27</v>
      </c>
      <c r="F848" s="47" t="s">
        <v>238</v>
      </c>
      <c r="G848" s="47" t="s">
        <v>27</v>
      </c>
      <c r="H848" s="47">
        <v>70224</v>
      </c>
      <c r="I848" s="47">
        <v>70400</v>
      </c>
      <c r="J848" s="47" t="s">
        <v>28</v>
      </c>
      <c r="K848" s="47" t="s">
        <v>2618</v>
      </c>
      <c r="L848" s="47" t="s">
        <v>36</v>
      </c>
      <c r="M848" s="47" t="s">
        <v>241</v>
      </c>
      <c r="N848" s="48">
        <v>1000</v>
      </c>
      <c r="O848" s="48">
        <v>1000</v>
      </c>
      <c r="P848" s="48">
        <v>1000</v>
      </c>
      <c r="Q848" s="48">
        <v>1000</v>
      </c>
      <c r="R848" s="48">
        <v>199</v>
      </c>
      <c r="S848" s="48">
        <v>199</v>
      </c>
      <c r="T848" s="48">
        <v>199</v>
      </c>
      <c r="U848" s="48">
        <v>199</v>
      </c>
      <c r="V848" s="48"/>
    </row>
    <row r="849" spans="2:22" ht="30" x14ac:dyDescent="0.25">
      <c r="B849" s="47" t="s">
        <v>951</v>
      </c>
      <c r="C849" s="47" t="s">
        <v>56</v>
      </c>
      <c r="D849" s="47" t="s">
        <v>57</v>
      </c>
      <c r="E849" s="47" t="s">
        <v>27</v>
      </c>
      <c r="F849" s="47" t="s">
        <v>238</v>
      </c>
      <c r="G849" s="47" t="s">
        <v>27</v>
      </c>
      <c r="H849" s="47">
        <v>70224</v>
      </c>
      <c r="I849" s="47">
        <v>70400</v>
      </c>
      <c r="J849" s="47" t="s">
        <v>28</v>
      </c>
      <c r="K849" s="47" t="s">
        <v>2619</v>
      </c>
      <c r="L849" s="47" t="s">
        <v>36</v>
      </c>
      <c r="M849" s="47" t="s">
        <v>241</v>
      </c>
      <c r="N849" s="48">
        <v>1000</v>
      </c>
      <c r="O849" s="48">
        <v>1000</v>
      </c>
      <c r="P849" s="48">
        <v>1000</v>
      </c>
      <c r="Q849" s="48">
        <v>1000</v>
      </c>
      <c r="R849" s="48">
        <v>199</v>
      </c>
      <c r="S849" s="48">
        <v>199</v>
      </c>
      <c r="T849" s="48">
        <v>199</v>
      </c>
      <c r="U849" s="48">
        <v>199</v>
      </c>
      <c r="V849" s="48"/>
    </row>
    <row r="850" spans="2:22" ht="30" x14ac:dyDescent="0.25">
      <c r="B850" s="47" t="s">
        <v>951</v>
      </c>
      <c r="C850" s="47" t="s">
        <v>56</v>
      </c>
      <c r="D850" s="47" t="s">
        <v>57</v>
      </c>
      <c r="E850" s="47" t="s">
        <v>27</v>
      </c>
      <c r="F850" s="47" t="s">
        <v>238</v>
      </c>
      <c r="G850" s="47" t="s">
        <v>27</v>
      </c>
      <c r="H850" s="47">
        <v>70224</v>
      </c>
      <c r="I850" s="47">
        <v>70400</v>
      </c>
      <c r="J850" s="47" t="s">
        <v>28</v>
      </c>
      <c r="K850" s="47" t="s">
        <v>2620</v>
      </c>
      <c r="L850" s="47" t="s">
        <v>36</v>
      </c>
      <c r="M850" s="47" t="s">
        <v>241</v>
      </c>
      <c r="N850" s="48">
        <v>1000</v>
      </c>
      <c r="O850" s="48">
        <v>1000</v>
      </c>
      <c r="P850" s="48">
        <v>1000</v>
      </c>
      <c r="Q850" s="48">
        <v>1000</v>
      </c>
      <c r="R850" s="48">
        <v>199</v>
      </c>
      <c r="S850" s="48">
        <v>199</v>
      </c>
      <c r="T850" s="48">
        <v>199</v>
      </c>
      <c r="U850" s="48">
        <v>199</v>
      </c>
      <c r="V850" s="48"/>
    </row>
    <row r="851" spans="2:22" ht="23" x14ac:dyDescent="0.25">
      <c r="B851" s="94" t="s">
        <v>2695</v>
      </c>
      <c r="C851" s="94" t="s">
        <v>954</v>
      </c>
      <c r="D851" s="94" t="s">
        <v>2632</v>
      </c>
      <c r="E851" s="94" t="s">
        <v>27</v>
      </c>
      <c r="F851" s="94" t="s">
        <v>58</v>
      </c>
      <c r="G851" s="94" t="s">
        <v>27</v>
      </c>
      <c r="H851" s="94">
        <v>2203</v>
      </c>
      <c r="I851" s="94">
        <v>70231</v>
      </c>
      <c r="J851" s="94" t="s">
        <v>28</v>
      </c>
      <c r="K851" s="94" t="s">
        <v>2695</v>
      </c>
      <c r="L851" s="94" t="s">
        <v>29</v>
      </c>
      <c r="M851" s="94"/>
      <c r="N851" s="97">
        <v>435</v>
      </c>
      <c r="O851" s="97">
        <v>478</v>
      </c>
      <c r="P851" s="97">
        <v>477</v>
      </c>
      <c r="Q851" s="97">
        <v>525</v>
      </c>
      <c r="R851" s="97">
        <v>87</v>
      </c>
      <c r="S851" s="97">
        <v>95</v>
      </c>
      <c r="T851" s="97">
        <v>95</v>
      </c>
      <c r="U851" s="97">
        <v>105</v>
      </c>
      <c r="V851" s="98"/>
    </row>
    <row r="852" spans="2:22" ht="20" x14ac:dyDescent="0.25">
      <c r="B852" s="96" t="s">
        <v>2695</v>
      </c>
      <c r="C852" s="96" t="s">
        <v>954</v>
      </c>
      <c r="D852" s="96" t="s">
        <v>2632</v>
      </c>
      <c r="E852" s="96" t="s">
        <v>27</v>
      </c>
      <c r="F852" s="96" t="s">
        <v>58</v>
      </c>
      <c r="G852" s="96" t="s">
        <v>27</v>
      </c>
      <c r="H852" s="96">
        <v>2203</v>
      </c>
      <c r="I852" s="96">
        <v>70231</v>
      </c>
      <c r="J852" s="96" t="s">
        <v>28</v>
      </c>
      <c r="K852" s="96" t="s">
        <v>2695</v>
      </c>
      <c r="L852" s="96" t="s">
        <v>30</v>
      </c>
      <c r="M852" s="96" t="s">
        <v>954</v>
      </c>
      <c r="N852" s="95">
        <v>435</v>
      </c>
      <c r="O852" s="95">
        <v>478</v>
      </c>
      <c r="P852" s="95">
        <v>477</v>
      </c>
      <c r="Q852" s="95">
        <v>525</v>
      </c>
      <c r="R852" s="95">
        <v>87</v>
      </c>
      <c r="S852" s="95">
        <v>95</v>
      </c>
      <c r="T852" s="95">
        <v>95</v>
      </c>
      <c r="U852" s="95">
        <v>105</v>
      </c>
      <c r="V852" s="95"/>
    </row>
    <row r="853" spans="2:22" ht="23" x14ac:dyDescent="0.25">
      <c r="B853" s="44" t="s">
        <v>955</v>
      </c>
      <c r="C853" s="44" t="s">
        <v>919</v>
      </c>
      <c r="D853" s="44" t="s">
        <v>58</v>
      </c>
      <c r="E853" s="44" t="s">
        <v>27</v>
      </c>
      <c r="F853" s="44" t="s">
        <v>920</v>
      </c>
      <c r="G853" s="44" t="s">
        <v>27</v>
      </c>
      <c r="H853" s="44">
        <v>70232</v>
      </c>
      <c r="I853" s="44">
        <v>2053</v>
      </c>
      <c r="J853" s="44" t="s">
        <v>28</v>
      </c>
      <c r="K853" s="44" t="s">
        <v>955</v>
      </c>
      <c r="L853" s="44" t="s">
        <v>29</v>
      </c>
      <c r="M853" s="44"/>
      <c r="N853" s="45">
        <v>1117</v>
      </c>
      <c r="O853" s="45">
        <v>1229</v>
      </c>
      <c r="P853" s="45">
        <v>1225</v>
      </c>
      <c r="Q853" s="45">
        <v>1348</v>
      </c>
      <c r="R853" s="45">
        <v>445</v>
      </c>
      <c r="S853" s="45">
        <v>490</v>
      </c>
      <c r="T853" s="45">
        <v>488</v>
      </c>
      <c r="U853" s="45">
        <v>537</v>
      </c>
      <c r="V853" s="46"/>
    </row>
    <row r="854" spans="2:22" ht="20" x14ac:dyDescent="0.25">
      <c r="B854" s="47" t="s">
        <v>955</v>
      </c>
      <c r="C854" s="47" t="s">
        <v>919</v>
      </c>
      <c r="D854" s="47" t="s">
        <v>58</v>
      </c>
      <c r="E854" s="47" t="s">
        <v>27</v>
      </c>
      <c r="F854" s="47" t="s">
        <v>920</v>
      </c>
      <c r="G854" s="47" t="s">
        <v>27</v>
      </c>
      <c r="H854" s="47">
        <v>70232</v>
      </c>
      <c r="I854" s="47">
        <v>2053</v>
      </c>
      <c r="J854" s="47" t="s">
        <v>28</v>
      </c>
      <c r="K854" s="47" t="s">
        <v>955</v>
      </c>
      <c r="L854" s="47" t="s">
        <v>30</v>
      </c>
      <c r="M854" s="47" t="s">
        <v>919</v>
      </c>
      <c r="N854" s="48">
        <v>1117</v>
      </c>
      <c r="O854" s="48">
        <v>1229</v>
      </c>
      <c r="P854" s="48">
        <v>1225</v>
      </c>
      <c r="Q854" s="48">
        <v>1348</v>
      </c>
      <c r="R854" s="48">
        <v>445</v>
      </c>
      <c r="S854" s="48">
        <v>490</v>
      </c>
      <c r="T854" s="48">
        <v>488</v>
      </c>
      <c r="U854" s="48">
        <v>537</v>
      </c>
      <c r="V854" s="48"/>
    </row>
    <row r="855" spans="2:22" ht="34.5" x14ac:dyDescent="0.25">
      <c r="B855" s="44" t="s">
        <v>98</v>
      </c>
      <c r="C855" s="44" t="s">
        <v>99</v>
      </c>
      <c r="D855" s="44" t="s">
        <v>58</v>
      </c>
      <c r="E855" s="44" t="s">
        <v>27</v>
      </c>
      <c r="F855" s="44" t="s">
        <v>208</v>
      </c>
      <c r="G855" s="44" t="s">
        <v>27</v>
      </c>
      <c r="H855" s="44">
        <v>70232</v>
      </c>
      <c r="I855" s="44">
        <v>70358</v>
      </c>
      <c r="J855" s="44" t="s">
        <v>28</v>
      </c>
      <c r="K855" s="44" t="s">
        <v>98</v>
      </c>
      <c r="L855" s="44" t="s">
        <v>29</v>
      </c>
      <c r="M855" s="44"/>
      <c r="N855" s="45">
        <v>1085</v>
      </c>
      <c r="O855" s="45">
        <v>1205</v>
      </c>
      <c r="P855" s="45">
        <v>1236</v>
      </c>
      <c r="Q855" s="45">
        <v>1359</v>
      </c>
      <c r="R855" s="45">
        <v>432</v>
      </c>
      <c r="S855" s="45">
        <v>480</v>
      </c>
      <c r="T855" s="45">
        <v>492</v>
      </c>
      <c r="U855" s="45">
        <v>541</v>
      </c>
      <c r="V855" s="46"/>
    </row>
    <row r="856" spans="2:22" ht="20" x14ac:dyDescent="0.25">
      <c r="B856" s="47" t="s">
        <v>98</v>
      </c>
      <c r="C856" s="47" t="s">
        <v>99</v>
      </c>
      <c r="D856" s="47" t="s">
        <v>58</v>
      </c>
      <c r="E856" s="47" t="s">
        <v>27</v>
      </c>
      <c r="F856" s="47" t="s">
        <v>208</v>
      </c>
      <c r="G856" s="47" t="s">
        <v>27</v>
      </c>
      <c r="H856" s="47">
        <v>70232</v>
      </c>
      <c r="I856" s="47">
        <v>70358</v>
      </c>
      <c r="J856" s="47" t="s">
        <v>28</v>
      </c>
      <c r="K856" s="47" t="s">
        <v>249</v>
      </c>
      <c r="L856" s="47" t="s">
        <v>31</v>
      </c>
      <c r="M856" s="47" t="s">
        <v>210</v>
      </c>
      <c r="N856" s="48">
        <v>1085</v>
      </c>
      <c r="O856" s="47">
        <v>1265</v>
      </c>
      <c r="P856" s="47">
        <v>1296</v>
      </c>
      <c r="Q856" s="47">
        <v>1441</v>
      </c>
      <c r="R856" s="48">
        <v>432</v>
      </c>
      <c r="S856" s="47">
        <v>504</v>
      </c>
      <c r="T856" s="47">
        <v>516</v>
      </c>
      <c r="U856" s="47">
        <v>574</v>
      </c>
      <c r="V856" s="47"/>
    </row>
    <row r="857" spans="2:22" ht="20" x14ac:dyDescent="0.25">
      <c r="B857" s="47" t="s">
        <v>98</v>
      </c>
      <c r="C857" s="47" t="s">
        <v>99</v>
      </c>
      <c r="D857" s="47" t="s">
        <v>58</v>
      </c>
      <c r="E857" s="47" t="s">
        <v>27</v>
      </c>
      <c r="F857" s="47" t="s">
        <v>208</v>
      </c>
      <c r="G857" s="47" t="s">
        <v>27</v>
      </c>
      <c r="H857" s="47">
        <v>70232</v>
      </c>
      <c r="I857" s="47">
        <v>70358</v>
      </c>
      <c r="J857" s="47" t="s">
        <v>28</v>
      </c>
      <c r="K857" s="47" t="s">
        <v>98</v>
      </c>
      <c r="L857" s="47" t="s">
        <v>30</v>
      </c>
      <c r="M857" s="47" t="s">
        <v>99</v>
      </c>
      <c r="N857" s="47">
        <v>1095</v>
      </c>
      <c r="O857" s="48">
        <v>1205</v>
      </c>
      <c r="P857" s="48">
        <v>1236</v>
      </c>
      <c r="Q857" s="48">
        <v>1359</v>
      </c>
      <c r="R857" s="47">
        <v>436</v>
      </c>
      <c r="S857" s="48">
        <v>480</v>
      </c>
      <c r="T857" s="48">
        <v>492</v>
      </c>
      <c r="U857" s="48">
        <v>541</v>
      </c>
      <c r="V857" s="48"/>
    </row>
    <row r="858" spans="2:22" ht="23" x14ac:dyDescent="0.25">
      <c r="B858" s="44" t="s">
        <v>956</v>
      </c>
      <c r="C858" s="44" t="s">
        <v>128</v>
      </c>
      <c r="D858" s="44" t="s">
        <v>838</v>
      </c>
      <c r="E858" s="44" t="s">
        <v>27</v>
      </c>
      <c r="F858" s="44" t="s">
        <v>217</v>
      </c>
      <c r="G858" s="44" t="s">
        <v>27</v>
      </c>
      <c r="H858" s="44">
        <v>70233</v>
      </c>
      <c r="I858" s="44">
        <v>70268</v>
      </c>
      <c r="J858" s="44" t="s">
        <v>28</v>
      </c>
      <c r="K858" s="44" t="s">
        <v>956</v>
      </c>
      <c r="L858" s="44" t="s">
        <v>29</v>
      </c>
      <c r="M858" s="44"/>
      <c r="N858" s="45">
        <v>790</v>
      </c>
      <c r="O858" s="45">
        <v>790</v>
      </c>
      <c r="P858" s="45">
        <v>794</v>
      </c>
      <c r="Q858" s="45">
        <v>794</v>
      </c>
      <c r="R858" s="45">
        <v>315</v>
      </c>
      <c r="S858" s="45">
        <v>315</v>
      </c>
      <c r="T858" s="45">
        <v>316</v>
      </c>
      <c r="U858" s="45">
        <v>316</v>
      </c>
      <c r="V858" s="46" t="s">
        <v>219</v>
      </c>
    </row>
    <row r="859" spans="2:22" ht="20" x14ac:dyDescent="0.25">
      <c r="B859" s="47" t="s">
        <v>956</v>
      </c>
      <c r="C859" s="47" t="s">
        <v>128</v>
      </c>
      <c r="D859" s="47" t="s">
        <v>838</v>
      </c>
      <c r="E859" s="47" t="s">
        <v>27</v>
      </c>
      <c r="F859" s="47" t="s">
        <v>217</v>
      </c>
      <c r="G859" s="47" t="s">
        <v>27</v>
      </c>
      <c r="H859" s="47">
        <v>70233</v>
      </c>
      <c r="I859" s="47">
        <v>70268</v>
      </c>
      <c r="J859" s="47" t="s">
        <v>28</v>
      </c>
      <c r="K859" s="47" t="s">
        <v>956</v>
      </c>
      <c r="L859" s="47" t="s">
        <v>30</v>
      </c>
      <c r="M859" s="47" t="s">
        <v>128</v>
      </c>
      <c r="N859" s="48">
        <v>790</v>
      </c>
      <c r="O859" s="48">
        <v>790</v>
      </c>
      <c r="P859" s="48">
        <v>794</v>
      </c>
      <c r="Q859" s="48">
        <v>794</v>
      </c>
      <c r="R859" s="48">
        <v>315</v>
      </c>
      <c r="S859" s="48">
        <v>315</v>
      </c>
      <c r="T859" s="48">
        <v>316</v>
      </c>
      <c r="U859" s="48">
        <v>316</v>
      </c>
      <c r="V859" s="48"/>
    </row>
    <row r="860" spans="2:22" ht="23" x14ac:dyDescent="0.25">
      <c r="B860" s="44" t="s">
        <v>957</v>
      </c>
      <c r="C860" s="44" t="s">
        <v>117</v>
      </c>
      <c r="D860" s="44" t="s">
        <v>958</v>
      </c>
      <c r="E860" s="44" t="s">
        <v>27</v>
      </c>
      <c r="F860" s="44" t="s">
        <v>959</v>
      </c>
      <c r="G860" s="44" t="s">
        <v>27</v>
      </c>
      <c r="H860" s="44">
        <v>70513</v>
      </c>
      <c r="I860" s="44">
        <v>70551</v>
      </c>
      <c r="J860" s="44" t="s">
        <v>28</v>
      </c>
      <c r="K860" s="44" t="s">
        <v>957</v>
      </c>
      <c r="L860" s="44" t="s">
        <v>29</v>
      </c>
      <c r="M860" s="44"/>
      <c r="N860" s="45">
        <v>1840</v>
      </c>
      <c r="O860" s="45">
        <v>2000</v>
      </c>
      <c r="P860" s="45">
        <v>2000</v>
      </c>
      <c r="Q860" s="45">
        <v>2000</v>
      </c>
      <c r="R860" s="45">
        <v>733</v>
      </c>
      <c r="S860" s="45">
        <v>797</v>
      </c>
      <c r="T860" s="45">
        <v>797</v>
      </c>
      <c r="U860" s="45">
        <v>797</v>
      </c>
      <c r="V860" s="46"/>
    </row>
    <row r="861" spans="2:22" ht="20" x14ac:dyDescent="0.25">
      <c r="B861" s="47" t="s">
        <v>957</v>
      </c>
      <c r="C861" s="47" t="s">
        <v>117</v>
      </c>
      <c r="D861" s="47" t="s">
        <v>958</v>
      </c>
      <c r="E861" s="47" t="s">
        <v>27</v>
      </c>
      <c r="F861" s="47" t="s">
        <v>959</v>
      </c>
      <c r="G861" s="47" t="s">
        <v>27</v>
      </c>
      <c r="H861" s="47">
        <v>70513</v>
      </c>
      <c r="I861" s="47">
        <v>70551</v>
      </c>
      <c r="J861" s="47" t="s">
        <v>28</v>
      </c>
      <c r="K861" s="47" t="s">
        <v>957</v>
      </c>
      <c r="L861" s="47" t="s">
        <v>30</v>
      </c>
      <c r="M861" s="47" t="s">
        <v>117</v>
      </c>
      <c r="N861" s="48">
        <v>1840</v>
      </c>
      <c r="O861" s="47">
        <v>2025</v>
      </c>
      <c r="P861" s="47">
        <v>2088</v>
      </c>
      <c r="Q861" s="47">
        <v>2297</v>
      </c>
      <c r="R861" s="48">
        <v>733</v>
      </c>
      <c r="S861" s="47">
        <v>807</v>
      </c>
      <c r="T861" s="47">
        <v>832</v>
      </c>
      <c r="U861" s="47">
        <v>915</v>
      </c>
      <c r="V861" s="47"/>
    </row>
    <row r="862" spans="2:22" ht="20" x14ac:dyDescent="0.25">
      <c r="B862" s="47" t="s">
        <v>957</v>
      </c>
      <c r="C862" s="47" t="s">
        <v>117</v>
      </c>
      <c r="D862" s="47" t="s">
        <v>958</v>
      </c>
      <c r="E862" s="47" t="s">
        <v>27</v>
      </c>
      <c r="F862" s="47" t="s">
        <v>959</v>
      </c>
      <c r="G862" s="47" t="s">
        <v>27</v>
      </c>
      <c r="H862" s="47">
        <v>70513</v>
      </c>
      <c r="I862" s="47">
        <v>70551</v>
      </c>
      <c r="J862" s="47" t="s">
        <v>28</v>
      </c>
      <c r="K862" s="47" t="s">
        <v>2296</v>
      </c>
      <c r="L862" s="47" t="s">
        <v>1315</v>
      </c>
      <c r="M862" s="47" t="s">
        <v>961</v>
      </c>
      <c r="N862" s="47">
        <v>2000</v>
      </c>
      <c r="O862" s="48">
        <v>2000</v>
      </c>
      <c r="P862" s="48">
        <v>2000</v>
      </c>
      <c r="Q862" s="48">
        <v>2000</v>
      </c>
      <c r="R862" s="47">
        <v>797</v>
      </c>
      <c r="S862" s="48">
        <v>797</v>
      </c>
      <c r="T862" s="48">
        <v>797</v>
      </c>
      <c r="U862" s="48">
        <v>797</v>
      </c>
      <c r="V862" s="48"/>
    </row>
    <row r="863" spans="2:22" ht="20" x14ac:dyDescent="0.25">
      <c r="B863" s="47" t="s">
        <v>957</v>
      </c>
      <c r="C863" s="47" t="s">
        <v>117</v>
      </c>
      <c r="D863" s="47" t="s">
        <v>958</v>
      </c>
      <c r="E863" s="47" t="s">
        <v>27</v>
      </c>
      <c r="F863" s="47" t="s">
        <v>959</v>
      </c>
      <c r="G863" s="47" t="s">
        <v>27</v>
      </c>
      <c r="H863" s="47">
        <v>70513</v>
      </c>
      <c r="I863" s="47">
        <v>70551</v>
      </c>
      <c r="J863" s="47" t="s">
        <v>28</v>
      </c>
      <c r="K863" s="47" t="s">
        <v>2297</v>
      </c>
      <c r="L863" s="47" t="s">
        <v>1315</v>
      </c>
      <c r="M863" s="47" t="s">
        <v>1226</v>
      </c>
      <c r="N863" s="47">
        <v>2000</v>
      </c>
      <c r="O863" s="48">
        <v>2000</v>
      </c>
      <c r="P863" s="48">
        <v>2000</v>
      </c>
      <c r="Q863" s="48">
        <v>2000</v>
      </c>
      <c r="R863" s="47">
        <v>797</v>
      </c>
      <c r="S863" s="48">
        <v>797</v>
      </c>
      <c r="T863" s="48">
        <v>797</v>
      </c>
      <c r="U863" s="48">
        <v>797</v>
      </c>
      <c r="V863" s="48"/>
    </row>
    <row r="864" spans="2:22" ht="23" x14ac:dyDescent="0.25">
      <c r="B864" s="44" t="s">
        <v>116</v>
      </c>
      <c r="C864" s="44" t="s">
        <v>117</v>
      </c>
      <c r="D864" s="44" t="s">
        <v>958</v>
      </c>
      <c r="E864" s="44" t="s">
        <v>27</v>
      </c>
      <c r="F864" s="44" t="s">
        <v>962</v>
      </c>
      <c r="G864" s="44" t="s">
        <v>27</v>
      </c>
      <c r="H864" s="44">
        <v>70513</v>
      </c>
      <c r="I864" s="44">
        <v>70524</v>
      </c>
      <c r="J864" s="44" t="s">
        <v>28</v>
      </c>
      <c r="K864" s="44" t="s">
        <v>116</v>
      </c>
      <c r="L864" s="44" t="s">
        <v>29</v>
      </c>
      <c r="M864" s="44"/>
      <c r="N864" s="45">
        <v>1840</v>
      </c>
      <c r="O864" s="45">
        <v>2000</v>
      </c>
      <c r="P864" s="45">
        <v>2000</v>
      </c>
      <c r="Q864" s="45">
        <v>2000</v>
      </c>
      <c r="R864" s="45">
        <v>733</v>
      </c>
      <c r="S864" s="45">
        <v>797</v>
      </c>
      <c r="T864" s="45">
        <v>797</v>
      </c>
      <c r="U864" s="45">
        <v>797</v>
      </c>
      <c r="V864" s="46"/>
    </row>
    <row r="865" spans="2:22" ht="20" x14ac:dyDescent="0.25">
      <c r="B865" s="47" t="s">
        <v>116</v>
      </c>
      <c r="C865" s="47" t="s">
        <v>117</v>
      </c>
      <c r="D865" s="47" t="s">
        <v>958</v>
      </c>
      <c r="E865" s="47" t="s">
        <v>27</v>
      </c>
      <c r="F865" s="47" t="s">
        <v>962</v>
      </c>
      <c r="G865" s="47" t="s">
        <v>27</v>
      </c>
      <c r="H865" s="47">
        <v>70513</v>
      </c>
      <c r="I865" s="47">
        <v>70524</v>
      </c>
      <c r="J865" s="47" t="s">
        <v>28</v>
      </c>
      <c r="K865" s="47" t="s">
        <v>1095</v>
      </c>
      <c r="L865" s="47" t="s">
        <v>31</v>
      </c>
      <c r="M865" s="47" t="s">
        <v>1261</v>
      </c>
      <c r="N865" s="48">
        <v>1840</v>
      </c>
      <c r="O865" s="47">
        <v>2025</v>
      </c>
      <c r="P865" s="47">
        <v>2092</v>
      </c>
      <c r="Q865" s="47">
        <v>2301</v>
      </c>
      <c r="R865" s="48">
        <v>733</v>
      </c>
      <c r="S865" s="47">
        <v>807</v>
      </c>
      <c r="T865" s="47">
        <v>833</v>
      </c>
      <c r="U865" s="47">
        <v>917</v>
      </c>
      <c r="V865" s="47"/>
    </row>
    <row r="866" spans="2:22" ht="20" x14ac:dyDescent="0.25">
      <c r="B866" s="47" t="s">
        <v>116</v>
      </c>
      <c r="C866" s="47" t="s">
        <v>117</v>
      </c>
      <c r="D866" s="47" t="s">
        <v>958</v>
      </c>
      <c r="E866" s="47" t="s">
        <v>27</v>
      </c>
      <c r="F866" s="47" t="s">
        <v>962</v>
      </c>
      <c r="G866" s="47" t="s">
        <v>27</v>
      </c>
      <c r="H866" s="47">
        <v>70513</v>
      </c>
      <c r="I866" s="47">
        <v>70524</v>
      </c>
      <c r="J866" s="47" t="s">
        <v>28</v>
      </c>
      <c r="K866" s="47" t="s">
        <v>118</v>
      </c>
      <c r="L866" s="47" t="s">
        <v>1315</v>
      </c>
      <c r="M866" s="47" t="s">
        <v>961</v>
      </c>
      <c r="N866" s="47">
        <v>2000</v>
      </c>
      <c r="O866" s="48">
        <v>2000</v>
      </c>
      <c r="P866" s="48">
        <v>2000</v>
      </c>
      <c r="Q866" s="48">
        <v>2000</v>
      </c>
      <c r="R866" s="47">
        <v>797</v>
      </c>
      <c r="S866" s="48">
        <v>797</v>
      </c>
      <c r="T866" s="48">
        <v>797</v>
      </c>
      <c r="U866" s="48">
        <v>797</v>
      </c>
      <c r="V866" s="48"/>
    </row>
    <row r="867" spans="2:22" ht="23" x14ac:dyDescent="0.25">
      <c r="B867" s="94" t="s">
        <v>2661</v>
      </c>
      <c r="C867" s="94" t="s">
        <v>2660</v>
      </c>
      <c r="D867" s="94" t="s">
        <v>2642</v>
      </c>
      <c r="E867" s="94" t="s">
        <v>27</v>
      </c>
      <c r="F867" s="94" t="s">
        <v>2659</v>
      </c>
      <c r="G867" s="94" t="s">
        <v>40</v>
      </c>
      <c r="H867" s="94">
        <v>70898</v>
      </c>
      <c r="I867" s="94">
        <v>73011</v>
      </c>
      <c r="J867" s="94" t="s">
        <v>42</v>
      </c>
      <c r="K867" s="94" t="s">
        <v>2661</v>
      </c>
      <c r="L867" s="94" t="s">
        <v>29</v>
      </c>
      <c r="M867" s="94"/>
      <c r="N867" s="97">
        <v>1353</v>
      </c>
      <c r="O867" s="97">
        <v>1353</v>
      </c>
      <c r="P867" s="97">
        <v>1353</v>
      </c>
      <c r="Q867" s="97">
        <v>1353</v>
      </c>
      <c r="R867" s="97">
        <v>539</v>
      </c>
      <c r="S867" s="97">
        <v>539</v>
      </c>
      <c r="T867" s="97">
        <v>539</v>
      </c>
      <c r="U867" s="97">
        <v>539</v>
      </c>
      <c r="V867" s="98"/>
    </row>
    <row r="868" spans="2:22" x14ac:dyDescent="0.25">
      <c r="B868" s="96" t="s">
        <v>2661</v>
      </c>
      <c r="C868" s="96" t="s">
        <v>2660</v>
      </c>
      <c r="D868" s="96" t="s">
        <v>2642</v>
      </c>
      <c r="E868" s="96" t="s">
        <v>27</v>
      </c>
      <c r="F868" s="96" t="s">
        <v>2659</v>
      </c>
      <c r="G868" s="96" t="s">
        <v>40</v>
      </c>
      <c r="H868" s="96">
        <v>70898</v>
      </c>
      <c r="I868" s="96">
        <v>73011</v>
      </c>
      <c r="J868" s="96" t="s">
        <v>42</v>
      </c>
      <c r="K868" s="96" t="s">
        <v>213</v>
      </c>
      <c r="L868" s="96" t="s">
        <v>213</v>
      </c>
      <c r="M868" s="96" t="s">
        <v>2658</v>
      </c>
      <c r="N868" s="95">
        <v>1353</v>
      </c>
      <c r="O868" s="95">
        <v>1353</v>
      </c>
      <c r="P868" s="95">
        <v>1353</v>
      </c>
      <c r="Q868" s="95">
        <v>1353</v>
      </c>
      <c r="R868" s="95">
        <v>539</v>
      </c>
      <c r="S868" s="95">
        <v>539</v>
      </c>
      <c r="T868" s="95">
        <v>539</v>
      </c>
      <c r="U868" s="95">
        <v>539</v>
      </c>
      <c r="V868" s="95"/>
    </row>
    <row r="869" spans="2:22" ht="23" x14ac:dyDescent="0.25">
      <c r="B869" s="44" t="s">
        <v>963</v>
      </c>
      <c r="C869" s="44" t="s">
        <v>440</v>
      </c>
      <c r="D869" s="44" t="s">
        <v>441</v>
      </c>
      <c r="E869" s="44" t="s">
        <v>27</v>
      </c>
      <c r="F869" s="44" t="s">
        <v>445</v>
      </c>
      <c r="G869" s="44" t="s">
        <v>27</v>
      </c>
      <c r="H869" s="44">
        <v>70237</v>
      </c>
      <c r="I869" s="44">
        <v>70266</v>
      </c>
      <c r="J869" s="44" t="s">
        <v>28</v>
      </c>
      <c r="K869" s="44" t="s">
        <v>963</v>
      </c>
      <c r="L869" s="44" t="s">
        <v>29</v>
      </c>
      <c r="M869" s="44"/>
      <c r="N869" s="45">
        <v>1188</v>
      </c>
      <c r="O869" s="45">
        <v>1188</v>
      </c>
      <c r="P869" s="45">
        <v>1255</v>
      </c>
      <c r="Q869" s="45">
        <v>1255</v>
      </c>
      <c r="R869" s="45">
        <v>473</v>
      </c>
      <c r="S869" s="45">
        <v>473</v>
      </c>
      <c r="T869" s="45">
        <v>500</v>
      </c>
      <c r="U869" s="45">
        <v>500</v>
      </c>
      <c r="V869" s="46"/>
    </row>
    <row r="870" spans="2:22" ht="20" x14ac:dyDescent="0.25">
      <c r="B870" s="47" t="s">
        <v>963</v>
      </c>
      <c r="C870" s="47" t="s">
        <v>440</v>
      </c>
      <c r="D870" s="47" t="s">
        <v>441</v>
      </c>
      <c r="E870" s="47" t="s">
        <v>27</v>
      </c>
      <c r="F870" s="47" t="s">
        <v>445</v>
      </c>
      <c r="G870" s="47" t="s">
        <v>27</v>
      </c>
      <c r="H870" s="47">
        <v>70237</v>
      </c>
      <c r="I870" s="47">
        <v>70266</v>
      </c>
      <c r="J870" s="47" t="s">
        <v>28</v>
      </c>
      <c r="K870" s="47"/>
      <c r="L870" s="47" t="s">
        <v>301</v>
      </c>
      <c r="M870" s="47" t="s">
        <v>447</v>
      </c>
      <c r="N870" s="48">
        <v>1188</v>
      </c>
      <c r="O870" s="48">
        <v>1188</v>
      </c>
      <c r="P870" s="48">
        <v>1255</v>
      </c>
      <c r="Q870" s="48">
        <v>1255</v>
      </c>
      <c r="R870" s="48">
        <v>473</v>
      </c>
      <c r="S870" s="48">
        <v>473</v>
      </c>
      <c r="T870" s="48">
        <v>500</v>
      </c>
      <c r="U870" s="48">
        <v>500</v>
      </c>
      <c r="V870" s="48"/>
    </row>
    <row r="871" spans="2:22" ht="20" x14ac:dyDescent="0.25">
      <c r="B871" s="47" t="s">
        <v>963</v>
      </c>
      <c r="C871" s="47" t="s">
        <v>440</v>
      </c>
      <c r="D871" s="47" t="s">
        <v>441</v>
      </c>
      <c r="E871" s="47" t="s">
        <v>27</v>
      </c>
      <c r="F871" s="47" t="s">
        <v>445</v>
      </c>
      <c r="G871" s="47" t="s">
        <v>27</v>
      </c>
      <c r="H871" s="47">
        <v>70237</v>
      </c>
      <c r="I871" s="47">
        <v>70266</v>
      </c>
      <c r="J871" s="47" t="s">
        <v>28</v>
      </c>
      <c r="K871" s="47" t="s">
        <v>388</v>
      </c>
      <c r="L871" s="47" t="s">
        <v>31</v>
      </c>
      <c r="M871" s="47" t="s">
        <v>442</v>
      </c>
      <c r="N871" s="48">
        <v>1188</v>
      </c>
      <c r="O871" s="47">
        <v>1394</v>
      </c>
      <c r="P871" s="47">
        <v>1422</v>
      </c>
      <c r="Q871" s="47">
        <v>1590</v>
      </c>
      <c r="R871" s="48">
        <v>473</v>
      </c>
      <c r="S871" s="47">
        <v>555</v>
      </c>
      <c r="T871" s="47">
        <v>567</v>
      </c>
      <c r="U871" s="47">
        <v>633</v>
      </c>
      <c r="V871" s="47"/>
    </row>
    <row r="872" spans="2:22" ht="23" x14ac:dyDescent="0.25">
      <c r="B872" s="44" t="s">
        <v>967</v>
      </c>
      <c r="C872" s="44" t="s">
        <v>421</v>
      </c>
      <c r="D872" s="44" t="s">
        <v>418</v>
      </c>
      <c r="E872" s="44" t="s">
        <v>27</v>
      </c>
      <c r="F872" s="44" t="s">
        <v>923</v>
      </c>
      <c r="G872" s="44" t="s">
        <v>27</v>
      </c>
      <c r="H872" s="44">
        <v>70239</v>
      </c>
      <c r="I872" s="44">
        <v>70260</v>
      </c>
      <c r="J872" s="44" t="s">
        <v>28</v>
      </c>
      <c r="K872" s="44" t="s">
        <v>967</v>
      </c>
      <c r="L872" s="44" t="s">
        <v>29</v>
      </c>
      <c r="M872" s="44"/>
      <c r="N872" s="45">
        <v>1200</v>
      </c>
      <c r="O872" s="45">
        <v>1200</v>
      </c>
      <c r="P872" s="45">
        <v>1200</v>
      </c>
      <c r="Q872" s="45">
        <v>1200</v>
      </c>
      <c r="R872" s="45">
        <v>478</v>
      </c>
      <c r="S872" s="45">
        <v>478</v>
      </c>
      <c r="T872" s="45">
        <v>478</v>
      </c>
      <c r="U872" s="45">
        <v>478</v>
      </c>
      <c r="V872" s="46"/>
    </row>
    <row r="873" spans="2:22" ht="30" x14ac:dyDescent="0.25">
      <c r="B873" s="47" t="s">
        <v>967</v>
      </c>
      <c r="C873" s="47" t="s">
        <v>421</v>
      </c>
      <c r="D873" s="47" t="s">
        <v>418</v>
      </c>
      <c r="E873" s="47" t="s">
        <v>27</v>
      </c>
      <c r="F873" s="47" t="s">
        <v>923</v>
      </c>
      <c r="G873" s="47" t="s">
        <v>27</v>
      </c>
      <c r="H873" s="47">
        <v>70239</v>
      </c>
      <c r="I873" s="47">
        <v>70260</v>
      </c>
      <c r="J873" s="47" t="s">
        <v>28</v>
      </c>
      <c r="K873" s="47" t="s">
        <v>2450</v>
      </c>
      <c r="L873" s="47" t="s">
        <v>36</v>
      </c>
      <c r="M873" s="47" t="s">
        <v>969</v>
      </c>
      <c r="N873" s="48">
        <v>1200</v>
      </c>
      <c r="O873" s="48">
        <v>1200</v>
      </c>
      <c r="P873" s="48">
        <v>1200</v>
      </c>
      <c r="Q873" s="48">
        <v>1200</v>
      </c>
      <c r="R873" s="48">
        <v>478</v>
      </c>
      <c r="S873" s="48">
        <v>478</v>
      </c>
      <c r="T873" s="48">
        <v>478</v>
      </c>
      <c r="U873" s="48">
        <v>478</v>
      </c>
      <c r="V873" s="48"/>
    </row>
    <row r="874" spans="2:22" ht="30" x14ac:dyDescent="0.25">
      <c r="B874" s="47" t="s">
        <v>967</v>
      </c>
      <c r="C874" s="47" t="s">
        <v>421</v>
      </c>
      <c r="D874" s="47" t="s">
        <v>418</v>
      </c>
      <c r="E874" s="47" t="s">
        <v>27</v>
      </c>
      <c r="F874" s="47" t="s">
        <v>923</v>
      </c>
      <c r="G874" s="47" t="s">
        <v>27</v>
      </c>
      <c r="H874" s="47">
        <v>70239</v>
      </c>
      <c r="I874" s="47">
        <v>70260</v>
      </c>
      <c r="J874" s="47" t="s">
        <v>28</v>
      </c>
      <c r="K874" s="47" t="s">
        <v>968</v>
      </c>
      <c r="L874" s="47" t="s">
        <v>36</v>
      </c>
      <c r="M874" s="47" t="s">
        <v>969</v>
      </c>
      <c r="N874" s="48">
        <v>1200</v>
      </c>
      <c r="O874" s="48">
        <v>1200</v>
      </c>
      <c r="P874" s="48">
        <v>1200</v>
      </c>
      <c r="Q874" s="48">
        <v>1200</v>
      </c>
      <c r="R874" s="48">
        <v>478</v>
      </c>
      <c r="S874" s="48">
        <v>478</v>
      </c>
      <c r="T874" s="48">
        <v>478</v>
      </c>
      <c r="U874" s="48">
        <v>478</v>
      </c>
      <c r="V874" s="48"/>
    </row>
    <row r="875" spans="2:22" ht="30" x14ac:dyDescent="0.25">
      <c r="B875" s="47" t="s">
        <v>967</v>
      </c>
      <c r="C875" s="47" t="s">
        <v>421</v>
      </c>
      <c r="D875" s="47" t="s">
        <v>418</v>
      </c>
      <c r="E875" s="47" t="s">
        <v>27</v>
      </c>
      <c r="F875" s="47" t="s">
        <v>923</v>
      </c>
      <c r="G875" s="47" t="s">
        <v>27</v>
      </c>
      <c r="H875" s="47">
        <v>70239</v>
      </c>
      <c r="I875" s="47">
        <v>70260</v>
      </c>
      <c r="J875" s="47" t="s">
        <v>28</v>
      </c>
      <c r="K875" s="47" t="s">
        <v>2451</v>
      </c>
      <c r="L875" s="47" t="s">
        <v>36</v>
      </c>
      <c r="M875" s="47" t="s">
        <v>969</v>
      </c>
      <c r="N875" s="48">
        <v>1200</v>
      </c>
      <c r="O875" s="48">
        <v>1200</v>
      </c>
      <c r="P875" s="48">
        <v>1200</v>
      </c>
      <c r="Q875" s="48">
        <v>1200</v>
      </c>
      <c r="R875" s="48">
        <v>478</v>
      </c>
      <c r="S875" s="48">
        <v>478</v>
      </c>
      <c r="T875" s="48">
        <v>478</v>
      </c>
      <c r="U875" s="48">
        <v>478</v>
      </c>
      <c r="V875" s="48"/>
    </row>
    <row r="876" spans="2:22" ht="23" x14ac:dyDescent="0.25">
      <c r="B876" s="44" t="s">
        <v>970</v>
      </c>
      <c r="C876" s="44" t="s">
        <v>421</v>
      </c>
      <c r="D876" s="44" t="s">
        <v>418</v>
      </c>
      <c r="E876" s="44" t="s">
        <v>27</v>
      </c>
      <c r="F876" s="44" t="s">
        <v>427</v>
      </c>
      <c r="G876" s="44" t="s">
        <v>27</v>
      </c>
      <c r="H876" s="44">
        <v>70239</v>
      </c>
      <c r="I876" s="44">
        <v>70491</v>
      </c>
      <c r="J876" s="44" t="s">
        <v>28</v>
      </c>
      <c r="K876" s="44" t="s">
        <v>970</v>
      </c>
      <c r="L876" s="44" t="s">
        <v>29</v>
      </c>
      <c r="M876" s="44"/>
      <c r="N876" s="45">
        <v>1214</v>
      </c>
      <c r="O876" s="45">
        <v>1393</v>
      </c>
      <c r="P876" s="45">
        <v>1443</v>
      </c>
      <c r="Q876" s="45">
        <v>1587</v>
      </c>
      <c r="R876" s="45">
        <v>484</v>
      </c>
      <c r="S876" s="45">
        <v>555</v>
      </c>
      <c r="T876" s="45">
        <v>575</v>
      </c>
      <c r="U876" s="45">
        <v>632</v>
      </c>
      <c r="V876" s="46"/>
    </row>
    <row r="877" spans="2:22" ht="20" x14ac:dyDescent="0.25">
      <c r="B877" s="47" t="s">
        <v>970</v>
      </c>
      <c r="C877" s="47" t="s">
        <v>421</v>
      </c>
      <c r="D877" s="47" t="s">
        <v>418</v>
      </c>
      <c r="E877" s="47" t="s">
        <v>27</v>
      </c>
      <c r="F877" s="47" t="s">
        <v>427</v>
      </c>
      <c r="G877" s="47" t="s">
        <v>27</v>
      </c>
      <c r="H877" s="47">
        <v>70239</v>
      </c>
      <c r="I877" s="47">
        <v>70491</v>
      </c>
      <c r="J877" s="47" t="s">
        <v>28</v>
      </c>
      <c r="K877" s="47" t="s">
        <v>388</v>
      </c>
      <c r="L877" s="47" t="s">
        <v>31</v>
      </c>
      <c r="M877" s="47" t="s">
        <v>428</v>
      </c>
      <c r="N877" s="48">
        <v>1214</v>
      </c>
      <c r="O877" s="47">
        <v>1421</v>
      </c>
      <c r="P877" s="47">
        <v>1450</v>
      </c>
      <c r="Q877" s="47">
        <v>1619</v>
      </c>
      <c r="R877" s="48">
        <v>484</v>
      </c>
      <c r="S877" s="47">
        <v>566</v>
      </c>
      <c r="T877" s="47">
        <v>578</v>
      </c>
      <c r="U877" s="47">
        <v>645</v>
      </c>
      <c r="V877" s="47"/>
    </row>
    <row r="878" spans="2:22" ht="20" x14ac:dyDescent="0.25">
      <c r="B878" s="47" t="s">
        <v>970</v>
      </c>
      <c r="C878" s="47" t="s">
        <v>421</v>
      </c>
      <c r="D878" s="47" t="s">
        <v>418</v>
      </c>
      <c r="E878" s="47" t="s">
        <v>27</v>
      </c>
      <c r="F878" s="47" t="s">
        <v>427</v>
      </c>
      <c r="G878" s="47" t="s">
        <v>27</v>
      </c>
      <c r="H878" s="47">
        <v>70239</v>
      </c>
      <c r="I878" s="47">
        <v>70491</v>
      </c>
      <c r="J878" s="47" t="s">
        <v>28</v>
      </c>
      <c r="K878" s="47" t="s">
        <v>970</v>
      </c>
      <c r="L878" s="47" t="s">
        <v>30</v>
      </c>
      <c r="M878" s="47" t="s">
        <v>421</v>
      </c>
      <c r="N878" s="47">
        <v>1266</v>
      </c>
      <c r="O878" s="48">
        <v>1393</v>
      </c>
      <c r="P878" s="48">
        <v>1443</v>
      </c>
      <c r="Q878" s="48">
        <v>1587</v>
      </c>
      <c r="R878" s="47">
        <v>504</v>
      </c>
      <c r="S878" s="48">
        <v>555</v>
      </c>
      <c r="T878" s="48">
        <v>575</v>
      </c>
      <c r="U878" s="48">
        <v>632</v>
      </c>
      <c r="V878" s="48"/>
    </row>
    <row r="879" spans="2:22" ht="23" x14ac:dyDescent="0.25">
      <c r="B879" s="44" t="s">
        <v>971</v>
      </c>
      <c r="C879" s="44" t="s">
        <v>850</v>
      </c>
      <c r="D879" s="44" t="s">
        <v>851</v>
      </c>
      <c r="E879" s="44" t="s">
        <v>27</v>
      </c>
      <c r="F879" s="44" t="s">
        <v>817</v>
      </c>
      <c r="G879" s="44" t="s">
        <v>27</v>
      </c>
      <c r="H879" s="44">
        <v>70246</v>
      </c>
      <c r="I879" s="44">
        <v>70470</v>
      </c>
      <c r="J879" s="44" t="s">
        <v>28</v>
      </c>
      <c r="K879" s="44" t="s">
        <v>971</v>
      </c>
      <c r="L879" s="44" t="s">
        <v>29</v>
      </c>
      <c r="M879" s="44"/>
      <c r="N879" s="45">
        <v>939</v>
      </c>
      <c r="O879" s="45">
        <v>1033</v>
      </c>
      <c r="P879" s="45">
        <v>1068</v>
      </c>
      <c r="Q879" s="45">
        <v>1175</v>
      </c>
      <c r="R879" s="45">
        <v>187</v>
      </c>
      <c r="S879" s="45">
        <v>206</v>
      </c>
      <c r="T879" s="45">
        <v>213</v>
      </c>
      <c r="U879" s="45">
        <v>234</v>
      </c>
      <c r="V879" s="46"/>
    </row>
    <row r="880" spans="2:22" ht="20" x14ac:dyDescent="0.25">
      <c r="B880" s="47" t="s">
        <v>971</v>
      </c>
      <c r="C880" s="47" t="s">
        <v>850</v>
      </c>
      <c r="D880" s="47" t="s">
        <v>851</v>
      </c>
      <c r="E880" s="47" t="s">
        <v>27</v>
      </c>
      <c r="F880" s="47" t="s">
        <v>817</v>
      </c>
      <c r="G880" s="47" t="s">
        <v>27</v>
      </c>
      <c r="H880" s="47">
        <v>70246</v>
      </c>
      <c r="I880" s="47">
        <v>70470</v>
      </c>
      <c r="J880" s="47" t="s">
        <v>28</v>
      </c>
      <c r="K880" s="47" t="s">
        <v>960</v>
      </c>
      <c r="L880" s="47" t="s">
        <v>31</v>
      </c>
      <c r="M880" s="47" t="s">
        <v>972</v>
      </c>
      <c r="N880" s="48">
        <v>939</v>
      </c>
      <c r="O880" s="48">
        <v>1033</v>
      </c>
      <c r="P880" s="48">
        <v>1068</v>
      </c>
      <c r="Q880" s="48">
        <v>1175</v>
      </c>
      <c r="R880" s="48">
        <v>187</v>
      </c>
      <c r="S880" s="48">
        <v>206</v>
      </c>
      <c r="T880" s="48">
        <v>213</v>
      </c>
      <c r="U880" s="48">
        <v>234</v>
      </c>
      <c r="V880" s="48"/>
    </row>
    <row r="881" spans="2:22" ht="23" x14ac:dyDescent="0.25">
      <c r="B881" s="44" t="s">
        <v>129</v>
      </c>
      <c r="C881" s="44" t="s">
        <v>130</v>
      </c>
      <c r="D881" s="44" t="s">
        <v>550</v>
      </c>
      <c r="E881" s="44" t="s">
        <v>27</v>
      </c>
      <c r="F881" s="44" t="s">
        <v>973</v>
      </c>
      <c r="G881" s="44" t="s">
        <v>27</v>
      </c>
      <c r="H881" s="44">
        <v>70241</v>
      </c>
      <c r="I881" s="44">
        <v>70313</v>
      </c>
      <c r="J881" s="44" t="s">
        <v>28</v>
      </c>
      <c r="K881" s="44" t="s">
        <v>129</v>
      </c>
      <c r="L881" s="44" t="s">
        <v>29</v>
      </c>
      <c r="M881" s="44"/>
      <c r="N881" s="45">
        <v>1370</v>
      </c>
      <c r="O881" s="45">
        <v>1562</v>
      </c>
      <c r="P881" s="45">
        <v>1600</v>
      </c>
      <c r="Q881" s="45">
        <v>1600</v>
      </c>
      <c r="R881" s="45">
        <v>546</v>
      </c>
      <c r="S881" s="45">
        <v>622</v>
      </c>
      <c r="T881" s="45">
        <v>637</v>
      </c>
      <c r="U881" s="45">
        <v>637</v>
      </c>
      <c r="V881" s="46"/>
    </row>
    <row r="882" spans="2:22" ht="20" x14ac:dyDescent="0.25">
      <c r="B882" s="47" t="s">
        <v>129</v>
      </c>
      <c r="C882" s="47" t="s">
        <v>130</v>
      </c>
      <c r="D882" s="47" t="s">
        <v>550</v>
      </c>
      <c r="E882" s="47" t="s">
        <v>27</v>
      </c>
      <c r="F882" s="47" t="s">
        <v>973</v>
      </c>
      <c r="G882" s="47" t="s">
        <v>27</v>
      </c>
      <c r="H882" s="47">
        <v>70241</v>
      </c>
      <c r="I882" s="47">
        <v>70313</v>
      </c>
      <c r="J882" s="47" t="s">
        <v>28</v>
      </c>
      <c r="K882" s="47" t="s">
        <v>2298</v>
      </c>
      <c r="L882" s="47" t="s">
        <v>31</v>
      </c>
      <c r="M882" s="47" t="s">
        <v>975</v>
      </c>
      <c r="N882" s="48">
        <v>1370</v>
      </c>
      <c r="O882" s="47">
        <v>1742</v>
      </c>
      <c r="P882" s="47">
        <v>1816</v>
      </c>
      <c r="Q882" s="47">
        <v>2100</v>
      </c>
      <c r="R882" s="48">
        <v>546</v>
      </c>
      <c r="S882" s="47">
        <v>694</v>
      </c>
      <c r="T882" s="47">
        <v>724</v>
      </c>
      <c r="U882" s="47">
        <v>837</v>
      </c>
      <c r="V882" s="47"/>
    </row>
    <row r="883" spans="2:22" ht="20" x14ac:dyDescent="0.25">
      <c r="B883" s="47" t="s">
        <v>129</v>
      </c>
      <c r="C883" s="47" t="s">
        <v>130</v>
      </c>
      <c r="D883" s="47" t="s">
        <v>550</v>
      </c>
      <c r="E883" s="47" t="s">
        <v>27</v>
      </c>
      <c r="F883" s="47" t="s">
        <v>973</v>
      </c>
      <c r="G883" s="47" t="s">
        <v>27</v>
      </c>
      <c r="H883" s="47">
        <v>70241</v>
      </c>
      <c r="I883" s="47">
        <v>70313</v>
      </c>
      <c r="J883" s="47" t="s">
        <v>28</v>
      </c>
      <c r="K883" s="47" t="s">
        <v>388</v>
      </c>
      <c r="L883" s="47" t="s">
        <v>31</v>
      </c>
      <c r="M883" s="47" t="s">
        <v>974</v>
      </c>
      <c r="N883" s="47">
        <v>1420</v>
      </c>
      <c r="O883" s="48">
        <v>1562</v>
      </c>
      <c r="P883" s="47">
        <v>1618</v>
      </c>
      <c r="Q883" s="47">
        <v>1780</v>
      </c>
      <c r="R883" s="47">
        <v>566</v>
      </c>
      <c r="S883" s="48">
        <v>622</v>
      </c>
      <c r="T883" s="47">
        <v>645</v>
      </c>
      <c r="U883" s="47">
        <v>709</v>
      </c>
      <c r="V883" s="47"/>
    </row>
    <row r="884" spans="2:22" ht="20" x14ac:dyDescent="0.25">
      <c r="B884" s="47" t="s">
        <v>129</v>
      </c>
      <c r="C884" s="47" t="s">
        <v>130</v>
      </c>
      <c r="D884" s="47" t="s">
        <v>550</v>
      </c>
      <c r="E884" s="47" t="s">
        <v>27</v>
      </c>
      <c r="F884" s="47" t="s">
        <v>973</v>
      </c>
      <c r="G884" s="47" t="s">
        <v>27</v>
      </c>
      <c r="H884" s="47">
        <v>70241</v>
      </c>
      <c r="I884" s="47">
        <v>70313</v>
      </c>
      <c r="J884" s="47" t="s">
        <v>28</v>
      </c>
      <c r="K884" s="47" t="s">
        <v>131</v>
      </c>
      <c r="L884" s="47" t="s">
        <v>1315</v>
      </c>
      <c r="M884" s="47" t="s">
        <v>975</v>
      </c>
      <c r="N884" s="47">
        <v>1600</v>
      </c>
      <c r="O884" s="47">
        <v>1600</v>
      </c>
      <c r="P884" s="48">
        <v>1600</v>
      </c>
      <c r="Q884" s="48">
        <v>1600</v>
      </c>
      <c r="R884" s="47">
        <v>637</v>
      </c>
      <c r="S884" s="47">
        <v>637</v>
      </c>
      <c r="T884" s="48">
        <v>637</v>
      </c>
      <c r="U884" s="48">
        <v>637</v>
      </c>
      <c r="V884" s="48"/>
    </row>
    <row r="885" spans="2:22" ht="23" x14ac:dyDescent="0.25">
      <c r="B885" s="44" t="s">
        <v>976</v>
      </c>
      <c r="C885" s="44" t="s">
        <v>977</v>
      </c>
      <c r="D885" s="44" t="s">
        <v>978</v>
      </c>
      <c r="E885" s="44" t="s">
        <v>27</v>
      </c>
      <c r="F885" s="44" t="s">
        <v>822</v>
      </c>
      <c r="G885" s="44" t="s">
        <v>40</v>
      </c>
      <c r="H885" s="44">
        <v>70244</v>
      </c>
      <c r="I885" s="44">
        <v>70604</v>
      </c>
      <c r="J885" s="44" t="s">
        <v>42</v>
      </c>
      <c r="K885" s="44" t="s">
        <v>976</v>
      </c>
      <c r="L885" s="44" t="s">
        <v>29</v>
      </c>
      <c r="M885" s="44"/>
      <c r="N885" s="45">
        <v>1200</v>
      </c>
      <c r="O885" s="45">
        <v>1200</v>
      </c>
      <c r="P885" s="45">
        <v>1200</v>
      </c>
      <c r="Q885" s="45">
        <v>1200</v>
      </c>
      <c r="R885" s="45">
        <v>239</v>
      </c>
      <c r="S885" s="45">
        <v>239</v>
      </c>
      <c r="T885" s="45">
        <v>239</v>
      </c>
      <c r="U885" s="45">
        <v>239</v>
      </c>
      <c r="V885" s="46"/>
    </row>
    <row r="886" spans="2:22" ht="20" x14ac:dyDescent="0.25">
      <c r="B886" s="47" t="s">
        <v>976</v>
      </c>
      <c r="C886" s="47" t="s">
        <v>977</v>
      </c>
      <c r="D886" s="47" t="s">
        <v>978</v>
      </c>
      <c r="E886" s="47" t="s">
        <v>27</v>
      </c>
      <c r="F886" s="47" t="s">
        <v>822</v>
      </c>
      <c r="G886" s="47" t="s">
        <v>40</v>
      </c>
      <c r="H886" s="47">
        <v>70244</v>
      </c>
      <c r="I886" s="47">
        <v>70604</v>
      </c>
      <c r="J886" s="47" t="s">
        <v>42</v>
      </c>
      <c r="K886" s="47" t="s">
        <v>2193</v>
      </c>
      <c r="L886" s="47" t="s">
        <v>1315</v>
      </c>
      <c r="M886" s="47" t="s">
        <v>980</v>
      </c>
      <c r="N886" s="48">
        <v>1200</v>
      </c>
      <c r="O886" s="48">
        <v>1200</v>
      </c>
      <c r="P886" s="48">
        <v>1200</v>
      </c>
      <c r="Q886" s="48">
        <v>1200</v>
      </c>
      <c r="R886" s="48">
        <v>239</v>
      </c>
      <c r="S886" s="48">
        <v>239</v>
      </c>
      <c r="T886" s="48">
        <v>239</v>
      </c>
      <c r="U886" s="48">
        <v>239</v>
      </c>
      <c r="V886" s="48"/>
    </row>
    <row r="887" spans="2:22" ht="20" x14ac:dyDescent="0.25">
      <c r="B887" s="47" t="s">
        <v>976</v>
      </c>
      <c r="C887" s="47" t="s">
        <v>977</v>
      </c>
      <c r="D887" s="47" t="s">
        <v>978</v>
      </c>
      <c r="E887" s="47" t="s">
        <v>27</v>
      </c>
      <c r="F887" s="47" t="s">
        <v>822</v>
      </c>
      <c r="G887" s="47" t="s">
        <v>40</v>
      </c>
      <c r="H887" s="47">
        <v>70244</v>
      </c>
      <c r="I887" s="47">
        <v>70604</v>
      </c>
      <c r="J887" s="47" t="s">
        <v>42</v>
      </c>
      <c r="K887" s="47" t="s">
        <v>213</v>
      </c>
      <c r="L887" s="47" t="s">
        <v>213</v>
      </c>
      <c r="M887" s="47" t="s">
        <v>2194</v>
      </c>
      <c r="N887" s="48">
        <v>1200</v>
      </c>
      <c r="O887" s="47">
        <v>1461</v>
      </c>
      <c r="P887" s="48">
        <v>1200</v>
      </c>
      <c r="Q887" s="47">
        <v>1461</v>
      </c>
      <c r="R887" s="48">
        <v>239</v>
      </c>
      <c r="S887" s="47">
        <v>291</v>
      </c>
      <c r="T887" s="48">
        <v>239</v>
      </c>
      <c r="U887" s="47">
        <v>291</v>
      </c>
      <c r="V887" s="47"/>
    </row>
    <row r="888" spans="2:22" ht="34.5" x14ac:dyDescent="0.25">
      <c r="B888" s="44" t="s">
        <v>981</v>
      </c>
      <c r="C888" s="44" t="s">
        <v>977</v>
      </c>
      <c r="D888" s="44" t="s">
        <v>978</v>
      </c>
      <c r="E888" s="44" t="s">
        <v>27</v>
      </c>
      <c r="F888" s="44" t="s">
        <v>381</v>
      </c>
      <c r="G888" s="44" t="s">
        <v>27</v>
      </c>
      <c r="H888" s="44">
        <v>70244</v>
      </c>
      <c r="I888" s="44">
        <v>70444</v>
      </c>
      <c r="J888" s="44" t="s">
        <v>28</v>
      </c>
      <c r="K888" s="44" t="s">
        <v>981</v>
      </c>
      <c r="L888" s="44" t="s">
        <v>29</v>
      </c>
      <c r="M888" s="44"/>
      <c r="N888" s="45">
        <v>799</v>
      </c>
      <c r="O888" s="45">
        <v>879</v>
      </c>
      <c r="P888" s="45">
        <v>909</v>
      </c>
      <c r="Q888" s="45">
        <v>999</v>
      </c>
      <c r="R888" s="45">
        <v>159</v>
      </c>
      <c r="S888" s="45">
        <v>175</v>
      </c>
      <c r="T888" s="45">
        <v>181</v>
      </c>
      <c r="U888" s="45">
        <v>199</v>
      </c>
      <c r="V888" s="46"/>
    </row>
    <row r="889" spans="2:22" ht="30" x14ac:dyDescent="0.25">
      <c r="B889" s="47" t="s">
        <v>981</v>
      </c>
      <c r="C889" s="47" t="s">
        <v>977</v>
      </c>
      <c r="D889" s="47" t="s">
        <v>978</v>
      </c>
      <c r="E889" s="47" t="s">
        <v>27</v>
      </c>
      <c r="F889" s="47" t="s">
        <v>381</v>
      </c>
      <c r="G889" s="47" t="s">
        <v>27</v>
      </c>
      <c r="H889" s="47">
        <v>70244</v>
      </c>
      <c r="I889" s="47">
        <v>70444</v>
      </c>
      <c r="J889" s="47" t="s">
        <v>28</v>
      </c>
      <c r="K889" s="47" t="s">
        <v>1095</v>
      </c>
      <c r="L889" s="47" t="s">
        <v>31</v>
      </c>
      <c r="M889" s="47" t="s">
        <v>980</v>
      </c>
      <c r="N889" s="48">
        <v>799</v>
      </c>
      <c r="O889" s="48">
        <v>879</v>
      </c>
      <c r="P889" s="48">
        <v>909</v>
      </c>
      <c r="Q889" s="48">
        <v>999</v>
      </c>
      <c r="R889" s="48">
        <v>159</v>
      </c>
      <c r="S889" s="48">
        <v>175</v>
      </c>
      <c r="T889" s="48">
        <v>181</v>
      </c>
      <c r="U889" s="48">
        <v>199</v>
      </c>
      <c r="V889" s="48"/>
    </row>
    <row r="890" spans="2:22" ht="23" x14ac:dyDescent="0.25">
      <c r="B890" s="44" t="s">
        <v>982</v>
      </c>
      <c r="C890" s="44" t="s">
        <v>854</v>
      </c>
      <c r="D890" s="44" t="s">
        <v>855</v>
      </c>
      <c r="E890" s="44" t="s">
        <v>27</v>
      </c>
      <c r="F890" s="44" t="s">
        <v>983</v>
      </c>
      <c r="G890" s="44" t="s">
        <v>27</v>
      </c>
      <c r="H890" s="44">
        <v>70251</v>
      </c>
      <c r="I890" s="44">
        <v>70354</v>
      </c>
      <c r="J890" s="44" t="s">
        <v>28</v>
      </c>
      <c r="K890" s="44" t="s">
        <v>982</v>
      </c>
      <c r="L890" s="44" t="s">
        <v>29</v>
      </c>
      <c r="M890" s="44"/>
      <c r="N890" s="45">
        <v>557</v>
      </c>
      <c r="O890" s="45">
        <v>600</v>
      </c>
      <c r="P890" s="45">
        <v>600</v>
      </c>
      <c r="Q890" s="45">
        <v>600</v>
      </c>
      <c r="R890" s="45">
        <v>111</v>
      </c>
      <c r="S890" s="45">
        <v>120</v>
      </c>
      <c r="T890" s="45">
        <v>120</v>
      </c>
      <c r="U890" s="45">
        <v>120</v>
      </c>
      <c r="V890" s="46"/>
    </row>
    <row r="891" spans="2:22" ht="20" x14ac:dyDescent="0.25">
      <c r="B891" s="47" t="s">
        <v>982</v>
      </c>
      <c r="C891" s="47" t="s">
        <v>854</v>
      </c>
      <c r="D891" s="47" t="s">
        <v>855</v>
      </c>
      <c r="E891" s="47" t="s">
        <v>27</v>
      </c>
      <c r="F891" s="47" t="s">
        <v>983</v>
      </c>
      <c r="G891" s="47" t="s">
        <v>27</v>
      </c>
      <c r="H891" s="47">
        <v>70251</v>
      </c>
      <c r="I891" s="47">
        <v>70354</v>
      </c>
      <c r="J891" s="47" t="s">
        <v>28</v>
      </c>
      <c r="K891" s="47" t="s">
        <v>856</v>
      </c>
      <c r="L891" s="47" t="s">
        <v>31</v>
      </c>
      <c r="M891" s="47" t="s">
        <v>857</v>
      </c>
      <c r="N891" s="48">
        <v>557</v>
      </c>
      <c r="O891" s="47">
        <v>613</v>
      </c>
      <c r="P891" s="47">
        <v>640</v>
      </c>
      <c r="Q891" s="47">
        <v>704</v>
      </c>
      <c r="R891" s="48">
        <v>111</v>
      </c>
      <c r="S891" s="47">
        <v>122</v>
      </c>
      <c r="T891" s="47">
        <v>127</v>
      </c>
      <c r="U891" s="47">
        <v>140</v>
      </c>
      <c r="V891" s="47"/>
    </row>
    <row r="892" spans="2:22" ht="30" x14ac:dyDescent="0.25">
      <c r="B892" s="47" t="s">
        <v>982</v>
      </c>
      <c r="C892" s="47" t="s">
        <v>854</v>
      </c>
      <c r="D892" s="47" t="s">
        <v>855</v>
      </c>
      <c r="E892" s="47" t="s">
        <v>27</v>
      </c>
      <c r="F892" s="47" t="s">
        <v>983</v>
      </c>
      <c r="G892" s="47" t="s">
        <v>27</v>
      </c>
      <c r="H892" s="47">
        <v>70251</v>
      </c>
      <c r="I892" s="47">
        <v>70354</v>
      </c>
      <c r="J892" s="47" t="s">
        <v>28</v>
      </c>
      <c r="K892" s="47" t="s">
        <v>2281</v>
      </c>
      <c r="L892" s="47" t="s">
        <v>36</v>
      </c>
      <c r="M892" s="47" t="s">
        <v>984</v>
      </c>
      <c r="N892" s="47">
        <v>600</v>
      </c>
      <c r="O892" s="48">
        <v>600</v>
      </c>
      <c r="P892" s="48">
        <v>600</v>
      </c>
      <c r="Q892" s="48">
        <v>600</v>
      </c>
      <c r="R892" s="47">
        <v>120</v>
      </c>
      <c r="S892" s="48">
        <v>120</v>
      </c>
      <c r="T892" s="48">
        <v>120</v>
      </c>
      <c r="U892" s="48">
        <v>120</v>
      </c>
      <c r="V892" s="48"/>
    </row>
    <row r="893" spans="2:22" ht="30" x14ac:dyDescent="0.25">
      <c r="B893" s="47" t="s">
        <v>982</v>
      </c>
      <c r="C893" s="47" t="s">
        <v>854</v>
      </c>
      <c r="D893" s="47" t="s">
        <v>855</v>
      </c>
      <c r="E893" s="47" t="s">
        <v>27</v>
      </c>
      <c r="F893" s="47" t="s">
        <v>983</v>
      </c>
      <c r="G893" s="47" t="s">
        <v>27</v>
      </c>
      <c r="H893" s="47">
        <v>70251</v>
      </c>
      <c r="I893" s="47">
        <v>70354</v>
      </c>
      <c r="J893" s="47" t="s">
        <v>28</v>
      </c>
      <c r="K893" s="47" t="s">
        <v>2453</v>
      </c>
      <c r="L893" s="47" t="s">
        <v>36</v>
      </c>
      <c r="M893" s="47" t="s">
        <v>984</v>
      </c>
      <c r="N893" s="47">
        <v>600</v>
      </c>
      <c r="O893" s="48">
        <v>600</v>
      </c>
      <c r="P893" s="48">
        <v>600</v>
      </c>
      <c r="Q893" s="48">
        <v>600</v>
      </c>
      <c r="R893" s="47">
        <v>120</v>
      </c>
      <c r="S893" s="48">
        <v>120</v>
      </c>
      <c r="T893" s="48">
        <v>120</v>
      </c>
      <c r="U893" s="48">
        <v>120</v>
      </c>
      <c r="V893" s="48"/>
    </row>
    <row r="894" spans="2:22" ht="30" x14ac:dyDescent="0.25">
      <c r="B894" s="47" t="s">
        <v>982</v>
      </c>
      <c r="C894" s="47" t="s">
        <v>854</v>
      </c>
      <c r="D894" s="47" t="s">
        <v>855</v>
      </c>
      <c r="E894" s="47" t="s">
        <v>27</v>
      </c>
      <c r="F894" s="47" t="s">
        <v>983</v>
      </c>
      <c r="G894" s="47" t="s">
        <v>27</v>
      </c>
      <c r="H894" s="47">
        <v>70251</v>
      </c>
      <c r="I894" s="47">
        <v>70354</v>
      </c>
      <c r="J894" s="47" t="s">
        <v>28</v>
      </c>
      <c r="K894" s="47" t="s">
        <v>2455</v>
      </c>
      <c r="L894" s="47" t="s">
        <v>36</v>
      </c>
      <c r="M894" s="47" t="s">
        <v>984</v>
      </c>
      <c r="N894" s="47">
        <v>600</v>
      </c>
      <c r="O894" s="48">
        <v>600</v>
      </c>
      <c r="P894" s="48">
        <v>600</v>
      </c>
      <c r="Q894" s="48">
        <v>600</v>
      </c>
      <c r="R894" s="47">
        <v>120</v>
      </c>
      <c r="S894" s="48">
        <v>120</v>
      </c>
      <c r="T894" s="48">
        <v>120</v>
      </c>
      <c r="U894" s="48">
        <v>120</v>
      </c>
      <c r="V894" s="48"/>
    </row>
    <row r="895" spans="2:22" ht="30" x14ac:dyDescent="0.25">
      <c r="B895" s="47" t="s">
        <v>982</v>
      </c>
      <c r="C895" s="47" t="s">
        <v>854</v>
      </c>
      <c r="D895" s="47" t="s">
        <v>855</v>
      </c>
      <c r="E895" s="47" t="s">
        <v>27</v>
      </c>
      <c r="F895" s="47" t="s">
        <v>983</v>
      </c>
      <c r="G895" s="47" t="s">
        <v>27</v>
      </c>
      <c r="H895" s="47">
        <v>70251</v>
      </c>
      <c r="I895" s="47">
        <v>70354</v>
      </c>
      <c r="J895" s="47" t="s">
        <v>28</v>
      </c>
      <c r="K895" s="47" t="s">
        <v>2286</v>
      </c>
      <c r="L895" s="47" t="s">
        <v>36</v>
      </c>
      <c r="M895" s="47" t="s">
        <v>984</v>
      </c>
      <c r="N895" s="47">
        <v>600</v>
      </c>
      <c r="O895" s="48">
        <v>600</v>
      </c>
      <c r="P895" s="48">
        <v>600</v>
      </c>
      <c r="Q895" s="48">
        <v>600</v>
      </c>
      <c r="R895" s="47">
        <v>120</v>
      </c>
      <c r="S895" s="48">
        <v>120</v>
      </c>
      <c r="T895" s="48">
        <v>120</v>
      </c>
      <c r="U895" s="48">
        <v>120</v>
      </c>
      <c r="V895" s="48"/>
    </row>
    <row r="896" spans="2:22" ht="30" x14ac:dyDescent="0.25">
      <c r="B896" s="47" t="s">
        <v>982</v>
      </c>
      <c r="C896" s="47" t="s">
        <v>854</v>
      </c>
      <c r="D896" s="47" t="s">
        <v>855</v>
      </c>
      <c r="E896" s="47" t="s">
        <v>27</v>
      </c>
      <c r="F896" s="47" t="s">
        <v>983</v>
      </c>
      <c r="G896" s="47" t="s">
        <v>27</v>
      </c>
      <c r="H896" s="47">
        <v>70251</v>
      </c>
      <c r="I896" s="47">
        <v>70354</v>
      </c>
      <c r="J896" s="47" t="s">
        <v>28</v>
      </c>
      <c r="K896" s="47" t="s">
        <v>2454</v>
      </c>
      <c r="L896" s="47" t="s">
        <v>36</v>
      </c>
      <c r="M896" s="47" t="s">
        <v>984</v>
      </c>
      <c r="N896" s="47">
        <v>600</v>
      </c>
      <c r="O896" s="48">
        <v>600</v>
      </c>
      <c r="P896" s="48">
        <v>600</v>
      </c>
      <c r="Q896" s="48">
        <v>600</v>
      </c>
      <c r="R896" s="47">
        <v>120</v>
      </c>
      <c r="S896" s="48">
        <v>120</v>
      </c>
      <c r="T896" s="48">
        <v>120</v>
      </c>
      <c r="U896" s="48">
        <v>120</v>
      </c>
      <c r="V896" s="48"/>
    </row>
    <row r="897" spans="2:22" ht="30" x14ac:dyDescent="0.25">
      <c r="B897" s="47" t="s">
        <v>982</v>
      </c>
      <c r="C897" s="47" t="s">
        <v>854</v>
      </c>
      <c r="D897" s="47" t="s">
        <v>855</v>
      </c>
      <c r="E897" s="47" t="s">
        <v>27</v>
      </c>
      <c r="F897" s="47" t="s">
        <v>983</v>
      </c>
      <c r="G897" s="47" t="s">
        <v>27</v>
      </c>
      <c r="H897" s="47">
        <v>70251</v>
      </c>
      <c r="I897" s="47">
        <v>70354</v>
      </c>
      <c r="J897" s="47" t="s">
        <v>28</v>
      </c>
      <c r="K897" s="47" t="s">
        <v>2452</v>
      </c>
      <c r="L897" s="47" t="s">
        <v>36</v>
      </c>
      <c r="M897" s="47" t="s">
        <v>984</v>
      </c>
      <c r="N897" s="47">
        <v>600</v>
      </c>
      <c r="O897" s="48">
        <v>600</v>
      </c>
      <c r="P897" s="48">
        <v>600</v>
      </c>
      <c r="Q897" s="48">
        <v>600</v>
      </c>
      <c r="R897" s="47">
        <v>120</v>
      </c>
      <c r="S897" s="48">
        <v>120</v>
      </c>
      <c r="T897" s="48">
        <v>120</v>
      </c>
      <c r="U897" s="48">
        <v>120</v>
      </c>
      <c r="V897" s="48"/>
    </row>
    <row r="898" spans="2:22" ht="23" x14ac:dyDescent="0.25">
      <c r="B898" s="44" t="s">
        <v>985</v>
      </c>
      <c r="C898" s="44" t="s">
        <v>860</v>
      </c>
      <c r="D898" s="44" t="s">
        <v>855</v>
      </c>
      <c r="E898" s="44" t="s">
        <v>27</v>
      </c>
      <c r="F898" s="44" t="s">
        <v>983</v>
      </c>
      <c r="G898" s="44" t="s">
        <v>27</v>
      </c>
      <c r="H898" s="44">
        <v>70252</v>
      </c>
      <c r="I898" s="44">
        <v>70354</v>
      </c>
      <c r="J898" s="44" t="s">
        <v>28</v>
      </c>
      <c r="K898" s="44" t="s">
        <v>985</v>
      </c>
      <c r="L898" s="44" t="s">
        <v>29</v>
      </c>
      <c r="M898" s="44"/>
      <c r="N898" s="45">
        <v>557</v>
      </c>
      <c r="O898" s="45">
        <v>600</v>
      </c>
      <c r="P898" s="45">
        <v>600</v>
      </c>
      <c r="Q898" s="45">
        <v>600</v>
      </c>
      <c r="R898" s="45">
        <v>111</v>
      </c>
      <c r="S898" s="45">
        <v>120</v>
      </c>
      <c r="T898" s="45">
        <v>120</v>
      </c>
      <c r="U898" s="45">
        <v>120</v>
      </c>
      <c r="V898" s="46"/>
    </row>
    <row r="899" spans="2:22" ht="20" x14ac:dyDescent="0.25">
      <c r="B899" s="47" t="s">
        <v>985</v>
      </c>
      <c r="C899" s="47" t="s">
        <v>860</v>
      </c>
      <c r="D899" s="47" t="s">
        <v>855</v>
      </c>
      <c r="E899" s="47" t="s">
        <v>27</v>
      </c>
      <c r="F899" s="47" t="s">
        <v>983</v>
      </c>
      <c r="G899" s="47" t="s">
        <v>27</v>
      </c>
      <c r="H899" s="47">
        <v>70252</v>
      </c>
      <c r="I899" s="47">
        <v>70354</v>
      </c>
      <c r="J899" s="47" t="s">
        <v>28</v>
      </c>
      <c r="K899" s="47" t="s">
        <v>856</v>
      </c>
      <c r="L899" s="47" t="s">
        <v>31</v>
      </c>
      <c r="M899" s="47" t="s">
        <v>857</v>
      </c>
      <c r="N899" s="48">
        <v>557</v>
      </c>
      <c r="O899" s="47">
        <v>613</v>
      </c>
      <c r="P899" s="47">
        <v>640</v>
      </c>
      <c r="Q899" s="47">
        <v>704</v>
      </c>
      <c r="R899" s="48">
        <v>111</v>
      </c>
      <c r="S899" s="47">
        <v>122</v>
      </c>
      <c r="T899" s="47">
        <v>127</v>
      </c>
      <c r="U899" s="47">
        <v>140</v>
      </c>
      <c r="V899" s="47"/>
    </row>
    <row r="900" spans="2:22" ht="30" x14ac:dyDescent="0.25">
      <c r="B900" s="47" t="s">
        <v>985</v>
      </c>
      <c r="C900" s="47" t="s">
        <v>860</v>
      </c>
      <c r="D900" s="47" t="s">
        <v>855</v>
      </c>
      <c r="E900" s="47" t="s">
        <v>27</v>
      </c>
      <c r="F900" s="47" t="s">
        <v>983</v>
      </c>
      <c r="G900" s="47" t="s">
        <v>27</v>
      </c>
      <c r="H900" s="47">
        <v>70252</v>
      </c>
      <c r="I900" s="47">
        <v>70354</v>
      </c>
      <c r="J900" s="47" t="s">
        <v>28</v>
      </c>
      <c r="K900" s="47" t="s">
        <v>2457</v>
      </c>
      <c r="L900" s="47" t="s">
        <v>36</v>
      </c>
      <c r="M900" s="47" t="s">
        <v>984</v>
      </c>
      <c r="N900" s="47">
        <v>600</v>
      </c>
      <c r="O900" s="48">
        <v>600</v>
      </c>
      <c r="P900" s="48">
        <v>600</v>
      </c>
      <c r="Q900" s="48">
        <v>600</v>
      </c>
      <c r="R900" s="47">
        <v>120</v>
      </c>
      <c r="S900" s="48">
        <v>120</v>
      </c>
      <c r="T900" s="48">
        <v>120</v>
      </c>
      <c r="U900" s="48">
        <v>120</v>
      </c>
      <c r="V900" s="48"/>
    </row>
    <row r="901" spans="2:22" ht="30" x14ac:dyDescent="0.25">
      <c r="B901" s="47" t="s">
        <v>985</v>
      </c>
      <c r="C901" s="47" t="s">
        <v>860</v>
      </c>
      <c r="D901" s="47" t="s">
        <v>855</v>
      </c>
      <c r="E901" s="47" t="s">
        <v>27</v>
      </c>
      <c r="F901" s="47" t="s">
        <v>983</v>
      </c>
      <c r="G901" s="47" t="s">
        <v>27</v>
      </c>
      <c r="H901" s="47">
        <v>70252</v>
      </c>
      <c r="I901" s="47">
        <v>70354</v>
      </c>
      <c r="J901" s="47" t="s">
        <v>28</v>
      </c>
      <c r="K901" s="47" t="s">
        <v>2294</v>
      </c>
      <c r="L901" s="47" t="s">
        <v>36</v>
      </c>
      <c r="M901" s="47" t="s">
        <v>984</v>
      </c>
      <c r="N901" s="47">
        <v>600</v>
      </c>
      <c r="O901" s="48">
        <v>600</v>
      </c>
      <c r="P901" s="48">
        <v>600</v>
      </c>
      <c r="Q901" s="48">
        <v>600</v>
      </c>
      <c r="R901" s="47">
        <v>120</v>
      </c>
      <c r="S901" s="48">
        <v>120</v>
      </c>
      <c r="T901" s="48">
        <v>120</v>
      </c>
      <c r="U901" s="48">
        <v>120</v>
      </c>
      <c r="V901" s="48"/>
    </row>
    <row r="902" spans="2:22" ht="30" x14ac:dyDescent="0.25">
      <c r="B902" s="47" t="s">
        <v>985</v>
      </c>
      <c r="C902" s="47" t="s">
        <v>860</v>
      </c>
      <c r="D902" s="47" t="s">
        <v>855</v>
      </c>
      <c r="E902" s="47" t="s">
        <v>27</v>
      </c>
      <c r="F902" s="47" t="s">
        <v>983</v>
      </c>
      <c r="G902" s="47" t="s">
        <v>27</v>
      </c>
      <c r="H902" s="47">
        <v>70252</v>
      </c>
      <c r="I902" s="47">
        <v>70354</v>
      </c>
      <c r="J902" s="47" t="s">
        <v>28</v>
      </c>
      <c r="K902" s="47" t="s">
        <v>2293</v>
      </c>
      <c r="L902" s="47" t="s">
        <v>36</v>
      </c>
      <c r="M902" s="47" t="s">
        <v>984</v>
      </c>
      <c r="N902" s="47">
        <v>600</v>
      </c>
      <c r="O902" s="48">
        <v>600</v>
      </c>
      <c r="P902" s="48">
        <v>600</v>
      </c>
      <c r="Q902" s="48">
        <v>600</v>
      </c>
      <c r="R902" s="47">
        <v>120</v>
      </c>
      <c r="S902" s="48">
        <v>120</v>
      </c>
      <c r="T902" s="48">
        <v>120</v>
      </c>
      <c r="U902" s="48">
        <v>120</v>
      </c>
      <c r="V902" s="48"/>
    </row>
    <row r="903" spans="2:22" ht="30" x14ac:dyDescent="0.25">
      <c r="B903" s="47" t="s">
        <v>985</v>
      </c>
      <c r="C903" s="47" t="s">
        <v>860</v>
      </c>
      <c r="D903" s="47" t="s">
        <v>855</v>
      </c>
      <c r="E903" s="47" t="s">
        <v>27</v>
      </c>
      <c r="F903" s="47" t="s">
        <v>983</v>
      </c>
      <c r="G903" s="47" t="s">
        <v>27</v>
      </c>
      <c r="H903" s="47">
        <v>70252</v>
      </c>
      <c r="I903" s="47">
        <v>70354</v>
      </c>
      <c r="J903" s="47" t="s">
        <v>28</v>
      </c>
      <c r="K903" s="47" t="s">
        <v>2456</v>
      </c>
      <c r="L903" s="47" t="s">
        <v>36</v>
      </c>
      <c r="M903" s="47" t="s">
        <v>984</v>
      </c>
      <c r="N903" s="47">
        <v>600</v>
      </c>
      <c r="O903" s="48">
        <v>600</v>
      </c>
      <c r="P903" s="48">
        <v>600</v>
      </c>
      <c r="Q903" s="48">
        <v>600</v>
      </c>
      <c r="R903" s="47">
        <v>120</v>
      </c>
      <c r="S903" s="48">
        <v>120</v>
      </c>
      <c r="T903" s="48">
        <v>120</v>
      </c>
      <c r="U903" s="48">
        <v>120</v>
      </c>
      <c r="V903" s="48"/>
    </row>
    <row r="904" spans="2:22" ht="34.5" x14ac:dyDescent="0.25">
      <c r="B904" s="94" t="s">
        <v>986</v>
      </c>
      <c r="C904" s="44" t="s">
        <v>987</v>
      </c>
      <c r="D904" s="44" t="s">
        <v>44</v>
      </c>
      <c r="E904" s="44" t="s">
        <v>27</v>
      </c>
      <c r="F904" s="44" t="s">
        <v>988</v>
      </c>
      <c r="G904" s="44" t="s">
        <v>40</v>
      </c>
      <c r="H904" s="44">
        <v>70254</v>
      </c>
      <c r="I904" s="44">
        <v>70560</v>
      </c>
      <c r="J904" s="44" t="s">
        <v>42</v>
      </c>
      <c r="K904" s="44" t="s">
        <v>986</v>
      </c>
      <c r="L904" s="44" t="s">
        <v>29</v>
      </c>
      <c r="M904" s="44"/>
      <c r="N904" s="97">
        <v>1200</v>
      </c>
      <c r="O904" s="97">
        <v>1448</v>
      </c>
      <c r="P904" s="97">
        <v>1200</v>
      </c>
      <c r="Q904" s="97">
        <v>1464</v>
      </c>
      <c r="R904" s="97">
        <v>478</v>
      </c>
      <c r="S904" s="97">
        <v>577</v>
      </c>
      <c r="T904" s="97">
        <v>478</v>
      </c>
      <c r="U904" s="97">
        <v>583</v>
      </c>
      <c r="V904" s="46"/>
    </row>
    <row r="905" spans="2:22" ht="20" x14ac:dyDescent="0.25">
      <c r="B905" s="96" t="s">
        <v>986</v>
      </c>
      <c r="C905" s="96" t="s">
        <v>987</v>
      </c>
      <c r="D905" s="96" t="s">
        <v>44</v>
      </c>
      <c r="E905" s="96" t="s">
        <v>27</v>
      </c>
      <c r="F905" s="96" t="s">
        <v>988</v>
      </c>
      <c r="G905" s="96" t="s">
        <v>40</v>
      </c>
      <c r="H905" s="96">
        <v>70254</v>
      </c>
      <c r="I905" s="96">
        <v>70560</v>
      </c>
      <c r="J905" s="96" t="s">
        <v>42</v>
      </c>
      <c r="K905" s="96" t="s">
        <v>213</v>
      </c>
      <c r="L905" s="96" t="s">
        <v>213</v>
      </c>
      <c r="M905" s="96" t="s">
        <v>2694</v>
      </c>
      <c r="N905" s="95">
        <v>1200</v>
      </c>
      <c r="O905" s="96">
        <v>1463</v>
      </c>
      <c r="P905" s="95">
        <v>1200</v>
      </c>
      <c r="Q905" s="96">
        <v>1463</v>
      </c>
      <c r="R905" s="95">
        <v>478</v>
      </c>
      <c r="S905" s="96">
        <v>583</v>
      </c>
      <c r="T905" s="95">
        <v>478</v>
      </c>
      <c r="U905" s="95">
        <v>583</v>
      </c>
      <c r="V905" s="96"/>
    </row>
    <row r="906" spans="2:22" ht="20" x14ac:dyDescent="0.25">
      <c r="B906" s="96" t="s">
        <v>986</v>
      </c>
      <c r="C906" s="96" t="s">
        <v>987</v>
      </c>
      <c r="D906" s="96" t="s">
        <v>44</v>
      </c>
      <c r="E906" s="96" t="s">
        <v>27</v>
      </c>
      <c r="F906" s="96" t="s">
        <v>988</v>
      </c>
      <c r="G906" s="96" t="s">
        <v>40</v>
      </c>
      <c r="H906" s="96">
        <v>70254</v>
      </c>
      <c r="I906" s="96">
        <v>70560</v>
      </c>
      <c r="J906" s="96" t="s">
        <v>42</v>
      </c>
      <c r="K906" s="96" t="s">
        <v>388</v>
      </c>
      <c r="L906" s="96" t="s">
        <v>31</v>
      </c>
      <c r="M906" s="96" t="s">
        <v>59</v>
      </c>
      <c r="N906" s="96">
        <v>1241</v>
      </c>
      <c r="O906" s="95">
        <v>1448</v>
      </c>
      <c r="P906" s="96">
        <v>1481</v>
      </c>
      <c r="Q906" s="96">
        <v>1649</v>
      </c>
      <c r="R906" s="96">
        <v>494</v>
      </c>
      <c r="S906" s="95">
        <v>577</v>
      </c>
      <c r="T906" s="96">
        <v>590</v>
      </c>
      <c r="U906" s="96">
        <v>657</v>
      </c>
      <c r="V906" s="96"/>
    </row>
    <row r="907" spans="2:22" ht="23" x14ac:dyDescent="0.25">
      <c r="B907" s="44" t="s">
        <v>996</v>
      </c>
      <c r="C907" s="44" t="s">
        <v>565</v>
      </c>
      <c r="D907" s="44" t="s">
        <v>567</v>
      </c>
      <c r="E907" s="44" t="s">
        <v>27</v>
      </c>
      <c r="F907" s="44" t="s">
        <v>223</v>
      </c>
      <c r="G907" s="44" t="s">
        <v>27</v>
      </c>
      <c r="H907" s="44">
        <v>2114</v>
      </c>
      <c r="I907" s="44">
        <v>70273</v>
      </c>
      <c r="J907" s="44" t="s">
        <v>28</v>
      </c>
      <c r="K907" s="44" t="s">
        <v>996</v>
      </c>
      <c r="L907" s="44" t="s">
        <v>29</v>
      </c>
      <c r="M907" s="44"/>
      <c r="N907" s="45">
        <v>664</v>
      </c>
      <c r="O907" s="45">
        <v>730</v>
      </c>
      <c r="P907" s="45">
        <v>725</v>
      </c>
      <c r="Q907" s="45">
        <v>798</v>
      </c>
      <c r="R907" s="45">
        <v>132</v>
      </c>
      <c r="S907" s="45">
        <v>145</v>
      </c>
      <c r="T907" s="45">
        <v>144</v>
      </c>
      <c r="U907" s="45">
        <v>159</v>
      </c>
      <c r="V907" s="46"/>
    </row>
    <row r="908" spans="2:22" x14ac:dyDescent="0.25">
      <c r="B908" s="47" t="s">
        <v>996</v>
      </c>
      <c r="C908" s="47" t="s">
        <v>565</v>
      </c>
      <c r="D908" s="47" t="s">
        <v>567</v>
      </c>
      <c r="E908" s="47" t="s">
        <v>27</v>
      </c>
      <c r="F908" s="47" t="s">
        <v>223</v>
      </c>
      <c r="G908" s="47" t="s">
        <v>27</v>
      </c>
      <c r="H908" s="47">
        <v>2114</v>
      </c>
      <c r="I908" s="47">
        <v>70273</v>
      </c>
      <c r="J908" s="47" t="s">
        <v>28</v>
      </c>
      <c r="K908" s="47" t="s">
        <v>996</v>
      </c>
      <c r="L908" s="47" t="s">
        <v>30</v>
      </c>
      <c r="M908" s="47" t="s">
        <v>565</v>
      </c>
      <c r="N908" s="48">
        <v>664</v>
      </c>
      <c r="O908" s="48">
        <v>730</v>
      </c>
      <c r="P908" s="48">
        <v>725</v>
      </c>
      <c r="Q908" s="48">
        <v>798</v>
      </c>
      <c r="R908" s="48">
        <v>132</v>
      </c>
      <c r="S908" s="48">
        <v>145</v>
      </c>
      <c r="T908" s="48">
        <v>144</v>
      </c>
      <c r="U908" s="48">
        <v>159</v>
      </c>
      <c r="V908" s="48"/>
    </row>
    <row r="909" spans="2:22" ht="23" x14ac:dyDescent="0.25">
      <c r="B909" s="44" t="s">
        <v>999</v>
      </c>
      <c r="C909" s="44" t="s">
        <v>50</v>
      </c>
      <c r="D909" s="44" t="s">
        <v>998</v>
      </c>
      <c r="E909" s="44" t="s">
        <v>27</v>
      </c>
      <c r="F909" s="44" t="s">
        <v>993</v>
      </c>
      <c r="G909" s="44" t="s">
        <v>27</v>
      </c>
      <c r="H909" s="44">
        <v>2155</v>
      </c>
      <c r="I909" s="44">
        <v>70258</v>
      </c>
      <c r="J909" s="44" t="s">
        <v>28</v>
      </c>
      <c r="K909" s="44" t="s">
        <v>999</v>
      </c>
      <c r="L909" s="44" t="s">
        <v>29</v>
      </c>
      <c r="M909" s="44"/>
      <c r="N909" s="45">
        <v>477</v>
      </c>
      <c r="O909" s="45">
        <v>554</v>
      </c>
      <c r="P909" s="45">
        <v>567</v>
      </c>
      <c r="Q909" s="45">
        <v>629</v>
      </c>
      <c r="R909" s="45">
        <v>95</v>
      </c>
      <c r="S909" s="45">
        <v>110</v>
      </c>
      <c r="T909" s="45">
        <v>113</v>
      </c>
      <c r="U909" s="45">
        <v>125</v>
      </c>
      <c r="V909" s="46"/>
    </row>
    <row r="910" spans="2:22" ht="20" x14ac:dyDescent="0.25">
      <c r="B910" s="47" t="s">
        <v>999</v>
      </c>
      <c r="C910" s="47" t="s">
        <v>50</v>
      </c>
      <c r="D910" s="47" t="s">
        <v>998</v>
      </c>
      <c r="E910" s="47" t="s">
        <v>27</v>
      </c>
      <c r="F910" s="47" t="s">
        <v>993</v>
      </c>
      <c r="G910" s="47" t="s">
        <v>27</v>
      </c>
      <c r="H910" s="47">
        <v>2155</v>
      </c>
      <c r="I910" s="47">
        <v>70258</v>
      </c>
      <c r="J910" s="47" t="s">
        <v>28</v>
      </c>
      <c r="K910" s="47" t="s">
        <v>856</v>
      </c>
      <c r="L910" s="47" t="s">
        <v>31</v>
      </c>
      <c r="M910" s="47" t="s">
        <v>994</v>
      </c>
      <c r="N910" s="48">
        <v>477</v>
      </c>
      <c r="O910" s="48">
        <v>554</v>
      </c>
      <c r="P910" s="48">
        <v>567</v>
      </c>
      <c r="Q910" s="48">
        <v>629</v>
      </c>
      <c r="R910" s="48">
        <v>95</v>
      </c>
      <c r="S910" s="48">
        <v>110</v>
      </c>
      <c r="T910" s="48">
        <v>113</v>
      </c>
      <c r="U910" s="48">
        <v>125</v>
      </c>
      <c r="V910" s="48"/>
    </row>
    <row r="911" spans="2:22" ht="23" x14ac:dyDescent="0.25">
      <c r="B911" s="44" t="s">
        <v>1000</v>
      </c>
      <c r="C911" s="44" t="s">
        <v>50</v>
      </c>
      <c r="D911" s="44" t="s">
        <v>998</v>
      </c>
      <c r="E911" s="44" t="s">
        <v>27</v>
      </c>
      <c r="F911" s="44" t="s">
        <v>51</v>
      </c>
      <c r="G911" s="44" t="s">
        <v>27</v>
      </c>
      <c r="H911" s="44">
        <v>2155</v>
      </c>
      <c r="I911" s="44">
        <v>70364</v>
      </c>
      <c r="J911" s="44" t="s">
        <v>28</v>
      </c>
      <c r="K911" s="44" t="s">
        <v>1000</v>
      </c>
      <c r="L911" s="44" t="s">
        <v>29</v>
      </c>
      <c r="M911" s="44"/>
      <c r="N911" s="45">
        <v>418</v>
      </c>
      <c r="O911" s="45">
        <v>460</v>
      </c>
      <c r="P911" s="45">
        <v>475</v>
      </c>
      <c r="Q911" s="45">
        <v>523</v>
      </c>
      <c r="R911" s="45">
        <v>83</v>
      </c>
      <c r="S911" s="45">
        <v>92</v>
      </c>
      <c r="T911" s="45">
        <v>95</v>
      </c>
      <c r="U911" s="45">
        <v>104</v>
      </c>
      <c r="V911" s="46"/>
    </row>
    <row r="912" spans="2:22" x14ac:dyDescent="0.25">
      <c r="B912" s="47" t="s">
        <v>1000</v>
      </c>
      <c r="C912" s="47" t="s">
        <v>50</v>
      </c>
      <c r="D912" s="47" t="s">
        <v>998</v>
      </c>
      <c r="E912" s="47" t="s">
        <v>27</v>
      </c>
      <c r="F912" s="47" t="s">
        <v>51</v>
      </c>
      <c r="G912" s="47" t="s">
        <v>27</v>
      </c>
      <c r="H912" s="47">
        <v>2155</v>
      </c>
      <c r="I912" s="47">
        <v>70364</v>
      </c>
      <c r="J912" s="47" t="s">
        <v>28</v>
      </c>
      <c r="K912" s="47" t="s">
        <v>1000</v>
      </c>
      <c r="L912" s="47" t="s">
        <v>30</v>
      </c>
      <c r="M912" s="47" t="s">
        <v>50</v>
      </c>
      <c r="N912" s="48">
        <v>418</v>
      </c>
      <c r="O912" s="48">
        <v>460</v>
      </c>
      <c r="P912" s="48">
        <v>475</v>
      </c>
      <c r="Q912" s="48">
        <v>523</v>
      </c>
      <c r="R912" s="48">
        <v>83</v>
      </c>
      <c r="S912" s="48">
        <v>92</v>
      </c>
      <c r="T912" s="48">
        <v>95</v>
      </c>
      <c r="U912" s="48">
        <v>104</v>
      </c>
      <c r="V912" s="48"/>
    </row>
    <row r="913" spans="2:22" ht="23" x14ac:dyDescent="0.25">
      <c r="B913" s="44" t="s">
        <v>992</v>
      </c>
      <c r="C913" s="44" t="s">
        <v>50</v>
      </c>
      <c r="D913" s="44" t="s">
        <v>993</v>
      </c>
      <c r="E913" s="44" t="s">
        <v>27</v>
      </c>
      <c r="F913" s="44" t="s">
        <v>223</v>
      </c>
      <c r="G913" s="44" t="s">
        <v>27</v>
      </c>
      <c r="H913" s="44">
        <v>70258</v>
      </c>
      <c r="I913" s="44">
        <v>70273</v>
      </c>
      <c r="J913" s="44" t="s">
        <v>28</v>
      </c>
      <c r="K913" s="44" t="s">
        <v>992</v>
      </c>
      <c r="L913" s="44" t="s">
        <v>29</v>
      </c>
      <c r="M913" s="44"/>
      <c r="N913" s="45">
        <v>477</v>
      </c>
      <c r="O913" s="45">
        <v>554</v>
      </c>
      <c r="P913" s="45">
        <v>567</v>
      </c>
      <c r="Q913" s="45">
        <v>629</v>
      </c>
      <c r="R913" s="45">
        <v>95</v>
      </c>
      <c r="S913" s="45">
        <v>110</v>
      </c>
      <c r="T913" s="45">
        <v>113</v>
      </c>
      <c r="U913" s="45">
        <v>125</v>
      </c>
      <c r="V913" s="46"/>
    </row>
    <row r="914" spans="2:22" ht="20" x14ac:dyDescent="0.25">
      <c r="B914" s="47" t="s">
        <v>992</v>
      </c>
      <c r="C914" s="47" t="s">
        <v>50</v>
      </c>
      <c r="D914" s="47" t="s">
        <v>993</v>
      </c>
      <c r="E914" s="47" t="s">
        <v>27</v>
      </c>
      <c r="F914" s="47" t="s">
        <v>223</v>
      </c>
      <c r="G914" s="47" t="s">
        <v>27</v>
      </c>
      <c r="H914" s="47">
        <v>70258</v>
      </c>
      <c r="I914" s="47">
        <v>70273</v>
      </c>
      <c r="J914" s="47" t="s">
        <v>28</v>
      </c>
      <c r="K914" s="47" t="s">
        <v>856</v>
      </c>
      <c r="L914" s="47" t="s">
        <v>31</v>
      </c>
      <c r="M914" s="47" t="s">
        <v>994</v>
      </c>
      <c r="N914" s="48">
        <v>477</v>
      </c>
      <c r="O914" s="48">
        <v>554</v>
      </c>
      <c r="P914" s="48">
        <v>567</v>
      </c>
      <c r="Q914" s="48">
        <v>629</v>
      </c>
      <c r="R914" s="48">
        <v>95</v>
      </c>
      <c r="S914" s="48">
        <v>110</v>
      </c>
      <c r="T914" s="48">
        <v>113</v>
      </c>
      <c r="U914" s="48">
        <v>125</v>
      </c>
      <c r="V914" s="48"/>
    </row>
    <row r="915" spans="2:22" ht="23" x14ac:dyDescent="0.25">
      <c r="B915" s="44" t="s">
        <v>1001</v>
      </c>
      <c r="C915" s="44" t="s">
        <v>738</v>
      </c>
      <c r="D915" s="44" t="s">
        <v>923</v>
      </c>
      <c r="E915" s="44" t="s">
        <v>27</v>
      </c>
      <c r="F915" s="44" t="s">
        <v>739</v>
      </c>
      <c r="G915" s="44" t="s">
        <v>27</v>
      </c>
      <c r="H915" s="44">
        <v>70260</v>
      </c>
      <c r="I915" s="44">
        <v>70291</v>
      </c>
      <c r="J915" s="44" t="s">
        <v>28</v>
      </c>
      <c r="K915" s="44" t="s">
        <v>1001</v>
      </c>
      <c r="L915" s="44" t="s">
        <v>29</v>
      </c>
      <c r="M915" s="44"/>
      <c r="N915" s="45">
        <v>800</v>
      </c>
      <c r="O915" s="45">
        <v>1000</v>
      </c>
      <c r="P915" s="45">
        <v>1000</v>
      </c>
      <c r="Q915" s="45">
        <v>1000</v>
      </c>
      <c r="R915" s="45">
        <v>319</v>
      </c>
      <c r="S915" s="45">
        <v>398</v>
      </c>
      <c r="T915" s="45">
        <v>398</v>
      </c>
      <c r="U915" s="45">
        <v>398</v>
      </c>
      <c r="V915" s="46"/>
    </row>
    <row r="916" spans="2:22" ht="20" x14ac:dyDescent="0.25">
      <c r="B916" s="47" t="s">
        <v>1001</v>
      </c>
      <c r="C916" s="47" t="s">
        <v>738</v>
      </c>
      <c r="D916" s="47" t="s">
        <v>923</v>
      </c>
      <c r="E916" s="47" t="s">
        <v>27</v>
      </c>
      <c r="F916" s="47" t="s">
        <v>739</v>
      </c>
      <c r="G916" s="47" t="s">
        <v>27</v>
      </c>
      <c r="H916" s="47">
        <v>70260</v>
      </c>
      <c r="I916" s="47">
        <v>70291</v>
      </c>
      <c r="J916" s="47" t="s">
        <v>28</v>
      </c>
      <c r="K916" s="47" t="s">
        <v>1001</v>
      </c>
      <c r="L916" s="47" t="s">
        <v>30</v>
      </c>
      <c r="M916" s="47" t="s">
        <v>738</v>
      </c>
      <c r="N916" s="48">
        <v>800</v>
      </c>
      <c r="O916" s="48">
        <v>1000</v>
      </c>
      <c r="P916" s="48">
        <v>1000</v>
      </c>
      <c r="Q916" s="48">
        <v>1000</v>
      </c>
      <c r="R916" s="48">
        <v>319</v>
      </c>
      <c r="S916" s="48">
        <v>398</v>
      </c>
      <c r="T916" s="48">
        <v>398</v>
      </c>
      <c r="U916" s="48">
        <v>398</v>
      </c>
      <c r="V916" s="48"/>
    </row>
    <row r="917" spans="2:22" ht="23" x14ac:dyDescent="0.25">
      <c r="B917" s="44" t="s">
        <v>1002</v>
      </c>
      <c r="C917" s="44" t="s">
        <v>1003</v>
      </c>
      <c r="D917" s="44" t="s">
        <v>923</v>
      </c>
      <c r="E917" s="44" t="s">
        <v>27</v>
      </c>
      <c r="F917" s="44" t="s">
        <v>601</v>
      </c>
      <c r="G917" s="44" t="s">
        <v>27</v>
      </c>
      <c r="H917" s="44">
        <v>70259</v>
      </c>
      <c r="I917" s="44">
        <v>70377</v>
      </c>
      <c r="J917" s="44" t="s">
        <v>28</v>
      </c>
      <c r="K917" s="44" t="s">
        <v>1002</v>
      </c>
      <c r="L917" s="44" t="s">
        <v>29</v>
      </c>
      <c r="M917" s="44"/>
      <c r="N917" s="45">
        <v>1213</v>
      </c>
      <c r="O917" s="45">
        <v>1334</v>
      </c>
      <c r="P917" s="45">
        <v>1213</v>
      </c>
      <c r="Q917" s="45">
        <v>1334</v>
      </c>
      <c r="R917" s="45">
        <v>242</v>
      </c>
      <c r="S917" s="45">
        <v>266</v>
      </c>
      <c r="T917" s="45">
        <v>242</v>
      </c>
      <c r="U917" s="45">
        <v>266</v>
      </c>
      <c r="V917" s="46"/>
    </row>
    <row r="918" spans="2:22" ht="20" x14ac:dyDescent="0.25">
      <c r="B918" s="47" t="s">
        <v>1002</v>
      </c>
      <c r="C918" s="47" t="s">
        <v>1003</v>
      </c>
      <c r="D918" s="47" t="s">
        <v>923</v>
      </c>
      <c r="E918" s="47" t="s">
        <v>27</v>
      </c>
      <c r="F918" s="47" t="s">
        <v>601</v>
      </c>
      <c r="G918" s="47" t="s">
        <v>27</v>
      </c>
      <c r="H918" s="47">
        <v>70259</v>
      </c>
      <c r="I918" s="47">
        <v>70377</v>
      </c>
      <c r="J918" s="47" t="s">
        <v>28</v>
      </c>
      <c r="K918" s="47" t="s">
        <v>1002</v>
      </c>
      <c r="L918" s="47" t="s">
        <v>30</v>
      </c>
      <c r="M918" s="47" t="s">
        <v>1003</v>
      </c>
      <c r="N918" s="48">
        <v>1213</v>
      </c>
      <c r="O918" s="48">
        <v>1334</v>
      </c>
      <c r="P918" s="48">
        <v>1213</v>
      </c>
      <c r="Q918" s="48">
        <v>1334</v>
      </c>
      <c r="R918" s="48">
        <v>242</v>
      </c>
      <c r="S918" s="48">
        <v>266</v>
      </c>
      <c r="T918" s="48">
        <v>242</v>
      </c>
      <c r="U918" s="48">
        <v>266</v>
      </c>
      <c r="V918" s="48"/>
    </row>
    <row r="919" spans="2:22" ht="23" x14ac:dyDescent="0.25">
      <c r="B919" s="44" t="s">
        <v>1004</v>
      </c>
      <c r="C919" s="44" t="s">
        <v>1005</v>
      </c>
      <c r="D919" s="44" t="s">
        <v>923</v>
      </c>
      <c r="E919" s="44" t="s">
        <v>27</v>
      </c>
      <c r="F919" s="44" t="s">
        <v>1006</v>
      </c>
      <c r="G919" s="44" t="s">
        <v>27</v>
      </c>
      <c r="H919" s="44">
        <v>70260</v>
      </c>
      <c r="I919" s="44">
        <v>70417</v>
      </c>
      <c r="J919" s="44" t="s">
        <v>28</v>
      </c>
      <c r="K919" s="44" t="s">
        <v>1004</v>
      </c>
      <c r="L919" s="44" t="s">
        <v>29</v>
      </c>
      <c r="M919" s="44"/>
      <c r="N919" s="45">
        <v>1068</v>
      </c>
      <c r="O919" s="45">
        <v>1068</v>
      </c>
      <c r="P919" s="45">
        <v>1282</v>
      </c>
      <c r="Q919" s="45">
        <v>1282</v>
      </c>
      <c r="R919" s="45">
        <v>425</v>
      </c>
      <c r="S919" s="45">
        <v>425</v>
      </c>
      <c r="T919" s="45">
        <v>511</v>
      </c>
      <c r="U919" s="45">
        <v>511</v>
      </c>
      <c r="V919" s="46"/>
    </row>
    <row r="920" spans="2:22" ht="20" x14ac:dyDescent="0.25">
      <c r="B920" s="47" t="s">
        <v>1004</v>
      </c>
      <c r="C920" s="47" t="s">
        <v>1005</v>
      </c>
      <c r="D920" s="47" t="s">
        <v>923</v>
      </c>
      <c r="E920" s="47" t="s">
        <v>27</v>
      </c>
      <c r="F920" s="47" t="s">
        <v>1006</v>
      </c>
      <c r="G920" s="47" t="s">
        <v>27</v>
      </c>
      <c r="H920" s="47">
        <v>70260</v>
      </c>
      <c r="I920" s="47">
        <v>70417</v>
      </c>
      <c r="J920" s="47" t="s">
        <v>28</v>
      </c>
      <c r="K920" s="47" t="s">
        <v>1004</v>
      </c>
      <c r="L920" s="47" t="s">
        <v>30</v>
      </c>
      <c r="M920" s="47" t="s">
        <v>1005</v>
      </c>
      <c r="N920" s="48">
        <v>1068</v>
      </c>
      <c r="O920" s="48">
        <v>1068</v>
      </c>
      <c r="P920" s="48">
        <v>1282</v>
      </c>
      <c r="Q920" s="48">
        <v>1282</v>
      </c>
      <c r="R920" s="48">
        <v>425</v>
      </c>
      <c r="S920" s="48">
        <v>425</v>
      </c>
      <c r="T920" s="48">
        <v>511</v>
      </c>
      <c r="U920" s="48">
        <v>511</v>
      </c>
      <c r="V920" s="48"/>
    </row>
    <row r="921" spans="2:22" ht="23" x14ac:dyDescent="0.25">
      <c r="B921" s="44" t="s">
        <v>1007</v>
      </c>
      <c r="C921" s="44" t="s">
        <v>266</v>
      </c>
      <c r="D921" s="44" t="s">
        <v>923</v>
      </c>
      <c r="E921" s="44" t="s">
        <v>27</v>
      </c>
      <c r="F921" s="44" t="s">
        <v>267</v>
      </c>
      <c r="G921" s="44" t="s">
        <v>27</v>
      </c>
      <c r="H921" s="44">
        <v>70259</v>
      </c>
      <c r="I921" s="44">
        <v>70441</v>
      </c>
      <c r="J921" s="44" t="s">
        <v>28</v>
      </c>
      <c r="K921" s="44" t="s">
        <v>1007</v>
      </c>
      <c r="L921" s="44" t="s">
        <v>29</v>
      </c>
      <c r="M921" s="44"/>
      <c r="N921" s="45">
        <v>957</v>
      </c>
      <c r="O921" s="45">
        <v>1052</v>
      </c>
      <c r="P921" s="45">
        <v>1088</v>
      </c>
      <c r="Q921" s="45">
        <v>1197</v>
      </c>
      <c r="R921" s="45">
        <v>191</v>
      </c>
      <c r="S921" s="45">
        <v>210</v>
      </c>
      <c r="T921" s="45">
        <v>217</v>
      </c>
      <c r="U921" s="45">
        <v>238</v>
      </c>
      <c r="V921" s="46"/>
    </row>
    <row r="922" spans="2:22" ht="20" x14ac:dyDescent="0.25">
      <c r="B922" s="47" t="s">
        <v>1007</v>
      </c>
      <c r="C922" s="47" t="s">
        <v>266</v>
      </c>
      <c r="D922" s="47" t="s">
        <v>923</v>
      </c>
      <c r="E922" s="47" t="s">
        <v>27</v>
      </c>
      <c r="F922" s="47" t="s">
        <v>267</v>
      </c>
      <c r="G922" s="47" t="s">
        <v>27</v>
      </c>
      <c r="H922" s="47">
        <v>70259</v>
      </c>
      <c r="I922" s="47">
        <v>70441</v>
      </c>
      <c r="J922" s="47" t="s">
        <v>28</v>
      </c>
      <c r="K922" s="47" t="s">
        <v>1007</v>
      </c>
      <c r="L922" s="47" t="s">
        <v>30</v>
      </c>
      <c r="M922" s="47" t="s">
        <v>266</v>
      </c>
      <c r="N922" s="48">
        <v>957</v>
      </c>
      <c r="O922" s="48">
        <v>1052</v>
      </c>
      <c r="P922" s="48">
        <v>1088</v>
      </c>
      <c r="Q922" s="48">
        <v>1197</v>
      </c>
      <c r="R922" s="48">
        <v>191</v>
      </c>
      <c r="S922" s="48">
        <v>210</v>
      </c>
      <c r="T922" s="48">
        <v>217</v>
      </c>
      <c r="U922" s="48">
        <v>238</v>
      </c>
      <c r="V922" s="48"/>
    </row>
    <row r="923" spans="2:22" ht="23" x14ac:dyDescent="0.25">
      <c r="B923" s="44" t="s">
        <v>194</v>
      </c>
      <c r="C923" s="44" t="s">
        <v>195</v>
      </c>
      <c r="D923" s="44" t="s">
        <v>1008</v>
      </c>
      <c r="E923" s="44" t="s">
        <v>27</v>
      </c>
      <c r="F923" s="44" t="s">
        <v>915</v>
      </c>
      <c r="G923" s="44" t="s">
        <v>27</v>
      </c>
      <c r="H923" s="44">
        <v>70261</v>
      </c>
      <c r="I923" s="44">
        <v>70297</v>
      </c>
      <c r="J923" s="44" t="s">
        <v>28</v>
      </c>
      <c r="K923" s="44" t="s">
        <v>194</v>
      </c>
      <c r="L923" s="44" t="s">
        <v>29</v>
      </c>
      <c r="M923" s="44"/>
      <c r="N923" s="45">
        <v>1188</v>
      </c>
      <c r="O923" s="45">
        <v>1188</v>
      </c>
      <c r="P923" s="45">
        <v>1200</v>
      </c>
      <c r="Q923" s="45">
        <v>1200</v>
      </c>
      <c r="R923" s="45">
        <v>473</v>
      </c>
      <c r="S923" s="45">
        <v>473</v>
      </c>
      <c r="T923" s="45">
        <v>478</v>
      </c>
      <c r="U923" s="45">
        <v>478</v>
      </c>
      <c r="V923" s="46"/>
    </row>
    <row r="924" spans="2:22" ht="20" x14ac:dyDescent="0.25">
      <c r="B924" s="47" t="s">
        <v>194</v>
      </c>
      <c r="C924" s="47" t="s">
        <v>195</v>
      </c>
      <c r="D924" s="47" t="s">
        <v>1008</v>
      </c>
      <c r="E924" s="47" t="s">
        <v>27</v>
      </c>
      <c r="F924" s="47" t="s">
        <v>915</v>
      </c>
      <c r="G924" s="47" t="s">
        <v>27</v>
      </c>
      <c r="H924" s="47">
        <v>70261</v>
      </c>
      <c r="I924" s="47">
        <v>70297</v>
      </c>
      <c r="J924" s="47" t="s">
        <v>28</v>
      </c>
      <c r="K924" s="47"/>
      <c r="L924" s="47" t="s">
        <v>301</v>
      </c>
      <c r="M924" s="47" t="s">
        <v>1010</v>
      </c>
      <c r="N924" s="48">
        <v>1188</v>
      </c>
      <c r="O924" s="48">
        <v>1188</v>
      </c>
      <c r="P924" s="47">
        <v>1255</v>
      </c>
      <c r="Q924" s="47">
        <v>1255</v>
      </c>
      <c r="R924" s="48">
        <v>473</v>
      </c>
      <c r="S924" s="48">
        <v>473</v>
      </c>
      <c r="T924" s="47">
        <v>500</v>
      </c>
      <c r="U924" s="47">
        <v>500</v>
      </c>
      <c r="V924" s="47"/>
    </row>
    <row r="925" spans="2:22" ht="20" x14ac:dyDescent="0.25">
      <c r="B925" s="47" t="s">
        <v>194</v>
      </c>
      <c r="C925" s="47" t="s">
        <v>195</v>
      </c>
      <c r="D925" s="47" t="s">
        <v>1008</v>
      </c>
      <c r="E925" s="47" t="s">
        <v>27</v>
      </c>
      <c r="F925" s="47" t="s">
        <v>915</v>
      </c>
      <c r="G925" s="47" t="s">
        <v>27</v>
      </c>
      <c r="H925" s="47">
        <v>70261</v>
      </c>
      <c r="I925" s="47">
        <v>70297</v>
      </c>
      <c r="J925" s="47" t="s">
        <v>28</v>
      </c>
      <c r="K925" s="47" t="s">
        <v>196</v>
      </c>
      <c r="L925" s="47" t="s">
        <v>1315</v>
      </c>
      <c r="M925" s="47" t="s">
        <v>1009</v>
      </c>
      <c r="N925" s="47">
        <v>1200</v>
      </c>
      <c r="O925" s="47">
        <v>1200</v>
      </c>
      <c r="P925" s="48">
        <v>1200</v>
      </c>
      <c r="Q925" s="48">
        <v>1200</v>
      </c>
      <c r="R925" s="47">
        <v>478</v>
      </c>
      <c r="S925" s="47">
        <v>478</v>
      </c>
      <c r="T925" s="48">
        <v>478</v>
      </c>
      <c r="U925" s="48">
        <v>478</v>
      </c>
      <c r="V925" s="48"/>
    </row>
    <row r="926" spans="2:22" ht="34.5" x14ac:dyDescent="0.25">
      <c r="B926" s="44" t="s">
        <v>197</v>
      </c>
      <c r="C926" s="44" t="s">
        <v>195</v>
      </c>
      <c r="D926" s="44" t="s">
        <v>1008</v>
      </c>
      <c r="E926" s="44" t="s">
        <v>27</v>
      </c>
      <c r="F926" s="44" t="s">
        <v>211</v>
      </c>
      <c r="G926" s="44" t="s">
        <v>27</v>
      </c>
      <c r="H926" s="44">
        <v>70261</v>
      </c>
      <c r="I926" s="44">
        <v>70570</v>
      </c>
      <c r="J926" s="44" t="s">
        <v>28</v>
      </c>
      <c r="K926" s="44" t="s">
        <v>197</v>
      </c>
      <c r="L926" s="44" t="s">
        <v>29</v>
      </c>
      <c r="M926" s="44"/>
      <c r="N926" s="45">
        <v>1188</v>
      </c>
      <c r="O926" s="45">
        <v>1188</v>
      </c>
      <c r="P926" s="45">
        <v>1200</v>
      </c>
      <c r="Q926" s="45">
        <v>1200</v>
      </c>
      <c r="R926" s="45">
        <v>473</v>
      </c>
      <c r="S926" s="45">
        <v>473</v>
      </c>
      <c r="T926" s="45">
        <v>478</v>
      </c>
      <c r="U926" s="45">
        <v>478</v>
      </c>
      <c r="V926" s="46"/>
    </row>
    <row r="927" spans="2:22" ht="20" x14ac:dyDescent="0.25">
      <c r="B927" s="47" t="s">
        <v>197</v>
      </c>
      <c r="C927" s="47" t="s">
        <v>195</v>
      </c>
      <c r="D927" s="47" t="s">
        <v>1008</v>
      </c>
      <c r="E927" s="47" t="s">
        <v>27</v>
      </c>
      <c r="F927" s="47" t="s">
        <v>211</v>
      </c>
      <c r="G927" s="47" t="s">
        <v>27</v>
      </c>
      <c r="H927" s="47">
        <v>70261</v>
      </c>
      <c r="I927" s="47">
        <v>70570</v>
      </c>
      <c r="J927" s="47" t="s">
        <v>28</v>
      </c>
      <c r="K927" s="47"/>
      <c r="L927" s="47" t="s">
        <v>301</v>
      </c>
      <c r="M927" s="47" t="s">
        <v>1011</v>
      </c>
      <c r="N927" s="48">
        <v>1188</v>
      </c>
      <c r="O927" s="48">
        <v>1188</v>
      </c>
      <c r="P927" s="47">
        <v>1255</v>
      </c>
      <c r="Q927" s="47">
        <v>1255</v>
      </c>
      <c r="R927" s="48">
        <v>473</v>
      </c>
      <c r="S927" s="48">
        <v>473</v>
      </c>
      <c r="T927" s="47">
        <v>500</v>
      </c>
      <c r="U927" s="47">
        <v>500</v>
      </c>
      <c r="V927" s="47"/>
    </row>
    <row r="928" spans="2:22" ht="20" x14ac:dyDescent="0.25">
      <c r="B928" s="47" t="s">
        <v>197</v>
      </c>
      <c r="C928" s="47" t="s">
        <v>195</v>
      </c>
      <c r="D928" s="47" t="s">
        <v>1008</v>
      </c>
      <c r="E928" s="47" t="s">
        <v>27</v>
      </c>
      <c r="F928" s="47" t="s">
        <v>211</v>
      </c>
      <c r="G928" s="47" t="s">
        <v>27</v>
      </c>
      <c r="H928" s="47">
        <v>70261</v>
      </c>
      <c r="I928" s="47">
        <v>70570</v>
      </c>
      <c r="J928" s="47" t="s">
        <v>28</v>
      </c>
      <c r="K928" s="47" t="s">
        <v>198</v>
      </c>
      <c r="L928" s="47" t="s">
        <v>1315</v>
      </c>
      <c r="M928" s="47" t="s">
        <v>1009</v>
      </c>
      <c r="N928" s="47">
        <v>1200</v>
      </c>
      <c r="O928" s="47">
        <v>1200</v>
      </c>
      <c r="P928" s="48">
        <v>1200</v>
      </c>
      <c r="Q928" s="48">
        <v>1200</v>
      </c>
      <c r="R928" s="47">
        <v>478</v>
      </c>
      <c r="S928" s="47">
        <v>478</v>
      </c>
      <c r="T928" s="48">
        <v>478</v>
      </c>
      <c r="U928" s="48">
        <v>478</v>
      </c>
      <c r="V928" s="48"/>
    </row>
    <row r="929" spans="2:22" ht="23" x14ac:dyDescent="0.25">
      <c r="B929" s="44" t="s">
        <v>2458</v>
      </c>
      <c r="C929" s="44" t="s">
        <v>259</v>
      </c>
      <c r="D929" s="44" t="s">
        <v>760</v>
      </c>
      <c r="E929" s="44" t="s">
        <v>27</v>
      </c>
      <c r="F929" s="44" t="s">
        <v>490</v>
      </c>
      <c r="G929" s="44" t="s">
        <v>27</v>
      </c>
      <c r="H929" s="44">
        <v>70263</v>
      </c>
      <c r="I929" s="44">
        <v>70463</v>
      </c>
      <c r="J929" s="44" t="s">
        <v>28</v>
      </c>
      <c r="K929" s="44" t="s">
        <v>2458</v>
      </c>
      <c r="L929" s="44" t="s">
        <v>29</v>
      </c>
      <c r="M929" s="44"/>
      <c r="N929" s="45">
        <v>796</v>
      </c>
      <c r="O929" s="45">
        <v>875</v>
      </c>
      <c r="P929" s="45">
        <v>905</v>
      </c>
      <c r="Q929" s="45">
        <v>995</v>
      </c>
      <c r="R929" s="45">
        <v>159</v>
      </c>
      <c r="S929" s="45">
        <v>174</v>
      </c>
      <c r="T929" s="45">
        <v>180</v>
      </c>
      <c r="U929" s="45">
        <v>198</v>
      </c>
      <c r="V929" s="46"/>
    </row>
    <row r="930" spans="2:22" ht="20" x14ac:dyDescent="0.25">
      <c r="B930" s="47" t="s">
        <v>2458</v>
      </c>
      <c r="C930" s="47" t="s">
        <v>259</v>
      </c>
      <c r="D930" s="47" t="s">
        <v>760</v>
      </c>
      <c r="E930" s="47" t="s">
        <v>27</v>
      </c>
      <c r="F930" s="47" t="s">
        <v>490</v>
      </c>
      <c r="G930" s="47" t="s">
        <v>27</v>
      </c>
      <c r="H930" s="47">
        <v>70263</v>
      </c>
      <c r="I930" s="47">
        <v>70463</v>
      </c>
      <c r="J930" s="47" t="s">
        <v>28</v>
      </c>
      <c r="K930" s="47" t="s">
        <v>2458</v>
      </c>
      <c r="L930" s="47" t="s">
        <v>30</v>
      </c>
      <c r="M930" s="47" t="s">
        <v>259</v>
      </c>
      <c r="N930" s="48">
        <v>796</v>
      </c>
      <c r="O930" s="48">
        <v>875</v>
      </c>
      <c r="P930" s="48">
        <v>905</v>
      </c>
      <c r="Q930" s="48">
        <v>995</v>
      </c>
      <c r="R930" s="48">
        <v>159</v>
      </c>
      <c r="S930" s="48">
        <v>174</v>
      </c>
      <c r="T930" s="48">
        <v>180</v>
      </c>
      <c r="U930" s="48">
        <v>198</v>
      </c>
      <c r="V930" s="48"/>
    </row>
    <row r="931" spans="2:22" ht="20" x14ac:dyDescent="0.25">
      <c r="B931" s="47" t="s">
        <v>2458</v>
      </c>
      <c r="C931" s="47" t="s">
        <v>259</v>
      </c>
      <c r="D931" s="47" t="s">
        <v>760</v>
      </c>
      <c r="E931" s="47" t="s">
        <v>27</v>
      </c>
      <c r="F931" s="47" t="s">
        <v>490</v>
      </c>
      <c r="G931" s="47" t="s">
        <v>27</v>
      </c>
      <c r="H931" s="47">
        <v>70263</v>
      </c>
      <c r="I931" s="47">
        <v>70463</v>
      </c>
      <c r="J931" s="47" t="s">
        <v>28</v>
      </c>
      <c r="K931" s="47" t="s">
        <v>32</v>
      </c>
      <c r="L931" s="47" t="s">
        <v>31</v>
      </c>
      <c r="M931" s="47" t="s">
        <v>1057</v>
      </c>
      <c r="N931" s="48">
        <v>796</v>
      </c>
      <c r="O931" s="47">
        <v>876</v>
      </c>
      <c r="P931" s="48">
        <v>905</v>
      </c>
      <c r="Q931" s="47">
        <v>996</v>
      </c>
      <c r="R931" s="48">
        <v>159</v>
      </c>
      <c r="S931" s="48">
        <v>174</v>
      </c>
      <c r="T931" s="48">
        <v>180</v>
      </c>
      <c r="U931" s="48">
        <v>198</v>
      </c>
      <c r="V931" s="47"/>
    </row>
    <row r="932" spans="2:22" ht="23" x14ac:dyDescent="0.25">
      <c r="B932" s="44" t="s">
        <v>1014</v>
      </c>
      <c r="C932" s="44" t="s">
        <v>677</v>
      </c>
      <c r="D932" s="44" t="s">
        <v>679</v>
      </c>
      <c r="E932" s="44" t="s">
        <v>27</v>
      </c>
      <c r="F932" s="44" t="s">
        <v>1015</v>
      </c>
      <c r="G932" s="44" t="s">
        <v>27</v>
      </c>
      <c r="H932" s="44">
        <v>70419</v>
      </c>
      <c r="I932" s="44">
        <v>70426</v>
      </c>
      <c r="J932" s="44" t="s">
        <v>28</v>
      </c>
      <c r="K932" s="44" t="s">
        <v>1014</v>
      </c>
      <c r="L932" s="44" t="s">
        <v>29</v>
      </c>
      <c r="M932" s="44"/>
      <c r="N932" s="45">
        <v>1070</v>
      </c>
      <c r="O932" s="45">
        <v>1177</v>
      </c>
      <c r="P932" s="45">
        <v>1200</v>
      </c>
      <c r="Q932" s="45">
        <v>1200</v>
      </c>
      <c r="R932" s="45">
        <v>213</v>
      </c>
      <c r="S932" s="45">
        <v>235</v>
      </c>
      <c r="T932" s="45">
        <v>239</v>
      </c>
      <c r="U932" s="45">
        <v>239</v>
      </c>
      <c r="V932" s="46"/>
    </row>
    <row r="933" spans="2:22" ht="20" x14ac:dyDescent="0.25">
      <c r="B933" s="47" t="s">
        <v>1014</v>
      </c>
      <c r="C933" s="47" t="s">
        <v>677</v>
      </c>
      <c r="D933" s="47" t="s">
        <v>679</v>
      </c>
      <c r="E933" s="47" t="s">
        <v>27</v>
      </c>
      <c r="F933" s="47" t="s">
        <v>1015</v>
      </c>
      <c r="G933" s="47" t="s">
        <v>27</v>
      </c>
      <c r="H933" s="47">
        <v>70419</v>
      </c>
      <c r="I933" s="47">
        <v>70426</v>
      </c>
      <c r="J933" s="47" t="s">
        <v>28</v>
      </c>
      <c r="K933" s="47" t="s">
        <v>680</v>
      </c>
      <c r="L933" s="47" t="s">
        <v>31</v>
      </c>
      <c r="M933" s="47" t="s">
        <v>2299</v>
      </c>
      <c r="N933" s="48">
        <v>1070</v>
      </c>
      <c r="O933" s="48">
        <v>1177</v>
      </c>
      <c r="P933" s="47">
        <v>1220</v>
      </c>
      <c r="Q933" s="47">
        <v>1343</v>
      </c>
      <c r="R933" s="48">
        <v>213</v>
      </c>
      <c r="S933" s="48">
        <v>235</v>
      </c>
      <c r="T933" s="47">
        <v>243</v>
      </c>
      <c r="U933" s="47">
        <v>267</v>
      </c>
      <c r="V933" s="47"/>
    </row>
    <row r="934" spans="2:22" ht="30" x14ac:dyDescent="0.25">
      <c r="B934" s="47" t="s">
        <v>1014</v>
      </c>
      <c r="C934" s="47" t="s">
        <v>677</v>
      </c>
      <c r="D934" s="47" t="s">
        <v>679</v>
      </c>
      <c r="E934" s="47" t="s">
        <v>27</v>
      </c>
      <c r="F934" s="47" t="s">
        <v>1015</v>
      </c>
      <c r="G934" s="47" t="s">
        <v>27</v>
      </c>
      <c r="H934" s="47">
        <v>70419</v>
      </c>
      <c r="I934" s="47">
        <v>70426</v>
      </c>
      <c r="J934" s="47" t="s">
        <v>28</v>
      </c>
      <c r="K934" s="47" t="s">
        <v>2300</v>
      </c>
      <c r="L934" s="47" t="s">
        <v>36</v>
      </c>
      <c r="M934" s="47" t="s">
        <v>1017</v>
      </c>
      <c r="N934" s="47">
        <v>1200</v>
      </c>
      <c r="O934" s="47">
        <v>1200</v>
      </c>
      <c r="P934" s="48">
        <v>1200</v>
      </c>
      <c r="Q934" s="48">
        <v>1200</v>
      </c>
      <c r="R934" s="47">
        <v>239</v>
      </c>
      <c r="S934" s="47">
        <v>239</v>
      </c>
      <c r="T934" s="48">
        <v>239</v>
      </c>
      <c r="U934" s="48">
        <v>239</v>
      </c>
      <c r="V934" s="48"/>
    </row>
    <row r="935" spans="2:22" ht="20" x14ac:dyDescent="0.25">
      <c r="B935" s="47" t="s">
        <v>1014</v>
      </c>
      <c r="C935" s="47" t="s">
        <v>677</v>
      </c>
      <c r="D935" s="47" t="s">
        <v>679</v>
      </c>
      <c r="E935" s="47" t="s">
        <v>27</v>
      </c>
      <c r="F935" s="47" t="s">
        <v>1015</v>
      </c>
      <c r="G935" s="47" t="s">
        <v>27</v>
      </c>
      <c r="H935" s="47">
        <v>70419</v>
      </c>
      <c r="I935" s="47">
        <v>70426</v>
      </c>
      <c r="J935" s="47" t="s">
        <v>28</v>
      </c>
      <c r="K935" s="47" t="s">
        <v>1016</v>
      </c>
      <c r="L935" s="47" t="s">
        <v>39</v>
      </c>
      <c r="M935" s="47" t="s">
        <v>1017</v>
      </c>
      <c r="N935" s="47">
        <v>1200</v>
      </c>
      <c r="O935" s="47">
        <v>1200</v>
      </c>
      <c r="P935" s="48">
        <v>1200</v>
      </c>
      <c r="Q935" s="48">
        <v>1200</v>
      </c>
      <c r="R935" s="47">
        <v>239</v>
      </c>
      <c r="S935" s="47">
        <v>239</v>
      </c>
      <c r="T935" s="48">
        <v>239</v>
      </c>
      <c r="U935" s="48">
        <v>239</v>
      </c>
      <c r="V935" s="48"/>
    </row>
    <row r="936" spans="2:22" ht="34.5" x14ac:dyDescent="0.25">
      <c r="B936" s="44" t="s">
        <v>1018</v>
      </c>
      <c r="C936" s="44" t="s">
        <v>1019</v>
      </c>
      <c r="D936" s="44" t="s">
        <v>445</v>
      </c>
      <c r="E936" s="44" t="s">
        <v>27</v>
      </c>
      <c r="F936" s="44" t="s">
        <v>211</v>
      </c>
      <c r="G936" s="44" t="s">
        <v>27</v>
      </c>
      <c r="H936" s="44">
        <v>70266</v>
      </c>
      <c r="I936" s="44">
        <v>70570</v>
      </c>
      <c r="J936" s="44" t="s">
        <v>28</v>
      </c>
      <c r="K936" s="44" t="s">
        <v>1018</v>
      </c>
      <c r="L936" s="44" t="s">
        <v>29</v>
      </c>
      <c r="M936" s="44"/>
      <c r="N936" s="45">
        <v>1194</v>
      </c>
      <c r="O936" s="45">
        <v>1194</v>
      </c>
      <c r="P936" s="45">
        <v>1382</v>
      </c>
      <c r="Q936" s="45">
        <v>1382</v>
      </c>
      <c r="R936" s="45">
        <v>476</v>
      </c>
      <c r="S936" s="45">
        <v>476</v>
      </c>
      <c r="T936" s="45">
        <v>551</v>
      </c>
      <c r="U936" s="45">
        <v>551</v>
      </c>
      <c r="V936" s="46"/>
    </row>
    <row r="937" spans="2:22" ht="20" x14ac:dyDescent="0.25">
      <c r="B937" s="47" t="s">
        <v>1018</v>
      </c>
      <c r="C937" s="47" t="s">
        <v>1019</v>
      </c>
      <c r="D937" s="47" t="s">
        <v>445</v>
      </c>
      <c r="E937" s="47" t="s">
        <v>27</v>
      </c>
      <c r="F937" s="47" t="s">
        <v>211</v>
      </c>
      <c r="G937" s="47" t="s">
        <v>27</v>
      </c>
      <c r="H937" s="47">
        <v>70266</v>
      </c>
      <c r="I937" s="47">
        <v>70570</v>
      </c>
      <c r="J937" s="47" t="s">
        <v>28</v>
      </c>
      <c r="K937" s="47" t="s">
        <v>1018</v>
      </c>
      <c r="L937" s="47" t="s">
        <v>30</v>
      </c>
      <c r="M937" s="47" t="s">
        <v>1019</v>
      </c>
      <c r="N937" s="48">
        <v>1194</v>
      </c>
      <c r="O937" s="48">
        <v>1194</v>
      </c>
      <c r="P937" s="48">
        <v>1382</v>
      </c>
      <c r="Q937" s="48">
        <v>1382</v>
      </c>
      <c r="R937" s="48">
        <v>476</v>
      </c>
      <c r="S937" s="48">
        <v>476</v>
      </c>
      <c r="T937" s="48">
        <v>551</v>
      </c>
      <c r="U937" s="48">
        <v>551</v>
      </c>
      <c r="V937" s="48"/>
    </row>
    <row r="938" spans="2:22" ht="34.5" x14ac:dyDescent="0.25">
      <c r="B938" s="44" t="s">
        <v>1021</v>
      </c>
      <c r="C938" s="44" t="s">
        <v>1022</v>
      </c>
      <c r="D938" s="44" t="s">
        <v>445</v>
      </c>
      <c r="E938" s="44" t="s">
        <v>27</v>
      </c>
      <c r="F938" s="44" t="s">
        <v>211</v>
      </c>
      <c r="G938" s="44" t="s">
        <v>27</v>
      </c>
      <c r="H938" s="44">
        <v>70266</v>
      </c>
      <c r="I938" s="44">
        <v>70570</v>
      </c>
      <c r="J938" s="44" t="s">
        <v>28</v>
      </c>
      <c r="K938" s="44" t="s">
        <v>1021</v>
      </c>
      <c r="L938" s="44" t="s">
        <v>29</v>
      </c>
      <c r="M938" s="44"/>
      <c r="N938" s="45">
        <v>1261</v>
      </c>
      <c r="O938" s="45">
        <v>1387</v>
      </c>
      <c r="P938" s="45">
        <v>1429</v>
      </c>
      <c r="Q938" s="45">
        <v>1572</v>
      </c>
      <c r="R938" s="45">
        <v>502</v>
      </c>
      <c r="S938" s="45">
        <v>553</v>
      </c>
      <c r="T938" s="45">
        <v>569</v>
      </c>
      <c r="U938" s="45">
        <v>626</v>
      </c>
      <c r="V938" s="46"/>
    </row>
    <row r="939" spans="2:22" ht="20" x14ac:dyDescent="0.25">
      <c r="B939" s="47" t="s">
        <v>1021</v>
      </c>
      <c r="C939" s="47" t="s">
        <v>1022</v>
      </c>
      <c r="D939" s="47" t="s">
        <v>445</v>
      </c>
      <c r="E939" s="47" t="s">
        <v>27</v>
      </c>
      <c r="F939" s="47" t="s">
        <v>211</v>
      </c>
      <c r="G939" s="47" t="s">
        <v>27</v>
      </c>
      <c r="H939" s="47">
        <v>70266</v>
      </c>
      <c r="I939" s="47">
        <v>70570</v>
      </c>
      <c r="J939" s="47" t="s">
        <v>28</v>
      </c>
      <c r="K939" s="47" t="s">
        <v>1021</v>
      </c>
      <c r="L939" s="47" t="s">
        <v>30</v>
      </c>
      <c r="M939" s="47" t="s">
        <v>1022</v>
      </c>
      <c r="N939" s="48">
        <v>1261</v>
      </c>
      <c r="O939" s="48">
        <v>1387</v>
      </c>
      <c r="P939" s="48">
        <v>1429</v>
      </c>
      <c r="Q939" s="48">
        <v>1572</v>
      </c>
      <c r="R939" s="48">
        <v>502</v>
      </c>
      <c r="S939" s="48">
        <v>553</v>
      </c>
      <c r="T939" s="48">
        <v>569</v>
      </c>
      <c r="U939" s="48">
        <v>626</v>
      </c>
      <c r="V939" s="48"/>
    </row>
    <row r="940" spans="2:22" ht="23" x14ac:dyDescent="0.25">
      <c r="B940" s="44" t="s">
        <v>1023</v>
      </c>
      <c r="C940" s="44" t="s">
        <v>699</v>
      </c>
      <c r="D940" s="44" t="s">
        <v>445</v>
      </c>
      <c r="E940" s="44" t="s">
        <v>27</v>
      </c>
      <c r="F940" s="44" t="s">
        <v>762</v>
      </c>
      <c r="G940" s="44" t="s">
        <v>27</v>
      </c>
      <c r="H940" s="44">
        <v>70066</v>
      </c>
      <c r="I940" s="44">
        <v>70342</v>
      </c>
      <c r="J940" s="44" t="s">
        <v>28</v>
      </c>
      <c r="K940" s="44" t="s">
        <v>1023</v>
      </c>
      <c r="L940" s="44" t="s">
        <v>29</v>
      </c>
      <c r="M940" s="44"/>
      <c r="N940" s="45">
        <v>1200</v>
      </c>
      <c r="O940" s="45">
        <v>1200</v>
      </c>
      <c r="P940" s="45">
        <v>1200</v>
      </c>
      <c r="Q940" s="45">
        <v>1200</v>
      </c>
      <c r="R940" s="45">
        <v>239</v>
      </c>
      <c r="S940" s="45">
        <v>239</v>
      </c>
      <c r="T940" s="45">
        <v>239</v>
      </c>
      <c r="U940" s="45">
        <v>239</v>
      </c>
      <c r="V940" s="46"/>
    </row>
    <row r="941" spans="2:22" ht="30" x14ac:dyDescent="0.25">
      <c r="B941" s="47" t="s">
        <v>1023</v>
      </c>
      <c r="C941" s="47" t="s">
        <v>699</v>
      </c>
      <c r="D941" s="47" t="s">
        <v>445</v>
      </c>
      <c r="E941" s="47" t="s">
        <v>27</v>
      </c>
      <c r="F941" s="47" t="s">
        <v>762</v>
      </c>
      <c r="G941" s="47" t="s">
        <v>27</v>
      </c>
      <c r="H941" s="47">
        <v>70066</v>
      </c>
      <c r="I941" s="47">
        <v>70342</v>
      </c>
      <c r="J941" s="47" t="s">
        <v>28</v>
      </c>
      <c r="K941" s="47" t="s">
        <v>2465</v>
      </c>
      <c r="L941" s="47" t="s">
        <v>36</v>
      </c>
      <c r="M941" s="47" t="s">
        <v>447</v>
      </c>
      <c r="N941" s="48">
        <v>1200</v>
      </c>
      <c r="O941" s="48">
        <v>1200</v>
      </c>
      <c r="P941" s="48">
        <v>1200</v>
      </c>
      <c r="Q941" s="48">
        <v>1200</v>
      </c>
      <c r="R941" s="48">
        <v>239</v>
      </c>
      <c r="S941" s="48">
        <v>239</v>
      </c>
      <c r="T941" s="48">
        <v>239</v>
      </c>
      <c r="U941" s="48">
        <v>239</v>
      </c>
      <c r="V941" s="48"/>
    </row>
    <row r="942" spans="2:22" ht="20" x14ac:dyDescent="0.25">
      <c r="B942" s="47" t="s">
        <v>1023</v>
      </c>
      <c r="C942" s="47" t="s">
        <v>699</v>
      </c>
      <c r="D942" s="47" t="s">
        <v>445</v>
      </c>
      <c r="E942" s="47" t="s">
        <v>27</v>
      </c>
      <c r="F942" s="47" t="s">
        <v>762</v>
      </c>
      <c r="G942" s="47" t="s">
        <v>27</v>
      </c>
      <c r="H942" s="47">
        <v>70066</v>
      </c>
      <c r="I942" s="47">
        <v>70342</v>
      </c>
      <c r="J942" s="47" t="s">
        <v>28</v>
      </c>
      <c r="K942" s="47" t="s">
        <v>2459</v>
      </c>
      <c r="L942" s="47" t="s">
        <v>39</v>
      </c>
      <c r="M942" s="47" t="s">
        <v>447</v>
      </c>
      <c r="N942" s="48">
        <v>1200</v>
      </c>
      <c r="O942" s="48">
        <v>1200</v>
      </c>
      <c r="P942" s="48">
        <v>1200</v>
      </c>
      <c r="Q942" s="48">
        <v>1200</v>
      </c>
      <c r="R942" s="48">
        <v>239</v>
      </c>
      <c r="S942" s="48">
        <v>239</v>
      </c>
      <c r="T942" s="48">
        <v>239</v>
      </c>
      <c r="U942" s="48">
        <v>239</v>
      </c>
      <c r="V942" s="48"/>
    </row>
    <row r="943" spans="2:22" ht="20" x14ac:dyDescent="0.25">
      <c r="B943" s="47" t="s">
        <v>1023</v>
      </c>
      <c r="C943" s="47" t="s">
        <v>699</v>
      </c>
      <c r="D943" s="47" t="s">
        <v>445</v>
      </c>
      <c r="E943" s="47" t="s">
        <v>27</v>
      </c>
      <c r="F943" s="47" t="s">
        <v>762</v>
      </c>
      <c r="G943" s="47" t="s">
        <v>27</v>
      </c>
      <c r="H943" s="47">
        <v>70066</v>
      </c>
      <c r="I943" s="47">
        <v>70342</v>
      </c>
      <c r="J943" s="47" t="s">
        <v>28</v>
      </c>
      <c r="K943" s="47" t="s">
        <v>2462</v>
      </c>
      <c r="L943" s="47" t="s">
        <v>39</v>
      </c>
      <c r="M943" s="47" t="s">
        <v>447</v>
      </c>
      <c r="N943" s="48">
        <v>1200</v>
      </c>
      <c r="O943" s="48">
        <v>1200</v>
      </c>
      <c r="P943" s="48">
        <v>1200</v>
      </c>
      <c r="Q943" s="48">
        <v>1200</v>
      </c>
      <c r="R943" s="48">
        <v>239</v>
      </c>
      <c r="S943" s="48">
        <v>239</v>
      </c>
      <c r="T943" s="48">
        <v>239</v>
      </c>
      <c r="U943" s="48">
        <v>239</v>
      </c>
      <c r="V943" s="48"/>
    </row>
    <row r="944" spans="2:22" ht="30" x14ac:dyDescent="0.25">
      <c r="B944" s="47" t="s">
        <v>1023</v>
      </c>
      <c r="C944" s="47" t="s">
        <v>699</v>
      </c>
      <c r="D944" s="47" t="s">
        <v>445</v>
      </c>
      <c r="E944" s="47" t="s">
        <v>27</v>
      </c>
      <c r="F944" s="47" t="s">
        <v>762</v>
      </c>
      <c r="G944" s="47" t="s">
        <v>27</v>
      </c>
      <c r="H944" s="47">
        <v>70066</v>
      </c>
      <c r="I944" s="47">
        <v>70342</v>
      </c>
      <c r="J944" s="47" t="s">
        <v>28</v>
      </c>
      <c r="K944" s="47" t="s">
        <v>2463</v>
      </c>
      <c r="L944" s="47" t="s">
        <v>36</v>
      </c>
      <c r="M944" s="47" t="s">
        <v>447</v>
      </c>
      <c r="N944" s="48">
        <v>1200</v>
      </c>
      <c r="O944" s="48">
        <v>1200</v>
      </c>
      <c r="P944" s="48">
        <v>1200</v>
      </c>
      <c r="Q944" s="48">
        <v>1200</v>
      </c>
      <c r="R944" s="48">
        <v>239</v>
      </c>
      <c r="S944" s="48">
        <v>239</v>
      </c>
      <c r="T944" s="48">
        <v>239</v>
      </c>
      <c r="U944" s="48">
        <v>239</v>
      </c>
      <c r="V944" s="48"/>
    </row>
    <row r="945" spans="2:22" ht="20" x14ac:dyDescent="0.25">
      <c r="B945" s="47" t="s">
        <v>1023</v>
      </c>
      <c r="C945" s="47" t="s">
        <v>699</v>
      </c>
      <c r="D945" s="47" t="s">
        <v>445</v>
      </c>
      <c r="E945" s="47" t="s">
        <v>27</v>
      </c>
      <c r="F945" s="47" t="s">
        <v>762</v>
      </c>
      <c r="G945" s="47" t="s">
        <v>27</v>
      </c>
      <c r="H945" s="47">
        <v>70066</v>
      </c>
      <c r="I945" s="47">
        <v>70342</v>
      </c>
      <c r="J945" s="47" t="s">
        <v>28</v>
      </c>
      <c r="K945" s="47" t="s">
        <v>2460</v>
      </c>
      <c r="L945" s="47" t="s">
        <v>39</v>
      </c>
      <c r="M945" s="47" t="s">
        <v>447</v>
      </c>
      <c r="N945" s="48">
        <v>1200</v>
      </c>
      <c r="O945" s="48">
        <v>1200</v>
      </c>
      <c r="P945" s="48">
        <v>1200</v>
      </c>
      <c r="Q945" s="48">
        <v>1200</v>
      </c>
      <c r="R945" s="48">
        <v>239</v>
      </c>
      <c r="S945" s="48">
        <v>239</v>
      </c>
      <c r="T945" s="48">
        <v>239</v>
      </c>
      <c r="U945" s="48">
        <v>239</v>
      </c>
      <c r="V945" s="48"/>
    </row>
    <row r="946" spans="2:22" ht="20" x14ac:dyDescent="0.25">
      <c r="B946" s="47" t="s">
        <v>1023</v>
      </c>
      <c r="C946" s="47" t="s">
        <v>699</v>
      </c>
      <c r="D946" s="47" t="s">
        <v>445</v>
      </c>
      <c r="E946" s="47" t="s">
        <v>27</v>
      </c>
      <c r="F946" s="47" t="s">
        <v>762</v>
      </c>
      <c r="G946" s="47" t="s">
        <v>27</v>
      </c>
      <c r="H946" s="47">
        <v>70066</v>
      </c>
      <c r="I946" s="47">
        <v>70342</v>
      </c>
      <c r="J946" s="47" t="s">
        <v>28</v>
      </c>
      <c r="K946" s="47" t="s">
        <v>2461</v>
      </c>
      <c r="L946" s="47" t="s">
        <v>39</v>
      </c>
      <c r="M946" s="47" t="s">
        <v>447</v>
      </c>
      <c r="N946" s="48">
        <v>1200</v>
      </c>
      <c r="O946" s="48">
        <v>1200</v>
      </c>
      <c r="P946" s="48">
        <v>1200</v>
      </c>
      <c r="Q946" s="48">
        <v>1200</v>
      </c>
      <c r="R946" s="48">
        <v>239</v>
      </c>
      <c r="S946" s="48">
        <v>239</v>
      </c>
      <c r="T946" s="48">
        <v>239</v>
      </c>
      <c r="U946" s="48">
        <v>239</v>
      </c>
      <c r="V946" s="48"/>
    </row>
    <row r="947" spans="2:22" ht="30" x14ac:dyDescent="0.25">
      <c r="B947" s="47" t="s">
        <v>1023</v>
      </c>
      <c r="C947" s="47" t="s">
        <v>699</v>
      </c>
      <c r="D947" s="47" t="s">
        <v>445</v>
      </c>
      <c r="E947" s="47" t="s">
        <v>27</v>
      </c>
      <c r="F947" s="47" t="s">
        <v>762</v>
      </c>
      <c r="G947" s="47" t="s">
        <v>27</v>
      </c>
      <c r="H947" s="47">
        <v>70066</v>
      </c>
      <c r="I947" s="47">
        <v>70342</v>
      </c>
      <c r="J947" s="47" t="s">
        <v>28</v>
      </c>
      <c r="K947" s="47" t="s">
        <v>2464</v>
      </c>
      <c r="L947" s="47" t="s">
        <v>36</v>
      </c>
      <c r="M947" s="47" t="s">
        <v>447</v>
      </c>
      <c r="N947" s="48">
        <v>1200</v>
      </c>
      <c r="O947" s="48">
        <v>1200</v>
      </c>
      <c r="P947" s="48">
        <v>1200</v>
      </c>
      <c r="Q947" s="48">
        <v>1200</v>
      </c>
      <c r="R947" s="48">
        <v>239</v>
      </c>
      <c r="S947" s="48">
        <v>239</v>
      </c>
      <c r="T947" s="48">
        <v>239</v>
      </c>
      <c r="U947" s="48">
        <v>239</v>
      </c>
      <c r="V947" s="48"/>
    </row>
    <row r="948" spans="2:22" ht="23" x14ac:dyDescent="0.25">
      <c r="B948" s="44" t="s">
        <v>1026</v>
      </c>
      <c r="C948" s="44" t="s">
        <v>1027</v>
      </c>
      <c r="D948" s="44" t="s">
        <v>445</v>
      </c>
      <c r="E948" s="44" t="s">
        <v>27</v>
      </c>
      <c r="F948" s="44" t="s">
        <v>983</v>
      </c>
      <c r="G948" s="44" t="s">
        <v>27</v>
      </c>
      <c r="H948" s="44">
        <v>70266</v>
      </c>
      <c r="I948" s="44">
        <v>70355</v>
      </c>
      <c r="J948" s="44" t="s">
        <v>28</v>
      </c>
      <c r="K948" s="44" t="s">
        <v>1026</v>
      </c>
      <c r="L948" s="44" t="s">
        <v>29</v>
      </c>
      <c r="M948" s="44"/>
      <c r="N948" s="45">
        <v>1200</v>
      </c>
      <c r="O948" s="45">
        <v>1200</v>
      </c>
      <c r="P948" s="45">
        <v>1200</v>
      </c>
      <c r="Q948" s="45">
        <v>1200</v>
      </c>
      <c r="R948" s="45">
        <v>478</v>
      </c>
      <c r="S948" s="45">
        <v>478</v>
      </c>
      <c r="T948" s="45">
        <v>478</v>
      </c>
      <c r="U948" s="45">
        <v>478</v>
      </c>
      <c r="V948" s="46"/>
    </row>
    <row r="949" spans="2:22" ht="30" x14ac:dyDescent="0.25">
      <c r="B949" s="47" t="s">
        <v>1026</v>
      </c>
      <c r="C949" s="47" t="s">
        <v>1027</v>
      </c>
      <c r="D949" s="47" t="s">
        <v>445</v>
      </c>
      <c r="E949" s="47" t="s">
        <v>27</v>
      </c>
      <c r="F949" s="47" t="s">
        <v>983</v>
      </c>
      <c r="G949" s="47" t="s">
        <v>27</v>
      </c>
      <c r="H949" s="47">
        <v>70266</v>
      </c>
      <c r="I949" s="47">
        <v>70355</v>
      </c>
      <c r="J949" s="47" t="s">
        <v>28</v>
      </c>
      <c r="K949" s="47" t="s">
        <v>2469</v>
      </c>
      <c r="L949" s="47" t="s">
        <v>36</v>
      </c>
      <c r="M949" s="47" t="s">
        <v>984</v>
      </c>
      <c r="N949" s="48">
        <v>1200</v>
      </c>
      <c r="O949" s="48">
        <v>1200</v>
      </c>
      <c r="P949" s="48">
        <v>1200</v>
      </c>
      <c r="Q949" s="48">
        <v>1200</v>
      </c>
      <c r="R949" s="48">
        <v>478</v>
      </c>
      <c r="S949" s="48">
        <v>478</v>
      </c>
      <c r="T949" s="48">
        <v>478</v>
      </c>
      <c r="U949" s="48">
        <v>478</v>
      </c>
      <c r="V949" s="48"/>
    </row>
    <row r="950" spans="2:22" ht="30" x14ac:dyDescent="0.25">
      <c r="B950" s="47" t="s">
        <v>1026</v>
      </c>
      <c r="C950" s="47" t="s">
        <v>1027</v>
      </c>
      <c r="D950" s="47" t="s">
        <v>445</v>
      </c>
      <c r="E950" s="47" t="s">
        <v>27</v>
      </c>
      <c r="F950" s="47" t="s">
        <v>983</v>
      </c>
      <c r="G950" s="47" t="s">
        <v>27</v>
      </c>
      <c r="H950" s="47">
        <v>70266</v>
      </c>
      <c r="I950" s="47">
        <v>70355</v>
      </c>
      <c r="J950" s="47" t="s">
        <v>28</v>
      </c>
      <c r="K950" s="47" t="s">
        <v>2474</v>
      </c>
      <c r="L950" s="47" t="s">
        <v>36</v>
      </c>
      <c r="M950" s="47" t="s">
        <v>984</v>
      </c>
      <c r="N950" s="48">
        <v>1200</v>
      </c>
      <c r="O950" s="48">
        <v>1200</v>
      </c>
      <c r="P950" s="48">
        <v>1200</v>
      </c>
      <c r="Q950" s="48">
        <v>1200</v>
      </c>
      <c r="R950" s="48">
        <v>478</v>
      </c>
      <c r="S950" s="48">
        <v>478</v>
      </c>
      <c r="T950" s="48">
        <v>478</v>
      </c>
      <c r="U950" s="48">
        <v>478</v>
      </c>
      <c r="V950" s="48"/>
    </row>
    <row r="951" spans="2:22" ht="30" x14ac:dyDescent="0.25">
      <c r="B951" s="47" t="s">
        <v>1026</v>
      </c>
      <c r="C951" s="47" t="s">
        <v>1027</v>
      </c>
      <c r="D951" s="47" t="s">
        <v>445</v>
      </c>
      <c r="E951" s="47" t="s">
        <v>27</v>
      </c>
      <c r="F951" s="47" t="s">
        <v>983</v>
      </c>
      <c r="G951" s="47" t="s">
        <v>27</v>
      </c>
      <c r="H951" s="47">
        <v>70266</v>
      </c>
      <c r="I951" s="47">
        <v>70355</v>
      </c>
      <c r="J951" s="47" t="s">
        <v>28</v>
      </c>
      <c r="K951" s="47" t="s">
        <v>2466</v>
      </c>
      <c r="L951" s="47" t="s">
        <v>36</v>
      </c>
      <c r="M951" s="47" t="s">
        <v>447</v>
      </c>
      <c r="N951" s="48">
        <v>1200</v>
      </c>
      <c r="O951" s="48">
        <v>1200</v>
      </c>
      <c r="P951" s="48">
        <v>1200</v>
      </c>
      <c r="Q951" s="48">
        <v>1200</v>
      </c>
      <c r="R951" s="48">
        <v>478</v>
      </c>
      <c r="S951" s="48">
        <v>478</v>
      </c>
      <c r="T951" s="48">
        <v>478</v>
      </c>
      <c r="U951" s="48">
        <v>478</v>
      </c>
      <c r="V951" s="48"/>
    </row>
    <row r="952" spans="2:22" ht="30" x14ac:dyDescent="0.25">
      <c r="B952" s="47" t="s">
        <v>1026</v>
      </c>
      <c r="C952" s="47" t="s">
        <v>1027</v>
      </c>
      <c r="D952" s="47" t="s">
        <v>445</v>
      </c>
      <c r="E952" s="47" t="s">
        <v>27</v>
      </c>
      <c r="F952" s="47" t="s">
        <v>983</v>
      </c>
      <c r="G952" s="47" t="s">
        <v>27</v>
      </c>
      <c r="H952" s="47">
        <v>70266</v>
      </c>
      <c r="I952" s="47">
        <v>70355</v>
      </c>
      <c r="J952" s="47" t="s">
        <v>28</v>
      </c>
      <c r="K952" s="47" t="s">
        <v>2475</v>
      </c>
      <c r="L952" s="47" t="s">
        <v>36</v>
      </c>
      <c r="M952" s="47" t="s">
        <v>447</v>
      </c>
      <c r="N952" s="48">
        <v>1200</v>
      </c>
      <c r="O952" s="48">
        <v>1200</v>
      </c>
      <c r="P952" s="48">
        <v>1200</v>
      </c>
      <c r="Q952" s="48">
        <v>1200</v>
      </c>
      <c r="R952" s="48">
        <v>478</v>
      </c>
      <c r="S952" s="48">
        <v>478</v>
      </c>
      <c r="T952" s="48">
        <v>478</v>
      </c>
      <c r="U952" s="48">
        <v>478</v>
      </c>
      <c r="V952" s="48"/>
    </row>
    <row r="953" spans="2:22" ht="30" x14ac:dyDescent="0.25">
      <c r="B953" s="47" t="s">
        <v>1026</v>
      </c>
      <c r="C953" s="47" t="s">
        <v>1027</v>
      </c>
      <c r="D953" s="47" t="s">
        <v>445</v>
      </c>
      <c r="E953" s="47" t="s">
        <v>27</v>
      </c>
      <c r="F953" s="47" t="s">
        <v>983</v>
      </c>
      <c r="G953" s="47" t="s">
        <v>27</v>
      </c>
      <c r="H953" s="47">
        <v>70266</v>
      </c>
      <c r="I953" s="47">
        <v>70355</v>
      </c>
      <c r="J953" s="47" t="s">
        <v>28</v>
      </c>
      <c r="K953" s="47" t="s">
        <v>2473</v>
      </c>
      <c r="L953" s="47" t="s">
        <v>36</v>
      </c>
      <c r="M953" s="47" t="s">
        <v>447</v>
      </c>
      <c r="N953" s="48">
        <v>1200</v>
      </c>
      <c r="O953" s="48">
        <v>1200</v>
      </c>
      <c r="P953" s="48">
        <v>1200</v>
      </c>
      <c r="Q953" s="48">
        <v>1200</v>
      </c>
      <c r="R953" s="48">
        <v>478</v>
      </c>
      <c r="S953" s="48">
        <v>478</v>
      </c>
      <c r="T953" s="48">
        <v>478</v>
      </c>
      <c r="U953" s="48">
        <v>478</v>
      </c>
      <c r="V953" s="48"/>
    </row>
    <row r="954" spans="2:22" ht="30" x14ac:dyDescent="0.25">
      <c r="B954" s="47" t="s">
        <v>1026</v>
      </c>
      <c r="C954" s="47" t="s">
        <v>1027</v>
      </c>
      <c r="D954" s="47" t="s">
        <v>445</v>
      </c>
      <c r="E954" s="47" t="s">
        <v>27</v>
      </c>
      <c r="F954" s="47" t="s">
        <v>983</v>
      </c>
      <c r="G954" s="47" t="s">
        <v>27</v>
      </c>
      <c r="H954" s="47">
        <v>70266</v>
      </c>
      <c r="I954" s="47">
        <v>70355</v>
      </c>
      <c r="J954" s="47" t="s">
        <v>28</v>
      </c>
      <c r="K954" s="47" t="s">
        <v>2471</v>
      </c>
      <c r="L954" s="47" t="s">
        <v>36</v>
      </c>
      <c r="M954" s="47" t="s">
        <v>447</v>
      </c>
      <c r="N954" s="48">
        <v>1200</v>
      </c>
      <c r="O954" s="48">
        <v>1200</v>
      </c>
      <c r="P954" s="48">
        <v>1200</v>
      </c>
      <c r="Q954" s="48">
        <v>1200</v>
      </c>
      <c r="R954" s="48">
        <v>478</v>
      </c>
      <c r="S954" s="48">
        <v>478</v>
      </c>
      <c r="T954" s="48">
        <v>478</v>
      </c>
      <c r="U954" s="48">
        <v>478</v>
      </c>
      <c r="V954" s="48"/>
    </row>
    <row r="955" spans="2:22" ht="30" x14ac:dyDescent="0.25">
      <c r="B955" s="47" t="s">
        <v>1026</v>
      </c>
      <c r="C955" s="47" t="s">
        <v>1027</v>
      </c>
      <c r="D955" s="47" t="s">
        <v>445</v>
      </c>
      <c r="E955" s="47" t="s">
        <v>27</v>
      </c>
      <c r="F955" s="47" t="s">
        <v>983</v>
      </c>
      <c r="G955" s="47" t="s">
        <v>27</v>
      </c>
      <c r="H955" s="47">
        <v>70266</v>
      </c>
      <c r="I955" s="47">
        <v>70355</v>
      </c>
      <c r="J955" s="47" t="s">
        <v>28</v>
      </c>
      <c r="K955" s="47" t="s">
        <v>1028</v>
      </c>
      <c r="L955" s="47" t="s">
        <v>36</v>
      </c>
      <c r="M955" s="47" t="s">
        <v>984</v>
      </c>
      <c r="N955" s="48">
        <v>1200</v>
      </c>
      <c r="O955" s="48">
        <v>1200</v>
      </c>
      <c r="P955" s="48">
        <v>1200</v>
      </c>
      <c r="Q955" s="48">
        <v>1200</v>
      </c>
      <c r="R955" s="48">
        <v>478</v>
      </c>
      <c r="S955" s="48">
        <v>478</v>
      </c>
      <c r="T955" s="48">
        <v>478</v>
      </c>
      <c r="U955" s="48">
        <v>478</v>
      </c>
      <c r="V955" s="48"/>
    </row>
    <row r="956" spans="2:22" ht="30" x14ac:dyDescent="0.25">
      <c r="B956" s="47" t="s">
        <v>1026</v>
      </c>
      <c r="C956" s="47" t="s">
        <v>1027</v>
      </c>
      <c r="D956" s="47" t="s">
        <v>445</v>
      </c>
      <c r="E956" s="47" t="s">
        <v>27</v>
      </c>
      <c r="F956" s="47" t="s">
        <v>983</v>
      </c>
      <c r="G956" s="47" t="s">
        <v>27</v>
      </c>
      <c r="H956" s="47">
        <v>70266</v>
      </c>
      <c r="I956" s="47">
        <v>70355</v>
      </c>
      <c r="J956" s="47" t="s">
        <v>28</v>
      </c>
      <c r="K956" s="47" t="s">
        <v>2472</v>
      </c>
      <c r="L956" s="47" t="s">
        <v>36</v>
      </c>
      <c r="M956" s="47" t="s">
        <v>984</v>
      </c>
      <c r="N956" s="48">
        <v>1200</v>
      </c>
      <c r="O956" s="48">
        <v>1200</v>
      </c>
      <c r="P956" s="48">
        <v>1200</v>
      </c>
      <c r="Q956" s="48">
        <v>1200</v>
      </c>
      <c r="R956" s="48">
        <v>478</v>
      </c>
      <c r="S956" s="48">
        <v>478</v>
      </c>
      <c r="T956" s="48">
        <v>478</v>
      </c>
      <c r="U956" s="48">
        <v>478</v>
      </c>
      <c r="V956" s="48"/>
    </row>
    <row r="957" spans="2:22" ht="30" x14ac:dyDescent="0.25">
      <c r="B957" s="47" t="s">
        <v>1026</v>
      </c>
      <c r="C957" s="47" t="s">
        <v>1027</v>
      </c>
      <c r="D957" s="47" t="s">
        <v>445</v>
      </c>
      <c r="E957" s="47" t="s">
        <v>27</v>
      </c>
      <c r="F957" s="47" t="s">
        <v>983</v>
      </c>
      <c r="G957" s="47" t="s">
        <v>27</v>
      </c>
      <c r="H957" s="47">
        <v>70266</v>
      </c>
      <c r="I957" s="47">
        <v>70355</v>
      </c>
      <c r="J957" s="47" t="s">
        <v>28</v>
      </c>
      <c r="K957" s="47" t="s">
        <v>2470</v>
      </c>
      <c r="L957" s="47" t="s">
        <v>36</v>
      </c>
      <c r="M957" s="47" t="s">
        <v>447</v>
      </c>
      <c r="N957" s="48">
        <v>1200</v>
      </c>
      <c r="O957" s="48">
        <v>1200</v>
      </c>
      <c r="P957" s="48">
        <v>1200</v>
      </c>
      <c r="Q957" s="48">
        <v>1200</v>
      </c>
      <c r="R957" s="48">
        <v>478</v>
      </c>
      <c r="S957" s="48">
        <v>478</v>
      </c>
      <c r="T957" s="48">
        <v>478</v>
      </c>
      <c r="U957" s="48">
        <v>478</v>
      </c>
      <c r="V957" s="48"/>
    </row>
    <row r="958" spans="2:22" ht="30" x14ac:dyDescent="0.25">
      <c r="B958" s="47" t="s">
        <v>1026</v>
      </c>
      <c r="C958" s="47" t="s">
        <v>1027</v>
      </c>
      <c r="D958" s="47" t="s">
        <v>445</v>
      </c>
      <c r="E958" s="47" t="s">
        <v>27</v>
      </c>
      <c r="F958" s="47" t="s">
        <v>983</v>
      </c>
      <c r="G958" s="47" t="s">
        <v>27</v>
      </c>
      <c r="H958" s="47">
        <v>70266</v>
      </c>
      <c r="I958" s="47">
        <v>70355</v>
      </c>
      <c r="J958" s="47" t="s">
        <v>28</v>
      </c>
      <c r="K958" s="47" t="s">
        <v>2467</v>
      </c>
      <c r="L958" s="47" t="s">
        <v>36</v>
      </c>
      <c r="M958" s="47" t="s">
        <v>447</v>
      </c>
      <c r="N958" s="48">
        <v>1200</v>
      </c>
      <c r="O958" s="48">
        <v>1200</v>
      </c>
      <c r="P958" s="48">
        <v>1200</v>
      </c>
      <c r="Q958" s="48">
        <v>1200</v>
      </c>
      <c r="R958" s="48">
        <v>478</v>
      </c>
      <c r="S958" s="48">
        <v>478</v>
      </c>
      <c r="T958" s="48">
        <v>478</v>
      </c>
      <c r="U958" s="48">
        <v>478</v>
      </c>
      <c r="V958" s="48"/>
    </row>
    <row r="959" spans="2:22" ht="30" x14ac:dyDescent="0.25">
      <c r="B959" s="47" t="s">
        <v>1026</v>
      </c>
      <c r="C959" s="47" t="s">
        <v>1027</v>
      </c>
      <c r="D959" s="47" t="s">
        <v>445</v>
      </c>
      <c r="E959" s="47" t="s">
        <v>27</v>
      </c>
      <c r="F959" s="47" t="s">
        <v>983</v>
      </c>
      <c r="G959" s="47" t="s">
        <v>27</v>
      </c>
      <c r="H959" s="47">
        <v>70266</v>
      </c>
      <c r="I959" s="47">
        <v>70355</v>
      </c>
      <c r="J959" s="47" t="s">
        <v>28</v>
      </c>
      <c r="K959" s="47" t="s">
        <v>2468</v>
      </c>
      <c r="L959" s="47" t="s">
        <v>36</v>
      </c>
      <c r="M959" s="47" t="s">
        <v>984</v>
      </c>
      <c r="N959" s="48">
        <v>1200</v>
      </c>
      <c r="O959" s="48">
        <v>1200</v>
      </c>
      <c r="P959" s="48">
        <v>1200</v>
      </c>
      <c r="Q959" s="48">
        <v>1200</v>
      </c>
      <c r="R959" s="48">
        <v>478</v>
      </c>
      <c r="S959" s="48">
        <v>478</v>
      </c>
      <c r="T959" s="48">
        <v>478</v>
      </c>
      <c r="U959" s="48">
        <v>478</v>
      </c>
      <c r="V959" s="48"/>
    </row>
    <row r="960" spans="2:22" ht="20" x14ac:dyDescent="0.25">
      <c r="B960" s="47" t="s">
        <v>1026</v>
      </c>
      <c r="C960" s="47" t="s">
        <v>1027</v>
      </c>
      <c r="D960" s="47" t="s">
        <v>445</v>
      </c>
      <c r="E960" s="47" t="s">
        <v>27</v>
      </c>
      <c r="F960" s="47" t="s">
        <v>983</v>
      </c>
      <c r="G960" s="47" t="s">
        <v>27</v>
      </c>
      <c r="H960" s="47">
        <v>70266</v>
      </c>
      <c r="I960" s="47">
        <v>70355</v>
      </c>
      <c r="J960" s="47" t="s">
        <v>28</v>
      </c>
      <c r="K960" s="47" t="s">
        <v>2307</v>
      </c>
      <c r="L960" s="47" t="s">
        <v>34</v>
      </c>
      <c r="M960" s="47" t="s">
        <v>984</v>
      </c>
      <c r="N960" s="48">
        <v>1200</v>
      </c>
      <c r="O960" s="47">
        <v>1549</v>
      </c>
      <c r="P960" s="47">
        <v>1486</v>
      </c>
      <c r="Q960" s="47">
        <v>1780</v>
      </c>
      <c r="R960" s="48">
        <v>478</v>
      </c>
      <c r="S960" s="47">
        <v>617</v>
      </c>
      <c r="T960" s="47">
        <v>592</v>
      </c>
      <c r="U960" s="47">
        <v>709</v>
      </c>
      <c r="V960" s="47"/>
    </row>
    <row r="961" spans="2:22" ht="20" x14ac:dyDescent="0.25">
      <c r="B961" s="47" t="s">
        <v>1026</v>
      </c>
      <c r="C961" s="47" t="s">
        <v>1027</v>
      </c>
      <c r="D961" s="47" t="s">
        <v>445</v>
      </c>
      <c r="E961" s="47" t="s">
        <v>27</v>
      </c>
      <c r="F961" s="47" t="s">
        <v>983</v>
      </c>
      <c r="G961" s="47" t="s">
        <v>27</v>
      </c>
      <c r="H961" s="47">
        <v>70266</v>
      </c>
      <c r="I961" s="47">
        <v>70355</v>
      </c>
      <c r="J961" s="47" t="s">
        <v>28</v>
      </c>
      <c r="K961" s="47" t="s">
        <v>2309</v>
      </c>
      <c r="L961" s="47" t="s">
        <v>34</v>
      </c>
      <c r="M961" s="47" t="s">
        <v>984</v>
      </c>
      <c r="N961" s="48">
        <v>1200</v>
      </c>
      <c r="O961" s="47">
        <v>1549</v>
      </c>
      <c r="P961" s="47">
        <v>1486</v>
      </c>
      <c r="Q961" s="47">
        <v>1780</v>
      </c>
      <c r="R961" s="48">
        <v>478</v>
      </c>
      <c r="S961" s="47">
        <v>617</v>
      </c>
      <c r="T961" s="47">
        <v>592</v>
      </c>
      <c r="U961" s="47">
        <v>709</v>
      </c>
      <c r="V961" s="47"/>
    </row>
    <row r="962" spans="2:22" ht="20" x14ac:dyDescent="0.25">
      <c r="B962" s="47" t="s">
        <v>1026</v>
      </c>
      <c r="C962" s="47" t="s">
        <v>1027</v>
      </c>
      <c r="D962" s="47" t="s">
        <v>445</v>
      </c>
      <c r="E962" s="47" t="s">
        <v>27</v>
      </c>
      <c r="F962" s="47" t="s">
        <v>983</v>
      </c>
      <c r="G962" s="47" t="s">
        <v>27</v>
      </c>
      <c r="H962" s="47">
        <v>70266</v>
      </c>
      <c r="I962" s="47">
        <v>70355</v>
      </c>
      <c r="J962" s="47" t="s">
        <v>28</v>
      </c>
      <c r="K962" s="47" t="s">
        <v>2305</v>
      </c>
      <c r="L962" s="47" t="s">
        <v>34</v>
      </c>
      <c r="M962" s="47" t="s">
        <v>984</v>
      </c>
      <c r="N962" s="48">
        <v>1200</v>
      </c>
      <c r="O962" s="47">
        <v>1549</v>
      </c>
      <c r="P962" s="47">
        <v>1486</v>
      </c>
      <c r="Q962" s="47">
        <v>1780</v>
      </c>
      <c r="R962" s="48">
        <v>478</v>
      </c>
      <c r="S962" s="47">
        <v>617</v>
      </c>
      <c r="T962" s="47">
        <v>592</v>
      </c>
      <c r="U962" s="47">
        <v>709</v>
      </c>
      <c r="V962" s="47"/>
    </row>
    <row r="963" spans="2:22" ht="20" x14ac:dyDescent="0.25">
      <c r="B963" s="47" t="s">
        <v>1026</v>
      </c>
      <c r="C963" s="47" t="s">
        <v>1027</v>
      </c>
      <c r="D963" s="47" t="s">
        <v>445</v>
      </c>
      <c r="E963" s="47" t="s">
        <v>27</v>
      </c>
      <c r="F963" s="47" t="s">
        <v>983</v>
      </c>
      <c r="G963" s="47" t="s">
        <v>27</v>
      </c>
      <c r="H963" s="47">
        <v>70266</v>
      </c>
      <c r="I963" s="47">
        <v>70355</v>
      </c>
      <c r="J963" s="47" t="s">
        <v>28</v>
      </c>
      <c r="K963" s="47" t="s">
        <v>2306</v>
      </c>
      <c r="L963" s="47" t="s">
        <v>34</v>
      </c>
      <c r="M963" s="47" t="s">
        <v>447</v>
      </c>
      <c r="N963" s="48">
        <v>1200</v>
      </c>
      <c r="O963" s="47">
        <v>1549</v>
      </c>
      <c r="P963" s="47">
        <v>1486</v>
      </c>
      <c r="Q963" s="47">
        <v>1780</v>
      </c>
      <c r="R963" s="48">
        <v>478</v>
      </c>
      <c r="S963" s="47">
        <v>617</v>
      </c>
      <c r="T963" s="47">
        <v>592</v>
      </c>
      <c r="U963" s="47">
        <v>709</v>
      </c>
      <c r="V963" s="47"/>
    </row>
    <row r="964" spans="2:22" ht="20" x14ac:dyDescent="0.25">
      <c r="B964" s="47" t="s">
        <v>1026</v>
      </c>
      <c r="C964" s="47" t="s">
        <v>1027</v>
      </c>
      <c r="D964" s="47" t="s">
        <v>445</v>
      </c>
      <c r="E964" s="47" t="s">
        <v>27</v>
      </c>
      <c r="F964" s="47" t="s">
        <v>983</v>
      </c>
      <c r="G964" s="47" t="s">
        <v>27</v>
      </c>
      <c r="H964" s="47">
        <v>70266</v>
      </c>
      <c r="I964" s="47">
        <v>70355</v>
      </c>
      <c r="J964" s="47" t="s">
        <v>28</v>
      </c>
      <c r="K964" s="47" t="s">
        <v>2301</v>
      </c>
      <c r="L964" s="47" t="s">
        <v>34</v>
      </c>
      <c r="M964" s="47" t="s">
        <v>447</v>
      </c>
      <c r="N964" s="48">
        <v>1200</v>
      </c>
      <c r="O964" s="47">
        <v>1549</v>
      </c>
      <c r="P964" s="47">
        <v>1486</v>
      </c>
      <c r="Q964" s="47">
        <v>1780</v>
      </c>
      <c r="R964" s="48">
        <v>478</v>
      </c>
      <c r="S964" s="47">
        <v>617</v>
      </c>
      <c r="T964" s="47">
        <v>592</v>
      </c>
      <c r="U964" s="47">
        <v>709</v>
      </c>
      <c r="V964" s="47"/>
    </row>
    <row r="965" spans="2:22" ht="20" x14ac:dyDescent="0.25">
      <c r="B965" s="47" t="s">
        <v>1026</v>
      </c>
      <c r="C965" s="47" t="s">
        <v>1027</v>
      </c>
      <c r="D965" s="47" t="s">
        <v>445</v>
      </c>
      <c r="E965" s="47" t="s">
        <v>27</v>
      </c>
      <c r="F965" s="47" t="s">
        <v>983</v>
      </c>
      <c r="G965" s="47" t="s">
        <v>27</v>
      </c>
      <c r="H965" s="47">
        <v>70266</v>
      </c>
      <c r="I965" s="47">
        <v>70355</v>
      </c>
      <c r="J965" s="47" t="s">
        <v>28</v>
      </c>
      <c r="K965" s="47" t="s">
        <v>2308</v>
      </c>
      <c r="L965" s="47" t="s">
        <v>34</v>
      </c>
      <c r="M965" s="47" t="s">
        <v>984</v>
      </c>
      <c r="N965" s="48">
        <v>1200</v>
      </c>
      <c r="O965" s="47">
        <v>1549</v>
      </c>
      <c r="P965" s="47">
        <v>1486</v>
      </c>
      <c r="Q965" s="47">
        <v>1780</v>
      </c>
      <c r="R965" s="48">
        <v>478</v>
      </c>
      <c r="S965" s="47">
        <v>617</v>
      </c>
      <c r="T965" s="47">
        <v>592</v>
      </c>
      <c r="U965" s="47">
        <v>709</v>
      </c>
      <c r="V965" s="47"/>
    </row>
    <row r="966" spans="2:22" ht="20" x14ac:dyDescent="0.25">
      <c r="B966" s="47" t="s">
        <v>1026</v>
      </c>
      <c r="C966" s="47" t="s">
        <v>1027</v>
      </c>
      <c r="D966" s="47" t="s">
        <v>445</v>
      </c>
      <c r="E966" s="47" t="s">
        <v>27</v>
      </c>
      <c r="F966" s="47" t="s">
        <v>983</v>
      </c>
      <c r="G966" s="47" t="s">
        <v>27</v>
      </c>
      <c r="H966" s="47">
        <v>70266</v>
      </c>
      <c r="I966" s="47">
        <v>70355</v>
      </c>
      <c r="J966" s="47" t="s">
        <v>28</v>
      </c>
      <c r="K966" s="47" t="s">
        <v>2304</v>
      </c>
      <c r="L966" s="47" t="s">
        <v>34</v>
      </c>
      <c r="M966" s="47" t="s">
        <v>984</v>
      </c>
      <c r="N966" s="48">
        <v>1200</v>
      </c>
      <c r="O966" s="47">
        <v>1549</v>
      </c>
      <c r="P966" s="47">
        <v>1486</v>
      </c>
      <c r="Q966" s="47">
        <v>1780</v>
      </c>
      <c r="R966" s="48">
        <v>478</v>
      </c>
      <c r="S966" s="47">
        <v>617</v>
      </c>
      <c r="T966" s="47">
        <v>592</v>
      </c>
      <c r="U966" s="47">
        <v>709</v>
      </c>
      <c r="V966" s="47"/>
    </row>
    <row r="967" spans="2:22" ht="20" x14ac:dyDescent="0.25">
      <c r="B967" s="47" t="s">
        <v>1026</v>
      </c>
      <c r="C967" s="47" t="s">
        <v>1027</v>
      </c>
      <c r="D967" s="47" t="s">
        <v>445</v>
      </c>
      <c r="E967" s="47" t="s">
        <v>27</v>
      </c>
      <c r="F967" s="47" t="s">
        <v>983</v>
      </c>
      <c r="G967" s="47" t="s">
        <v>27</v>
      </c>
      <c r="H967" s="47">
        <v>70266</v>
      </c>
      <c r="I967" s="47">
        <v>70355</v>
      </c>
      <c r="J967" s="47" t="s">
        <v>28</v>
      </c>
      <c r="K967" s="47" t="s">
        <v>2302</v>
      </c>
      <c r="L967" s="47" t="s">
        <v>34</v>
      </c>
      <c r="M967" s="47" t="s">
        <v>447</v>
      </c>
      <c r="N967" s="48">
        <v>1200</v>
      </c>
      <c r="O967" s="47">
        <v>1549</v>
      </c>
      <c r="P967" s="47">
        <v>1486</v>
      </c>
      <c r="Q967" s="47">
        <v>1780</v>
      </c>
      <c r="R967" s="48">
        <v>478</v>
      </c>
      <c r="S967" s="47">
        <v>617</v>
      </c>
      <c r="T967" s="47">
        <v>592</v>
      </c>
      <c r="U967" s="47">
        <v>709</v>
      </c>
      <c r="V967" s="47"/>
    </row>
    <row r="968" spans="2:22" ht="20" x14ac:dyDescent="0.25">
      <c r="B968" s="47" t="s">
        <v>1026</v>
      </c>
      <c r="C968" s="47" t="s">
        <v>1027</v>
      </c>
      <c r="D968" s="47" t="s">
        <v>445</v>
      </c>
      <c r="E968" s="47" t="s">
        <v>27</v>
      </c>
      <c r="F968" s="47" t="s">
        <v>983</v>
      </c>
      <c r="G968" s="47" t="s">
        <v>27</v>
      </c>
      <c r="H968" s="47">
        <v>70266</v>
      </c>
      <c r="I968" s="47">
        <v>70355</v>
      </c>
      <c r="J968" s="47" t="s">
        <v>28</v>
      </c>
      <c r="K968" s="47" t="s">
        <v>2303</v>
      </c>
      <c r="L968" s="47" t="s">
        <v>34</v>
      </c>
      <c r="M968" s="47" t="s">
        <v>447</v>
      </c>
      <c r="N968" s="48">
        <v>1200</v>
      </c>
      <c r="O968" s="47">
        <v>1549</v>
      </c>
      <c r="P968" s="47">
        <v>1486</v>
      </c>
      <c r="Q968" s="47">
        <v>1780</v>
      </c>
      <c r="R968" s="48">
        <v>478</v>
      </c>
      <c r="S968" s="47">
        <v>617</v>
      </c>
      <c r="T968" s="47">
        <v>592</v>
      </c>
      <c r="U968" s="47">
        <v>709</v>
      </c>
      <c r="V968" s="47"/>
    </row>
    <row r="969" spans="2:22" ht="23" x14ac:dyDescent="0.25">
      <c r="B969" s="44" t="s">
        <v>1030</v>
      </c>
      <c r="C969" s="44" t="s">
        <v>192</v>
      </c>
      <c r="D969" s="44" t="s">
        <v>445</v>
      </c>
      <c r="E969" s="44" t="s">
        <v>27</v>
      </c>
      <c r="F969" s="44" t="s">
        <v>718</v>
      </c>
      <c r="G969" s="44" t="s">
        <v>27</v>
      </c>
      <c r="H969" s="44">
        <v>70266</v>
      </c>
      <c r="I969" s="44">
        <v>70480</v>
      </c>
      <c r="J969" s="44" t="s">
        <v>28</v>
      </c>
      <c r="K969" s="44" t="s">
        <v>1030</v>
      </c>
      <c r="L969" s="44" t="s">
        <v>29</v>
      </c>
      <c r="M969" s="44"/>
      <c r="N969" s="45">
        <v>1016</v>
      </c>
      <c r="O969" s="45">
        <v>1207</v>
      </c>
      <c r="P969" s="45">
        <v>1227</v>
      </c>
      <c r="Q969" s="45">
        <v>1247</v>
      </c>
      <c r="R969" s="45">
        <v>405</v>
      </c>
      <c r="S969" s="45">
        <v>481</v>
      </c>
      <c r="T969" s="45">
        <v>489</v>
      </c>
      <c r="U969" s="45">
        <v>497</v>
      </c>
      <c r="V969" s="46"/>
    </row>
    <row r="970" spans="2:22" ht="20" x14ac:dyDescent="0.25">
      <c r="B970" s="47" t="s">
        <v>1030</v>
      </c>
      <c r="C970" s="47" t="s">
        <v>192</v>
      </c>
      <c r="D970" s="47" t="s">
        <v>445</v>
      </c>
      <c r="E970" s="47" t="s">
        <v>27</v>
      </c>
      <c r="F970" s="47" t="s">
        <v>718</v>
      </c>
      <c r="G970" s="47" t="s">
        <v>27</v>
      </c>
      <c r="H970" s="47">
        <v>70266</v>
      </c>
      <c r="I970" s="47">
        <v>70480</v>
      </c>
      <c r="J970" s="47" t="s">
        <v>28</v>
      </c>
      <c r="K970" s="47" t="s">
        <v>388</v>
      </c>
      <c r="L970" s="47" t="s">
        <v>31</v>
      </c>
      <c r="M970" s="47" t="s">
        <v>719</v>
      </c>
      <c r="N970" s="48">
        <v>1016</v>
      </c>
      <c r="O970" s="48">
        <v>1207</v>
      </c>
      <c r="P970" s="48">
        <v>1227</v>
      </c>
      <c r="Q970" s="47">
        <v>1382</v>
      </c>
      <c r="R970" s="48">
        <v>405</v>
      </c>
      <c r="S970" s="48">
        <v>481</v>
      </c>
      <c r="T970" s="48">
        <v>489</v>
      </c>
      <c r="U970" s="47">
        <v>550</v>
      </c>
      <c r="V970" s="47"/>
    </row>
    <row r="971" spans="2:22" ht="20" x14ac:dyDescent="0.25">
      <c r="B971" s="47" t="s">
        <v>1030</v>
      </c>
      <c r="C971" s="47" t="s">
        <v>192</v>
      </c>
      <c r="D971" s="47" t="s">
        <v>445</v>
      </c>
      <c r="E971" s="47" t="s">
        <v>27</v>
      </c>
      <c r="F971" s="47" t="s">
        <v>718</v>
      </c>
      <c r="G971" s="47" t="s">
        <v>27</v>
      </c>
      <c r="H971" s="47">
        <v>70266</v>
      </c>
      <c r="I971" s="47">
        <v>70480</v>
      </c>
      <c r="J971" s="47" t="s">
        <v>28</v>
      </c>
      <c r="K971" s="47" t="s">
        <v>1030</v>
      </c>
      <c r="L971" s="47" t="s">
        <v>30</v>
      </c>
      <c r="M971" s="47" t="s">
        <v>192</v>
      </c>
      <c r="N971" s="47">
        <v>1247</v>
      </c>
      <c r="O971" s="47">
        <v>1247</v>
      </c>
      <c r="P971" s="47">
        <v>1247</v>
      </c>
      <c r="Q971" s="48">
        <v>1247</v>
      </c>
      <c r="R971" s="47">
        <v>497</v>
      </c>
      <c r="S971" s="47">
        <v>497</v>
      </c>
      <c r="T971" s="47">
        <v>497</v>
      </c>
      <c r="U971" s="48">
        <v>497</v>
      </c>
      <c r="V971" s="48"/>
    </row>
    <row r="972" spans="2:22" ht="34.5" x14ac:dyDescent="0.25">
      <c r="B972" s="44" t="s">
        <v>202</v>
      </c>
      <c r="C972" s="44" t="s">
        <v>203</v>
      </c>
      <c r="D972" s="44" t="s">
        <v>372</v>
      </c>
      <c r="E972" s="44" t="s">
        <v>27</v>
      </c>
      <c r="F972" s="44" t="s">
        <v>381</v>
      </c>
      <c r="G972" s="44" t="s">
        <v>27</v>
      </c>
      <c r="H972" s="44">
        <v>70269</v>
      </c>
      <c r="I972" s="44">
        <v>70444</v>
      </c>
      <c r="J972" s="44" t="s">
        <v>28</v>
      </c>
      <c r="K972" s="44" t="s">
        <v>202</v>
      </c>
      <c r="L972" s="44" t="s">
        <v>29</v>
      </c>
      <c r="M972" s="44"/>
      <c r="N972" s="45">
        <v>961</v>
      </c>
      <c r="O972" s="45">
        <v>1057</v>
      </c>
      <c r="P972" s="45">
        <v>1106</v>
      </c>
      <c r="Q972" s="45">
        <v>1200</v>
      </c>
      <c r="R972" s="45">
        <v>191</v>
      </c>
      <c r="S972" s="45">
        <v>211</v>
      </c>
      <c r="T972" s="45">
        <v>220</v>
      </c>
      <c r="U972" s="45">
        <v>239</v>
      </c>
      <c r="V972" s="46"/>
    </row>
    <row r="973" spans="2:22" ht="30" x14ac:dyDescent="0.25">
      <c r="B973" s="47" t="s">
        <v>202</v>
      </c>
      <c r="C973" s="47" t="s">
        <v>203</v>
      </c>
      <c r="D973" s="47" t="s">
        <v>372</v>
      </c>
      <c r="E973" s="47" t="s">
        <v>27</v>
      </c>
      <c r="F973" s="47" t="s">
        <v>381</v>
      </c>
      <c r="G973" s="47" t="s">
        <v>27</v>
      </c>
      <c r="H973" s="47">
        <v>70269</v>
      </c>
      <c r="I973" s="47">
        <v>70444</v>
      </c>
      <c r="J973" s="47" t="s">
        <v>28</v>
      </c>
      <c r="K973" s="47" t="s">
        <v>2476</v>
      </c>
      <c r="L973" s="47" t="s">
        <v>31</v>
      </c>
      <c r="M973" s="47" t="s">
        <v>382</v>
      </c>
      <c r="N973" s="48">
        <v>961</v>
      </c>
      <c r="O973" s="48">
        <v>1057</v>
      </c>
      <c r="P973" s="48">
        <v>1106</v>
      </c>
      <c r="Q973" s="47">
        <v>1217</v>
      </c>
      <c r="R973" s="48">
        <v>191</v>
      </c>
      <c r="S973" s="48">
        <v>211</v>
      </c>
      <c r="T973" s="48">
        <v>220</v>
      </c>
      <c r="U973" s="47">
        <v>242</v>
      </c>
      <c r="V973" s="47"/>
    </row>
    <row r="974" spans="2:22" ht="30" x14ac:dyDescent="0.25">
      <c r="B974" s="47" t="s">
        <v>202</v>
      </c>
      <c r="C974" s="47" t="s">
        <v>203</v>
      </c>
      <c r="D974" s="47" t="s">
        <v>372</v>
      </c>
      <c r="E974" s="47" t="s">
        <v>27</v>
      </c>
      <c r="F974" s="47" t="s">
        <v>381</v>
      </c>
      <c r="G974" s="47" t="s">
        <v>27</v>
      </c>
      <c r="H974" s="47">
        <v>70269</v>
      </c>
      <c r="I974" s="47">
        <v>70444</v>
      </c>
      <c r="J974" s="47" t="s">
        <v>28</v>
      </c>
      <c r="K974" s="47" t="s">
        <v>1034</v>
      </c>
      <c r="L974" s="47" t="s">
        <v>39</v>
      </c>
      <c r="M974" s="47" t="s">
        <v>382</v>
      </c>
      <c r="N974" s="47">
        <v>1200</v>
      </c>
      <c r="O974" s="47">
        <v>1200</v>
      </c>
      <c r="P974" s="47">
        <v>1200</v>
      </c>
      <c r="Q974" s="48">
        <v>1200</v>
      </c>
      <c r="R974" s="47">
        <v>239</v>
      </c>
      <c r="S974" s="47">
        <v>239</v>
      </c>
      <c r="T974" s="47">
        <v>239</v>
      </c>
      <c r="U974" s="48">
        <v>239</v>
      </c>
      <c r="V974" s="48"/>
    </row>
    <row r="975" spans="2:22" ht="30" x14ac:dyDescent="0.25">
      <c r="B975" s="47" t="s">
        <v>202</v>
      </c>
      <c r="C975" s="47" t="s">
        <v>203</v>
      </c>
      <c r="D975" s="47" t="s">
        <v>372</v>
      </c>
      <c r="E975" s="47" t="s">
        <v>27</v>
      </c>
      <c r="F975" s="47" t="s">
        <v>381</v>
      </c>
      <c r="G975" s="47" t="s">
        <v>27</v>
      </c>
      <c r="H975" s="47">
        <v>70269</v>
      </c>
      <c r="I975" s="47">
        <v>70444</v>
      </c>
      <c r="J975" s="47" t="s">
        <v>28</v>
      </c>
      <c r="K975" s="47" t="s">
        <v>1033</v>
      </c>
      <c r="L975" s="47" t="s">
        <v>39</v>
      </c>
      <c r="M975" s="47" t="s">
        <v>382</v>
      </c>
      <c r="N975" s="47">
        <v>1200</v>
      </c>
      <c r="O975" s="47">
        <v>1200</v>
      </c>
      <c r="P975" s="47">
        <v>1200</v>
      </c>
      <c r="Q975" s="48">
        <v>1200</v>
      </c>
      <c r="R975" s="47">
        <v>239</v>
      </c>
      <c r="S975" s="47">
        <v>239</v>
      </c>
      <c r="T975" s="47">
        <v>239</v>
      </c>
      <c r="U975" s="48">
        <v>239</v>
      </c>
      <c r="V975" s="48"/>
    </row>
    <row r="976" spans="2:22" ht="30" x14ac:dyDescent="0.25">
      <c r="B976" s="47" t="s">
        <v>202</v>
      </c>
      <c r="C976" s="47" t="s">
        <v>203</v>
      </c>
      <c r="D976" s="47" t="s">
        <v>372</v>
      </c>
      <c r="E976" s="47" t="s">
        <v>27</v>
      </c>
      <c r="F976" s="47" t="s">
        <v>381</v>
      </c>
      <c r="G976" s="47" t="s">
        <v>27</v>
      </c>
      <c r="H976" s="47">
        <v>70269</v>
      </c>
      <c r="I976" s="47">
        <v>70444</v>
      </c>
      <c r="J976" s="47" t="s">
        <v>28</v>
      </c>
      <c r="K976" s="47" t="s">
        <v>1032</v>
      </c>
      <c r="L976" s="47" t="s">
        <v>39</v>
      </c>
      <c r="M976" s="47" t="s">
        <v>382</v>
      </c>
      <c r="N976" s="47">
        <v>1200</v>
      </c>
      <c r="O976" s="47">
        <v>1200</v>
      </c>
      <c r="P976" s="47">
        <v>1200</v>
      </c>
      <c r="Q976" s="48">
        <v>1200</v>
      </c>
      <c r="R976" s="47">
        <v>239</v>
      </c>
      <c r="S976" s="47">
        <v>239</v>
      </c>
      <c r="T976" s="47">
        <v>239</v>
      </c>
      <c r="U976" s="48">
        <v>239</v>
      </c>
      <c r="V976" s="48"/>
    </row>
    <row r="977" spans="2:22" ht="30" x14ac:dyDescent="0.25">
      <c r="B977" s="47" t="s">
        <v>202</v>
      </c>
      <c r="C977" s="47" t="s">
        <v>203</v>
      </c>
      <c r="D977" s="47" t="s">
        <v>372</v>
      </c>
      <c r="E977" s="47" t="s">
        <v>27</v>
      </c>
      <c r="F977" s="47" t="s">
        <v>381</v>
      </c>
      <c r="G977" s="47" t="s">
        <v>27</v>
      </c>
      <c r="H977" s="47">
        <v>70269</v>
      </c>
      <c r="I977" s="47">
        <v>70444</v>
      </c>
      <c r="J977" s="47" t="s">
        <v>28</v>
      </c>
      <c r="K977" s="47" t="s">
        <v>2477</v>
      </c>
      <c r="L977" s="47" t="s">
        <v>36</v>
      </c>
      <c r="M977" s="47" t="s">
        <v>382</v>
      </c>
      <c r="N977" s="47">
        <v>1200</v>
      </c>
      <c r="O977" s="47">
        <v>1200</v>
      </c>
      <c r="P977" s="47">
        <v>1200</v>
      </c>
      <c r="Q977" s="48">
        <v>1200</v>
      </c>
      <c r="R977" s="47">
        <v>239</v>
      </c>
      <c r="S977" s="47">
        <v>239</v>
      </c>
      <c r="T977" s="47">
        <v>239</v>
      </c>
      <c r="U977" s="48">
        <v>239</v>
      </c>
      <c r="V977" s="48"/>
    </row>
    <row r="978" spans="2:22" ht="30" x14ac:dyDescent="0.25">
      <c r="B978" s="47" t="s">
        <v>202</v>
      </c>
      <c r="C978" s="47" t="s">
        <v>203</v>
      </c>
      <c r="D978" s="47" t="s">
        <v>372</v>
      </c>
      <c r="E978" s="47" t="s">
        <v>27</v>
      </c>
      <c r="F978" s="47" t="s">
        <v>381</v>
      </c>
      <c r="G978" s="47" t="s">
        <v>27</v>
      </c>
      <c r="H978" s="47">
        <v>70269</v>
      </c>
      <c r="I978" s="47">
        <v>70444</v>
      </c>
      <c r="J978" s="47" t="s">
        <v>28</v>
      </c>
      <c r="K978" s="47" t="s">
        <v>204</v>
      </c>
      <c r="L978" s="47" t="s">
        <v>1315</v>
      </c>
      <c r="M978" s="47" t="s">
        <v>1031</v>
      </c>
      <c r="N978" s="47">
        <v>1200</v>
      </c>
      <c r="O978" s="47">
        <v>1200</v>
      </c>
      <c r="P978" s="47">
        <v>1200</v>
      </c>
      <c r="Q978" s="48">
        <v>1200</v>
      </c>
      <c r="R978" s="47">
        <v>239</v>
      </c>
      <c r="S978" s="47">
        <v>239</v>
      </c>
      <c r="T978" s="47">
        <v>239</v>
      </c>
      <c r="U978" s="48">
        <v>239</v>
      </c>
      <c r="V978" s="48"/>
    </row>
    <row r="979" spans="2:22" ht="30" x14ac:dyDescent="0.25">
      <c r="B979" s="47" t="s">
        <v>202</v>
      </c>
      <c r="C979" s="47" t="s">
        <v>203</v>
      </c>
      <c r="D979" s="47" t="s">
        <v>372</v>
      </c>
      <c r="E979" s="47" t="s">
        <v>27</v>
      </c>
      <c r="F979" s="47" t="s">
        <v>381</v>
      </c>
      <c r="G979" s="47" t="s">
        <v>27</v>
      </c>
      <c r="H979" s="47">
        <v>70269</v>
      </c>
      <c r="I979" s="47">
        <v>70444</v>
      </c>
      <c r="J979" s="47" t="s">
        <v>28</v>
      </c>
      <c r="K979" s="47" t="s">
        <v>1035</v>
      </c>
      <c r="L979" s="47" t="s">
        <v>39</v>
      </c>
      <c r="M979" s="47" t="s">
        <v>382</v>
      </c>
      <c r="N979" s="47">
        <v>1200</v>
      </c>
      <c r="O979" s="47">
        <v>1200</v>
      </c>
      <c r="P979" s="47">
        <v>1200</v>
      </c>
      <c r="Q979" s="48">
        <v>1200</v>
      </c>
      <c r="R979" s="47">
        <v>239</v>
      </c>
      <c r="S979" s="47">
        <v>239</v>
      </c>
      <c r="T979" s="47">
        <v>239</v>
      </c>
      <c r="U979" s="48">
        <v>239</v>
      </c>
      <c r="V979" s="48"/>
    </row>
    <row r="980" spans="2:22" ht="23" x14ac:dyDescent="0.25">
      <c r="B980" s="44" t="s">
        <v>2040</v>
      </c>
      <c r="C980" s="44" t="s">
        <v>1073</v>
      </c>
      <c r="D980" s="44" t="s">
        <v>1074</v>
      </c>
      <c r="E980" s="44" t="s">
        <v>27</v>
      </c>
      <c r="F980" s="44" t="s">
        <v>1204</v>
      </c>
      <c r="G980" s="44" t="s">
        <v>27</v>
      </c>
      <c r="H980" s="44">
        <v>70805</v>
      </c>
      <c r="I980" s="44">
        <v>70368</v>
      </c>
      <c r="J980" s="44" t="s">
        <v>28</v>
      </c>
      <c r="K980" s="44" t="s">
        <v>2040</v>
      </c>
      <c r="L980" s="44" t="s">
        <v>29</v>
      </c>
      <c r="M980" s="44"/>
      <c r="N980" s="45">
        <v>601</v>
      </c>
      <c r="O980" s="45">
        <v>601</v>
      </c>
      <c r="P980" s="45">
        <v>928</v>
      </c>
      <c r="Q980" s="45">
        <v>928</v>
      </c>
      <c r="R980" s="45">
        <v>120</v>
      </c>
      <c r="S980" s="45">
        <v>120</v>
      </c>
      <c r="T980" s="45">
        <v>185</v>
      </c>
      <c r="U980" s="45">
        <v>185</v>
      </c>
      <c r="V980" s="46"/>
    </row>
    <row r="981" spans="2:22" ht="20" x14ac:dyDescent="0.25">
      <c r="B981" s="47" t="s">
        <v>2040</v>
      </c>
      <c r="C981" s="47" t="s">
        <v>1073</v>
      </c>
      <c r="D981" s="47" t="s">
        <v>1074</v>
      </c>
      <c r="E981" s="47" t="s">
        <v>27</v>
      </c>
      <c r="F981" s="47" t="s">
        <v>1204</v>
      </c>
      <c r="G981" s="47" t="s">
        <v>27</v>
      </c>
      <c r="H981" s="47">
        <v>70805</v>
      </c>
      <c r="I981" s="47">
        <v>70368</v>
      </c>
      <c r="J981" s="47" t="s">
        <v>28</v>
      </c>
      <c r="K981" s="47" t="s">
        <v>2040</v>
      </c>
      <c r="L981" s="47" t="s">
        <v>30</v>
      </c>
      <c r="M981" s="47" t="s">
        <v>1073</v>
      </c>
      <c r="N981" s="48">
        <v>601</v>
      </c>
      <c r="O981" s="48">
        <v>601</v>
      </c>
      <c r="P981" s="48">
        <v>928</v>
      </c>
      <c r="Q981" s="48">
        <v>928</v>
      </c>
      <c r="R981" s="48">
        <v>120</v>
      </c>
      <c r="S981" s="48">
        <v>120</v>
      </c>
      <c r="T981" s="48">
        <v>185</v>
      </c>
      <c r="U981" s="48">
        <v>185</v>
      </c>
      <c r="V981" s="48"/>
    </row>
    <row r="982" spans="2:22" ht="23" x14ac:dyDescent="0.25">
      <c r="B982" s="44" t="s">
        <v>1036</v>
      </c>
      <c r="C982" s="44" t="s">
        <v>52</v>
      </c>
      <c r="D982" s="44" t="s">
        <v>60</v>
      </c>
      <c r="E982" s="44" t="s">
        <v>27</v>
      </c>
      <c r="F982" s="44" t="s">
        <v>745</v>
      </c>
      <c r="G982" s="44" t="s">
        <v>27</v>
      </c>
      <c r="H982" s="44">
        <v>70262</v>
      </c>
      <c r="I982" s="44">
        <v>70300</v>
      </c>
      <c r="J982" s="44" t="s">
        <v>28</v>
      </c>
      <c r="K982" s="44" t="s">
        <v>1036</v>
      </c>
      <c r="L982" s="44" t="s">
        <v>29</v>
      </c>
      <c r="M982" s="44"/>
      <c r="N982" s="45">
        <v>793</v>
      </c>
      <c r="O982" s="45">
        <v>873</v>
      </c>
      <c r="P982" s="45">
        <v>900</v>
      </c>
      <c r="Q982" s="45">
        <v>990</v>
      </c>
      <c r="R982" s="45">
        <v>158</v>
      </c>
      <c r="S982" s="45">
        <v>174</v>
      </c>
      <c r="T982" s="45">
        <v>179</v>
      </c>
      <c r="U982" s="45">
        <v>197</v>
      </c>
      <c r="V982" s="46"/>
    </row>
    <row r="983" spans="2:22" ht="20" x14ac:dyDescent="0.25">
      <c r="B983" s="47" t="s">
        <v>1036</v>
      </c>
      <c r="C983" s="47" t="s">
        <v>52</v>
      </c>
      <c r="D983" s="47" t="s">
        <v>60</v>
      </c>
      <c r="E983" s="47" t="s">
        <v>27</v>
      </c>
      <c r="F983" s="47" t="s">
        <v>745</v>
      </c>
      <c r="G983" s="47" t="s">
        <v>27</v>
      </c>
      <c r="H983" s="47">
        <v>70262</v>
      </c>
      <c r="I983" s="47">
        <v>70300</v>
      </c>
      <c r="J983" s="47" t="s">
        <v>28</v>
      </c>
      <c r="K983" s="47" t="s">
        <v>1036</v>
      </c>
      <c r="L983" s="47" t="s">
        <v>30</v>
      </c>
      <c r="M983" s="47" t="s">
        <v>52</v>
      </c>
      <c r="N983" s="48">
        <v>793</v>
      </c>
      <c r="O983" s="48">
        <v>873</v>
      </c>
      <c r="P983" s="48">
        <v>900</v>
      </c>
      <c r="Q983" s="48">
        <v>990</v>
      </c>
      <c r="R983" s="48">
        <v>158</v>
      </c>
      <c r="S983" s="48">
        <v>174</v>
      </c>
      <c r="T983" s="48">
        <v>179</v>
      </c>
      <c r="U983" s="48">
        <v>197</v>
      </c>
      <c r="V983" s="48"/>
    </row>
    <row r="984" spans="2:22" ht="23" x14ac:dyDescent="0.25">
      <c r="B984" s="44" t="s">
        <v>1037</v>
      </c>
      <c r="C984" s="44" t="s">
        <v>52</v>
      </c>
      <c r="D984" s="44" t="s">
        <v>60</v>
      </c>
      <c r="E984" s="44" t="s">
        <v>27</v>
      </c>
      <c r="F984" s="44" t="s">
        <v>983</v>
      </c>
      <c r="G984" s="44" t="s">
        <v>27</v>
      </c>
      <c r="H984" s="44">
        <v>70262</v>
      </c>
      <c r="I984" s="44">
        <v>70354</v>
      </c>
      <c r="J984" s="44" t="s">
        <v>28</v>
      </c>
      <c r="K984" s="44" t="s">
        <v>1037</v>
      </c>
      <c r="L984" s="44" t="s">
        <v>29</v>
      </c>
      <c r="M984" s="44"/>
      <c r="N984" s="45">
        <v>1264</v>
      </c>
      <c r="O984" s="45">
        <v>1390</v>
      </c>
      <c r="P984" s="45">
        <v>1440</v>
      </c>
      <c r="Q984" s="45">
        <v>1584</v>
      </c>
      <c r="R984" s="45">
        <v>252</v>
      </c>
      <c r="S984" s="45">
        <v>277</v>
      </c>
      <c r="T984" s="45">
        <v>287</v>
      </c>
      <c r="U984" s="45">
        <v>316</v>
      </c>
      <c r="V984" s="46"/>
    </row>
    <row r="985" spans="2:22" x14ac:dyDescent="0.25">
      <c r="B985" s="47" t="s">
        <v>1037</v>
      </c>
      <c r="C985" s="47" t="s">
        <v>52</v>
      </c>
      <c r="D985" s="47" t="s">
        <v>60</v>
      </c>
      <c r="E985" s="47" t="s">
        <v>27</v>
      </c>
      <c r="F985" s="47" t="s">
        <v>983</v>
      </c>
      <c r="G985" s="47" t="s">
        <v>27</v>
      </c>
      <c r="H985" s="47">
        <v>70262</v>
      </c>
      <c r="I985" s="47">
        <v>70354</v>
      </c>
      <c r="J985" s="47" t="s">
        <v>28</v>
      </c>
      <c r="K985" s="47" t="s">
        <v>1037</v>
      </c>
      <c r="L985" s="47" t="s">
        <v>30</v>
      </c>
      <c r="M985" s="47" t="s">
        <v>52</v>
      </c>
      <c r="N985" s="48">
        <v>1264</v>
      </c>
      <c r="O985" s="48">
        <v>1390</v>
      </c>
      <c r="P985" s="48">
        <v>1440</v>
      </c>
      <c r="Q985" s="48">
        <v>1584</v>
      </c>
      <c r="R985" s="48">
        <v>252</v>
      </c>
      <c r="S985" s="48">
        <v>277</v>
      </c>
      <c r="T985" s="48">
        <v>287</v>
      </c>
      <c r="U985" s="48">
        <v>316</v>
      </c>
      <c r="V985" s="48"/>
    </row>
    <row r="986" spans="2:22" ht="23" x14ac:dyDescent="0.25">
      <c r="B986" s="44" t="s">
        <v>1038</v>
      </c>
      <c r="C986" s="44" t="s">
        <v>1039</v>
      </c>
      <c r="D986" s="44" t="s">
        <v>223</v>
      </c>
      <c r="E986" s="44" t="s">
        <v>27</v>
      </c>
      <c r="F986" s="44" t="s">
        <v>603</v>
      </c>
      <c r="G986" s="44" t="s">
        <v>27</v>
      </c>
      <c r="H986" s="44">
        <v>70274</v>
      </c>
      <c r="I986" s="44">
        <v>79004</v>
      </c>
      <c r="J986" s="44" t="s">
        <v>28</v>
      </c>
      <c r="K986" s="44" t="s">
        <v>1038</v>
      </c>
      <c r="L986" s="44" t="s">
        <v>29</v>
      </c>
      <c r="M986" s="44"/>
      <c r="N986" s="45">
        <v>900</v>
      </c>
      <c r="O986" s="45">
        <v>900</v>
      </c>
      <c r="P986" s="45">
        <v>900</v>
      </c>
      <c r="Q986" s="45">
        <v>900</v>
      </c>
      <c r="R986" s="45">
        <v>359</v>
      </c>
      <c r="S986" s="45">
        <v>359</v>
      </c>
      <c r="T986" s="45">
        <v>359</v>
      </c>
      <c r="U986" s="45">
        <v>359</v>
      </c>
      <c r="V986" s="46"/>
    </row>
    <row r="987" spans="2:22" ht="20" x14ac:dyDescent="0.25">
      <c r="B987" s="47" t="s">
        <v>1038</v>
      </c>
      <c r="C987" s="47" t="s">
        <v>1039</v>
      </c>
      <c r="D987" s="47" t="s">
        <v>223</v>
      </c>
      <c r="E987" s="47" t="s">
        <v>27</v>
      </c>
      <c r="F987" s="47" t="s">
        <v>603</v>
      </c>
      <c r="G987" s="47" t="s">
        <v>27</v>
      </c>
      <c r="H987" s="47">
        <v>70274</v>
      </c>
      <c r="I987" s="47">
        <v>79004</v>
      </c>
      <c r="J987" s="47" t="s">
        <v>28</v>
      </c>
      <c r="K987" s="47" t="s">
        <v>1851</v>
      </c>
      <c r="L987" s="47" t="s">
        <v>39</v>
      </c>
      <c r="M987" s="47" t="s">
        <v>605</v>
      </c>
      <c r="N987" s="48">
        <v>900</v>
      </c>
      <c r="O987" s="48">
        <v>900</v>
      </c>
      <c r="P987" s="48">
        <v>900</v>
      </c>
      <c r="Q987" s="48">
        <v>900</v>
      </c>
      <c r="R987" s="48">
        <v>359</v>
      </c>
      <c r="S987" s="48">
        <v>359</v>
      </c>
      <c r="T987" s="48">
        <v>359</v>
      </c>
      <c r="U987" s="48">
        <v>359</v>
      </c>
      <c r="V987" s="48"/>
    </row>
    <row r="988" spans="2:22" ht="20" x14ac:dyDescent="0.25">
      <c r="B988" s="47" t="s">
        <v>1038</v>
      </c>
      <c r="C988" s="47" t="s">
        <v>1039</v>
      </c>
      <c r="D988" s="47" t="s">
        <v>223</v>
      </c>
      <c r="E988" s="47" t="s">
        <v>27</v>
      </c>
      <c r="F988" s="47" t="s">
        <v>603</v>
      </c>
      <c r="G988" s="47" t="s">
        <v>27</v>
      </c>
      <c r="H988" s="47">
        <v>70274</v>
      </c>
      <c r="I988" s="47">
        <v>79004</v>
      </c>
      <c r="J988" s="47" t="s">
        <v>28</v>
      </c>
      <c r="K988" s="47" t="s">
        <v>1850</v>
      </c>
      <c r="L988" s="47" t="s">
        <v>39</v>
      </c>
      <c r="M988" s="47" t="s">
        <v>605</v>
      </c>
      <c r="N988" s="48">
        <v>900</v>
      </c>
      <c r="O988" s="48">
        <v>900</v>
      </c>
      <c r="P988" s="48">
        <v>900</v>
      </c>
      <c r="Q988" s="48">
        <v>900</v>
      </c>
      <c r="R988" s="48">
        <v>359</v>
      </c>
      <c r="S988" s="48">
        <v>359</v>
      </c>
      <c r="T988" s="48">
        <v>359</v>
      </c>
      <c r="U988" s="48">
        <v>359</v>
      </c>
      <c r="V988" s="48"/>
    </row>
    <row r="989" spans="2:22" ht="20" x14ac:dyDescent="0.25">
      <c r="B989" s="47" t="s">
        <v>1038</v>
      </c>
      <c r="C989" s="47" t="s">
        <v>1039</v>
      </c>
      <c r="D989" s="47" t="s">
        <v>223</v>
      </c>
      <c r="E989" s="47" t="s">
        <v>27</v>
      </c>
      <c r="F989" s="47" t="s">
        <v>603</v>
      </c>
      <c r="G989" s="47" t="s">
        <v>27</v>
      </c>
      <c r="H989" s="47">
        <v>70274</v>
      </c>
      <c r="I989" s="47">
        <v>79004</v>
      </c>
      <c r="J989" s="47" t="s">
        <v>28</v>
      </c>
      <c r="K989" s="47" t="s">
        <v>1852</v>
      </c>
      <c r="L989" s="47" t="s">
        <v>39</v>
      </c>
      <c r="M989" s="47" t="s">
        <v>605</v>
      </c>
      <c r="N989" s="48">
        <v>900</v>
      </c>
      <c r="O989" s="48">
        <v>900</v>
      </c>
      <c r="P989" s="48">
        <v>900</v>
      </c>
      <c r="Q989" s="48">
        <v>900</v>
      </c>
      <c r="R989" s="48">
        <v>359</v>
      </c>
      <c r="S989" s="48">
        <v>359</v>
      </c>
      <c r="T989" s="48">
        <v>359</v>
      </c>
      <c r="U989" s="48">
        <v>359</v>
      </c>
      <c r="V989" s="48"/>
    </row>
    <row r="990" spans="2:22" ht="23" x14ac:dyDescent="0.25">
      <c r="B990" s="44" t="s">
        <v>1043</v>
      </c>
      <c r="C990" s="44" t="s">
        <v>1044</v>
      </c>
      <c r="D990" s="44" t="s">
        <v>223</v>
      </c>
      <c r="E990" s="44" t="s">
        <v>27</v>
      </c>
      <c r="F990" s="44" t="s">
        <v>2478</v>
      </c>
      <c r="G990" s="44" t="s">
        <v>27</v>
      </c>
      <c r="H990" s="44">
        <v>70274</v>
      </c>
      <c r="I990" s="44">
        <v>70927</v>
      </c>
      <c r="J990" s="44" t="s">
        <v>28</v>
      </c>
      <c r="K990" s="44" t="s">
        <v>1043</v>
      </c>
      <c r="L990" s="44" t="s">
        <v>29</v>
      </c>
      <c r="M990" s="44"/>
      <c r="N990" s="45">
        <v>1037</v>
      </c>
      <c r="O990" s="45">
        <v>1188</v>
      </c>
      <c r="P990" s="45">
        <v>1244</v>
      </c>
      <c r="Q990" s="45">
        <v>1255</v>
      </c>
      <c r="R990" s="45">
        <v>413</v>
      </c>
      <c r="S990" s="45">
        <v>473</v>
      </c>
      <c r="T990" s="45">
        <v>496</v>
      </c>
      <c r="U990" s="45">
        <v>500</v>
      </c>
      <c r="V990" s="46"/>
    </row>
    <row r="991" spans="2:22" ht="20" x14ac:dyDescent="0.25">
      <c r="B991" s="47" t="s">
        <v>1043</v>
      </c>
      <c r="C991" s="47" t="s">
        <v>1044</v>
      </c>
      <c r="D991" s="47" t="s">
        <v>223</v>
      </c>
      <c r="E991" s="47" t="s">
        <v>27</v>
      </c>
      <c r="F991" s="47" t="s">
        <v>2478</v>
      </c>
      <c r="G991" s="47" t="s">
        <v>27</v>
      </c>
      <c r="H991" s="47">
        <v>70274</v>
      </c>
      <c r="I991" s="47">
        <v>70927</v>
      </c>
      <c r="J991" s="47" t="s">
        <v>28</v>
      </c>
      <c r="K991" s="47" t="s">
        <v>249</v>
      </c>
      <c r="L991" s="47" t="s">
        <v>31</v>
      </c>
      <c r="M991" s="47" t="s">
        <v>250</v>
      </c>
      <c r="N991" s="48">
        <v>1037</v>
      </c>
      <c r="O991" s="47">
        <v>1215</v>
      </c>
      <c r="P991" s="48">
        <v>1244</v>
      </c>
      <c r="Q991" s="47">
        <v>1387</v>
      </c>
      <c r="R991" s="48">
        <v>413</v>
      </c>
      <c r="S991" s="47">
        <v>484</v>
      </c>
      <c r="T991" s="48">
        <v>496</v>
      </c>
      <c r="U991" s="47">
        <v>553</v>
      </c>
      <c r="V991" s="47"/>
    </row>
    <row r="992" spans="2:22" x14ac:dyDescent="0.25">
      <c r="B992" s="47" t="s">
        <v>1043</v>
      </c>
      <c r="C992" s="47" t="s">
        <v>1044</v>
      </c>
      <c r="D992" s="47" t="s">
        <v>223</v>
      </c>
      <c r="E992" s="47" t="s">
        <v>27</v>
      </c>
      <c r="F992" s="47" t="s">
        <v>2478</v>
      </c>
      <c r="G992" s="47" t="s">
        <v>27</v>
      </c>
      <c r="H992" s="47">
        <v>70274</v>
      </c>
      <c r="I992" s="47">
        <v>70927</v>
      </c>
      <c r="J992" s="47" t="s">
        <v>28</v>
      </c>
      <c r="K992" s="47"/>
      <c r="L992" s="47" t="s">
        <v>301</v>
      </c>
      <c r="M992" s="47" t="s">
        <v>250</v>
      </c>
      <c r="N992" s="47">
        <v>1188</v>
      </c>
      <c r="O992" s="48">
        <v>1188</v>
      </c>
      <c r="P992" s="47">
        <v>1255</v>
      </c>
      <c r="Q992" s="48">
        <v>1255</v>
      </c>
      <c r="R992" s="47">
        <v>473</v>
      </c>
      <c r="S992" s="48">
        <v>473</v>
      </c>
      <c r="T992" s="47">
        <v>500</v>
      </c>
      <c r="U992" s="48">
        <v>500</v>
      </c>
      <c r="V992" s="48"/>
    </row>
    <row r="993" spans="2:22" ht="31.5" x14ac:dyDescent="0.25">
      <c r="B993" s="94" t="s">
        <v>167</v>
      </c>
      <c r="C993" s="94" t="s">
        <v>162</v>
      </c>
      <c r="D993" s="94" t="s">
        <v>223</v>
      </c>
      <c r="E993" s="94" t="s">
        <v>27</v>
      </c>
      <c r="F993" s="94" t="s">
        <v>224</v>
      </c>
      <c r="G993" s="94" t="s">
        <v>27</v>
      </c>
      <c r="H993" s="94">
        <v>70273</v>
      </c>
      <c r="I993" s="94">
        <v>70435</v>
      </c>
      <c r="J993" s="94" t="s">
        <v>28</v>
      </c>
      <c r="K993" s="94" t="s">
        <v>167</v>
      </c>
      <c r="L993" s="94" t="s">
        <v>29</v>
      </c>
      <c r="M993" s="94"/>
      <c r="N993" s="97"/>
      <c r="O993" s="97"/>
      <c r="P993" s="97"/>
      <c r="Q993" s="97"/>
      <c r="R993" s="97"/>
      <c r="S993" s="97"/>
      <c r="T993" s="97"/>
      <c r="U993" s="97"/>
      <c r="V993" s="98" t="s">
        <v>1316</v>
      </c>
    </row>
    <row r="994" spans="2:22" ht="23" x14ac:dyDescent="0.25">
      <c r="B994" s="44" t="s">
        <v>1046</v>
      </c>
      <c r="C994" s="44" t="s">
        <v>459</v>
      </c>
      <c r="D994" s="44" t="s">
        <v>524</v>
      </c>
      <c r="E994" s="44" t="s">
        <v>27</v>
      </c>
      <c r="F994" s="44" t="s">
        <v>461</v>
      </c>
      <c r="G994" s="44" t="s">
        <v>27</v>
      </c>
      <c r="H994" s="44">
        <v>70276</v>
      </c>
      <c r="I994" s="44">
        <v>2050</v>
      </c>
      <c r="J994" s="44" t="s">
        <v>28</v>
      </c>
      <c r="K994" s="44" t="s">
        <v>1046</v>
      </c>
      <c r="L994" s="44" t="s">
        <v>29</v>
      </c>
      <c r="M994" s="44"/>
      <c r="N994" s="45">
        <v>914</v>
      </c>
      <c r="O994" s="45">
        <v>1005</v>
      </c>
      <c r="P994" s="45">
        <v>914</v>
      </c>
      <c r="Q994" s="45">
        <v>1005</v>
      </c>
      <c r="R994" s="45">
        <v>182</v>
      </c>
      <c r="S994" s="45">
        <v>200</v>
      </c>
      <c r="T994" s="45">
        <v>182</v>
      </c>
      <c r="U994" s="45">
        <v>200</v>
      </c>
      <c r="V994" s="46"/>
    </row>
    <row r="995" spans="2:22" ht="20" x14ac:dyDescent="0.25">
      <c r="B995" s="47" t="s">
        <v>1046</v>
      </c>
      <c r="C995" s="47" t="s">
        <v>459</v>
      </c>
      <c r="D995" s="47" t="s">
        <v>524</v>
      </c>
      <c r="E995" s="47" t="s">
        <v>27</v>
      </c>
      <c r="F995" s="47" t="s">
        <v>461</v>
      </c>
      <c r="G995" s="47" t="s">
        <v>27</v>
      </c>
      <c r="H995" s="47">
        <v>70276</v>
      </c>
      <c r="I995" s="47">
        <v>2050</v>
      </c>
      <c r="J995" s="47" t="s">
        <v>28</v>
      </c>
      <c r="K995" s="47" t="s">
        <v>1046</v>
      </c>
      <c r="L995" s="47" t="s">
        <v>30</v>
      </c>
      <c r="M995" s="47" t="s">
        <v>459</v>
      </c>
      <c r="N995" s="48">
        <v>914</v>
      </c>
      <c r="O995" s="48">
        <v>1005</v>
      </c>
      <c r="P995" s="48">
        <v>914</v>
      </c>
      <c r="Q995" s="48">
        <v>1005</v>
      </c>
      <c r="R995" s="48">
        <v>182</v>
      </c>
      <c r="S995" s="48">
        <v>200</v>
      </c>
      <c r="T995" s="48">
        <v>182</v>
      </c>
      <c r="U995" s="48">
        <v>200</v>
      </c>
      <c r="V995" s="48"/>
    </row>
    <row r="996" spans="2:22" ht="23" x14ac:dyDescent="0.25">
      <c r="B996" s="44" t="s">
        <v>1047</v>
      </c>
      <c r="C996" s="44" t="s">
        <v>523</v>
      </c>
      <c r="D996" s="44" t="s">
        <v>524</v>
      </c>
      <c r="E996" s="44" t="s">
        <v>27</v>
      </c>
      <c r="F996" s="44" t="s">
        <v>601</v>
      </c>
      <c r="G996" s="44" t="s">
        <v>27</v>
      </c>
      <c r="H996" s="44">
        <v>70277</v>
      </c>
      <c r="I996" s="44">
        <v>70377</v>
      </c>
      <c r="J996" s="44" t="s">
        <v>28</v>
      </c>
      <c r="K996" s="44" t="s">
        <v>1047</v>
      </c>
      <c r="L996" s="44" t="s">
        <v>29</v>
      </c>
      <c r="M996" s="44"/>
      <c r="N996" s="45">
        <v>799</v>
      </c>
      <c r="O996" s="45">
        <v>879</v>
      </c>
      <c r="P996" s="45">
        <v>909</v>
      </c>
      <c r="Q996" s="45">
        <v>999</v>
      </c>
      <c r="R996" s="45">
        <v>159</v>
      </c>
      <c r="S996" s="45">
        <v>175</v>
      </c>
      <c r="T996" s="45">
        <v>181</v>
      </c>
      <c r="U996" s="45">
        <v>199</v>
      </c>
      <c r="V996" s="46"/>
    </row>
    <row r="997" spans="2:22" ht="20" x14ac:dyDescent="0.25">
      <c r="B997" s="47" t="s">
        <v>1047</v>
      </c>
      <c r="C997" s="47" t="s">
        <v>523</v>
      </c>
      <c r="D997" s="47" t="s">
        <v>524</v>
      </c>
      <c r="E997" s="47" t="s">
        <v>27</v>
      </c>
      <c r="F997" s="47" t="s">
        <v>601</v>
      </c>
      <c r="G997" s="47" t="s">
        <v>27</v>
      </c>
      <c r="H997" s="47">
        <v>70277</v>
      </c>
      <c r="I997" s="47">
        <v>70377</v>
      </c>
      <c r="J997" s="47" t="s">
        <v>28</v>
      </c>
      <c r="K997" s="47" t="s">
        <v>1047</v>
      </c>
      <c r="L997" s="47" t="s">
        <v>30</v>
      </c>
      <c r="M997" s="47" t="s">
        <v>523</v>
      </c>
      <c r="N997" s="48">
        <v>799</v>
      </c>
      <c r="O997" s="48">
        <v>879</v>
      </c>
      <c r="P997" s="48">
        <v>909</v>
      </c>
      <c r="Q997" s="48">
        <v>999</v>
      </c>
      <c r="R997" s="48">
        <v>159</v>
      </c>
      <c r="S997" s="48">
        <v>175</v>
      </c>
      <c r="T997" s="48">
        <v>181</v>
      </c>
      <c r="U997" s="48">
        <v>199</v>
      </c>
      <c r="V997" s="48"/>
    </row>
    <row r="998" spans="2:22" ht="23" x14ac:dyDescent="0.25">
      <c r="B998" s="44" t="s">
        <v>1048</v>
      </c>
      <c r="C998" s="44" t="s">
        <v>629</v>
      </c>
      <c r="D998" s="44" t="s">
        <v>630</v>
      </c>
      <c r="E998" s="44" t="s">
        <v>27</v>
      </c>
      <c r="F998" s="44" t="s">
        <v>490</v>
      </c>
      <c r="G998" s="44" t="s">
        <v>27</v>
      </c>
      <c r="H998" s="44">
        <v>70278</v>
      </c>
      <c r="I998" s="44">
        <v>70959</v>
      </c>
      <c r="J998" s="44" t="s">
        <v>28</v>
      </c>
      <c r="K998" s="44" t="s">
        <v>1048</v>
      </c>
      <c r="L998" s="44" t="s">
        <v>29</v>
      </c>
      <c r="M998" s="44"/>
      <c r="N998" s="45">
        <v>1261</v>
      </c>
      <c r="O998" s="45">
        <v>1387</v>
      </c>
      <c r="P998" s="45">
        <v>1437</v>
      </c>
      <c r="Q998" s="45">
        <v>1580</v>
      </c>
      <c r="R998" s="45">
        <v>502</v>
      </c>
      <c r="S998" s="45">
        <v>553</v>
      </c>
      <c r="T998" s="45">
        <v>572</v>
      </c>
      <c r="U998" s="45">
        <v>629</v>
      </c>
      <c r="V998" s="46"/>
    </row>
    <row r="999" spans="2:22" ht="20" x14ac:dyDescent="0.25">
      <c r="B999" s="47" t="s">
        <v>1048</v>
      </c>
      <c r="C999" s="47" t="s">
        <v>629</v>
      </c>
      <c r="D999" s="47" t="s">
        <v>630</v>
      </c>
      <c r="E999" s="47" t="s">
        <v>27</v>
      </c>
      <c r="F999" s="47" t="s">
        <v>490</v>
      </c>
      <c r="G999" s="47" t="s">
        <v>27</v>
      </c>
      <c r="H999" s="47">
        <v>70278</v>
      </c>
      <c r="I999" s="47">
        <v>70959</v>
      </c>
      <c r="J999" s="47" t="s">
        <v>28</v>
      </c>
      <c r="K999" s="47" t="s">
        <v>1048</v>
      </c>
      <c r="L999" s="47" t="s">
        <v>30</v>
      </c>
      <c r="M999" s="47" t="s">
        <v>629</v>
      </c>
      <c r="N999" s="48">
        <v>1261</v>
      </c>
      <c r="O999" s="48">
        <v>1387</v>
      </c>
      <c r="P999" s="48">
        <v>1437</v>
      </c>
      <c r="Q999" s="48">
        <v>1580</v>
      </c>
      <c r="R999" s="48">
        <v>502</v>
      </c>
      <c r="S999" s="48">
        <v>553</v>
      </c>
      <c r="T999" s="48">
        <v>572</v>
      </c>
      <c r="U999" s="48">
        <v>629</v>
      </c>
      <c r="V999" s="48"/>
    </row>
    <row r="1000" spans="2:22" ht="23" x14ac:dyDescent="0.25">
      <c r="B1000" s="44" t="s">
        <v>1049</v>
      </c>
      <c r="C1000" s="44" t="s">
        <v>674</v>
      </c>
      <c r="D1000" s="44" t="s">
        <v>570</v>
      </c>
      <c r="E1000" s="44" t="s">
        <v>27</v>
      </c>
      <c r="F1000" s="44" t="s">
        <v>675</v>
      </c>
      <c r="G1000" s="44" t="s">
        <v>27</v>
      </c>
      <c r="H1000" s="44">
        <v>70281</v>
      </c>
      <c r="I1000" s="44">
        <v>70421</v>
      </c>
      <c r="J1000" s="44" t="s">
        <v>28</v>
      </c>
      <c r="K1000" s="44" t="s">
        <v>1049</v>
      </c>
      <c r="L1000" s="44" t="s">
        <v>29</v>
      </c>
      <c r="M1000" s="44"/>
      <c r="N1000" s="45">
        <v>413</v>
      </c>
      <c r="O1000" s="45">
        <v>413</v>
      </c>
      <c r="P1000" s="45">
        <v>453</v>
      </c>
      <c r="Q1000" s="45">
        <v>453</v>
      </c>
      <c r="R1000" s="45">
        <v>82</v>
      </c>
      <c r="S1000" s="45">
        <v>82</v>
      </c>
      <c r="T1000" s="45">
        <v>90</v>
      </c>
      <c r="U1000" s="45">
        <v>90</v>
      </c>
      <c r="V1000" s="46"/>
    </row>
    <row r="1001" spans="2:22" ht="20" x14ac:dyDescent="0.25">
      <c r="B1001" s="47" t="s">
        <v>1049</v>
      </c>
      <c r="C1001" s="47" t="s">
        <v>674</v>
      </c>
      <c r="D1001" s="47" t="s">
        <v>570</v>
      </c>
      <c r="E1001" s="47" t="s">
        <v>27</v>
      </c>
      <c r="F1001" s="47" t="s">
        <v>675</v>
      </c>
      <c r="G1001" s="47" t="s">
        <v>27</v>
      </c>
      <c r="H1001" s="47">
        <v>70281</v>
      </c>
      <c r="I1001" s="47">
        <v>70421</v>
      </c>
      <c r="J1001" s="47" t="s">
        <v>28</v>
      </c>
      <c r="K1001" s="47" t="s">
        <v>1049</v>
      </c>
      <c r="L1001" s="47" t="s">
        <v>30</v>
      </c>
      <c r="M1001" s="47" t="s">
        <v>674</v>
      </c>
      <c r="N1001" s="48">
        <v>413</v>
      </c>
      <c r="O1001" s="48">
        <v>413</v>
      </c>
      <c r="P1001" s="48">
        <v>453</v>
      </c>
      <c r="Q1001" s="48">
        <v>453</v>
      </c>
      <c r="R1001" s="48">
        <v>82</v>
      </c>
      <c r="S1001" s="48">
        <v>82</v>
      </c>
      <c r="T1001" s="48">
        <v>90</v>
      </c>
      <c r="U1001" s="48">
        <v>90</v>
      </c>
      <c r="V1001" s="48"/>
    </row>
    <row r="1002" spans="2:22" ht="23" x14ac:dyDescent="0.25">
      <c r="B1002" s="44" t="s">
        <v>136</v>
      </c>
      <c r="C1002" s="44" t="s">
        <v>130</v>
      </c>
      <c r="D1002" s="44" t="s">
        <v>1050</v>
      </c>
      <c r="E1002" s="44" t="s">
        <v>27</v>
      </c>
      <c r="F1002" s="44" t="s">
        <v>973</v>
      </c>
      <c r="G1002" s="44" t="s">
        <v>27</v>
      </c>
      <c r="H1002" s="44">
        <v>70283</v>
      </c>
      <c r="I1002" s="44">
        <v>70313</v>
      </c>
      <c r="J1002" s="44" t="s">
        <v>28</v>
      </c>
      <c r="K1002" s="44" t="s">
        <v>136</v>
      </c>
      <c r="L1002" s="44" t="s">
        <v>29</v>
      </c>
      <c r="M1002" s="44"/>
      <c r="N1002" s="45">
        <v>1370</v>
      </c>
      <c r="O1002" s="45">
        <v>1559</v>
      </c>
      <c r="P1002" s="45">
        <v>1600</v>
      </c>
      <c r="Q1002" s="45">
        <v>1600</v>
      </c>
      <c r="R1002" s="45">
        <v>546</v>
      </c>
      <c r="S1002" s="45">
        <v>621</v>
      </c>
      <c r="T1002" s="45">
        <v>637</v>
      </c>
      <c r="U1002" s="45">
        <v>637</v>
      </c>
      <c r="V1002" s="46"/>
    </row>
    <row r="1003" spans="2:22" ht="20" x14ac:dyDescent="0.25">
      <c r="B1003" s="47" t="s">
        <v>136</v>
      </c>
      <c r="C1003" s="47" t="s">
        <v>130</v>
      </c>
      <c r="D1003" s="47" t="s">
        <v>1050</v>
      </c>
      <c r="E1003" s="47" t="s">
        <v>27</v>
      </c>
      <c r="F1003" s="47" t="s">
        <v>973</v>
      </c>
      <c r="G1003" s="47" t="s">
        <v>27</v>
      </c>
      <c r="H1003" s="47">
        <v>70283</v>
      </c>
      <c r="I1003" s="47">
        <v>70313</v>
      </c>
      <c r="J1003" s="47" t="s">
        <v>28</v>
      </c>
      <c r="K1003" s="47" t="s">
        <v>2298</v>
      </c>
      <c r="L1003" s="47" t="s">
        <v>31</v>
      </c>
      <c r="M1003" s="47" t="s">
        <v>975</v>
      </c>
      <c r="N1003" s="48">
        <v>1370</v>
      </c>
      <c r="O1003" s="47">
        <v>1742</v>
      </c>
      <c r="P1003" s="47">
        <v>1816</v>
      </c>
      <c r="Q1003" s="47">
        <v>2100</v>
      </c>
      <c r="R1003" s="48">
        <v>546</v>
      </c>
      <c r="S1003" s="47">
        <v>694</v>
      </c>
      <c r="T1003" s="47">
        <v>724</v>
      </c>
      <c r="U1003" s="47">
        <v>837</v>
      </c>
      <c r="V1003" s="47"/>
    </row>
    <row r="1004" spans="2:22" ht="20" x14ac:dyDescent="0.25">
      <c r="B1004" s="47" t="s">
        <v>136</v>
      </c>
      <c r="C1004" s="47" t="s">
        <v>130</v>
      </c>
      <c r="D1004" s="47" t="s">
        <v>1050</v>
      </c>
      <c r="E1004" s="47" t="s">
        <v>27</v>
      </c>
      <c r="F1004" s="47" t="s">
        <v>973</v>
      </c>
      <c r="G1004" s="47" t="s">
        <v>27</v>
      </c>
      <c r="H1004" s="47">
        <v>70283</v>
      </c>
      <c r="I1004" s="47">
        <v>70313</v>
      </c>
      <c r="J1004" s="47" t="s">
        <v>28</v>
      </c>
      <c r="K1004" s="47" t="s">
        <v>388</v>
      </c>
      <c r="L1004" s="47" t="s">
        <v>31</v>
      </c>
      <c r="M1004" s="47" t="s">
        <v>1051</v>
      </c>
      <c r="N1004" s="47">
        <v>1417</v>
      </c>
      <c r="O1004" s="48">
        <v>1559</v>
      </c>
      <c r="P1004" s="47">
        <v>1616</v>
      </c>
      <c r="Q1004" s="47">
        <v>1777</v>
      </c>
      <c r="R1004" s="47">
        <v>565</v>
      </c>
      <c r="S1004" s="48">
        <v>621</v>
      </c>
      <c r="T1004" s="47">
        <v>644</v>
      </c>
      <c r="U1004" s="47">
        <v>708</v>
      </c>
      <c r="V1004" s="47"/>
    </row>
    <row r="1005" spans="2:22" ht="20" x14ac:dyDescent="0.25">
      <c r="B1005" s="47" t="s">
        <v>136</v>
      </c>
      <c r="C1005" s="47" t="s">
        <v>130</v>
      </c>
      <c r="D1005" s="47" t="s">
        <v>1050</v>
      </c>
      <c r="E1005" s="47" t="s">
        <v>27</v>
      </c>
      <c r="F1005" s="47" t="s">
        <v>973</v>
      </c>
      <c r="G1005" s="47" t="s">
        <v>27</v>
      </c>
      <c r="H1005" s="47">
        <v>70283</v>
      </c>
      <c r="I1005" s="47">
        <v>70313</v>
      </c>
      <c r="J1005" s="47" t="s">
        <v>28</v>
      </c>
      <c r="K1005" s="47" t="s">
        <v>137</v>
      </c>
      <c r="L1005" s="47" t="s">
        <v>1315</v>
      </c>
      <c r="M1005" s="47" t="s">
        <v>975</v>
      </c>
      <c r="N1005" s="47">
        <v>1600</v>
      </c>
      <c r="O1005" s="47">
        <v>1600</v>
      </c>
      <c r="P1005" s="48">
        <v>1600</v>
      </c>
      <c r="Q1005" s="48">
        <v>1600</v>
      </c>
      <c r="R1005" s="47">
        <v>637</v>
      </c>
      <c r="S1005" s="47">
        <v>637</v>
      </c>
      <c r="T1005" s="48">
        <v>637</v>
      </c>
      <c r="U1005" s="48">
        <v>637</v>
      </c>
      <c r="V1005" s="48"/>
    </row>
    <row r="1006" spans="2:22" ht="20" x14ac:dyDescent="0.25">
      <c r="B1006" s="47" t="s">
        <v>136</v>
      </c>
      <c r="C1006" s="47" t="s">
        <v>130</v>
      </c>
      <c r="D1006" s="47" t="s">
        <v>1050</v>
      </c>
      <c r="E1006" s="47" t="s">
        <v>27</v>
      </c>
      <c r="F1006" s="47" t="s">
        <v>973</v>
      </c>
      <c r="G1006" s="47" t="s">
        <v>27</v>
      </c>
      <c r="H1006" s="47">
        <v>70283</v>
      </c>
      <c r="I1006" s="47">
        <v>70313</v>
      </c>
      <c r="J1006" s="47" t="s">
        <v>28</v>
      </c>
      <c r="K1006" s="47" t="s">
        <v>142</v>
      </c>
      <c r="L1006" s="47" t="s">
        <v>1315</v>
      </c>
      <c r="M1006" s="47" t="s">
        <v>1051</v>
      </c>
      <c r="N1006" s="47">
        <v>1600</v>
      </c>
      <c r="O1006" s="47">
        <v>1600</v>
      </c>
      <c r="P1006" s="48">
        <v>1600</v>
      </c>
      <c r="Q1006" s="48">
        <v>1600</v>
      </c>
      <c r="R1006" s="47">
        <v>637</v>
      </c>
      <c r="S1006" s="47">
        <v>637</v>
      </c>
      <c r="T1006" s="48">
        <v>637</v>
      </c>
      <c r="U1006" s="48">
        <v>637</v>
      </c>
      <c r="V1006" s="48"/>
    </row>
    <row r="1007" spans="2:22" ht="23" x14ac:dyDescent="0.25">
      <c r="B1007" s="44" t="s">
        <v>147</v>
      </c>
      <c r="C1007" s="44" t="s">
        <v>130</v>
      </c>
      <c r="D1007" s="44" t="s">
        <v>1050</v>
      </c>
      <c r="E1007" s="44" t="s">
        <v>27</v>
      </c>
      <c r="F1007" s="44" t="s">
        <v>422</v>
      </c>
      <c r="G1007" s="44" t="s">
        <v>27</v>
      </c>
      <c r="H1007" s="44">
        <v>70283</v>
      </c>
      <c r="I1007" s="44">
        <v>70396</v>
      </c>
      <c r="J1007" s="44" t="s">
        <v>28</v>
      </c>
      <c r="K1007" s="44" t="s">
        <v>147</v>
      </c>
      <c r="L1007" s="44" t="s">
        <v>29</v>
      </c>
      <c r="M1007" s="44"/>
      <c r="N1007" s="45">
        <v>1417</v>
      </c>
      <c r="O1007" s="45">
        <v>1558</v>
      </c>
      <c r="P1007" s="45">
        <v>1615</v>
      </c>
      <c r="Q1007" s="45">
        <v>1673</v>
      </c>
      <c r="R1007" s="45">
        <v>564</v>
      </c>
      <c r="S1007" s="45">
        <v>621</v>
      </c>
      <c r="T1007" s="45">
        <v>643</v>
      </c>
      <c r="U1007" s="45">
        <v>666</v>
      </c>
      <c r="V1007" s="46"/>
    </row>
    <row r="1008" spans="2:22" ht="20" x14ac:dyDescent="0.25">
      <c r="B1008" s="47" t="s">
        <v>147</v>
      </c>
      <c r="C1008" s="47" t="s">
        <v>130</v>
      </c>
      <c r="D1008" s="47" t="s">
        <v>1050</v>
      </c>
      <c r="E1008" s="47" t="s">
        <v>27</v>
      </c>
      <c r="F1008" s="47" t="s">
        <v>422</v>
      </c>
      <c r="G1008" s="47" t="s">
        <v>27</v>
      </c>
      <c r="H1008" s="47">
        <v>70283</v>
      </c>
      <c r="I1008" s="47">
        <v>70396</v>
      </c>
      <c r="J1008" s="47" t="s">
        <v>28</v>
      </c>
      <c r="K1008" s="47" t="s">
        <v>388</v>
      </c>
      <c r="L1008" s="47" t="s">
        <v>31</v>
      </c>
      <c r="M1008" s="47" t="s">
        <v>424</v>
      </c>
      <c r="N1008" s="48">
        <v>1417</v>
      </c>
      <c r="O1008" s="48">
        <v>1558</v>
      </c>
      <c r="P1008" s="48">
        <v>1615</v>
      </c>
      <c r="Q1008" s="47">
        <v>1776</v>
      </c>
      <c r="R1008" s="48">
        <v>564</v>
      </c>
      <c r="S1008" s="48">
        <v>621</v>
      </c>
      <c r="T1008" s="48">
        <v>643</v>
      </c>
      <c r="U1008" s="47">
        <v>708</v>
      </c>
      <c r="V1008" s="47"/>
    </row>
    <row r="1009" spans="2:22" ht="20" x14ac:dyDescent="0.25">
      <c r="B1009" s="47" t="s">
        <v>147</v>
      </c>
      <c r="C1009" s="47" t="s">
        <v>130</v>
      </c>
      <c r="D1009" s="47" t="s">
        <v>1050</v>
      </c>
      <c r="E1009" s="47" t="s">
        <v>27</v>
      </c>
      <c r="F1009" s="47" t="s">
        <v>422</v>
      </c>
      <c r="G1009" s="47" t="s">
        <v>27</v>
      </c>
      <c r="H1009" s="47">
        <v>70283</v>
      </c>
      <c r="I1009" s="47">
        <v>70396</v>
      </c>
      <c r="J1009" s="47" t="s">
        <v>28</v>
      </c>
      <c r="K1009" s="47" t="s">
        <v>388</v>
      </c>
      <c r="L1009" s="47" t="s">
        <v>31</v>
      </c>
      <c r="M1009" s="47" t="s">
        <v>1051</v>
      </c>
      <c r="N1009" s="48">
        <v>1417</v>
      </c>
      <c r="O1009" s="47">
        <v>1559</v>
      </c>
      <c r="P1009" s="47">
        <v>1616</v>
      </c>
      <c r="Q1009" s="47">
        <v>1777</v>
      </c>
      <c r="R1009" s="47">
        <v>565</v>
      </c>
      <c r="S1009" s="48">
        <v>621</v>
      </c>
      <c r="T1009" s="47">
        <v>644</v>
      </c>
      <c r="U1009" s="47">
        <v>708</v>
      </c>
      <c r="V1009" s="47"/>
    </row>
    <row r="1010" spans="2:22" ht="20" x14ac:dyDescent="0.25">
      <c r="B1010" s="47" t="s">
        <v>147</v>
      </c>
      <c r="C1010" s="47" t="s">
        <v>130</v>
      </c>
      <c r="D1010" s="47" t="s">
        <v>1050</v>
      </c>
      <c r="E1010" s="47" t="s">
        <v>27</v>
      </c>
      <c r="F1010" s="47" t="s">
        <v>422</v>
      </c>
      <c r="G1010" s="47" t="s">
        <v>27</v>
      </c>
      <c r="H1010" s="47">
        <v>70283</v>
      </c>
      <c r="I1010" s="47">
        <v>70396</v>
      </c>
      <c r="J1010" s="47" t="s">
        <v>28</v>
      </c>
      <c r="K1010" s="47"/>
      <c r="L1010" s="47" t="s">
        <v>301</v>
      </c>
      <c r="M1010" s="47" t="s">
        <v>424</v>
      </c>
      <c r="N1010" s="47">
        <v>1584</v>
      </c>
      <c r="O1010" s="47">
        <v>1584</v>
      </c>
      <c r="P1010" s="47">
        <v>1673</v>
      </c>
      <c r="Q1010" s="48">
        <v>1673</v>
      </c>
      <c r="R1010" s="47">
        <v>631</v>
      </c>
      <c r="S1010" s="47">
        <v>631</v>
      </c>
      <c r="T1010" s="47">
        <v>666</v>
      </c>
      <c r="U1010" s="48">
        <v>666</v>
      </c>
      <c r="V1010" s="48"/>
    </row>
    <row r="1011" spans="2:22" x14ac:dyDescent="0.25">
      <c r="B1011" s="94" t="s">
        <v>2639</v>
      </c>
      <c r="C1011" s="94" t="s">
        <v>2638</v>
      </c>
      <c r="D1011" s="94" t="s">
        <v>2640</v>
      </c>
      <c r="E1011" s="94" t="s">
        <v>27</v>
      </c>
      <c r="F1011" s="94" t="s">
        <v>537</v>
      </c>
      <c r="G1011" s="94" t="s">
        <v>27</v>
      </c>
      <c r="H1011" s="94">
        <v>70494</v>
      </c>
      <c r="I1011" s="94">
        <v>70099</v>
      </c>
      <c r="J1011" s="94" t="s">
        <v>28</v>
      </c>
      <c r="K1011" s="94" t="s">
        <v>2639</v>
      </c>
      <c r="L1011" s="94" t="s">
        <v>29</v>
      </c>
      <c r="M1011" s="94"/>
      <c r="N1011" s="97">
        <v>800</v>
      </c>
      <c r="O1011" s="97">
        <v>880</v>
      </c>
      <c r="P1011" s="97">
        <v>910</v>
      </c>
      <c r="Q1011" s="97">
        <v>1001</v>
      </c>
      <c r="R1011" s="97">
        <v>159</v>
      </c>
      <c r="S1011" s="97">
        <v>175</v>
      </c>
      <c r="T1011" s="97">
        <v>181</v>
      </c>
      <c r="U1011" s="97">
        <v>199</v>
      </c>
      <c r="V1011" s="98"/>
    </row>
    <row r="1012" spans="2:22" x14ac:dyDescent="0.25">
      <c r="B1012" s="96" t="s">
        <v>2639</v>
      </c>
      <c r="C1012" s="96" t="s">
        <v>2638</v>
      </c>
      <c r="D1012" s="96" t="s">
        <v>2640</v>
      </c>
      <c r="E1012" s="96" t="s">
        <v>27</v>
      </c>
      <c r="F1012" s="96" t="s">
        <v>537</v>
      </c>
      <c r="G1012" s="96" t="s">
        <v>27</v>
      </c>
      <c r="H1012" s="96">
        <v>70494</v>
      </c>
      <c r="I1012" s="96">
        <v>70099</v>
      </c>
      <c r="J1012" s="96" t="s">
        <v>28</v>
      </c>
      <c r="K1012" s="96" t="s">
        <v>2639</v>
      </c>
      <c r="L1012" s="96" t="s">
        <v>30</v>
      </c>
      <c r="M1012" s="96" t="s">
        <v>2638</v>
      </c>
      <c r="N1012" s="95">
        <v>800</v>
      </c>
      <c r="O1012" s="95">
        <v>880</v>
      </c>
      <c r="P1012" s="95">
        <v>910</v>
      </c>
      <c r="Q1012" s="95">
        <v>1001</v>
      </c>
      <c r="R1012" s="95">
        <v>159</v>
      </c>
      <c r="S1012" s="95">
        <v>175</v>
      </c>
      <c r="T1012" s="95">
        <v>181</v>
      </c>
      <c r="U1012" s="95">
        <v>199</v>
      </c>
      <c r="V1012" s="95"/>
    </row>
    <row r="1013" spans="2:22" ht="23" x14ac:dyDescent="0.25">
      <c r="B1013" s="44" t="s">
        <v>1052</v>
      </c>
      <c r="C1013" s="44" t="s">
        <v>1053</v>
      </c>
      <c r="D1013" s="44" t="s">
        <v>45</v>
      </c>
      <c r="E1013" s="44" t="s">
        <v>27</v>
      </c>
      <c r="F1013" s="44" t="s">
        <v>624</v>
      </c>
      <c r="G1013" s="44" t="s">
        <v>27</v>
      </c>
      <c r="H1013" s="44">
        <v>70286</v>
      </c>
      <c r="I1013" s="44">
        <v>73477</v>
      </c>
      <c r="J1013" s="44" t="s">
        <v>28</v>
      </c>
      <c r="K1013" s="44" t="s">
        <v>1052</v>
      </c>
      <c r="L1013" s="44" t="s">
        <v>29</v>
      </c>
      <c r="M1013" s="44"/>
      <c r="N1013" s="45">
        <v>1200</v>
      </c>
      <c r="O1013" s="45">
        <v>1200</v>
      </c>
      <c r="P1013" s="45">
        <v>1200</v>
      </c>
      <c r="Q1013" s="45">
        <v>1200</v>
      </c>
      <c r="R1013" s="45">
        <v>478</v>
      </c>
      <c r="S1013" s="45">
        <v>478</v>
      </c>
      <c r="T1013" s="45">
        <v>478</v>
      </c>
      <c r="U1013" s="45">
        <v>478</v>
      </c>
      <c r="V1013" s="46"/>
    </row>
    <row r="1014" spans="2:22" ht="30" x14ac:dyDescent="0.25">
      <c r="B1014" s="47" t="s">
        <v>1052</v>
      </c>
      <c r="C1014" s="47" t="s">
        <v>1053</v>
      </c>
      <c r="D1014" s="47" t="s">
        <v>45</v>
      </c>
      <c r="E1014" s="47" t="s">
        <v>27</v>
      </c>
      <c r="F1014" s="47" t="s">
        <v>624</v>
      </c>
      <c r="G1014" s="47" t="s">
        <v>27</v>
      </c>
      <c r="H1014" s="47">
        <v>70286</v>
      </c>
      <c r="I1014" s="47">
        <v>73477</v>
      </c>
      <c r="J1014" s="47" t="s">
        <v>28</v>
      </c>
      <c r="K1014" s="47" t="s">
        <v>1998</v>
      </c>
      <c r="L1014" s="47" t="s">
        <v>36</v>
      </c>
      <c r="M1014" s="47" t="s">
        <v>46</v>
      </c>
      <c r="N1014" s="48">
        <v>1200</v>
      </c>
      <c r="O1014" s="48">
        <v>1200</v>
      </c>
      <c r="P1014" s="48">
        <v>1200</v>
      </c>
      <c r="Q1014" s="48">
        <v>1200</v>
      </c>
      <c r="R1014" s="48">
        <v>478</v>
      </c>
      <c r="S1014" s="48">
        <v>478</v>
      </c>
      <c r="T1014" s="48">
        <v>478</v>
      </c>
      <c r="U1014" s="48">
        <v>478</v>
      </c>
      <c r="V1014" s="48"/>
    </row>
    <row r="1015" spans="2:22" ht="30" x14ac:dyDescent="0.25">
      <c r="B1015" s="47" t="s">
        <v>1052</v>
      </c>
      <c r="C1015" s="47" t="s">
        <v>1053</v>
      </c>
      <c r="D1015" s="47" t="s">
        <v>45</v>
      </c>
      <c r="E1015" s="47" t="s">
        <v>27</v>
      </c>
      <c r="F1015" s="47" t="s">
        <v>624</v>
      </c>
      <c r="G1015" s="47" t="s">
        <v>27</v>
      </c>
      <c r="H1015" s="47">
        <v>70286</v>
      </c>
      <c r="I1015" s="47">
        <v>73477</v>
      </c>
      <c r="J1015" s="47" t="s">
        <v>28</v>
      </c>
      <c r="K1015" s="47" t="s">
        <v>1999</v>
      </c>
      <c r="L1015" s="47" t="s">
        <v>36</v>
      </c>
      <c r="M1015" s="47" t="s">
        <v>46</v>
      </c>
      <c r="N1015" s="48">
        <v>1200</v>
      </c>
      <c r="O1015" s="48">
        <v>1200</v>
      </c>
      <c r="P1015" s="48">
        <v>1200</v>
      </c>
      <c r="Q1015" s="48">
        <v>1200</v>
      </c>
      <c r="R1015" s="48">
        <v>478</v>
      </c>
      <c r="S1015" s="48">
        <v>478</v>
      </c>
      <c r="T1015" s="48">
        <v>478</v>
      </c>
      <c r="U1015" s="48">
        <v>478</v>
      </c>
      <c r="V1015" s="48"/>
    </row>
    <row r="1016" spans="2:22" ht="30" x14ac:dyDescent="0.25">
      <c r="B1016" s="47" t="s">
        <v>1052</v>
      </c>
      <c r="C1016" s="47" t="s">
        <v>1053</v>
      </c>
      <c r="D1016" s="47" t="s">
        <v>45</v>
      </c>
      <c r="E1016" s="47" t="s">
        <v>27</v>
      </c>
      <c r="F1016" s="47" t="s">
        <v>624</v>
      </c>
      <c r="G1016" s="47" t="s">
        <v>27</v>
      </c>
      <c r="H1016" s="47">
        <v>70286</v>
      </c>
      <c r="I1016" s="47">
        <v>73477</v>
      </c>
      <c r="J1016" s="47" t="s">
        <v>28</v>
      </c>
      <c r="K1016" s="47" t="s">
        <v>2000</v>
      </c>
      <c r="L1016" s="47" t="s">
        <v>36</v>
      </c>
      <c r="M1016" s="47" t="s">
        <v>46</v>
      </c>
      <c r="N1016" s="48">
        <v>1200</v>
      </c>
      <c r="O1016" s="48">
        <v>1200</v>
      </c>
      <c r="P1016" s="48">
        <v>1200</v>
      </c>
      <c r="Q1016" s="48">
        <v>1200</v>
      </c>
      <c r="R1016" s="48">
        <v>478</v>
      </c>
      <c r="S1016" s="48">
        <v>478</v>
      </c>
      <c r="T1016" s="48">
        <v>478</v>
      </c>
      <c r="U1016" s="48">
        <v>478</v>
      </c>
      <c r="V1016" s="48"/>
    </row>
    <row r="1017" spans="2:22" ht="23" x14ac:dyDescent="0.25">
      <c r="B1017" s="44" t="s">
        <v>1812</v>
      </c>
      <c r="C1017" s="44" t="s">
        <v>2041</v>
      </c>
      <c r="D1017" s="44" t="s">
        <v>45</v>
      </c>
      <c r="E1017" s="44" t="s">
        <v>27</v>
      </c>
      <c r="F1017" s="44" t="s">
        <v>1855</v>
      </c>
      <c r="G1017" s="44" t="s">
        <v>40</v>
      </c>
      <c r="H1017" s="44">
        <v>70286</v>
      </c>
      <c r="I1017" s="44">
        <v>73413</v>
      </c>
      <c r="J1017" s="44" t="s">
        <v>42</v>
      </c>
      <c r="K1017" s="44" t="s">
        <v>1812</v>
      </c>
      <c r="L1017" s="44" t="s">
        <v>29</v>
      </c>
      <c r="M1017" s="44"/>
      <c r="N1017" s="45">
        <v>1600</v>
      </c>
      <c r="O1017" s="45">
        <v>1600</v>
      </c>
      <c r="P1017" s="45">
        <v>1600</v>
      </c>
      <c r="Q1017" s="45">
        <v>1600</v>
      </c>
      <c r="R1017" s="45">
        <v>637</v>
      </c>
      <c r="S1017" s="45">
        <v>637</v>
      </c>
      <c r="T1017" s="45">
        <v>637</v>
      </c>
      <c r="U1017" s="45">
        <v>637</v>
      </c>
      <c r="V1017" s="46"/>
    </row>
    <row r="1018" spans="2:22" ht="20" x14ac:dyDescent="0.25">
      <c r="B1018" s="47" t="s">
        <v>1812</v>
      </c>
      <c r="C1018" s="47" t="s">
        <v>2041</v>
      </c>
      <c r="D1018" s="47" t="s">
        <v>45</v>
      </c>
      <c r="E1018" s="47" t="s">
        <v>27</v>
      </c>
      <c r="F1018" s="47" t="s">
        <v>1855</v>
      </c>
      <c r="G1018" s="47" t="s">
        <v>40</v>
      </c>
      <c r="H1018" s="47">
        <v>70286</v>
      </c>
      <c r="I1018" s="47">
        <v>73413</v>
      </c>
      <c r="J1018" s="47" t="s">
        <v>42</v>
      </c>
      <c r="K1018" s="47" t="s">
        <v>2042</v>
      </c>
      <c r="L1018" s="47" t="s">
        <v>49</v>
      </c>
      <c r="M1018" s="47" t="s">
        <v>46</v>
      </c>
      <c r="N1018" s="48">
        <v>1600</v>
      </c>
      <c r="O1018" s="48">
        <v>1600</v>
      </c>
      <c r="P1018" s="48">
        <v>1600</v>
      </c>
      <c r="Q1018" s="48">
        <v>1600</v>
      </c>
      <c r="R1018" s="48">
        <v>637</v>
      </c>
      <c r="S1018" s="48">
        <v>637</v>
      </c>
      <c r="T1018" s="48">
        <v>637</v>
      </c>
      <c r="U1018" s="48">
        <v>637</v>
      </c>
      <c r="V1018" s="48"/>
    </row>
    <row r="1019" spans="2:22" ht="23" x14ac:dyDescent="0.25">
      <c r="B1019" s="44" t="s">
        <v>2479</v>
      </c>
      <c r="C1019" s="44" t="s">
        <v>2480</v>
      </c>
      <c r="D1019" s="44" t="s">
        <v>45</v>
      </c>
      <c r="E1019" s="44" t="s">
        <v>27</v>
      </c>
      <c r="F1019" s="44" t="s">
        <v>2400</v>
      </c>
      <c r="G1019" s="44" t="s">
        <v>27</v>
      </c>
      <c r="H1019" s="44">
        <v>70286</v>
      </c>
      <c r="I1019" s="44">
        <v>70652</v>
      </c>
      <c r="J1019" s="44" t="s">
        <v>28</v>
      </c>
      <c r="K1019" s="44" t="s">
        <v>2479</v>
      </c>
      <c r="L1019" s="44" t="s">
        <v>29</v>
      </c>
      <c r="M1019" s="44"/>
      <c r="N1019" s="45">
        <v>1267</v>
      </c>
      <c r="O1019" s="45">
        <v>1393</v>
      </c>
      <c r="P1019" s="45">
        <v>1443</v>
      </c>
      <c r="Q1019" s="45">
        <v>1587</v>
      </c>
      <c r="R1019" s="45">
        <v>505</v>
      </c>
      <c r="S1019" s="45">
        <v>555</v>
      </c>
      <c r="T1019" s="45">
        <v>575</v>
      </c>
      <c r="U1019" s="45">
        <v>632</v>
      </c>
      <c r="V1019" s="46"/>
    </row>
    <row r="1020" spans="2:22" ht="20" x14ac:dyDescent="0.25">
      <c r="B1020" s="47" t="s">
        <v>2479</v>
      </c>
      <c r="C1020" s="47" t="s">
        <v>2480</v>
      </c>
      <c r="D1020" s="47" t="s">
        <v>45</v>
      </c>
      <c r="E1020" s="47" t="s">
        <v>27</v>
      </c>
      <c r="F1020" s="47" t="s">
        <v>2400</v>
      </c>
      <c r="G1020" s="47" t="s">
        <v>27</v>
      </c>
      <c r="H1020" s="47">
        <v>70286</v>
      </c>
      <c r="I1020" s="47">
        <v>70652</v>
      </c>
      <c r="J1020" s="47" t="s">
        <v>28</v>
      </c>
      <c r="K1020" s="47" t="s">
        <v>2479</v>
      </c>
      <c r="L1020" s="47" t="s">
        <v>30</v>
      </c>
      <c r="M1020" s="47" t="s">
        <v>2480</v>
      </c>
      <c r="N1020" s="48">
        <v>1267</v>
      </c>
      <c r="O1020" s="48">
        <v>1393</v>
      </c>
      <c r="P1020" s="48">
        <v>1443</v>
      </c>
      <c r="Q1020" s="48">
        <v>1587</v>
      </c>
      <c r="R1020" s="48">
        <v>505</v>
      </c>
      <c r="S1020" s="48">
        <v>555</v>
      </c>
      <c r="T1020" s="48">
        <v>575</v>
      </c>
      <c r="U1020" s="48">
        <v>632</v>
      </c>
      <c r="V1020" s="48"/>
    </row>
    <row r="1021" spans="2:22" ht="23" x14ac:dyDescent="0.25">
      <c r="B1021" s="44" t="s">
        <v>1055</v>
      </c>
      <c r="C1021" s="44" t="s">
        <v>1056</v>
      </c>
      <c r="D1021" s="44" t="s">
        <v>45</v>
      </c>
      <c r="E1021" s="44" t="s">
        <v>27</v>
      </c>
      <c r="F1021" s="44" t="s">
        <v>490</v>
      </c>
      <c r="G1021" s="44" t="s">
        <v>27</v>
      </c>
      <c r="H1021" s="44">
        <v>70465</v>
      </c>
      <c r="I1021" s="44">
        <v>70466</v>
      </c>
      <c r="J1021" s="44" t="s">
        <v>28</v>
      </c>
      <c r="K1021" s="44" t="s">
        <v>1055</v>
      </c>
      <c r="L1021" s="44" t="s">
        <v>29</v>
      </c>
      <c r="M1021" s="44"/>
      <c r="N1021" s="45">
        <v>1980</v>
      </c>
      <c r="O1021" s="45">
        <v>1980</v>
      </c>
      <c r="P1021" s="45">
        <v>2091</v>
      </c>
      <c r="Q1021" s="45">
        <v>2091</v>
      </c>
      <c r="R1021" s="45">
        <v>1183</v>
      </c>
      <c r="S1021" s="45">
        <v>1183</v>
      </c>
      <c r="T1021" s="45">
        <v>1249</v>
      </c>
      <c r="U1021" s="45">
        <v>1249</v>
      </c>
      <c r="V1021" s="46"/>
    </row>
    <row r="1022" spans="2:22" ht="20" x14ac:dyDescent="0.25">
      <c r="B1022" s="47" t="s">
        <v>1055</v>
      </c>
      <c r="C1022" s="47" t="s">
        <v>1056</v>
      </c>
      <c r="D1022" s="47" t="s">
        <v>45</v>
      </c>
      <c r="E1022" s="47" t="s">
        <v>27</v>
      </c>
      <c r="F1022" s="47" t="s">
        <v>490</v>
      </c>
      <c r="G1022" s="47" t="s">
        <v>27</v>
      </c>
      <c r="H1022" s="47">
        <v>70465</v>
      </c>
      <c r="I1022" s="47">
        <v>70466</v>
      </c>
      <c r="J1022" s="47" t="s">
        <v>28</v>
      </c>
      <c r="K1022" s="47"/>
      <c r="L1022" s="47" t="s">
        <v>301</v>
      </c>
      <c r="M1022" s="47" t="s">
        <v>1057</v>
      </c>
      <c r="N1022" s="48">
        <v>1980</v>
      </c>
      <c r="O1022" s="48">
        <v>1980</v>
      </c>
      <c r="P1022" s="48">
        <v>2091</v>
      </c>
      <c r="Q1022" s="48">
        <v>2091</v>
      </c>
      <c r="R1022" s="48">
        <v>1183</v>
      </c>
      <c r="S1022" s="48">
        <v>1183</v>
      </c>
      <c r="T1022" s="48">
        <v>1249</v>
      </c>
      <c r="U1022" s="48">
        <v>1249</v>
      </c>
      <c r="V1022" s="48"/>
    </row>
    <row r="1023" spans="2:22" ht="20" x14ac:dyDescent="0.25">
      <c r="B1023" s="47" t="s">
        <v>1055</v>
      </c>
      <c r="C1023" s="47" t="s">
        <v>1056</v>
      </c>
      <c r="D1023" s="47" t="s">
        <v>45</v>
      </c>
      <c r="E1023" s="47" t="s">
        <v>27</v>
      </c>
      <c r="F1023" s="47" t="s">
        <v>490</v>
      </c>
      <c r="G1023" s="47" t="s">
        <v>27</v>
      </c>
      <c r="H1023" s="47">
        <v>70465</v>
      </c>
      <c r="I1023" s="47">
        <v>70466</v>
      </c>
      <c r="J1023" s="47" t="s">
        <v>28</v>
      </c>
      <c r="K1023" s="47"/>
      <c r="L1023" s="47" t="s">
        <v>301</v>
      </c>
      <c r="M1023" s="47" t="s">
        <v>46</v>
      </c>
      <c r="N1023" s="48">
        <v>1980</v>
      </c>
      <c r="O1023" s="48">
        <v>1980</v>
      </c>
      <c r="P1023" s="48">
        <v>2091</v>
      </c>
      <c r="Q1023" s="48">
        <v>2091</v>
      </c>
      <c r="R1023" s="48">
        <v>1183</v>
      </c>
      <c r="S1023" s="48">
        <v>1183</v>
      </c>
      <c r="T1023" s="48">
        <v>1249</v>
      </c>
      <c r="U1023" s="48">
        <v>1249</v>
      </c>
      <c r="V1023" s="48"/>
    </row>
    <row r="1024" spans="2:22" ht="23" x14ac:dyDescent="0.25">
      <c r="B1024" s="44" t="s">
        <v>1058</v>
      </c>
      <c r="C1024" s="44" t="s">
        <v>931</v>
      </c>
      <c r="D1024" s="44" t="s">
        <v>344</v>
      </c>
      <c r="E1024" s="44" t="s">
        <v>27</v>
      </c>
      <c r="F1024" s="44" t="s">
        <v>932</v>
      </c>
      <c r="G1024" s="44" t="s">
        <v>27</v>
      </c>
      <c r="H1024" s="44">
        <v>70287</v>
      </c>
      <c r="I1024" s="44">
        <v>70328</v>
      </c>
      <c r="J1024" s="44" t="s">
        <v>42</v>
      </c>
      <c r="K1024" s="44" t="s">
        <v>1058</v>
      </c>
      <c r="L1024" s="44" t="s">
        <v>29</v>
      </c>
      <c r="M1024" s="44"/>
      <c r="N1024" s="45">
        <v>600</v>
      </c>
      <c r="O1024" s="45">
        <v>775</v>
      </c>
      <c r="P1024" s="45">
        <v>743</v>
      </c>
      <c r="Q1024" s="45">
        <v>890</v>
      </c>
      <c r="R1024" s="45">
        <v>120</v>
      </c>
      <c r="S1024" s="45">
        <v>154</v>
      </c>
      <c r="T1024" s="45">
        <v>148</v>
      </c>
      <c r="U1024" s="45">
        <v>177</v>
      </c>
      <c r="V1024" s="46"/>
    </row>
    <row r="1025" spans="2:22" x14ac:dyDescent="0.25">
      <c r="B1025" s="47" t="s">
        <v>1058</v>
      </c>
      <c r="C1025" s="47" t="s">
        <v>931</v>
      </c>
      <c r="D1025" s="47" t="s">
        <v>344</v>
      </c>
      <c r="E1025" s="47" t="s">
        <v>27</v>
      </c>
      <c r="F1025" s="47" t="s">
        <v>932</v>
      </c>
      <c r="G1025" s="47" t="s">
        <v>27</v>
      </c>
      <c r="H1025" s="47">
        <v>70287</v>
      </c>
      <c r="I1025" s="47">
        <v>70328</v>
      </c>
      <c r="J1025" s="47" t="s">
        <v>42</v>
      </c>
      <c r="K1025" s="47" t="s">
        <v>2481</v>
      </c>
      <c r="L1025" s="47" t="s">
        <v>34</v>
      </c>
      <c r="M1025" s="47" t="s">
        <v>2039</v>
      </c>
      <c r="N1025" s="48">
        <v>600</v>
      </c>
      <c r="O1025" s="48">
        <v>775</v>
      </c>
      <c r="P1025" s="48">
        <v>743</v>
      </c>
      <c r="Q1025" s="48">
        <v>890</v>
      </c>
      <c r="R1025" s="48">
        <v>120</v>
      </c>
      <c r="S1025" s="48">
        <v>154</v>
      </c>
      <c r="T1025" s="48">
        <v>148</v>
      </c>
      <c r="U1025" s="48">
        <v>177</v>
      </c>
      <c r="V1025" s="48"/>
    </row>
    <row r="1026" spans="2:22" ht="34.5" x14ac:dyDescent="0.25">
      <c r="B1026" s="44" t="s">
        <v>1062</v>
      </c>
      <c r="C1026" s="44" t="s">
        <v>1063</v>
      </c>
      <c r="D1026" s="44" t="s">
        <v>1064</v>
      </c>
      <c r="E1026" s="44" t="s">
        <v>27</v>
      </c>
      <c r="F1026" s="44" t="s">
        <v>211</v>
      </c>
      <c r="G1026" s="44" t="s">
        <v>27</v>
      </c>
      <c r="H1026" s="44">
        <v>70574</v>
      </c>
      <c r="I1026" s="44">
        <v>70570</v>
      </c>
      <c r="J1026" s="44" t="s">
        <v>28</v>
      </c>
      <c r="K1026" s="44" t="s">
        <v>1062</v>
      </c>
      <c r="L1026" s="44" t="s">
        <v>29</v>
      </c>
      <c r="M1026" s="44"/>
      <c r="N1026" s="45">
        <v>1271</v>
      </c>
      <c r="O1026" s="45">
        <v>1398</v>
      </c>
      <c r="P1026" s="45">
        <v>1435</v>
      </c>
      <c r="Q1026" s="45">
        <v>1579</v>
      </c>
      <c r="R1026" s="45">
        <v>506</v>
      </c>
      <c r="S1026" s="45">
        <v>557</v>
      </c>
      <c r="T1026" s="45">
        <v>572</v>
      </c>
      <c r="U1026" s="45">
        <v>629</v>
      </c>
      <c r="V1026" s="46"/>
    </row>
    <row r="1027" spans="2:22" ht="20" x14ac:dyDescent="0.25">
      <c r="B1027" s="47" t="s">
        <v>1062</v>
      </c>
      <c r="C1027" s="47" t="s">
        <v>1063</v>
      </c>
      <c r="D1027" s="47" t="s">
        <v>1064</v>
      </c>
      <c r="E1027" s="47" t="s">
        <v>27</v>
      </c>
      <c r="F1027" s="47" t="s">
        <v>211</v>
      </c>
      <c r="G1027" s="47" t="s">
        <v>27</v>
      </c>
      <c r="H1027" s="47">
        <v>70574</v>
      </c>
      <c r="I1027" s="47">
        <v>70570</v>
      </c>
      <c r="J1027" s="47" t="s">
        <v>28</v>
      </c>
      <c r="K1027" s="47" t="s">
        <v>1062</v>
      </c>
      <c r="L1027" s="47" t="s">
        <v>30</v>
      </c>
      <c r="M1027" s="47" t="s">
        <v>1063</v>
      </c>
      <c r="N1027" s="48">
        <v>1271</v>
      </c>
      <c r="O1027" s="48">
        <v>1398</v>
      </c>
      <c r="P1027" s="48">
        <v>1435</v>
      </c>
      <c r="Q1027" s="48">
        <v>1579</v>
      </c>
      <c r="R1027" s="48">
        <v>506</v>
      </c>
      <c r="S1027" s="48">
        <v>557</v>
      </c>
      <c r="T1027" s="48">
        <v>572</v>
      </c>
      <c r="U1027" s="48">
        <v>629</v>
      </c>
      <c r="V1027" s="48"/>
    </row>
    <row r="1028" spans="2:22" ht="23" x14ac:dyDescent="0.25">
      <c r="B1028" s="44" t="s">
        <v>1065</v>
      </c>
      <c r="C1028" s="44" t="s">
        <v>1063</v>
      </c>
      <c r="D1028" s="44" t="s">
        <v>1064</v>
      </c>
      <c r="E1028" s="44" t="s">
        <v>27</v>
      </c>
      <c r="F1028" s="44" t="s">
        <v>1066</v>
      </c>
      <c r="G1028" s="44" t="s">
        <v>27</v>
      </c>
      <c r="H1028" s="44">
        <v>70574</v>
      </c>
      <c r="I1028" s="44">
        <v>70543</v>
      </c>
      <c r="J1028" s="44" t="s">
        <v>28</v>
      </c>
      <c r="K1028" s="44" t="s">
        <v>1065</v>
      </c>
      <c r="L1028" s="44" t="s">
        <v>29</v>
      </c>
      <c r="M1028" s="44"/>
      <c r="N1028" s="45">
        <v>1214</v>
      </c>
      <c r="O1028" s="45">
        <v>1387</v>
      </c>
      <c r="P1028" s="45">
        <v>1435</v>
      </c>
      <c r="Q1028" s="45">
        <v>1579</v>
      </c>
      <c r="R1028" s="45">
        <v>483</v>
      </c>
      <c r="S1028" s="45">
        <v>553</v>
      </c>
      <c r="T1028" s="45">
        <v>572</v>
      </c>
      <c r="U1028" s="45">
        <v>629</v>
      </c>
      <c r="V1028" s="46"/>
    </row>
    <row r="1029" spans="2:22" ht="20" x14ac:dyDescent="0.25">
      <c r="B1029" s="47" t="s">
        <v>1065</v>
      </c>
      <c r="C1029" s="47" t="s">
        <v>1063</v>
      </c>
      <c r="D1029" s="47" t="s">
        <v>1064</v>
      </c>
      <c r="E1029" s="47" t="s">
        <v>27</v>
      </c>
      <c r="F1029" s="47" t="s">
        <v>1066</v>
      </c>
      <c r="G1029" s="47" t="s">
        <v>27</v>
      </c>
      <c r="H1029" s="47">
        <v>70574</v>
      </c>
      <c r="I1029" s="47">
        <v>70543</v>
      </c>
      <c r="J1029" s="47" t="s">
        <v>28</v>
      </c>
      <c r="K1029" s="47" t="s">
        <v>388</v>
      </c>
      <c r="L1029" s="47" t="s">
        <v>31</v>
      </c>
      <c r="M1029" s="47" t="s">
        <v>2482</v>
      </c>
      <c r="N1029" s="48">
        <v>1214</v>
      </c>
      <c r="O1029" s="47">
        <v>1420</v>
      </c>
      <c r="P1029" s="47">
        <v>1450</v>
      </c>
      <c r="Q1029" s="47">
        <v>1619</v>
      </c>
      <c r="R1029" s="48">
        <v>483</v>
      </c>
      <c r="S1029" s="47">
        <v>566</v>
      </c>
      <c r="T1029" s="47">
        <v>578</v>
      </c>
      <c r="U1029" s="47">
        <v>645</v>
      </c>
      <c r="V1029" s="47"/>
    </row>
    <row r="1030" spans="2:22" ht="20" x14ac:dyDescent="0.25">
      <c r="B1030" s="47" t="s">
        <v>1065</v>
      </c>
      <c r="C1030" s="47" t="s">
        <v>1063</v>
      </c>
      <c r="D1030" s="47" t="s">
        <v>1064</v>
      </c>
      <c r="E1030" s="47" t="s">
        <v>27</v>
      </c>
      <c r="F1030" s="47" t="s">
        <v>1066</v>
      </c>
      <c r="G1030" s="47" t="s">
        <v>27</v>
      </c>
      <c r="H1030" s="47">
        <v>70574</v>
      </c>
      <c r="I1030" s="47">
        <v>70543</v>
      </c>
      <c r="J1030" s="47" t="s">
        <v>28</v>
      </c>
      <c r="K1030" s="47" t="s">
        <v>1065</v>
      </c>
      <c r="L1030" s="47" t="s">
        <v>30</v>
      </c>
      <c r="M1030" s="47" t="s">
        <v>1063</v>
      </c>
      <c r="N1030" s="47">
        <v>1261</v>
      </c>
      <c r="O1030" s="48">
        <v>1387</v>
      </c>
      <c r="P1030" s="48">
        <v>1435</v>
      </c>
      <c r="Q1030" s="48">
        <v>1579</v>
      </c>
      <c r="R1030" s="47">
        <v>502</v>
      </c>
      <c r="S1030" s="48">
        <v>553</v>
      </c>
      <c r="T1030" s="48">
        <v>572</v>
      </c>
      <c r="U1030" s="48">
        <v>629</v>
      </c>
      <c r="V1030" s="48"/>
    </row>
    <row r="1031" spans="2:22" ht="23" x14ac:dyDescent="0.25">
      <c r="B1031" s="44" t="s">
        <v>1067</v>
      </c>
      <c r="C1031" s="44" t="s">
        <v>1068</v>
      </c>
      <c r="D1031" s="44" t="s">
        <v>867</v>
      </c>
      <c r="E1031" s="44" t="s">
        <v>27</v>
      </c>
      <c r="F1031" s="44" t="s">
        <v>548</v>
      </c>
      <c r="G1031" s="44" t="s">
        <v>27</v>
      </c>
      <c r="H1031" s="44">
        <v>70481</v>
      </c>
      <c r="I1031" s="44">
        <v>70212</v>
      </c>
      <c r="J1031" s="44" t="s">
        <v>28</v>
      </c>
      <c r="K1031" s="44" t="s">
        <v>1067</v>
      </c>
      <c r="L1031" s="44" t="s">
        <v>29</v>
      </c>
      <c r="M1031" s="44"/>
      <c r="N1031" s="45">
        <v>1017</v>
      </c>
      <c r="O1031" s="45">
        <v>1180</v>
      </c>
      <c r="P1031" s="45">
        <v>1180</v>
      </c>
      <c r="Q1031" s="45">
        <v>1180</v>
      </c>
      <c r="R1031" s="45">
        <v>405</v>
      </c>
      <c r="S1031" s="45">
        <v>470</v>
      </c>
      <c r="T1031" s="45">
        <v>470</v>
      </c>
      <c r="U1031" s="45">
        <v>470</v>
      </c>
      <c r="V1031" s="46"/>
    </row>
    <row r="1032" spans="2:22" ht="20" x14ac:dyDescent="0.25">
      <c r="B1032" s="47" t="s">
        <v>1067</v>
      </c>
      <c r="C1032" s="47" t="s">
        <v>1068</v>
      </c>
      <c r="D1032" s="47" t="s">
        <v>867</v>
      </c>
      <c r="E1032" s="47" t="s">
        <v>27</v>
      </c>
      <c r="F1032" s="47" t="s">
        <v>548</v>
      </c>
      <c r="G1032" s="47" t="s">
        <v>27</v>
      </c>
      <c r="H1032" s="47">
        <v>70481</v>
      </c>
      <c r="I1032" s="47">
        <v>70212</v>
      </c>
      <c r="J1032" s="47" t="s">
        <v>28</v>
      </c>
      <c r="K1032" s="47" t="s">
        <v>388</v>
      </c>
      <c r="L1032" s="47" t="s">
        <v>31</v>
      </c>
      <c r="M1032" s="47" t="s">
        <v>868</v>
      </c>
      <c r="N1032" s="48">
        <v>1017</v>
      </c>
      <c r="O1032" s="47">
        <v>1208</v>
      </c>
      <c r="P1032" s="47">
        <v>1228</v>
      </c>
      <c r="Q1032" s="47">
        <v>1383</v>
      </c>
      <c r="R1032" s="48">
        <v>405</v>
      </c>
      <c r="S1032" s="47">
        <v>481</v>
      </c>
      <c r="T1032" s="47">
        <v>489</v>
      </c>
      <c r="U1032" s="47">
        <v>551</v>
      </c>
      <c r="V1032" s="47"/>
    </row>
    <row r="1033" spans="2:22" ht="20" x14ac:dyDescent="0.25">
      <c r="B1033" s="47" t="s">
        <v>1067</v>
      </c>
      <c r="C1033" s="47" t="s">
        <v>1068</v>
      </c>
      <c r="D1033" s="47" t="s">
        <v>867</v>
      </c>
      <c r="E1033" s="47" t="s">
        <v>27</v>
      </c>
      <c r="F1033" s="47" t="s">
        <v>548</v>
      </c>
      <c r="G1033" s="47" t="s">
        <v>27</v>
      </c>
      <c r="H1033" s="47">
        <v>70481</v>
      </c>
      <c r="I1033" s="47">
        <v>70212</v>
      </c>
      <c r="J1033" s="47" t="s">
        <v>28</v>
      </c>
      <c r="K1033" s="47" t="s">
        <v>1067</v>
      </c>
      <c r="L1033" s="47" t="s">
        <v>30</v>
      </c>
      <c r="M1033" s="47" t="s">
        <v>1068</v>
      </c>
      <c r="N1033" s="47">
        <v>1180</v>
      </c>
      <c r="O1033" s="48">
        <v>1180</v>
      </c>
      <c r="P1033" s="48">
        <v>1180</v>
      </c>
      <c r="Q1033" s="48">
        <v>1180</v>
      </c>
      <c r="R1033" s="47">
        <v>470</v>
      </c>
      <c r="S1033" s="48">
        <v>470</v>
      </c>
      <c r="T1033" s="48">
        <v>470</v>
      </c>
      <c r="U1033" s="48">
        <v>470</v>
      </c>
      <c r="V1033" s="48"/>
    </row>
    <row r="1034" spans="2:22" ht="23" x14ac:dyDescent="0.25">
      <c r="B1034" s="44" t="s">
        <v>1069</v>
      </c>
      <c r="C1034" s="44" t="s">
        <v>866</v>
      </c>
      <c r="D1034" s="44" t="s">
        <v>867</v>
      </c>
      <c r="E1034" s="44" t="s">
        <v>27</v>
      </c>
      <c r="F1034" s="44" t="s">
        <v>1006</v>
      </c>
      <c r="G1034" s="44" t="s">
        <v>27</v>
      </c>
      <c r="H1034" s="44">
        <v>70481</v>
      </c>
      <c r="I1034" s="44">
        <v>70417</v>
      </c>
      <c r="J1034" s="44" t="s">
        <v>28</v>
      </c>
      <c r="K1034" s="44" t="s">
        <v>1069</v>
      </c>
      <c r="L1034" s="44" t="s">
        <v>29</v>
      </c>
      <c r="M1034" s="44"/>
      <c r="N1034" s="45">
        <v>1117</v>
      </c>
      <c r="O1034" s="45">
        <v>1117</v>
      </c>
      <c r="P1034" s="45">
        <v>1316</v>
      </c>
      <c r="Q1034" s="45">
        <v>1316</v>
      </c>
      <c r="R1034" s="45">
        <v>445</v>
      </c>
      <c r="S1034" s="45">
        <v>445</v>
      </c>
      <c r="T1034" s="45">
        <v>524</v>
      </c>
      <c r="U1034" s="45">
        <v>524</v>
      </c>
      <c r="V1034" s="46"/>
    </row>
    <row r="1035" spans="2:22" ht="20" x14ac:dyDescent="0.25">
      <c r="B1035" s="47" t="s">
        <v>1069</v>
      </c>
      <c r="C1035" s="47" t="s">
        <v>866</v>
      </c>
      <c r="D1035" s="47" t="s">
        <v>867</v>
      </c>
      <c r="E1035" s="47" t="s">
        <v>27</v>
      </c>
      <c r="F1035" s="47" t="s">
        <v>1006</v>
      </c>
      <c r="G1035" s="47" t="s">
        <v>27</v>
      </c>
      <c r="H1035" s="47">
        <v>70481</v>
      </c>
      <c r="I1035" s="47">
        <v>70417</v>
      </c>
      <c r="J1035" s="47" t="s">
        <v>28</v>
      </c>
      <c r="K1035" s="47" t="s">
        <v>1069</v>
      </c>
      <c r="L1035" s="47" t="s">
        <v>30</v>
      </c>
      <c r="M1035" s="47" t="s">
        <v>866</v>
      </c>
      <c r="N1035" s="48">
        <v>1117</v>
      </c>
      <c r="O1035" s="48">
        <v>1117</v>
      </c>
      <c r="P1035" s="48">
        <v>1316</v>
      </c>
      <c r="Q1035" s="48">
        <v>1316</v>
      </c>
      <c r="R1035" s="48">
        <v>445</v>
      </c>
      <c r="S1035" s="48">
        <v>445</v>
      </c>
      <c r="T1035" s="48">
        <v>524</v>
      </c>
      <c r="U1035" s="48">
        <v>524</v>
      </c>
      <c r="V1035" s="48"/>
    </row>
    <row r="1036" spans="2:22" ht="23" x14ac:dyDescent="0.25">
      <c r="B1036" s="44" t="s">
        <v>1070</v>
      </c>
      <c r="C1036" s="44" t="s">
        <v>1068</v>
      </c>
      <c r="D1036" s="44" t="s">
        <v>867</v>
      </c>
      <c r="E1036" s="44" t="s">
        <v>27</v>
      </c>
      <c r="F1036" s="44" t="s">
        <v>1071</v>
      </c>
      <c r="G1036" s="44" t="s">
        <v>27</v>
      </c>
      <c r="H1036" s="44">
        <v>70481</v>
      </c>
      <c r="I1036" s="44">
        <v>70428</v>
      </c>
      <c r="J1036" s="44" t="s">
        <v>28</v>
      </c>
      <c r="K1036" s="44" t="s">
        <v>1070</v>
      </c>
      <c r="L1036" s="44" t="s">
        <v>29</v>
      </c>
      <c r="M1036" s="44"/>
      <c r="N1036" s="45">
        <v>1017</v>
      </c>
      <c r="O1036" s="45">
        <v>1208</v>
      </c>
      <c r="P1036" s="45">
        <v>1180</v>
      </c>
      <c r="Q1036" s="45">
        <v>1298</v>
      </c>
      <c r="R1036" s="45">
        <v>405</v>
      </c>
      <c r="S1036" s="45">
        <v>481</v>
      </c>
      <c r="T1036" s="45">
        <v>470</v>
      </c>
      <c r="U1036" s="45">
        <v>517</v>
      </c>
      <c r="V1036" s="46"/>
    </row>
    <row r="1037" spans="2:22" ht="20" x14ac:dyDescent="0.25">
      <c r="B1037" s="47" t="s">
        <v>1070</v>
      </c>
      <c r="C1037" s="47" t="s">
        <v>1068</v>
      </c>
      <c r="D1037" s="47" t="s">
        <v>867</v>
      </c>
      <c r="E1037" s="47" t="s">
        <v>27</v>
      </c>
      <c r="F1037" s="47" t="s">
        <v>1071</v>
      </c>
      <c r="G1037" s="47" t="s">
        <v>27</v>
      </c>
      <c r="H1037" s="47">
        <v>70481</v>
      </c>
      <c r="I1037" s="47">
        <v>70428</v>
      </c>
      <c r="J1037" s="47" t="s">
        <v>28</v>
      </c>
      <c r="K1037" s="47" t="s">
        <v>388</v>
      </c>
      <c r="L1037" s="47" t="s">
        <v>31</v>
      </c>
      <c r="M1037" s="47" t="s">
        <v>868</v>
      </c>
      <c r="N1037" s="48">
        <v>1017</v>
      </c>
      <c r="O1037" s="48">
        <v>1208</v>
      </c>
      <c r="P1037" s="47">
        <v>1228</v>
      </c>
      <c r="Q1037" s="47">
        <v>1383</v>
      </c>
      <c r="R1037" s="48">
        <v>405</v>
      </c>
      <c r="S1037" s="48">
        <v>481</v>
      </c>
      <c r="T1037" s="47">
        <v>489</v>
      </c>
      <c r="U1037" s="47">
        <v>551</v>
      </c>
      <c r="V1037" s="47"/>
    </row>
    <row r="1038" spans="2:22" ht="20" x14ac:dyDescent="0.25">
      <c r="B1038" s="47" t="s">
        <v>1070</v>
      </c>
      <c r="C1038" s="47" t="s">
        <v>1068</v>
      </c>
      <c r="D1038" s="47" t="s">
        <v>867</v>
      </c>
      <c r="E1038" s="47" t="s">
        <v>27</v>
      </c>
      <c r="F1038" s="47" t="s">
        <v>1071</v>
      </c>
      <c r="G1038" s="47" t="s">
        <v>27</v>
      </c>
      <c r="H1038" s="47">
        <v>70481</v>
      </c>
      <c r="I1038" s="47">
        <v>70428</v>
      </c>
      <c r="J1038" s="47" t="s">
        <v>28</v>
      </c>
      <c r="K1038" s="47" t="s">
        <v>1070</v>
      </c>
      <c r="L1038" s="47" t="s">
        <v>30</v>
      </c>
      <c r="M1038" s="47" t="s">
        <v>1068</v>
      </c>
      <c r="N1038" s="47">
        <v>1180</v>
      </c>
      <c r="O1038" s="47">
        <v>1298</v>
      </c>
      <c r="P1038" s="48">
        <v>1180</v>
      </c>
      <c r="Q1038" s="48">
        <v>1298</v>
      </c>
      <c r="R1038" s="47">
        <v>470</v>
      </c>
      <c r="S1038" s="47">
        <v>517</v>
      </c>
      <c r="T1038" s="48">
        <v>470</v>
      </c>
      <c r="U1038" s="48">
        <v>517</v>
      </c>
      <c r="V1038" s="48"/>
    </row>
    <row r="1039" spans="2:22" ht="23" x14ac:dyDescent="0.25">
      <c r="B1039" s="44" t="s">
        <v>2652</v>
      </c>
      <c r="C1039" s="44" t="s">
        <v>2651</v>
      </c>
      <c r="D1039" s="44" t="s">
        <v>874</v>
      </c>
      <c r="E1039" s="44" t="s">
        <v>27</v>
      </c>
      <c r="F1039" s="44" t="s">
        <v>2650</v>
      </c>
      <c r="G1039" s="44" t="s">
        <v>40</v>
      </c>
      <c r="H1039" s="44">
        <v>70290</v>
      </c>
      <c r="I1039" s="44">
        <v>2133</v>
      </c>
      <c r="J1039" s="44" t="s">
        <v>28</v>
      </c>
      <c r="K1039" s="44" t="s">
        <v>2652</v>
      </c>
      <c r="L1039" s="44" t="s">
        <v>29</v>
      </c>
      <c r="M1039" s="44"/>
      <c r="N1039" s="45">
        <v>1110</v>
      </c>
      <c r="O1039" s="45">
        <v>1221</v>
      </c>
      <c r="P1039" s="45">
        <v>1264</v>
      </c>
      <c r="Q1039" s="45">
        <v>1390</v>
      </c>
      <c r="R1039" s="45">
        <v>221</v>
      </c>
      <c r="S1039" s="45">
        <v>243</v>
      </c>
      <c r="T1039" s="45">
        <v>252</v>
      </c>
      <c r="U1039" s="45">
        <v>277</v>
      </c>
      <c r="V1039" s="46"/>
    </row>
    <row r="1040" spans="2:22" ht="20" x14ac:dyDescent="0.25">
      <c r="B1040" s="47" t="s">
        <v>2652</v>
      </c>
      <c r="C1040" s="47" t="s">
        <v>2651</v>
      </c>
      <c r="D1040" s="47" t="s">
        <v>874</v>
      </c>
      <c r="E1040" s="47" t="s">
        <v>27</v>
      </c>
      <c r="F1040" s="47" t="s">
        <v>2650</v>
      </c>
      <c r="G1040" s="47" t="s">
        <v>40</v>
      </c>
      <c r="H1040" s="47">
        <v>70290</v>
      </c>
      <c r="I1040" s="47">
        <v>2133</v>
      </c>
      <c r="J1040" s="47" t="s">
        <v>28</v>
      </c>
      <c r="K1040" s="47" t="s">
        <v>2652</v>
      </c>
      <c r="L1040" s="47" t="s">
        <v>30</v>
      </c>
      <c r="M1040" s="47" t="s">
        <v>2651</v>
      </c>
      <c r="N1040" s="48">
        <v>1110</v>
      </c>
      <c r="O1040" s="48">
        <v>1221</v>
      </c>
      <c r="P1040" s="48">
        <v>1264</v>
      </c>
      <c r="Q1040" s="48">
        <v>1390</v>
      </c>
      <c r="R1040" s="48">
        <v>221</v>
      </c>
      <c r="S1040" s="48">
        <v>243</v>
      </c>
      <c r="T1040" s="48">
        <v>252</v>
      </c>
      <c r="U1040" s="48">
        <v>277</v>
      </c>
      <c r="V1040" s="48"/>
    </row>
    <row r="1041" spans="2:22" ht="20" x14ac:dyDescent="0.25">
      <c r="B1041" s="47" t="s">
        <v>2652</v>
      </c>
      <c r="C1041" s="47" t="s">
        <v>2651</v>
      </c>
      <c r="D1041" s="47" t="s">
        <v>874</v>
      </c>
      <c r="E1041" s="47" t="s">
        <v>27</v>
      </c>
      <c r="F1041" s="47" t="s">
        <v>2650</v>
      </c>
      <c r="G1041" s="47" t="s">
        <v>40</v>
      </c>
      <c r="H1041" s="47">
        <v>70290</v>
      </c>
      <c r="I1041" s="47">
        <v>2133</v>
      </c>
      <c r="J1041" s="47" t="s">
        <v>28</v>
      </c>
      <c r="K1041" s="47" t="s">
        <v>680</v>
      </c>
      <c r="L1041" s="47" t="s">
        <v>31</v>
      </c>
      <c r="M1041" s="47" t="s">
        <v>876</v>
      </c>
      <c r="N1041" s="47">
        <v>1111</v>
      </c>
      <c r="O1041" s="47">
        <v>1222</v>
      </c>
      <c r="P1041" s="48">
        <v>1264</v>
      </c>
      <c r="Q1041" s="47">
        <v>1391</v>
      </c>
      <c r="R1041" s="48">
        <v>221</v>
      </c>
      <c r="S1041" s="48">
        <v>243</v>
      </c>
      <c r="T1041" s="48">
        <v>252</v>
      </c>
      <c r="U1041" s="48">
        <v>277</v>
      </c>
      <c r="V1041" s="47"/>
    </row>
    <row r="1042" spans="2:22" ht="23" x14ac:dyDescent="0.25">
      <c r="B1042" s="44" t="s">
        <v>1072</v>
      </c>
      <c r="C1042" s="44" t="s">
        <v>1073</v>
      </c>
      <c r="D1042" s="44" t="s">
        <v>874</v>
      </c>
      <c r="E1042" s="44" t="s">
        <v>27</v>
      </c>
      <c r="F1042" s="44" t="s">
        <v>1074</v>
      </c>
      <c r="G1042" s="44" t="s">
        <v>27</v>
      </c>
      <c r="H1042" s="44">
        <v>70290</v>
      </c>
      <c r="I1042" s="44">
        <v>70805</v>
      </c>
      <c r="J1042" s="44" t="s">
        <v>28</v>
      </c>
      <c r="K1042" s="44" t="s">
        <v>1072</v>
      </c>
      <c r="L1042" s="44" t="s">
        <v>29</v>
      </c>
      <c r="M1042" s="44"/>
      <c r="N1042" s="45">
        <v>924</v>
      </c>
      <c r="O1042" s="45">
        <v>1075</v>
      </c>
      <c r="P1042" s="45">
        <v>1099</v>
      </c>
      <c r="Q1042" s="45">
        <v>1200</v>
      </c>
      <c r="R1042" s="45">
        <v>184</v>
      </c>
      <c r="S1042" s="45">
        <v>214</v>
      </c>
      <c r="T1042" s="45">
        <v>219</v>
      </c>
      <c r="U1042" s="45">
        <v>239</v>
      </c>
      <c r="V1042" s="46"/>
    </row>
    <row r="1043" spans="2:22" ht="20" x14ac:dyDescent="0.25">
      <c r="B1043" s="47" t="s">
        <v>1072</v>
      </c>
      <c r="C1043" s="47" t="s">
        <v>1073</v>
      </c>
      <c r="D1043" s="47" t="s">
        <v>874</v>
      </c>
      <c r="E1043" s="47" t="s">
        <v>27</v>
      </c>
      <c r="F1043" s="47" t="s">
        <v>1074</v>
      </c>
      <c r="G1043" s="47" t="s">
        <v>27</v>
      </c>
      <c r="H1043" s="47">
        <v>70290</v>
      </c>
      <c r="I1043" s="47">
        <v>70805</v>
      </c>
      <c r="J1043" s="47" t="s">
        <v>28</v>
      </c>
      <c r="K1043" s="47" t="s">
        <v>239</v>
      </c>
      <c r="L1043" s="47" t="s">
        <v>31</v>
      </c>
      <c r="M1043" s="47" t="s">
        <v>876</v>
      </c>
      <c r="N1043" s="48">
        <v>924</v>
      </c>
      <c r="O1043" s="48">
        <v>1075</v>
      </c>
      <c r="P1043" s="48">
        <v>1099</v>
      </c>
      <c r="Q1043" s="47">
        <v>1223</v>
      </c>
      <c r="R1043" s="48">
        <v>184</v>
      </c>
      <c r="S1043" s="48">
        <v>214</v>
      </c>
      <c r="T1043" s="48">
        <v>219</v>
      </c>
      <c r="U1043" s="47">
        <v>244</v>
      </c>
      <c r="V1043" s="47"/>
    </row>
    <row r="1044" spans="2:22" ht="20" x14ac:dyDescent="0.25">
      <c r="B1044" s="47" t="s">
        <v>1072</v>
      </c>
      <c r="C1044" s="47" t="s">
        <v>1073</v>
      </c>
      <c r="D1044" s="47" t="s">
        <v>874</v>
      </c>
      <c r="E1044" s="47" t="s">
        <v>27</v>
      </c>
      <c r="F1044" s="47" t="s">
        <v>1074</v>
      </c>
      <c r="G1044" s="47" t="s">
        <v>27</v>
      </c>
      <c r="H1044" s="47">
        <v>70290</v>
      </c>
      <c r="I1044" s="47">
        <v>70805</v>
      </c>
      <c r="J1044" s="47" t="s">
        <v>28</v>
      </c>
      <c r="K1044" s="47" t="s">
        <v>1077</v>
      </c>
      <c r="L1044" s="47" t="s">
        <v>39</v>
      </c>
      <c r="M1044" s="47" t="s">
        <v>876</v>
      </c>
      <c r="N1044" s="47">
        <v>1200</v>
      </c>
      <c r="O1044" s="47">
        <v>1200</v>
      </c>
      <c r="P1044" s="47">
        <v>1200</v>
      </c>
      <c r="Q1044" s="48">
        <v>1200</v>
      </c>
      <c r="R1044" s="47">
        <v>239</v>
      </c>
      <c r="S1044" s="47">
        <v>239</v>
      </c>
      <c r="T1044" s="47">
        <v>239</v>
      </c>
      <c r="U1044" s="48">
        <v>239</v>
      </c>
      <c r="V1044" s="48"/>
    </row>
    <row r="1045" spans="2:22" ht="20" x14ac:dyDescent="0.25">
      <c r="B1045" s="47" t="s">
        <v>1072</v>
      </c>
      <c r="C1045" s="47" t="s">
        <v>1073</v>
      </c>
      <c r="D1045" s="47" t="s">
        <v>874</v>
      </c>
      <c r="E1045" s="47" t="s">
        <v>27</v>
      </c>
      <c r="F1045" s="47" t="s">
        <v>1074</v>
      </c>
      <c r="G1045" s="47" t="s">
        <v>27</v>
      </c>
      <c r="H1045" s="47">
        <v>70290</v>
      </c>
      <c r="I1045" s="47">
        <v>70805</v>
      </c>
      <c r="J1045" s="47" t="s">
        <v>28</v>
      </c>
      <c r="K1045" s="47" t="s">
        <v>1075</v>
      </c>
      <c r="L1045" s="47" t="s">
        <v>39</v>
      </c>
      <c r="M1045" s="47" t="s">
        <v>876</v>
      </c>
      <c r="N1045" s="47">
        <v>1200</v>
      </c>
      <c r="O1045" s="47">
        <v>1200</v>
      </c>
      <c r="P1045" s="47">
        <v>1200</v>
      </c>
      <c r="Q1045" s="48">
        <v>1200</v>
      </c>
      <c r="R1045" s="47">
        <v>239</v>
      </c>
      <c r="S1045" s="47">
        <v>239</v>
      </c>
      <c r="T1045" s="47">
        <v>239</v>
      </c>
      <c r="U1045" s="48">
        <v>239</v>
      </c>
      <c r="V1045" s="48"/>
    </row>
    <row r="1046" spans="2:22" ht="20" x14ac:dyDescent="0.25">
      <c r="B1046" s="47" t="s">
        <v>1072</v>
      </c>
      <c r="C1046" s="47" t="s">
        <v>1073</v>
      </c>
      <c r="D1046" s="47" t="s">
        <v>874</v>
      </c>
      <c r="E1046" s="47" t="s">
        <v>27</v>
      </c>
      <c r="F1046" s="47" t="s">
        <v>1074</v>
      </c>
      <c r="G1046" s="47" t="s">
        <v>27</v>
      </c>
      <c r="H1046" s="47">
        <v>70290</v>
      </c>
      <c r="I1046" s="47">
        <v>70805</v>
      </c>
      <c r="J1046" s="47" t="s">
        <v>28</v>
      </c>
      <c r="K1046" s="47" t="s">
        <v>1076</v>
      </c>
      <c r="L1046" s="47" t="s">
        <v>39</v>
      </c>
      <c r="M1046" s="47" t="s">
        <v>876</v>
      </c>
      <c r="N1046" s="47">
        <v>1200</v>
      </c>
      <c r="O1046" s="47">
        <v>1200</v>
      </c>
      <c r="P1046" s="47">
        <v>1200</v>
      </c>
      <c r="Q1046" s="48">
        <v>1200</v>
      </c>
      <c r="R1046" s="47">
        <v>239</v>
      </c>
      <c r="S1046" s="47">
        <v>239</v>
      </c>
      <c r="T1046" s="47">
        <v>239</v>
      </c>
      <c r="U1046" s="48">
        <v>239</v>
      </c>
      <c r="V1046" s="48"/>
    </row>
    <row r="1047" spans="2:22" x14ac:dyDescent="0.25">
      <c r="B1047" s="44" t="s">
        <v>2310</v>
      </c>
      <c r="C1047" s="44" t="s">
        <v>2311</v>
      </c>
      <c r="D1047" s="44" t="s">
        <v>636</v>
      </c>
      <c r="E1047" s="44" t="s">
        <v>27</v>
      </c>
      <c r="F1047" s="44" t="s">
        <v>2312</v>
      </c>
      <c r="G1047" s="44" t="s">
        <v>27</v>
      </c>
      <c r="H1047" s="44">
        <v>70624</v>
      </c>
      <c r="I1047" s="44">
        <v>70628</v>
      </c>
      <c r="J1047" s="44" t="s">
        <v>28</v>
      </c>
      <c r="K1047" s="44" t="s">
        <v>2310</v>
      </c>
      <c r="L1047" s="44" t="s">
        <v>29</v>
      </c>
      <c r="M1047" s="44"/>
      <c r="N1047" s="45">
        <v>2425</v>
      </c>
      <c r="O1047" s="45">
        <v>2740</v>
      </c>
      <c r="P1047" s="45">
        <v>2740</v>
      </c>
      <c r="Q1047" s="45">
        <v>2740</v>
      </c>
      <c r="R1047" s="45">
        <v>1449</v>
      </c>
      <c r="S1047" s="45">
        <v>1637</v>
      </c>
      <c r="T1047" s="45">
        <v>1637</v>
      </c>
      <c r="U1047" s="45">
        <v>1637</v>
      </c>
      <c r="V1047" s="46"/>
    </row>
    <row r="1048" spans="2:22" ht="20" x14ac:dyDescent="0.25">
      <c r="B1048" s="47" t="s">
        <v>2310</v>
      </c>
      <c r="C1048" s="47" t="s">
        <v>2311</v>
      </c>
      <c r="D1048" s="47" t="s">
        <v>636</v>
      </c>
      <c r="E1048" s="47" t="s">
        <v>27</v>
      </c>
      <c r="F1048" s="47" t="s">
        <v>2312</v>
      </c>
      <c r="G1048" s="47" t="s">
        <v>27</v>
      </c>
      <c r="H1048" s="47">
        <v>70624</v>
      </c>
      <c r="I1048" s="47">
        <v>70628</v>
      </c>
      <c r="J1048" s="47" t="s">
        <v>28</v>
      </c>
      <c r="K1048" s="47" t="s">
        <v>388</v>
      </c>
      <c r="L1048" s="47" t="s">
        <v>31</v>
      </c>
      <c r="M1048" s="47" t="s">
        <v>640</v>
      </c>
      <c r="N1048" s="48">
        <v>2425</v>
      </c>
      <c r="O1048" s="47">
        <v>2838</v>
      </c>
      <c r="P1048" s="47">
        <v>2897</v>
      </c>
      <c r="Q1048" s="47">
        <v>3233</v>
      </c>
      <c r="R1048" s="48">
        <v>1449</v>
      </c>
      <c r="S1048" s="47">
        <v>1696</v>
      </c>
      <c r="T1048" s="47">
        <v>1731</v>
      </c>
      <c r="U1048" s="47">
        <v>1932</v>
      </c>
      <c r="V1048" s="47"/>
    </row>
    <row r="1049" spans="2:22" x14ac:dyDescent="0.25">
      <c r="B1049" s="47" t="s">
        <v>2310</v>
      </c>
      <c r="C1049" s="47" t="s">
        <v>2311</v>
      </c>
      <c r="D1049" s="47" t="s">
        <v>636</v>
      </c>
      <c r="E1049" s="47" t="s">
        <v>27</v>
      </c>
      <c r="F1049" s="47" t="s">
        <v>2312</v>
      </c>
      <c r="G1049" s="47" t="s">
        <v>27</v>
      </c>
      <c r="H1049" s="47">
        <v>70624</v>
      </c>
      <c r="I1049" s="47">
        <v>70628</v>
      </c>
      <c r="J1049" s="47" t="s">
        <v>28</v>
      </c>
      <c r="K1049" s="47" t="s">
        <v>2310</v>
      </c>
      <c r="L1049" s="47" t="s">
        <v>30</v>
      </c>
      <c r="M1049" s="47" t="s">
        <v>2311</v>
      </c>
      <c r="N1049" s="47">
        <v>2740</v>
      </c>
      <c r="O1049" s="48">
        <v>2740</v>
      </c>
      <c r="P1049" s="48">
        <v>2740</v>
      </c>
      <c r="Q1049" s="48">
        <v>2740</v>
      </c>
      <c r="R1049" s="47">
        <v>1637</v>
      </c>
      <c r="S1049" s="48">
        <v>1637</v>
      </c>
      <c r="T1049" s="48">
        <v>1637</v>
      </c>
      <c r="U1049" s="48">
        <v>1637</v>
      </c>
      <c r="V1049" s="48"/>
    </row>
    <row r="1050" spans="2:22" ht="23" x14ac:dyDescent="0.25">
      <c r="B1050" s="44" t="s">
        <v>96</v>
      </c>
      <c r="C1050" s="44" t="s">
        <v>97</v>
      </c>
      <c r="D1050" s="44" t="s">
        <v>1083</v>
      </c>
      <c r="E1050" s="44" t="s">
        <v>27</v>
      </c>
      <c r="F1050" s="44" t="s">
        <v>927</v>
      </c>
      <c r="G1050" s="44" t="s">
        <v>40</v>
      </c>
      <c r="H1050" s="44">
        <v>70525</v>
      </c>
      <c r="I1050" s="44">
        <v>79038</v>
      </c>
      <c r="J1050" s="44" t="s">
        <v>28</v>
      </c>
      <c r="K1050" s="44" t="s">
        <v>96</v>
      </c>
      <c r="L1050" s="44" t="s">
        <v>29</v>
      </c>
      <c r="M1050" s="44"/>
      <c r="N1050" s="45">
        <v>301</v>
      </c>
      <c r="O1050" s="45">
        <v>301</v>
      </c>
      <c r="P1050" s="45">
        <v>301</v>
      </c>
      <c r="Q1050" s="45">
        <v>301</v>
      </c>
      <c r="R1050" s="45">
        <v>72</v>
      </c>
      <c r="S1050" s="45">
        <v>72</v>
      </c>
      <c r="T1050" s="45">
        <v>72</v>
      </c>
      <c r="U1050" s="45">
        <v>72</v>
      </c>
      <c r="V1050" s="46"/>
    </row>
    <row r="1051" spans="2:22" ht="20" x14ac:dyDescent="0.25">
      <c r="B1051" s="47" t="s">
        <v>96</v>
      </c>
      <c r="C1051" s="47" t="s">
        <v>97</v>
      </c>
      <c r="D1051" s="47" t="s">
        <v>1083</v>
      </c>
      <c r="E1051" s="47" t="s">
        <v>27</v>
      </c>
      <c r="F1051" s="47" t="s">
        <v>927</v>
      </c>
      <c r="G1051" s="47" t="s">
        <v>40</v>
      </c>
      <c r="H1051" s="47">
        <v>70525</v>
      </c>
      <c r="I1051" s="47">
        <v>79038</v>
      </c>
      <c r="J1051" s="47" t="s">
        <v>28</v>
      </c>
      <c r="K1051" s="47" t="s">
        <v>213</v>
      </c>
      <c r="L1051" s="47" t="s">
        <v>213</v>
      </c>
      <c r="M1051" s="47" t="s">
        <v>929</v>
      </c>
      <c r="N1051" s="48">
        <v>301</v>
      </c>
      <c r="O1051" s="48">
        <v>301</v>
      </c>
      <c r="P1051" s="48">
        <v>301</v>
      </c>
      <c r="Q1051" s="48">
        <v>301</v>
      </c>
      <c r="R1051" s="48">
        <v>72</v>
      </c>
      <c r="S1051" s="48">
        <v>72</v>
      </c>
      <c r="T1051" s="48">
        <v>72</v>
      </c>
      <c r="U1051" s="48">
        <v>72</v>
      </c>
      <c r="V1051" s="48"/>
    </row>
    <row r="1052" spans="2:22" ht="23" x14ac:dyDescent="0.25">
      <c r="B1052" s="44" t="s">
        <v>1084</v>
      </c>
      <c r="C1052" s="44" t="s">
        <v>1085</v>
      </c>
      <c r="D1052" s="44" t="s">
        <v>915</v>
      </c>
      <c r="E1052" s="44" t="s">
        <v>27</v>
      </c>
      <c r="F1052" s="44" t="s">
        <v>806</v>
      </c>
      <c r="G1052" s="44" t="s">
        <v>27</v>
      </c>
      <c r="H1052" s="44">
        <v>70297</v>
      </c>
      <c r="I1052" s="44">
        <v>70544</v>
      </c>
      <c r="J1052" s="44" t="s">
        <v>28</v>
      </c>
      <c r="K1052" s="44" t="s">
        <v>1084</v>
      </c>
      <c r="L1052" s="44" t="s">
        <v>29</v>
      </c>
      <c r="M1052" s="44"/>
      <c r="N1052" s="45">
        <v>1219</v>
      </c>
      <c r="O1052" s="45">
        <v>1426</v>
      </c>
      <c r="P1052" s="45">
        <v>1456</v>
      </c>
      <c r="Q1052" s="45">
        <v>1625</v>
      </c>
      <c r="R1052" s="45">
        <v>486</v>
      </c>
      <c r="S1052" s="45">
        <v>568</v>
      </c>
      <c r="T1052" s="45">
        <v>580</v>
      </c>
      <c r="U1052" s="45">
        <v>647</v>
      </c>
      <c r="V1052" s="46"/>
    </row>
    <row r="1053" spans="2:22" ht="20" x14ac:dyDescent="0.25">
      <c r="B1053" s="47" t="s">
        <v>1084</v>
      </c>
      <c r="C1053" s="47" t="s">
        <v>1085</v>
      </c>
      <c r="D1053" s="47" t="s">
        <v>915</v>
      </c>
      <c r="E1053" s="47" t="s">
        <v>27</v>
      </c>
      <c r="F1053" s="47" t="s">
        <v>806</v>
      </c>
      <c r="G1053" s="47" t="s">
        <v>27</v>
      </c>
      <c r="H1053" s="47">
        <v>70297</v>
      </c>
      <c r="I1053" s="47">
        <v>70544</v>
      </c>
      <c r="J1053" s="47" t="s">
        <v>28</v>
      </c>
      <c r="K1053" s="47" t="s">
        <v>388</v>
      </c>
      <c r="L1053" s="47" t="s">
        <v>31</v>
      </c>
      <c r="M1053" s="47" t="s">
        <v>1010</v>
      </c>
      <c r="N1053" s="48">
        <v>1219</v>
      </c>
      <c r="O1053" s="48">
        <v>1426</v>
      </c>
      <c r="P1053" s="48">
        <v>1456</v>
      </c>
      <c r="Q1053" s="48">
        <v>1625</v>
      </c>
      <c r="R1053" s="48">
        <v>486</v>
      </c>
      <c r="S1053" s="48">
        <v>568</v>
      </c>
      <c r="T1053" s="48">
        <v>580</v>
      </c>
      <c r="U1053" s="48">
        <v>647</v>
      </c>
      <c r="V1053" s="48"/>
    </row>
    <row r="1054" spans="2:22" ht="34.5" x14ac:dyDescent="0.25">
      <c r="B1054" s="44" t="s">
        <v>1086</v>
      </c>
      <c r="C1054" s="44" t="s">
        <v>1087</v>
      </c>
      <c r="D1054" s="44" t="s">
        <v>1088</v>
      </c>
      <c r="E1054" s="44" t="s">
        <v>27</v>
      </c>
      <c r="F1054" s="44" t="s">
        <v>294</v>
      </c>
      <c r="G1054" s="44" t="s">
        <v>27</v>
      </c>
      <c r="H1054" s="44">
        <v>70298</v>
      </c>
      <c r="I1054" s="44">
        <v>70108</v>
      </c>
      <c r="J1054" s="44" t="s">
        <v>28</v>
      </c>
      <c r="K1054" s="44" t="s">
        <v>1086</v>
      </c>
      <c r="L1054" s="44" t="s">
        <v>29</v>
      </c>
      <c r="M1054" s="44"/>
      <c r="N1054" s="45">
        <v>1001</v>
      </c>
      <c r="O1054" s="45">
        <v>1101</v>
      </c>
      <c r="P1054" s="45">
        <v>1139</v>
      </c>
      <c r="Q1054" s="45">
        <v>1200</v>
      </c>
      <c r="R1054" s="45">
        <v>199</v>
      </c>
      <c r="S1054" s="45">
        <v>219</v>
      </c>
      <c r="T1054" s="45">
        <v>227</v>
      </c>
      <c r="U1054" s="45">
        <v>239</v>
      </c>
      <c r="V1054" s="46"/>
    </row>
    <row r="1055" spans="2:22" ht="30" x14ac:dyDescent="0.25">
      <c r="B1055" s="47" t="s">
        <v>1086</v>
      </c>
      <c r="C1055" s="47" t="s">
        <v>1087</v>
      </c>
      <c r="D1055" s="47" t="s">
        <v>1088</v>
      </c>
      <c r="E1055" s="47" t="s">
        <v>27</v>
      </c>
      <c r="F1055" s="47" t="s">
        <v>294</v>
      </c>
      <c r="G1055" s="47" t="s">
        <v>27</v>
      </c>
      <c r="H1055" s="47">
        <v>70298</v>
      </c>
      <c r="I1055" s="47">
        <v>70108</v>
      </c>
      <c r="J1055" s="47" t="s">
        <v>28</v>
      </c>
      <c r="K1055" s="47" t="s">
        <v>1086</v>
      </c>
      <c r="L1055" s="47" t="s">
        <v>30</v>
      </c>
      <c r="M1055" s="47" t="s">
        <v>1087</v>
      </c>
      <c r="N1055" s="48">
        <v>1001</v>
      </c>
      <c r="O1055" s="48">
        <v>1101</v>
      </c>
      <c r="P1055" s="48">
        <v>1139</v>
      </c>
      <c r="Q1055" s="47">
        <v>1253</v>
      </c>
      <c r="R1055" s="48">
        <v>199</v>
      </c>
      <c r="S1055" s="48">
        <v>219</v>
      </c>
      <c r="T1055" s="48">
        <v>227</v>
      </c>
      <c r="U1055" s="47">
        <v>250</v>
      </c>
      <c r="V1055" s="47"/>
    </row>
    <row r="1056" spans="2:22" ht="30" x14ac:dyDescent="0.25">
      <c r="B1056" s="47" t="s">
        <v>1086</v>
      </c>
      <c r="C1056" s="47" t="s">
        <v>1087</v>
      </c>
      <c r="D1056" s="47" t="s">
        <v>1088</v>
      </c>
      <c r="E1056" s="47" t="s">
        <v>27</v>
      </c>
      <c r="F1056" s="47" t="s">
        <v>294</v>
      </c>
      <c r="G1056" s="47" t="s">
        <v>27</v>
      </c>
      <c r="H1056" s="47">
        <v>70298</v>
      </c>
      <c r="I1056" s="47">
        <v>70108</v>
      </c>
      <c r="J1056" s="47" t="s">
        <v>28</v>
      </c>
      <c r="K1056" s="47" t="s">
        <v>1089</v>
      </c>
      <c r="L1056" s="47" t="s">
        <v>31</v>
      </c>
      <c r="M1056" s="47" t="s">
        <v>1090</v>
      </c>
      <c r="N1056" s="48">
        <v>1001</v>
      </c>
      <c r="O1056" s="48">
        <v>1101</v>
      </c>
      <c r="P1056" s="48">
        <v>1139</v>
      </c>
      <c r="Q1056" s="47">
        <v>1253</v>
      </c>
      <c r="R1056" s="48">
        <v>199</v>
      </c>
      <c r="S1056" s="48">
        <v>219</v>
      </c>
      <c r="T1056" s="48">
        <v>227</v>
      </c>
      <c r="U1056" s="47">
        <v>250</v>
      </c>
      <c r="V1056" s="47"/>
    </row>
    <row r="1057" spans="2:22" ht="30" x14ac:dyDescent="0.25">
      <c r="B1057" s="47" t="s">
        <v>1086</v>
      </c>
      <c r="C1057" s="47" t="s">
        <v>1087</v>
      </c>
      <c r="D1057" s="47" t="s">
        <v>1088</v>
      </c>
      <c r="E1057" s="47" t="s">
        <v>27</v>
      </c>
      <c r="F1057" s="47" t="s">
        <v>294</v>
      </c>
      <c r="G1057" s="47" t="s">
        <v>27</v>
      </c>
      <c r="H1057" s="47">
        <v>70298</v>
      </c>
      <c r="I1057" s="47">
        <v>70108</v>
      </c>
      <c r="J1057" s="47" t="s">
        <v>28</v>
      </c>
      <c r="K1057" s="47" t="s">
        <v>2201</v>
      </c>
      <c r="L1057" s="47" t="s">
        <v>39</v>
      </c>
      <c r="M1057" s="47" t="s">
        <v>1090</v>
      </c>
      <c r="N1057" s="47">
        <v>1200</v>
      </c>
      <c r="O1057" s="47">
        <v>1200</v>
      </c>
      <c r="P1057" s="47">
        <v>1200</v>
      </c>
      <c r="Q1057" s="48">
        <v>1200</v>
      </c>
      <c r="R1057" s="47">
        <v>239</v>
      </c>
      <c r="S1057" s="47">
        <v>239</v>
      </c>
      <c r="T1057" s="47">
        <v>239</v>
      </c>
      <c r="U1057" s="48">
        <v>239</v>
      </c>
      <c r="V1057" s="48"/>
    </row>
    <row r="1058" spans="2:22" ht="30" x14ac:dyDescent="0.25">
      <c r="B1058" s="47" t="s">
        <v>1086</v>
      </c>
      <c r="C1058" s="47" t="s">
        <v>1087</v>
      </c>
      <c r="D1058" s="47" t="s">
        <v>1088</v>
      </c>
      <c r="E1058" s="47" t="s">
        <v>27</v>
      </c>
      <c r="F1058" s="47" t="s">
        <v>294</v>
      </c>
      <c r="G1058" s="47" t="s">
        <v>27</v>
      </c>
      <c r="H1058" s="47">
        <v>70298</v>
      </c>
      <c r="I1058" s="47">
        <v>70108</v>
      </c>
      <c r="J1058" s="47" t="s">
        <v>28</v>
      </c>
      <c r="K1058" s="47" t="s">
        <v>2196</v>
      </c>
      <c r="L1058" s="47" t="s">
        <v>39</v>
      </c>
      <c r="M1058" s="47" t="s">
        <v>1090</v>
      </c>
      <c r="N1058" s="47">
        <v>1200</v>
      </c>
      <c r="O1058" s="47">
        <v>1200</v>
      </c>
      <c r="P1058" s="47">
        <v>1200</v>
      </c>
      <c r="Q1058" s="48">
        <v>1200</v>
      </c>
      <c r="R1058" s="47">
        <v>239</v>
      </c>
      <c r="S1058" s="47">
        <v>239</v>
      </c>
      <c r="T1058" s="47">
        <v>239</v>
      </c>
      <c r="U1058" s="48">
        <v>239</v>
      </c>
      <c r="V1058" s="48"/>
    </row>
    <row r="1059" spans="2:22" ht="30" x14ac:dyDescent="0.25">
      <c r="B1059" s="47" t="s">
        <v>1086</v>
      </c>
      <c r="C1059" s="47" t="s">
        <v>1087</v>
      </c>
      <c r="D1059" s="47" t="s">
        <v>1088</v>
      </c>
      <c r="E1059" s="47" t="s">
        <v>27</v>
      </c>
      <c r="F1059" s="47" t="s">
        <v>294</v>
      </c>
      <c r="G1059" s="47" t="s">
        <v>27</v>
      </c>
      <c r="H1059" s="47">
        <v>70298</v>
      </c>
      <c r="I1059" s="47">
        <v>70108</v>
      </c>
      <c r="J1059" s="47" t="s">
        <v>28</v>
      </c>
      <c r="K1059" s="47" t="s">
        <v>2199</v>
      </c>
      <c r="L1059" s="47" t="s">
        <v>39</v>
      </c>
      <c r="M1059" s="47" t="s">
        <v>1090</v>
      </c>
      <c r="N1059" s="47">
        <v>1200</v>
      </c>
      <c r="O1059" s="47">
        <v>1200</v>
      </c>
      <c r="P1059" s="47">
        <v>1200</v>
      </c>
      <c r="Q1059" s="48">
        <v>1200</v>
      </c>
      <c r="R1059" s="47">
        <v>239</v>
      </c>
      <c r="S1059" s="47">
        <v>239</v>
      </c>
      <c r="T1059" s="47">
        <v>239</v>
      </c>
      <c r="U1059" s="48">
        <v>239</v>
      </c>
      <c r="V1059" s="48"/>
    </row>
    <row r="1060" spans="2:22" ht="30" x14ac:dyDescent="0.25">
      <c r="B1060" s="47" t="s">
        <v>1086</v>
      </c>
      <c r="C1060" s="47" t="s">
        <v>1087</v>
      </c>
      <c r="D1060" s="47" t="s">
        <v>1088</v>
      </c>
      <c r="E1060" s="47" t="s">
        <v>27</v>
      </c>
      <c r="F1060" s="47" t="s">
        <v>294</v>
      </c>
      <c r="G1060" s="47" t="s">
        <v>27</v>
      </c>
      <c r="H1060" s="47">
        <v>70298</v>
      </c>
      <c r="I1060" s="47">
        <v>70108</v>
      </c>
      <c r="J1060" s="47" t="s">
        <v>28</v>
      </c>
      <c r="K1060" s="47" t="s">
        <v>2200</v>
      </c>
      <c r="L1060" s="47" t="s">
        <v>39</v>
      </c>
      <c r="M1060" s="47" t="s">
        <v>1090</v>
      </c>
      <c r="N1060" s="47">
        <v>1200</v>
      </c>
      <c r="O1060" s="47">
        <v>1200</v>
      </c>
      <c r="P1060" s="47">
        <v>1200</v>
      </c>
      <c r="Q1060" s="48">
        <v>1200</v>
      </c>
      <c r="R1060" s="47">
        <v>239</v>
      </c>
      <c r="S1060" s="47">
        <v>239</v>
      </c>
      <c r="T1060" s="47">
        <v>239</v>
      </c>
      <c r="U1060" s="48">
        <v>239</v>
      </c>
      <c r="V1060" s="48"/>
    </row>
    <row r="1061" spans="2:22" ht="30" x14ac:dyDescent="0.25">
      <c r="B1061" s="47" t="s">
        <v>1086</v>
      </c>
      <c r="C1061" s="47" t="s">
        <v>1087</v>
      </c>
      <c r="D1061" s="47" t="s">
        <v>1088</v>
      </c>
      <c r="E1061" s="47" t="s">
        <v>27</v>
      </c>
      <c r="F1061" s="47" t="s">
        <v>294</v>
      </c>
      <c r="G1061" s="47" t="s">
        <v>27</v>
      </c>
      <c r="H1061" s="47">
        <v>70298</v>
      </c>
      <c r="I1061" s="47">
        <v>70108</v>
      </c>
      <c r="J1061" s="47" t="s">
        <v>28</v>
      </c>
      <c r="K1061" s="47" t="s">
        <v>2313</v>
      </c>
      <c r="L1061" s="47" t="s">
        <v>36</v>
      </c>
      <c r="M1061" s="47" t="s">
        <v>1090</v>
      </c>
      <c r="N1061" s="47">
        <v>1200</v>
      </c>
      <c r="O1061" s="47">
        <v>1200</v>
      </c>
      <c r="P1061" s="47">
        <v>1200</v>
      </c>
      <c r="Q1061" s="48">
        <v>1200</v>
      </c>
      <c r="R1061" s="47">
        <v>239</v>
      </c>
      <c r="S1061" s="47">
        <v>239</v>
      </c>
      <c r="T1061" s="47">
        <v>239</v>
      </c>
      <c r="U1061" s="48">
        <v>239</v>
      </c>
      <c r="V1061" s="48"/>
    </row>
    <row r="1062" spans="2:22" ht="30" x14ac:dyDescent="0.25">
      <c r="B1062" s="47" t="s">
        <v>1086</v>
      </c>
      <c r="C1062" s="47" t="s">
        <v>1087</v>
      </c>
      <c r="D1062" s="47" t="s">
        <v>1088</v>
      </c>
      <c r="E1062" s="47" t="s">
        <v>27</v>
      </c>
      <c r="F1062" s="47" t="s">
        <v>294</v>
      </c>
      <c r="G1062" s="47" t="s">
        <v>27</v>
      </c>
      <c r="H1062" s="47">
        <v>70298</v>
      </c>
      <c r="I1062" s="47">
        <v>70108</v>
      </c>
      <c r="J1062" s="47" t="s">
        <v>28</v>
      </c>
      <c r="K1062" s="47" t="s">
        <v>2197</v>
      </c>
      <c r="L1062" s="47" t="s">
        <v>39</v>
      </c>
      <c r="M1062" s="47" t="s">
        <v>1090</v>
      </c>
      <c r="N1062" s="47">
        <v>1200</v>
      </c>
      <c r="O1062" s="47">
        <v>1200</v>
      </c>
      <c r="P1062" s="47">
        <v>1200</v>
      </c>
      <c r="Q1062" s="48">
        <v>1200</v>
      </c>
      <c r="R1062" s="47">
        <v>239</v>
      </c>
      <c r="S1062" s="47">
        <v>239</v>
      </c>
      <c r="T1062" s="47">
        <v>239</v>
      </c>
      <c r="U1062" s="48">
        <v>239</v>
      </c>
      <c r="V1062" s="48"/>
    </row>
    <row r="1063" spans="2:22" ht="30" x14ac:dyDescent="0.25">
      <c r="B1063" s="47" t="s">
        <v>1086</v>
      </c>
      <c r="C1063" s="47" t="s">
        <v>1087</v>
      </c>
      <c r="D1063" s="47" t="s">
        <v>1088</v>
      </c>
      <c r="E1063" s="47" t="s">
        <v>27</v>
      </c>
      <c r="F1063" s="47" t="s">
        <v>294</v>
      </c>
      <c r="G1063" s="47" t="s">
        <v>27</v>
      </c>
      <c r="H1063" s="47">
        <v>70298</v>
      </c>
      <c r="I1063" s="47">
        <v>70108</v>
      </c>
      <c r="J1063" s="47" t="s">
        <v>28</v>
      </c>
      <c r="K1063" s="47" t="s">
        <v>2198</v>
      </c>
      <c r="L1063" s="47" t="s">
        <v>39</v>
      </c>
      <c r="M1063" s="47" t="s">
        <v>1090</v>
      </c>
      <c r="N1063" s="47">
        <v>1200</v>
      </c>
      <c r="O1063" s="47">
        <v>1200</v>
      </c>
      <c r="P1063" s="47">
        <v>1200</v>
      </c>
      <c r="Q1063" s="48">
        <v>1200</v>
      </c>
      <c r="R1063" s="47">
        <v>239</v>
      </c>
      <c r="S1063" s="47">
        <v>239</v>
      </c>
      <c r="T1063" s="47">
        <v>239</v>
      </c>
      <c r="U1063" s="48">
        <v>239</v>
      </c>
      <c r="V1063" s="48"/>
    </row>
    <row r="1064" spans="2:22" ht="30" x14ac:dyDescent="0.25">
      <c r="B1064" s="47" t="s">
        <v>1086</v>
      </c>
      <c r="C1064" s="47" t="s">
        <v>1087</v>
      </c>
      <c r="D1064" s="47" t="s">
        <v>1088</v>
      </c>
      <c r="E1064" s="47" t="s">
        <v>27</v>
      </c>
      <c r="F1064" s="47" t="s">
        <v>294</v>
      </c>
      <c r="G1064" s="47" t="s">
        <v>27</v>
      </c>
      <c r="H1064" s="47">
        <v>70298</v>
      </c>
      <c r="I1064" s="47">
        <v>70108</v>
      </c>
      <c r="J1064" s="47" t="s">
        <v>28</v>
      </c>
      <c r="K1064" s="47" t="s">
        <v>2195</v>
      </c>
      <c r="L1064" s="47" t="s">
        <v>39</v>
      </c>
      <c r="M1064" s="47" t="s">
        <v>1090</v>
      </c>
      <c r="N1064" s="47">
        <v>1200</v>
      </c>
      <c r="O1064" s="47">
        <v>1200</v>
      </c>
      <c r="P1064" s="47">
        <v>1200</v>
      </c>
      <c r="Q1064" s="48">
        <v>1200</v>
      </c>
      <c r="R1064" s="47">
        <v>239</v>
      </c>
      <c r="S1064" s="47">
        <v>239</v>
      </c>
      <c r="T1064" s="47">
        <v>239</v>
      </c>
      <c r="U1064" s="48">
        <v>239</v>
      </c>
      <c r="V1064" s="48"/>
    </row>
    <row r="1065" spans="2:22" ht="30" x14ac:dyDescent="0.25">
      <c r="B1065" s="47" t="s">
        <v>1086</v>
      </c>
      <c r="C1065" s="47" t="s">
        <v>1087</v>
      </c>
      <c r="D1065" s="47" t="s">
        <v>1088</v>
      </c>
      <c r="E1065" s="47" t="s">
        <v>27</v>
      </c>
      <c r="F1065" s="47" t="s">
        <v>294</v>
      </c>
      <c r="G1065" s="47" t="s">
        <v>27</v>
      </c>
      <c r="H1065" s="47">
        <v>70298</v>
      </c>
      <c r="I1065" s="47">
        <v>70108</v>
      </c>
      <c r="J1065" s="47" t="s">
        <v>28</v>
      </c>
      <c r="K1065" s="47" t="s">
        <v>2314</v>
      </c>
      <c r="L1065" s="47" t="s">
        <v>36</v>
      </c>
      <c r="M1065" s="47" t="s">
        <v>1090</v>
      </c>
      <c r="N1065" s="47">
        <v>1200</v>
      </c>
      <c r="O1065" s="47">
        <v>1200</v>
      </c>
      <c r="P1065" s="47">
        <v>1200</v>
      </c>
      <c r="Q1065" s="48">
        <v>1200</v>
      </c>
      <c r="R1065" s="47">
        <v>239</v>
      </c>
      <c r="S1065" s="47">
        <v>239</v>
      </c>
      <c r="T1065" s="47">
        <v>239</v>
      </c>
      <c r="U1065" s="48">
        <v>239</v>
      </c>
      <c r="V1065" s="48"/>
    </row>
    <row r="1066" spans="2:22" ht="30" x14ac:dyDescent="0.25">
      <c r="B1066" s="47" t="s">
        <v>1086</v>
      </c>
      <c r="C1066" s="47" t="s">
        <v>1087</v>
      </c>
      <c r="D1066" s="47" t="s">
        <v>1088</v>
      </c>
      <c r="E1066" s="47" t="s">
        <v>27</v>
      </c>
      <c r="F1066" s="47" t="s">
        <v>294</v>
      </c>
      <c r="G1066" s="47" t="s">
        <v>27</v>
      </c>
      <c r="H1066" s="47">
        <v>70298</v>
      </c>
      <c r="I1066" s="47">
        <v>70108</v>
      </c>
      <c r="J1066" s="47" t="s">
        <v>28</v>
      </c>
      <c r="K1066" s="47" t="s">
        <v>2202</v>
      </c>
      <c r="L1066" s="47" t="s">
        <v>39</v>
      </c>
      <c r="M1066" s="47" t="s">
        <v>1090</v>
      </c>
      <c r="N1066" s="47">
        <v>1200</v>
      </c>
      <c r="O1066" s="47">
        <v>1200</v>
      </c>
      <c r="P1066" s="47">
        <v>1200</v>
      </c>
      <c r="Q1066" s="48">
        <v>1200</v>
      </c>
      <c r="R1066" s="47">
        <v>239</v>
      </c>
      <c r="S1066" s="47">
        <v>239</v>
      </c>
      <c r="T1066" s="47">
        <v>239</v>
      </c>
      <c r="U1066" s="48">
        <v>239</v>
      </c>
      <c r="V1066" s="48"/>
    </row>
    <row r="1067" spans="2:22" ht="23" x14ac:dyDescent="0.25">
      <c r="B1067" s="44" t="s">
        <v>1093</v>
      </c>
      <c r="C1067" s="44" t="s">
        <v>1094</v>
      </c>
      <c r="D1067" s="44" t="s">
        <v>1088</v>
      </c>
      <c r="E1067" s="44" t="s">
        <v>27</v>
      </c>
      <c r="F1067" s="44" t="s">
        <v>601</v>
      </c>
      <c r="G1067" s="44" t="s">
        <v>27</v>
      </c>
      <c r="H1067" s="44">
        <v>70298</v>
      </c>
      <c r="I1067" s="44">
        <v>70377</v>
      </c>
      <c r="J1067" s="44" t="s">
        <v>28</v>
      </c>
      <c r="K1067" s="44" t="s">
        <v>1093</v>
      </c>
      <c r="L1067" s="44" t="s">
        <v>29</v>
      </c>
      <c r="M1067" s="44"/>
      <c r="N1067" s="45">
        <v>958</v>
      </c>
      <c r="O1067" s="45">
        <v>1054</v>
      </c>
      <c r="P1067" s="45">
        <v>1090</v>
      </c>
      <c r="Q1067" s="45">
        <v>1199</v>
      </c>
      <c r="R1067" s="45">
        <v>191</v>
      </c>
      <c r="S1067" s="45">
        <v>210</v>
      </c>
      <c r="T1067" s="45">
        <v>217</v>
      </c>
      <c r="U1067" s="45">
        <v>239</v>
      </c>
      <c r="V1067" s="46"/>
    </row>
    <row r="1068" spans="2:22" ht="20" x14ac:dyDescent="0.25">
      <c r="B1068" s="47" t="s">
        <v>1093</v>
      </c>
      <c r="C1068" s="47" t="s">
        <v>1094</v>
      </c>
      <c r="D1068" s="47" t="s">
        <v>1088</v>
      </c>
      <c r="E1068" s="47" t="s">
        <v>27</v>
      </c>
      <c r="F1068" s="47" t="s">
        <v>601</v>
      </c>
      <c r="G1068" s="47" t="s">
        <v>27</v>
      </c>
      <c r="H1068" s="47">
        <v>70298</v>
      </c>
      <c r="I1068" s="47">
        <v>70377</v>
      </c>
      <c r="J1068" s="47" t="s">
        <v>28</v>
      </c>
      <c r="K1068" s="47" t="s">
        <v>1093</v>
      </c>
      <c r="L1068" s="47" t="s">
        <v>30</v>
      </c>
      <c r="M1068" s="47" t="s">
        <v>1094</v>
      </c>
      <c r="N1068" s="48">
        <v>958</v>
      </c>
      <c r="O1068" s="48">
        <v>1054</v>
      </c>
      <c r="P1068" s="48">
        <v>1090</v>
      </c>
      <c r="Q1068" s="48">
        <v>1199</v>
      </c>
      <c r="R1068" s="48">
        <v>191</v>
      </c>
      <c r="S1068" s="48">
        <v>210</v>
      </c>
      <c r="T1068" s="48">
        <v>217</v>
      </c>
      <c r="U1068" s="48">
        <v>239</v>
      </c>
      <c r="V1068" s="48"/>
    </row>
    <row r="1069" spans="2:22" ht="23" x14ac:dyDescent="0.25">
      <c r="B1069" s="44" t="s">
        <v>1853</v>
      </c>
      <c r="C1069" s="44" t="s">
        <v>52</v>
      </c>
      <c r="D1069" s="44" t="s">
        <v>1849</v>
      </c>
      <c r="E1069" s="44" t="s">
        <v>27</v>
      </c>
      <c r="F1069" s="44" t="s">
        <v>745</v>
      </c>
      <c r="G1069" s="44" t="s">
        <v>27</v>
      </c>
      <c r="H1069" s="44">
        <v>70170</v>
      </c>
      <c r="I1069" s="44">
        <v>70300</v>
      </c>
      <c r="J1069" s="44" t="s">
        <v>28</v>
      </c>
      <c r="K1069" s="44" t="s">
        <v>1853</v>
      </c>
      <c r="L1069" s="44" t="s">
        <v>29</v>
      </c>
      <c r="M1069" s="44"/>
      <c r="N1069" s="45">
        <v>798</v>
      </c>
      <c r="O1069" s="45">
        <v>878</v>
      </c>
      <c r="P1069" s="45">
        <v>900</v>
      </c>
      <c r="Q1069" s="45">
        <v>990</v>
      </c>
      <c r="R1069" s="45">
        <v>159</v>
      </c>
      <c r="S1069" s="45">
        <v>175</v>
      </c>
      <c r="T1069" s="45">
        <v>179</v>
      </c>
      <c r="U1069" s="45">
        <v>197</v>
      </c>
      <c r="V1069" s="46"/>
    </row>
    <row r="1070" spans="2:22" x14ac:dyDescent="0.25">
      <c r="B1070" s="47" t="s">
        <v>1853</v>
      </c>
      <c r="C1070" s="47" t="s">
        <v>52</v>
      </c>
      <c r="D1070" s="47" t="s">
        <v>1849</v>
      </c>
      <c r="E1070" s="47" t="s">
        <v>27</v>
      </c>
      <c r="F1070" s="47" t="s">
        <v>745</v>
      </c>
      <c r="G1070" s="47" t="s">
        <v>27</v>
      </c>
      <c r="H1070" s="47">
        <v>70170</v>
      </c>
      <c r="I1070" s="47">
        <v>70300</v>
      </c>
      <c r="J1070" s="47" t="s">
        <v>28</v>
      </c>
      <c r="K1070" s="47" t="s">
        <v>1853</v>
      </c>
      <c r="L1070" s="47" t="s">
        <v>30</v>
      </c>
      <c r="M1070" s="47" t="s">
        <v>52</v>
      </c>
      <c r="N1070" s="48">
        <v>798</v>
      </c>
      <c r="O1070" s="48">
        <v>878</v>
      </c>
      <c r="P1070" s="48">
        <v>900</v>
      </c>
      <c r="Q1070" s="48">
        <v>990</v>
      </c>
      <c r="R1070" s="48">
        <v>159</v>
      </c>
      <c r="S1070" s="48">
        <v>175</v>
      </c>
      <c r="T1070" s="48">
        <v>179</v>
      </c>
      <c r="U1070" s="48">
        <v>197</v>
      </c>
      <c r="V1070" s="48"/>
    </row>
    <row r="1071" spans="2:22" ht="31.5" x14ac:dyDescent="0.25">
      <c r="B1071" s="44" t="s">
        <v>172</v>
      </c>
      <c r="C1071" s="44" t="s">
        <v>162</v>
      </c>
      <c r="D1071" s="44" t="s">
        <v>225</v>
      </c>
      <c r="E1071" s="44" t="s">
        <v>27</v>
      </c>
      <c r="F1071" s="44" t="s">
        <v>221</v>
      </c>
      <c r="G1071" s="44" t="s">
        <v>27</v>
      </c>
      <c r="H1071" s="44">
        <v>70304</v>
      </c>
      <c r="I1071" s="44">
        <v>70056</v>
      </c>
      <c r="J1071" s="44" t="s">
        <v>28</v>
      </c>
      <c r="K1071" s="44" t="s">
        <v>172</v>
      </c>
      <c r="L1071" s="44" t="s">
        <v>29</v>
      </c>
      <c r="M1071" s="44"/>
      <c r="N1071" s="45"/>
      <c r="O1071" s="45"/>
      <c r="P1071" s="45"/>
      <c r="Q1071" s="45"/>
      <c r="R1071" s="45"/>
      <c r="S1071" s="45"/>
      <c r="T1071" s="45"/>
      <c r="U1071" s="45"/>
      <c r="V1071" s="46" t="s">
        <v>1316</v>
      </c>
    </row>
    <row r="1072" spans="2:22" ht="23" x14ac:dyDescent="0.25">
      <c r="B1072" s="44" t="s">
        <v>1114</v>
      </c>
      <c r="C1072" s="44" t="s">
        <v>1115</v>
      </c>
      <c r="D1072" s="44" t="s">
        <v>1116</v>
      </c>
      <c r="E1072" s="44" t="s">
        <v>27</v>
      </c>
      <c r="F1072" s="44" t="s">
        <v>456</v>
      </c>
      <c r="G1072" s="44" t="s">
        <v>27</v>
      </c>
      <c r="H1072" s="44">
        <v>2143</v>
      </c>
      <c r="I1072" s="44">
        <v>70309</v>
      </c>
      <c r="J1072" s="44" t="s">
        <v>28</v>
      </c>
      <c r="K1072" s="44" t="s">
        <v>1114</v>
      </c>
      <c r="L1072" s="44" t="s">
        <v>29</v>
      </c>
      <c r="M1072" s="44"/>
      <c r="N1072" s="45">
        <v>1200</v>
      </c>
      <c r="O1072" s="45">
        <v>1200</v>
      </c>
      <c r="P1072" s="45">
        <v>1200</v>
      </c>
      <c r="Q1072" s="45">
        <v>1200</v>
      </c>
      <c r="R1072" s="45">
        <v>478</v>
      </c>
      <c r="S1072" s="45">
        <v>478</v>
      </c>
      <c r="T1072" s="45">
        <v>478</v>
      </c>
      <c r="U1072" s="45">
        <v>478</v>
      </c>
      <c r="V1072" s="46"/>
    </row>
    <row r="1073" spans="2:22" ht="30" x14ac:dyDescent="0.25">
      <c r="B1073" s="47" t="s">
        <v>1114</v>
      </c>
      <c r="C1073" s="47" t="s">
        <v>1115</v>
      </c>
      <c r="D1073" s="47" t="s">
        <v>1116</v>
      </c>
      <c r="E1073" s="47" t="s">
        <v>27</v>
      </c>
      <c r="F1073" s="47" t="s">
        <v>456</v>
      </c>
      <c r="G1073" s="47" t="s">
        <v>27</v>
      </c>
      <c r="H1073" s="47">
        <v>2143</v>
      </c>
      <c r="I1073" s="47">
        <v>70309</v>
      </c>
      <c r="J1073" s="47" t="s">
        <v>28</v>
      </c>
      <c r="K1073" s="47" t="s">
        <v>2203</v>
      </c>
      <c r="L1073" s="47" t="s">
        <v>36</v>
      </c>
      <c r="M1073" s="47" t="s">
        <v>457</v>
      </c>
      <c r="N1073" s="48">
        <v>1200</v>
      </c>
      <c r="O1073" s="48">
        <v>1200</v>
      </c>
      <c r="P1073" s="48">
        <v>1200</v>
      </c>
      <c r="Q1073" s="48">
        <v>1200</v>
      </c>
      <c r="R1073" s="48">
        <v>478</v>
      </c>
      <c r="S1073" s="48">
        <v>478</v>
      </c>
      <c r="T1073" s="48">
        <v>478</v>
      </c>
      <c r="U1073" s="48">
        <v>478</v>
      </c>
      <c r="V1073" s="48"/>
    </row>
    <row r="1074" spans="2:22" ht="30" x14ac:dyDescent="0.25">
      <c r="B1074" s="47" t="s">
        <v>1114</v>
      </c>
      <c r="C1074" s="47" t="s">
        <v>1115</v>
      </c>
      <c r="D1074" s="47" t="s">
        <v>1116</v>
      </c>
      <c r="E1074" s="47" t="s">
        <v>27</v>
      </c>
      <c r="F1074" s="47" t="s">
        <v>456</v>
      </c>
      <c r="G1074" s="47" t="s">
        <v>27</v>
      </c>
      <c r="H1074" s="47">
        <v>2143</v>
      </c>
      <c r="I1074" s="47">
        <v>70309</v>
      </c>
      <c r="J1074" s="47" t="s">
        <v>28</v>
      </c>
      <c r="K1074" s="47" t="s">
        <v>2204</v>
      </c>
      <c r="L1074" s="47" t="s">
        <v>36</v>
      </c>
      <c r="M1074" s="47" t="s">
        <v>457</v>
      </c>
      <c r="N1074" s="48">
        <v>1200</v>
      </c>
      <c r="O1074" s="48">
        <v>1200</v>
      </c>
      <c r="P1074" s="48">
        <v>1200</v>
      </c>
      <c r="Q1074" s="48">
        <v>1200</v>
      </c>
      <c r="R1074" s="48">
        <v>478</v>
      </c>
      <c r="S1074" s="48">
        <v>478</v>
      </c>
      <c r="T1074" s="48">
        <v>478</v>
      </c>
      <c r="U1074" s="48">
        <v>478</v>
      </c>
      <c r="V1074" s="48"/>
    </row>
    <row r="1075" spans="2:22" ht="34.5" x14ac:dyDescent="0.25">
      <c r="B1075" s="44" t="s">
        <v>1117</v>
      </c>
      <c r="C1075" s="44" t="s">
        <v>1115</v>
      </c>
      <c r="D1075" s="44" t="s">
        <v>1116</v>
      </c>
      <c r="E1075" s="44" t="s">
        <v>27</v>
      </c>
      <c r="F1075" s="44" t="s">
        <v>580</v>
      </c>
      <c r="G1075" s="44" t="s">
        <v>27</v>
      </c>
      <c r="H1075" s="44">
        <v>2143</v>
      </c>
      <c r="I1075" s="44">
        <v>79057</v>
      </c>
      <c r="J1075" s="44" t="s">
        <v>28</v>
      </c>
      <c r="K1075" s="44" t="s">
        <v>1117</v>
      </c>
      <c r="L1075" s="44" t="s">
        <v>29</v>
      </c>
      <c r="M1075" s="44"/>
      <c r="N1075" s="45">
        <v>1423</v>
      </c>
      <c r="O1075" s="45">
        <v>1565</v>
      </c>
      <c r="P1075" s="45">
        <v>1611</v>
      </c>
      <c r="Q1075" s="45">
        <v>1772</v>
      </c>
      <c r="R1075" s="45">
        <v>567</v>
      </c>
      <c r="S1075" s="45">
        <v>623</v>
      </c>
      <c r="T1075" s="45">
        <v>642</v>
      </c>
      <c r="U1075" s="45">
        <v>706</v>
      </c>
      <c r="V1075" s="46"/>
    </row>
    <row r="1076" spans="2:22" ht="20" x14ac:dyDescent="0.25">
      <c r="B1076" s="47" t="s">
        <v>1117</v>
      </c>
      <c r="C1076" s="47" t="s">
        <v>1115</v>
      </c>
      <c r="D1076" s="47" t="s">
        <v>1116</v>
      </c>
      <c r="E1076" s="47" t="s">
        <v>27</v>
      </c>
      <c r="F1076" s="47" t="s">
        <v>580</v>
      </c>
      <c r="G1076" s="47" t="s">
        <v>27</v>
      </c>
      <c r="H1076" s="47">
        <v>2143</v>
      </c>
      <c r="I1076" s="47">
        <v>79057</v>
      </c>
      <c r="J1076" s="47" t="s">
        <v>28</v>
      </c>
      <c r="K1076" s="47" t="s">
        <v>388</v>
      </c>
      <c r="L1076" s="47" t="s">
        <v>31</v>
      </c>
      <c r="M1076" s="47" t="s">
        <v>1284</v>
      </c>
      <c r="N1076" s="48">
        <v>1423</v>
      </c>
      <c r="O1076" s="48">
        <v>1565</v>
      </c>
      <c r="P1076" s="47">
        <v>1621</v>
      </c>
      <c r="Q1076" s="47">
        <v>1783</v>
      </c>
      <c r="R1076" s="48">
        <v>567</v>
      </c>
      <c r="S1076" s="48">
        <v>623</v>
      </c>
      <c r="T1076" s="47">
        <v>646</v>
      </c>
      <c r="U1076" s="47">
        <v>710</v>
      </c>
      <c r="V1076" s="47"/>
    </row>
    <row r="1077" spans="2:22" ht="20" x14ac:dyDescent="0.25">
      <c r="B1077" s="47" t="s">
        <v>1117</v>
      </c>
      <c r="C1077" s="47" t="s">
        <v>1115</v>
      </c>
      <c r="D1077" s="47" t="s">
        <v>1116</v>
      </c>
      <c r="E1077" s="47" t="s">
        <v>27</v>
      </c>
      <c r="F1077" s="47" t="s">
        <v>580</v>
      </c>
      <c r="G1077" s="47" t="s">
        <v>27</v>
      </c>
      <c r="H1077" s="47">
        <v>2143</v>
      </c>
      <c r="I1077" s="47">
        <v>79057</v>
      </c>
      <c r="J1077" s="47" t="s">
        <v>28</v>
      </c>
      <c r="K1077" s="47" t="s">
        <v>1117</v>
      </c>
      <c r="L1077" s="47" t="s">
        <v>30</v>
      </c>
      <c r="M1077" s="47" t="s">
        <v>1115</v>
      </c>
      <c r="N1077" s="47">
        <v>1434</v>
      </c>
      <c r="O1077" s="47">
        <v>1578</v>
      </c>
      <c r="P1077" s="48">
        <v>1611</v>
      </c>
      <c r="Q1077" s="48">
        <v>1772</v>
      </c>
      <c r="R1077" s="47">
        <v>571</v>
      </c>
      <c r="S1077" s="47">
        <v>629</v>
      </c>
      <c r="T1077" s="48">
        <v>642</v>
      </c>
      <c r="U1077" s="48">
        <v>706</v>
      </c>
      <c r="V1077" s="48"/>
    </row>
    <row r="1078" spans="2:22" ht="34.5" x14ac:dyDescent="0.25">
      <c r="B1078" s="44" t="s">
        <v>1108</v>
      </c>
      <c r="C1078" s="44" t="s">
        <v>1109</v>
      </c>
      <c r="D1078" s="44" t="s">
        <v>456</v>
      </c>
      <c r="E1078" s="44" t="s">
        <v>27</v>
      </c>
      <c r="F1078" s="44" t="s">
        <v>208</v>
      </c>
      <c r="G1078" s="44" t="s">
        <v>27</v>
      </c>
      <c r="H1078" s="44">
        <v>70309</v>
      </c>
      <c r="I1078" s="44">
        <v>70358</v>
      </c>
      <c r="J1078" s="44" t="s">
        <v>28</v>
      </c>
      <c r="K1078" s="44" t="s">
        <v>1108</v>
      </c>
      <c r="L1078" s="44" t="s">
        <v>29</v>
      </c>
      <c r="M1078" s="44"/>
      <c r="N1078" s="45">
        <v>1085</v>
      </c>
      <c r="O1078" s="45">
        <v>1188</v>
      </c>
      <c r="P1078" s="45">
        <v>1200</v>
      </c>
      <c r="Q1078" s="45">
        <v>1200</v>
      </c>
      <c r="R1078" s="45">
        <v>432</v>
      </c>
      <c r="S1078" s="45">
        <v>473</v>
      </c>
      <c r="T1078" s="45">
        <v>478</v>
      </c>
      <c r="U1078" s="45">
        <v>478</v>
      </c>
      <c r="V1078" s="46"/>
    </row>
    <row r="1079" spans="2:22" ht="20" x14ac:dyDescent="0.25">
      <c r="B1079" s="47" t="s">
        <v>1108</v>
      </c>
      <c r="C1079" s="47" t="s">
        <v>1109</v>
      </c>
      <c r="D1079" s="47" t="s">
        <v>456</v>
      </c>
      <c r="E1079" s="47" t="s">
        <v>27</v>
      </c>
      <c r="F1079" s="47" t="s">
        <v>208</v>
      </c>
      <c r="G1079" s="47" t="s">
        <v>27</v>
      </c>
      <c r="H1079" s="47">
        <v>70309</v>
      </c>
      <c r="I1079" s="47">
        <v>70358</v>
      </c>
      <c r="J1079" s="47" t="s">
        <v>28</v>
      </c>
      <c r="K1079" s="47" t="s">
        <v>249</v>
      </c>
      <c r="L1079" s="47" t="s">
        <v>31</v>
      </c>
      <c r="M1079" s="47" t="s">
        <v>210</v>
      </c>
      <c r="N1079" s="48">
        <v>1085</v>
      </c>
      <c r="O1079" s="47">
        <v>1265</v>
      </c>
      <c r="P1079" s="47">
        <v>1296</v>
      </c>
      <c r="Q1079" s="47">
        <v>1441</v>
      </c>
      <c r="R1079" s="48">
        <v>432</v>
      </c>
      <c r="S1079" s="47">
        <v>504</v>
      </c>
      <c r="T1079" s="47">
        <v>516</v>
      </c>
      <c r="U1079" s="47">
        <v>574</v>
      </c>
      <c r="V1079" s="47"/>
    </row>
    <row r="1080" spans="2:22" ht="20" x14ac:dyDescent="0.25">
      <c r="B1080" s="47" t="s">
        <v>1108</v>
      </c>
      <c r="C1080" s="47" t="s">
        <v>1109</v>
      </c>
      <c r="D1080" s="47" t="s">
        <v>456</v>
      </c>
      <c r="E1080" s="47" t="s">
        <v>27</v>
      </c>
      <c r="F1080" s="47" t="s">
        <v>208</v>
      </c>
      <c r="G1080" s="47" t="s">
        <v>27</v>
      </c>
      <c r="H1080" s="47">
        <v>70309</v>
      </c>
      <c r="I1080" s="47">
        <v>70358</v>
      </c>
      <c r="J1080" s="47" t="s">
        <v>28</v>
      </c>
      <c r="K1080" s="47"/>
      <c r="L1080" s="47" t="s">
        <v>301</v>
      </c>
      <c r="M1080" s="47" t="s">
        <v>457</v>
      </c>
      <c r="N1080" s="47">
        <v>1188</v>
      </c>
      <c r="O1080" s="48">
        <v>1188</v>
      </c>
      <c r="P1080" s="47">
        <v>1255</v>
      </c>
      <c r="Q1080" s="47">
        <v>1255</v>
      </c>
      <c r="R1080" s="47">
        <v>473</v>
      </c>
      <c r="S1080" s="48">
        <v>473</v>
      </c>
      <c r="T1080" s="47">
        <v>500</v>
      </c>
      <c r="U1080" s="47">
        <v>500</v>
      </c>
      <c r="V1080" s="47"/>
    </row>
    <row r="1081" spans="2:22" ht="20" x14ac:dyDescent="0.25">
      <c r="B1081" s="47" t="s">
        <v>1108</v>
      </c>
      <c r="C1081" s="47" t="s">
        <v>1109</v>
      </c>
      <c r="D1081" s="47" t="s">
        <v>456</v>
      </c>
      <c r="E1081" s="47" t="s">
        <v>27</v>
      </c>
      <c r="F1081" s="47" t="s">
        <v>208</v>
      </c>
      <c r="G1081" s="47" t="s">
        <v>27</v>
      </c>
      <c r="H1081" s="47">
        <v>70309</v>
      </c>
      <c r="I1081" s="47">
        <v>70358</v>
      </c>
      <c r="J1081" s="47" t="s">
        <v>28</v>
      </c>
      <c r="K1081" s="47"/>
      <c r="L1081" s="47" t="s">
        <v>301</v>
      </c>
      <c r="M1081" s="47" t="s">
        <v>210</v>
      </c>
      <c r="N1081" s="47">
        <v>1188</v>
      </c>
      <c r="O1081" s="48">
        <v>1188</v>
      </c>
      <c r="P1081" s="47">
        <v>1255</v>
      </c>
      <c r="Q1081" s="47">
        <v>1255</v>
      </c>
      <c r="R1081" s="47">
        <v>473</v>
      </c>
      <c r="S1081" s="48">
        <v>473</v>
      </c>
      <c r="T1081" s="47">
        <v>500</v>
      </c>
      <c r="U1081" s="47">
        <v>500</v>
      </c>
      <c r="V1081" s="47"/>
    </row>
    <row r="1082" spans="2:22" ht="20" x14ac:dyDescent="0.25">
      <c r="B1082" s="47" t="s">
        <v>1108</v>
      </c>
      <c r="C1082" s="47" t="s">
        <v>1109</v>
      </c>
      <c r="D1082" s="47" t="s">
        <v>456</v>
      </c>
      <c r="E1082" s="47" t="s">
        <v>27</v>
      </c>
      <c r="F1082" s="47" t="s">
        <v>208</v>
      </c>
      <c r="G1082" s="47" t="s">
        <v>27</v>
      </c>
      <c r="H1082" s="47">
        <v>70309</v>
      </c>
      <c r="I1082" s="47">
        <v>70358</v>
      </c>
      <c r="J1082" s="47" t="s">
        <v>28</v>
      </c>
      <c r="K1082" s="47" t="s">
        <v>1111</v>
      </c>
      <c r="L1082" s="47" t="s">
        <v>39</v>
      </c>
      <c r="M1082" s="47" t="s">
        <v>210</v>
      </c>
      <c r="N1082" s="47">
        <v>1200</v>
      </c>
      <c r="O1082" s="47">
        <v>1200</v>
      </c>
      <c r="P1082" s="48">
        <v>1200</v>
      </c>
      <c r="Q1082" s="48">
        <v>1200</v>
      </c>
      <c r="R1082" s="47">
        <v>478</v>
      </c>
      <c r="S1082" s="47">
        <v>478</v>
      </c>
      <c r="T1082" s="48">
        <v>478</v>
      </c>
      <c r="U1082" s="48">
        <v>478</v>
      </c>
      <c r="V1082" s="48"/>
    </row>
    <row r="1083" spans="2:22" ht="20" x14ac:dyDescent="0.25">
      <c r="B1083" s="47" t="s">
        <v>1108</v>
      </c>
      <c r="C1083" s="47" t="s">
        <v>1109</v>
      </c>
      <c r="D1083" s="47" t="s">
        <v>456</v>
      </c>
      <c r="E1083" s="47" t="s">
        <v>27</v>
      </c>
      <c r="F1083" s="47" t="s">
        <v>208</v>
      </c>
      <c r="G1083" s="47" t="s">
        <v>27</v>
      </c>
      <c r="H1083" s="47">
        <v>70309</v>
      </c>
      <c r="I1083" s="47">
        <v>70358</v>
      </c>
      <c r="J1083" s="47" t="s">
        <v>28</v>
      </c>
      <c r="K1083" s="47" t="s">
        <v>1113</v>
      </c>
      <c r="L1083" s="47" t="s">
        <v>39</v>
      </c>
      <c r="M1083" s="47" t="s">
        <v>210</v>
      </c>
      <c r="N1083" s="47">
        <v>1200</v>
      </c>
      <c r="O1083" s="47">
        <v>1200</v>
      </c>
      <c r="P1083" s="48">
        <v>1200</v>
      </c>
      <c r="Q1083" s="48">
        <v>1200</v>
      </c>
      <c r="R1083" s="47">
        <v>478</v>
      </c>
      <c r="S1083" s="47">
        <v>478</v>
      </c>
      <c r="T1083" s="48">
        <v>478</v>
      </c>
      <c r="U1083" s="48">
        <v>478</v>
      </c>
      <c r="V1083" s="48"/>
    </row>
    <row r="1084" spans="2:22" ht="20" x14ac:dyDescent="0.25">
      <c r="B1084" s="47" t="s">
        <v>1108</v>
      </c>
      <c r="C1084" s="47" t="s">
        <v>1109</v>
      </c>
      <c r="D1084" s="47" t="s">
        <v>456</v>
      </c>
      <c r="E1084" s="47" t="s">
        <v>27</v>
      </c>
      <c r="F1084" s="47" t="s">
        <v>208</v>
      </c>
      <c r="G1084" s="47" t="s">
        <v>27</v>
      </c>
      <c r="H1084" s="47">
        <v>70309</v>
      </c>
      <c r="I1084" s="47">
        <v>70358</v>
      </c>
      <c r="J1084" s="47" t="s">
        <v>28</v>
      </c>
      <c r="K1084" s="47" t="s">
        <v>1110</v>
      </c>
      <c r="L1084" s="47" t="s">
        <v>39</v>
      </c>
      <c r="M1084" s="47" t="s">
        <v>210</v>
      </c>
      <c r="N1084" s="47">
        <v>1200</v>
      </c>
      <c r="O1084" s="47">
        <v>1200</v>
      </c>
      <c r="P1084" s="48">
        <v>1200</v>
      </c>
      <c r="Q1084" s="48">
        <v>1200</v>
      </c>
      <c r="R1084" s="47">
        <v>478</v>
      </c>
      <c r="S1084" s="47">
        <v>478</v>
      </c>
      <c r="T1084" s="48">
        <v>478</v>
      </c>
      <c r="U1084" s="48">
        <v>478</v>
      </c>
      <c r="V1084" s="48"/>
    </row>
    <row r="1085" spans="2:22" ht="20" x14ac:dyDescent="0.25">
      <c r="B1085" s="47" t="s">
        <v>1108</v>
      </c>
      <c r="C1085" s="47" t="s">
        <v>1109</v>
      </c>
      <c r="D1085" s="47" t="s">
        <v>456</v>
      </c>
      <c r="E1085" s="47" t="s">
        <v>27</v>
      </c>
      <c r="F1085" s="47" t="s">
        <v>208</v>
      </c>
      <c r="G1085" s="47" t="s">
        <v>27</v>
      </c>
      <c r="H1085" s="47">
        <v>70309</v>
      </c>
      <c r="I1085" s="47">
        <v>70358</v>
      </c>
      <c r="J1085" s="47" t="s">
        <v>28</v>
      </c>
      <c r="K1085" s="47" t="s">
        <v>1112</v>
      </c>
      <c r="L1085" s="47" t="s">
        <v>39</v>
      </c>
      <c r="M1085" s="47" t="s">
        <v>210</v>
      </c>
      <c r="N1085" s="47">
        <v>1200</v>
      </c>
      <c r="O1085" s="47">
        <v>1200</v>
      </c>
      <c r="P1085" s="48">
        <v>1200</v>
      </c>
      <c r="Q1085" s="48">
        <v>1200</v>
      </c>
      <c r="R1085" s="47">
        <v>478</v>
      </c>
      <c r="S1085" s="47">
        <v>478</v>
      </c>
      <c r="T1085" s="48">
        <v>478</v>
      </c>
      <c r="U1085" s="48">
        <v>478</v>
      </c>
      <c r="V1085" s="48"/>
    </row>
    <row r="1086" spans="2:22" x14ac:dyDescent="0.25">
      <c r="B1086" s="44" t="s">
        <v>1118</v>
      </c>
      <c r="C1086" s="44" t="s">
        <v>1119</v>
      </c>
      <c r="D1086" s="44" t="s">
        <v>783</v>
      </c>
      <c r="E1086" s="44" t="s">
        <v>27</v>
      </c>
      <c r="F1086" s="44" t="s">
        <v>1120</v>
      </c>
      <c r="G1086" s="44" t="s">
        <v>27</v>
      </c>
      <c r="H1086" s="44">
        <v>70311</v>
      </c>
      <c r="I1086" s="44">
        <v>70545</v>
      </c>
      <c r="J1086" s="44" t="s">
        <v>28</v>
      </c>
      <c r="K1086" s="44" t="s">
        <v>1118</v>
      </c>
      <c r="L1086" s="44" t="s">
        <v>29</v>
      </c>
      <c r="M1086" s="44"/>
      <c r="N1086" s="45">
        <v>1813</v>
      </c>
      <c r="O1086" s="45">
        <v>1813</v>
      </c>
      <c r="P1086" s="45">
        <v>1920</v>
      </c>
      <c r="Q1086" s="45">
        <v>1920</v>
      </c>
      <c r="R1086" s="45">
        <v>722</v>
      </c>
      <c r="S1086" s="45">
        <v>722</v>
      </c>
      <c r="T1086" s="45">
        <v>765</v>
      </c>
      <c r="U1086" s="45">
        <v>765</v>
      </c>
      <c r="V1086" s="46"/>
    </row>
    <row r="1087" spans="2:22" x14ac:dyDescent="0.25">
      <c r="B1087" s="47" t="s">
        <v>1118</v>
      </c>
      <c r="C1087" s="47" t="s">
        <v>1119</v>
      </c>
      <c r="D1087" s="47" t="s">
        <v>783</v>
      </c>
      <c r="E1087" s="47" t="s">
        <v>27</v>
      </c>
      <c r="F1087" s="47" t="s">
        <v>1120</v>
      </c>
      <c r="G1087" s="47" t="s">
        <v>27</v>
      </c>
      <c r="H1087" s="47">
        <v>70311</v>
      </c>
      <c r="I1087" s="47">
        <v>70545</v>
      </c>
      <c r="J1087" s="47" t="s">
        <v>28</v>
      </c>
      <c r="K1087" s="47" t="s">
        <v>1118</v>
      </c>
      <c r="L1087" s="47" t="s">
        <v>30</v>
      </c>
      <c r="M1087" s="47" t="s">
        <v>1119</v>
      </c>
      <c r="N1087" s="48">
        <v>1813</v>
      </c>
      <c r="O1087" s="48">
        <v>1813</v>
      </c>
      <c r="P1087" s="47">
        <v>2094</v>
      </c>
      <c r="Q1087" s="47">
        <v>2094</v>
      </c>
      <c r="R1087" s="48">
        <v>722</v>
      </c>
      <c r="S1087" s="48">
        <v>722</v>
      </c>
      <c r="T1087" s="47">
        <v>834</v>
      </c>
      <c r="U1087" s="47">
        <v>834</v>
      </c>
      <c r="V1087" s="47"/>
    </row>
    <row r="1088" spans="2:22" ht="30" x14ac:dyDescent="0.25">
      <c r="B1088" s="47" t="s">
        <v>1118</v>
      </c>
      <c r="C1088" s="47" t="s">
        <v>1119</v>
      </c>
      <c r="D1088" s="47" t="s">
        <v>783</v>
      </c>
      <c r="E1088" s="47" t="s">
        <v>27</v>
      </c>
      <c r="F1088" s="47" t="s">
        <v>1120</v>
      </c>
      <c r="G1088" s="47" t="s">
        <v>27</v>
      </c>
      <c r="H1088" s="47">
        <v>70311</v>
      </c>
      <c r="I1088" s="47">
        <v>70545</v>
      </c>
      <c r="J1088" s="47" t="s">
        <v>28</v>
      </c>
      <c r="K1088" s="47" t="s">
        <v>2483</v>
      </c>
      <c r="L1088" s="47" t="s">
        <v>36</v>
      </c>
      <c r="M1088" s="47" t="s">
        <v>785</v>
      </c>
      <c r="N1088" s="47">
        <v>1920</v>
      </c>
      <c r="O1088" s="47">
        <v>1920</v>
      </c>
      <c r="P1088" s="48">
        <v>1920</v>
      </c>
      <c r="Q1088" s="48">
        <v>1920</v>
      </c>
      <c r="R1088" s="47">
        <v>765</v>
      </c>
      <c r="S1088" s="47">
        <v>765</v>
      </c>
      <c r="T1088" s="48">
        <v>765</v>
      </c>
      <c r="U1088" s="48">
        <v>765</v>
      </c>
      <c r="V1088" s="48"/>
    </row>
    <row r="1089" spans="2:22" ht="30" x14ac:dyDescent="0.25">
      <c r="B1089" s="47" t="s">
        <v>1118</v>
      </c>
      <c r="C1089" s="47" t="s">
        <v>1119</v>
      </c>
      <c r="D1089" s="47" t="s">
        <v>783</v>
      </c>
      <c r="E1089" s="47" t="s">
        <v>27</v>
      </c>
      <c r="F1089" s="47" t="s">
        <v>1120</v>
      </c>
      <c r="G1089" s="47" t="s">
        <v>27</v>
      </c>
      <c r="H1089" s="47">
        <v>70311</v>
      </c>
      <c r="I1089" s="47">
        <v>70545</v>
      </c>
      <c r="J1089" s="47" t="s">
        <v>28</v>
      </c>
      <c r="K1089" s="47" t="s">
        <v>1121</v>
      </c>
      <c r="L1089" s="47" t="s">
        <v>36</v>
      </c>
      <c r="M1089" s="47" t="s">
        <v>785</v>
      </c>
      <c r="N1089" s="47">
        <v>1920</v>
      </c>
      <c r="O1089" s="47">
        <v>1920</v>
      </c>
      <c r="P1089" s="48">
        <v>1920</v>
      </c>
      <c r="Q1089" s="48">
        <v>1920</v>
      </c>
      <c r="R1089" s="47">
        <v>765</v>
      </c>
      <c r="S1089" s="47">
        <v>765</v>
      </c>
      <c r="T1089" s="48">
        <v>765</v>
      </c>
      <c r="U1089" s="48">
        <v>765</v>
      </c>
      <c r="V1089" s="48"/>
    </row>
    <row r="1090" spans="2:22" x14ac:dyDescent="0.25">
      <c r="B1090" s="44" t="s">
        <v>1122</v>
      </c>
      <c r="C1090" s="44" t="s">
        <v>1123</v>
      </c>
      <c r="D1090" s="44" t="s">
        <v>783</v>
      </c>
      <c r="E1090" s="44" t="s">
        <v>27</v>
      </c>
      <c r="F1090" s="44" t="s">
        <v>1124</v>
      </c>
      <c r="G1090" s="44" t="s">
        <v>27</v>
      </c>
      <c r="H1090" s="44">
        <v>70311</v>
      </c>
      <c r="I1090" s="44">
        <v>2021</v>
      </c>
      <c r="J1090" s="44" t="s">
        <v>28</v>
      </c>
      <c r="K1090" s="44" t="s">
        <v>1122</v>
      </c>
      <c r="L1090" s="44" t="s">
        <v>29</v>
      </c>
      <c r="M1090" s="44"/>
      <c r="N1090" s="45">
        <v>1200</v>
      </c>
      <c r="O1090" s="45">
        <v>1200</v>
      </c>
      <c r="P1090" s="45">
        <v>1200</v>
      </c>
      <c r="Q1090" s="45">
        <v>1200</v>
      </c>
      <c r="R1090" s="45">
        <v>478</v>
      </c>
      <c r="S1090" s="45">
        <v>478</v>
      </c>
      <c r="T1090" s="45">
        <v>478</v>
      </c>
      <c r="U1090" s="45">
        <v>478</v>
      </c>
      <c r="V1090" s="46"/>
    </row>
    <row r="1091" spans="2:22" ht="20" x14ac:dyDescent="0.25">
      <c r="B1091" s="47" t="s">
        <v>1122</v>
      </c>
      <c r="C1091" s="47" t="s">
        <v>1123</v>
      </c>
      <c r="D1091" s="47" t="s">
        <v>783</v>
      </c>
      <c r="E1091" s="47" t="s">
        <v>27</v>
      </c>
      <c r="F1091" s="47" t="s">
        <v>1124</v>
      </c>
      <c r="G1091" s="47" t="s">
        <v>27</v>
      </c>
      <c r="H1091" s="47">
        <v>70311</v>
      </c>
      <c r="I1091" s="47">
        <v>2021</v>
      </c>
      <c r="J1091" s="47" t="s">
        <v>28</v>
      </c>
      <c r="K1091" s="47" t="s">
        <v>2616</v>
      </c>
      <c r="L1091" s="47" t="s">
        <v>39</v>
      </c>
      <c r="M1091" s="47" t="s">
        <v>1126</v>
      </c>
      <c r="N1091" s="48">
        <v>1200</v>
      </c>
      <c r="O1091" s="48">
        <v>1200</v>
      </c>
      <c r="P1091" s="48">
        <v>1200</v>
      </c>
      <c r="Q1091" s="48">
        <v>1200</v>
      </c>
      <c r="R1091" s="48">
        <v>478</v>
      </c>
      <c r="S1091" s="48">
        <v>478</v>
      </c>
      <c r="T1091" s="48">
        <v>478</v>
      </c>
      <c r="U1091" s="48">
        <v>478</v>
      </c>
      <c r="V1091" s="48"/>
    </row>
    <row r="1092" spans="2:22" ht="30" x14ac:dyDescent="0.25">
      <c r="B1092" s="47" t="s">
        <v>1122</v>
      </c>
      <c r="C1092" s="47" t="s">
        <v>1123</v>
      </c>
      <c r="D1092" s="47" t="s">
        <v>783</v>
      </c>
      <c r="E1092" s="47" t="s">
        <v>27</v>
      </c>
      <c r="F1092" s="47" t="s">
        <v>1124</v>
      </c>
      <c r="G1092" s="47" t="s">
        <v>27</v>
      </c>
      <c r="H1092" s="47">
        <v>70311</v>
      </c>
      <c r="I1092" s="47">
        <v>2021</v>
      </c>
      <c r="J1092" s="47" t="s">
        <v>28</v>
      </c>
      <c r="K1092" s="47" t="s">
        <v>1129</v>
      </c>
      <c r="L1092" s="47" t="s">
        <v>36</v>
      </c>
      <c r="M1092" s="47" t="s">
        <v>1126</v>
      </c>
      <c r="N1092" s="48">
        <v>1200</v>
      </c>
      <c r="O1092" s="48">
        <v>1200</v>
      </c>
      <c r="P1092" s="48">
        <v>1200</v>
      </c>
      <c r="Q1092" s="48">
        <v>1200</v>
      </c>
      <c r="R1092" s="48">
        <v>478</v>
      </c>
      <c r="S1092" s="48">
        <v>478</v>
      </c>
      <c r="T1092" s="48">
        <v>478</v>
      </c>
      <c r="U1092" s="48">
        <v>478</v>
      </c>
      <c r="V1092" s="48"/>
    </row>
    <row r="1093" spans="2:22" ht="30" x14ac:dyDescent="0.25">
      <c r="B1093" s="47" t="s">
        <v>1122</v>
      </c>
      <c r="C1093" s="47" t="s">
        <v>1123</v>
      </c>
      <c r="D1093" s="47" t="s">
        <v>783</v>
      </c>
      <c r="E1093" s="47" t="s">
        <v>27</v>
      </c>
      <c r="F1093" s="47" t="s">
        <v>1124</v>
      </c>
      <c r="G1093" s="47" t="s">
        <v>27</v>
      </c>
      <c r="H1093" s="47">
        <v>70311</v>
      </c>
      <c r="I1093" s="47">
        <v>2021</v>
      </c>
      <c r="J1093" s="47" t="s">
        <v>28</v>
      </c>
      <c r="K1093" s="47" t="s">
        <v>1125</v>
      </c>
      <c r="L1093" s="47" t="s">
        <v>36</v>
      </c>
      <c r="M1093" s="47" t="s">
        <v>1126</v>
      </c>
      <c r="N1093" s="48">
        <v>1200</v>
      </c>
      <c r="O1093" s="48">
        <v>1200</v>
      </c>
      <c r="P1093" s="48">
        <v>1200</v>
      </c>
      <c r="Q1093" s="48">
        <v>1200</v>
      </c>
      <c r="R1093" s="48">
        <v>478</v>
      </c>
      <c r="S1093" s="48">
        <v>478</v>
      </c>
      <c r="T1093" s="48">
        <v>478</v>
      </c>
      <c r="U1093" s="48">
        <v>478</v>
      </c>
      <c r="V1093" s="48"/>
    </row>
    <row r="1094" spans="2:22" ht="20" x14ac:dyDescent="0.25">
      <c r="B1094" s="47" t="s">
        <v>1122</v>
      </c>
      <c r="C1094" s="47" t="s">
        <v>1123</v>
      </c>
      <c r="D1094" s="47" t="s">
        <v>783</v>
      </c>
      <c r="E1094" s="47" t="s">
        <v>27</v>
      </c>
      <c r="F1094" s="47" t="s">
        <v>1124</v>
      </c>
      <c r="G1094" s="47" t="s">
        <v>27</v>
      </c>
      <c r="H1094" s="47">
        <v>70311</v>
      </c>
      <c r="I1094" s="47">
        <v>2021</v>
      </c>
      <c r="J1094" s="47" t="s">
        <v>28</v>
      </c>
      <c r="K1094" s="47" t="s">
        <v>2615</v>
      </c>
      <c r="L1094" s="47" t="s">
        <v>39</v>
      </c>
      <c r="M1094" s="47" t="s">
        <v>1126</v>
      </c>
      <c r="N1094" s="48">
        <v>1200</v>
      </c>
      <c r="O1094" s="48">
        <v>1200</v>
      </c>
      <c r="P1094" s="48">
        <v>1200</v>
      </c>
      <c r="Q1094" s="48">
        <v>1200</v>
      </c>
      <c r="R1094" s="48">
        <v>478</v>
      </c>
      <c r="S1094" s="48">
        <v>478</v>
      </c>
      <c r="T1094" s="48">
        <v>478</v>
      </c>
      <c r="U1094" s="48">
        <v>478</v>
      </c>
      <c r="V1094" s="48"/>
    </row>
    <row r="1095" spans="2:22" ht="20" x14ac:dyDescent="0.25">
      <c r="B1095" s="47" t="s">
        <v>1122</v>
      </c>
      <c r="C1095" s="47" t="s">
        <v>1123</v>
      </c>
      <c r="D1095" s="47" t="s">
        <v>783</v>
      </c>
      <c r="E1095" s="47" t="s">
        <v>27</v>
      </c>
      <c r="F1095" s="47" t="s">
        <v>1124</v>
      </c>
      <c r="G1095" s="47" t="s">
        <v>27</v>
      </c>
      <c r="H1095" s="47">
        <v>70311</v>
      </c>
      <c r="I1095" s="47">
        <v>2021</v>
      </c>
      <c r="J1095" s="47" t="s">
        <v>28</v>
      </c>
      <c r="K1095" s="47" t="s">
        <v>2617</v>
      </c>
      <c r="L1095" s="47" t="s">
        <v>39</v>
      </c>
      <c r="M1095" s="47" t="s">
        <v>1126</v>
      </c>
      <c r="N1095" s="48">
        <v>1200</v>
      </c>
      <c r="O1095" s="48">
        <v>1200</v>
      </c>
      <c r="P1095" s="48">
        <v>1200</v>
      </c>
      <c r="Q1095" s="48">
        <v>1200</v>
      </c>
      <c r="R1095" s="48">
        <v>478</v>
      </c>
      <c r="S1095" s="48">
        <v>478</v>
      </c>
      <c r="T1095" s="48">
        <v>478</v>
      </c>
      <c r="U1095" s="48">
        <v>478</v>
      </c>
      <c r="V1095" s="48"/>
    </row>
    <row r="1096" spans="2:22" x14ac:dyDescent="0.25">
      <c r="B1096" s="44" t="s">
        <v>1132</v>
      </c>
      <c r="C1096" s="44" t="s">
        <v>1133</v>
      </c>
      <c r="D1096" s="44" t="s">
        <v>783</v>
      </c>
      <c r="E1096" s="44" t="s">
        <v>27</v>
      </c>
      <c r="F1096" s="44" t="s">
        <v>636</v>
      </c>
      <c r="G1096" s="44" t="s">
        <v>27</v>
      </c>
      <c r="H1096" s="44">
        <v>70311</v>
      </c>
      <c r="I1096" s="44">
        <v>70623</v>
      </c>
      <c r="J1096" s="44" t="s">
        <v>28</v>
      </c>
      <c r="K1096" s="44" t="s">
        <v>1132</v>
      </c>
      <c r="L1096" s="44" t="s">
        <v>29</v>
      </c>
      <c r="M1096" s="44"/>
      <c r="N1096" s="45">
        <v>1916</v>
      </c>
      <c r="O1096" s="45">
        <v>1980</v>
      </c>
      <c r="P1096" s="45">
        <v>2000</v>
      </c>
      <c r="Q1096" s="45">
        <v>2000</v>
      </c>
      <c r="R1096" s="45">
        <v>763</v>
      </c>
      <c r="S1096" s="45">
        <v>789</v>
      </c>
      <c r="T1096" s="45">
        <v>797</v>
      </c>
      <c r="U1096" s="45">
        <v>797</v>
      </c>
      <c r="V1096" s="46"/>
    </row>
    <row r="1097" spans="2:22" x14ac:dyDescent="0.25">
      <c r="B1097" s="47" t="s">
        <v>1132</v>
      </c>
      <c r="C1097" s="47" t="s">
        <v>1133</v>
      </c>
      <c r="D1097" s="47" t="s">
        <v>783</v>
      </c>
      <c r="E1097" s="47" t="s">
        <v>27</v>
      </c>
      <c r="F1097" s="47" t="s">
        <v>636</v>
      </c>
      <c r="G1097" s="47" t="s">
        <v>27</v>
      </c>
      <c r="H1097" s="47">
        <v>70311</v>
      </c>
      <c r="I1097" s="47">
        <v>70623</v>
      </c>
      <c r="J1097" s="47" t="s">
        <v>28</v>
      </c>
      <c r="K1097" s="47" t="s">
        <v>1132</v>
      </c>
      <c r="L1097" s="47" t="s">
        <v>30</v>
      </c>
      <c r="M1097" s="47" t="s">
        <v>1133</v>
      </c>
      <c r="N1097" s="48">
        <v>1916</v>
      </c>
      <c r="O1097" s="47">
        <v>2108</v>
      </c>
      <c r="P1097" s="47">
        <v>2180</v>
      </c>
      <c r="Q1097" s="47">
        <v>2398</v>
      </c>
      <c r="R1097" s="48">
        <v>763</v>
      </c>
      <c r="S1097" s="47">
        <v>840</v>
      </c>
      <c r="T1097" s="47">
        <v>868</v>
      </c>
      <c r="U1097" s="47">
        <v>955</v>
      </c>
      <c r="V1097" s="47"/>
    </row>
    <row r="1098" spans="2:22" x14ac:dyDescent="0.25">
      <c r="B1098" s="47" t="s">
        <v>1132</v>
      </c>
      <c r="C1098" s="47" t="s">
        <v>1133</v>
      </c>
      <c r="D1098" s="47" t="s">
        <v>783</v>
      </c>
      <c r="E1098" s="47" t="s">
        <v>27</v>
      </c>
      <c r="F1098" s="47" t="s">
        <v>636</v>
      </c>
      <c r="G1098" s="47" t="s">
        <v>27</v>
      </c>
      <c r="H1098" s="47">
        <v>70311</v>
      </c>
      <c r="I1098" s="47">
        <v>70623</v>
      </c>
      <c r="J1098" s="47" t="s">
        <v>28</v>
      </c>
      <c r="K1098" s="47"/>
      <c r="L1098" s="47" t="s">
        <v>301</v>
      </c>
      <c r="M1098" s="47" t="s">
        <v>640</v>
      </c>
      <c r="N1098" s="47">
        <v>1980</v>
      </c>
      <c r="O1098" s="48">
        <v>1980</v>
      </c>
      <c r="P1098" s="47">
        <v>2091</v>
      </c>
      <c r="Q1098" s="47">
        <v>2091</v>
      </c>
      <c r="R1098" s="47">
        <v>789</v>
      </c>
      <c r="S1098" s="48">
        <v>789</v>
      </c>
      <c r="T1098" s="47">
        <v>833</v>
      </c>
      <c r="U1098" s="47">
        <v>833</v>
      </c>
      <c r="V1098" s="47"/>
    </row>
    <row r="1099" spans="2:22" ht="20" x14ac:dyDescent="0.25">
      <c r="B1099" s="47" t="s">
        <v>1132</v>
      </c>
      <c r="C1099" s="47" t="s">
        <v>1133</v>
      </c>
      <c r="D1099" s="47" t="s">
        <v>783</v>
      </c>
      <c r="E1099" s="47" t="s">
        <v>27</v>
      </c>
      <c r="F1099" s="47" t="s">
        <v>636</v>
      </c>
      <c r="G1099" s="47" t="s">
        <v>27</v>
      </c>
      <c r="H1099" s="47">
        <v>70311</v>
      </c>
      <c r="I1099" s="47">
        <v>70623</v>
      </c>
      <c r="J1099" s="47" t="s">
        <v>28</v>
      </c>
      <c r="K1099" s="47" t="s">
        <v>2002</v>
      </c>
      <c r="L1099" s="47" t="s">
        <v>39</v>
      </c>
      <c r="M1099" s="47" t="s">
        <v>785</v>
      </c>
      <c r="N1099" s="47">
        <v>2000</v>
      </c>
      <c r="O1099" s="47">
        <v>2000</v>
      </c>
      <c r="P1099" s="48">
        <v>2000</v>
      </c>
      <c r="Q1099" s="48">
        <v>2000</v>
      </c>
      <c r="R1099" s="47">
        <v>797</v>
      </c>
      <c r="S1099" s="47">
        <v>797</v>
      </c>
      <c r="T1099" s="48">
        <v>797</v>
      </c>
      <c r="U1099" s="48">
        <v>797</v>
      </c>
      <c r="V1099" s="48"/>
    </row>
    <row r="1100" spans="2:22" x14ac:dyDescent="0.25">
      <c r="B1100" s="47" t="s">
        <v>1132</v>
      </c>
      <c r="C1100" s="47" t="s">
        <v>1133</v>
      </c>
      <c r="D1100" s="47" t="s">
        <v>783</v>
      </c>
      <c r="E1100" s="47" t="s">
        <v>27</v>
      </c>
      <c r="F1100" s="47" t="s">
        <v>636</v>
      </c>
      <c r="G1100" s="47" t="s">
        <v>27</v>
      </c>
      <c r="H1100" s="47">
        <v>70311</v>
      </c>
      <c r="I1100" s="47">
        <v>70623</v>
      </c>
      <c r="J1100" s="47" t="s">
        <v>28</v>
      </c>
      <c r="K1100" s="47" t="s">
        <v>1133</v>
      </c>
      <c r="L1100" s="47" t="s">
        <v>49</v>
      </c>
      <c r="M1100" s="47" t="s">
        <v>785</v>
      </c>
      <c r="N1100" s="47">
        <v>2000</v>
      </c>
      <c r="O1100" s="47">
        <v>2000</v>
      </c>
      <c r="P1100" s="48">
        <v>2000</v>
      </c>
      <c r="Q1100" s="48">
        <v>2000</v>
      </c>
      <c r="R1100" s="47">
        <v>797</v>
      </c>
      <c r="S1100" s="47">
        <v>797</v>
      </c>
      <c r="T1100" s="48">
        <v>797</v>
      </c>
      <c r="U1100" s="48">
        <v>797</v>
      </c>
      <c r="V1100" s="48"/>
    </row>
    <row r="1101" spans="2:22" ht="23" x14ac:dyDescent="0.25">
      <c r="B1101" s="44" t="s">
        <v>121</v>
      </c>
      <c r="C1101" s="44" t="s">
        <v>122</v>
      </c>
      <c r="D1101" s="44" t="s">
        <v>783</v>
      </c>
      <c r="E1101" s="44" t="s">
        <v>27</v>
      </c>
      <c r="F1101" s="44" t="s">
        <v>330</v>
      </c>
      <c r="G1101" s="44" t="s">
        <v>27</v>
      </c>
      <c r="H1101" s="44">
        <v>70311</v>
      </c>
      <c r="I1101" s="44">
        <v>73192</v>
      </c>
      <c r="J1101" s="44" t="s">
        <v>28</v>
      </c>
      <c r="K1101" s="44" t="s">
        <v>121</v>
      </c>
      <c r="L1101" s="44" t="s">
        <v>29</v>
      </c>
      <c r="M1101" s="44"/>
      <c r="N1101" s="45">
        <v>1459</v>
      </c>
      <c r="O1101" s="45">
        <v>1478</v>
      </c>
      <c r="P1101" s="45">
        <v>1549</v>
      </c>
      <c r="Q1101" s="45">
        <v>1627</v>
      </c>
      <c r="R1101" s="45">
        <v>581</v>
      </c>
      <c r="S1101" s="45">
        <v>589</v>
      </c>
      <c r="T1101" s="45">
        <v>617</v>
      </c>
      <c r="U1101" s="45">
        <v>648</v>
      </c>
      <c r="V1101" s="46"/>
    </row>
    <row r="1102" spans="2:22" x14ac:dyDescent="0.25">
      <c r="B1102" s="47" t="s">
        <v>121</v>
      </c>
      <c r="C1102" s="47" t="s">
        <v>122</v>
      </c>
      <c r="D1102" s="47" t="s">
        <v>783</v>
      </c>
      <c r="E1102" s="47" t="s">
        <v>27</v>
      </c>
      <c r="F1102" s="47" t="s">
        <v>330</v>
      </c>
      <c r="G1102" s="47" t="s">
        <v>27</v>
      </c>
      <c r="H1102" s="47">
        <v>70311</v>
      </c>
      <c r="I1102" s="47">
        <v>73192</v>
      </c>
      <c r="J1102" s="47" t="s">
        <v>28</v>
      </c>
      <c r="K1102" s="47" t="s">
        <v>121</v>
      </c>
      <c r="L1102" s="47" t="s">
        <v>30</v>
      </c>
      <c r="M1102" s="47" t="s">
        <v>122</v>
      </c>
      <c r="N1102" s="48">
        <v>1459</v>
      </c>
      <c r="O1102" s="48">
        <v>1478</v>
      </c>
      <c r="P1102" s="47">
        <v>1664</v>
      </c>
      <c r="Q1102" s="47">
        <v>1812</v>
      </c>
      <c r="R1102" s="48">
        <v>581</v>
      </c>
      <c r="S1102" s="48">
        <v>589</v>
      </c>
      <c r="T1102" s="47">
        <v>663</v>
      </c>
      <c r="U1102" s="47">
        <v>722</v>
      </c>
      <c r="V1102" s="47"/>
    </row>
    <row r="1103" spans="2:22" x14ac:dyDescent="0.25">
      <c r="B1103" s="47" t="s">
        <v>121</v>
      </c>
      <c r="C1103" s="47" t="s">
        <v>122</v>
      </c>
      <c r="D1103" s="47" t="s">
        <v>783</v>
      </c>
      <c r="E1103" s="47" t="s">
        <v>27</v>
      </c>
      <c r="F1103" s="47" t="s">
        <v>330</v>
      </c>
      <c r="G1103" s="47" t="s">
        <v>27</v>
      </c>
      <c r="H1103" s="47">
        <v>70311</v>
      </c>
      <c r="I1103" s="47">
        <v>73192</v>
      </c>
      <c r="J1103" s="47" t="s">
        <v>28</v>
      </c>
      <c r="K1103" s="47" t="s">
        <v>213</v>
      </c>
      <c r="L1103" s="47" t="s">
        <v>213</v>
      </c>
      <c r="M1103" s="47" t="s">
        <v>331</v>
      </c>
      <c r="N1103" s="47">
        <v>1549</v>
      </c>
      <c r="O1103" s="47">
        <v>1627</v>
      </c>
      <c r="P1103" s="48">
        <v>1549</v>
      </c>
      <c r="Q1103" s="48">
        <v>1627</v>
      </c>
      <c r="R1103" s="47">
        <v>617</v>
      </c>
      <c r="S1103" s="47">
        <v>648</v>
      </c>
      <c r="T1103" s="48">
        <v>617</v>
      </c>
      <c r="U1103" s="48">
        <v>648</v>
      </c>
      <c r="V1103" s="48"/>
    </row>
    <row r="1104" spans="2:22" ht="34.5" x14ac:dyDescent="0.25">
      <c r="B1104" s="44" t="s">
        <v>110</v>
      </c>
      <c r="C1104" s="44" t="s">
        <v>111</v>
      </c>
      <c r="D1104" s="44" t="s">
        <v>211</v>
      </c>
      <c r="E1104" s="44" t="s">
        <v>27</v>
      </c>
      <c r="F1104" s="44" t="s">
        <v>1854</v>
      </c>
      <c r="G1104" s="44" t="s">
        <v>40</v>
      </c>
      <c r="H1104" s="44">
        <v>70570</v>
      </c>
      <c r="I1104" s="44">
        <v>2099</v>
      </c>
      <c r="J1104" s="44" t="s">
        <v>28</v>
      </c>
      <c r="K1104" s="44" t="s">
        <v>110</v>
      </c>
      <c r="L1104" s="44" t="s">
        <v>29</v>
      </c>
      <c r="M1104" s="44"/>
      <c r="N1104" s="45">
        <v>400</v>
      </c>
      <c r="O1104" s="45">
        <v>400</v>
      </c>
      <c r="P1104" s="45">
        <v>400</v>
      </c>
      <c r="Q1104" s="45">
        <v>400</v>
      </c>
      <c r="R1104" s="45">
        <v>159</v>
      </c>
      <c r="S1104" s="45">
        <v>159</v>
      </c>
      <c r="T1104" s="45">
        <v>159</v>
      </c>
      <c r="U1104" s="45">
        <v>159</v>
      </c>
      <c r="V1104" s="46"/>
    </row>
    <row r="1105" spans="2:22" ht="20" x14ac:dyDescent="0.25">
      <c r="B1105" s="47" t="s">
        <v>110</v>
      </c>
      <c r="C1105" s="47" t="s">
        <v>111</v>
      </c>
      <c r="D1105" s="47" t="s">
        <v>211</v>
      </c>
      <c r="E1105" s="47" t="s">
        <v>27</v>
      </c>
      <c r="F1105" s="47" t="s">
        <v>1854</v>
      </c>
      <c r="G1105" s="47" t="s">
        <v>40</v>
      </c>
      <c r="H1105" s="47">
        <v>70570</v>
      </c>
      <c r="I1105" s="47">
        <v>2099</v>
      </c>
      <c r="J1105" s="47" t="s">
        <v>28</v>
      </c>
      <c r="K1105" s="47" t="s">
        <v>213</v>
      </c>
      <c r="L1105" s="47" t="s">
        <v>213</v>
      </c>
      <c r="M1105" s="47" t="s">
        <v>214</v>
      </c>
      <c r="N1105" s="48">
        <v>400</v>
      </c>
      <c r="O1105" s="48">
        <v>400</v>
      </c>
      <c r="P1105" s="48">
        <v>400</v>
      </c>
      <c r="Q1105" s="48">
        <v>400</v>
      </c>
      <c r="R1105" s="48">
        <v>159</v>
      </c>
      <c r="S1105" s="48">
        <v>159</v>
      </c>
      <c r="T1105" s="48">
        <v>159</v>
      </c>
      <c r="U1105" s="48">
        <v>159</v>
      </c>
      <c r="V1105" s="48"/>
    </row>
    <row r="1106" spans="2:22" ht="34.5" x14ac:dyDescent="0.25">
      <c r="B1106" s="44" t="s">
        <v>1136</v>
      </c>
      <c r="C1106" s="44" t="s">
        <v>1137</v>
      </c>
      <c r="D1106" s="44" t="s">
        <v>211</v>
      </c>
      <c r="E1106" s="44" t="s">
        <v>27</v>
      </c>
      <c r="F1106" s="44" t="s">
        <v>1138</v>
      </c>
      <c r="G1106" s="44" t="s">
        <v>27</v>
      </c>
      <c r="H1106" s="44">
        <v>70570</v>
      </c>
      <c r="I1106" s="44">
        <v>2100</v>
      </c>
      <c r="J1106" s="44" t="s">
        <v>28</v>
      </c>
      <c r="K1106" s="44" t="s">
        <v>1136</v>
      </c>
      <c r="L1106" s="44" t="s">
        <v>29</v>
      </c>
      <c r="M1106" s="44"/>
      <c r="N1106" s="45">
        <v>800</v>
      </c>
      <c r="O1106" s="45">
        <v>800</v>
      </c>
      <c r="P1106" s="45">
        <v>800</v>
      </c>
      <c r="Q1106" s="45">
        <v>800</v>
      </c>
      <c r="R1106" s="45">
        <v>319</v>
      </c>
      <c r="S1106" s="45">
        <v>319</v>
      </c>
      <c r="T1106" s="45">
        <v>319</v>
      </c>
      <c r="U1106" s="45">
        <v>319</v>
      </c>
      <c r="V1106" s="46"/>
    </row>
    <row r="1107" spans="2:22" ht="30" x14ac:dyDescent="0.25">
      <c r="B1107" s="47" t="s">
        <v>1136</v>
      </c>
      <c r="C1107" s="47" t="s">
        <v>1137</v>
      </c>
      <c r="D1107" s="47" t="s">
        <v>211</v>
      </c>
      <c r="E1107" s="47" t="s">
        <v>27</v>
      </c>
      <c r="F1107" s="47" t="s">
        <v>1138</v>
      </c>
      <c r="G1107" s="47" t="s">
        <v>27</v>
      </c>
      <c r="H1107" s="47">
        <v>70570</v>
      </c>
      <c r="I1107" s="47">
        <v>2100</v>
      </c>
      <c r="J1107" s="47" t="s">
        <v>28</v>
      </c>
      <c r="K1107" s="47" t="s">
        <v>1139</v>
      </c>
      <c r="L1107" s="47" t="s">
        <v>36</v>
      </c>
      <c r="M1107" s="47" t="s">
        <v>1140</v>
      </c>
      <c r="N1107" s="48">
        <v>800</v>
      </c>
      <c r="O1107" s="48">
        <v>800</v>
      </c>
      <c r="P1107" s="48">
        <v>800</v>
      </c>
      <c r="Q1107" s="48">
        <v>800</v>
      </c>
      <c r="R1107" s="48">
        <v>319</v>
      </c>
      <c r="S1107" s="48">
        <v>319</v>
      </c>
      <c r="T1107" s="48">
        <v>319</v>
      </c>
      <c r="U1107" s="48">
        <v>319</v>
      </c>
      <c r="V1107" s="48"/>
    </row>
    <row r="1108" spans="2:22" ht="20" x14ac:dyDescent="0.25">
      <c r="B1108" s="47" t="s">
        <v>1136</v>
      </c>
      <c r="C1108" s="47" t="s">
        <v>1137</v>
      </c>
      <c r="D1108" s="47" t="s">
        <v>211</v>
      </c>
      <c r="E1108" s="47" t="s">
        <v>27</v>
      </c>
      <c r="F1108" s="47" t="s">
        <v>1138</v>
      </c>
      <c r="G1108" s="47" t="s">
        <v>27</v>
      </c>
      <c r="H1108" s="47">
        <v>70570</v>
      </c>
      <c r="I1108" s="47">
        <v>2100</v>
      </c>
      <c r="J1108" s="47" t="s">
        <v>28</v>
      </c>
      <c r="K1108" s="47" t="s">
        <v>1143</v>
      </c>
      <c r="L1108" s="47" t="s">
        <v>39</v>
      </c>
      <c r="M1108" s="47" t="s">
        <v>1140</v>
      </c>
      <c r="N1108" s="48">
        <v>800</v>
      </c>
      <c r="O1108" s="48">
        <v>800</v>
      </c>
      <c r="P1108" s="48">
        <v>800</v>
      </c>
      <c r="Q1108" s="48">
        <v>800</v>
      </c>
      <c r="R1108" s="48">
        <v>319</v>
      </c>
      <c r="S1108" s="48">
        <v>319</v>
      </c>
      <c r="T1108" s="48">
        <v>319</v>
      </c>
      <c r="U1108" s="48">
        <v>319</v>
      </c>
      <c r="V1108" s="48"/>
    </row>
    <row r="1109" spans="2:22" ht="20" x14ac:dyDescent="0.25">
      <c r="B1109" s="47" t="s">
        <v>1136</v>
      </c>
      <c r="C1109" s="47" t="s">
        <v>1137</v>
      </c>
      <c r="D1109" s="47" t="s">
        <v>211</v>
      </c>
      <c r="E1109" s="47" t="s">
        <v>27</v>
      </c>
      <c r="F1109" s="47" t="s">
        <v>1138</v>
      </c>
      <c r="G1109" s="47" t="s">
        <v>27</v>
      </c>
      <c r="H1109" s="47">
        <v>70570</v>
      </c>
      <c r="I1109" s="47">
        <v>2100</v>
      </c>
      <c r="J1109" s="47" t="s">
        <v>28</v>
      </c>
      <c r="K1109" s="47" t="s">
        <v>1141</v>
      </c>
      <c r="L1109" s="47" t="s">
        <v>39</v>
      </c>
      <c r="M1109" s="47" t="s">
        <v>1140</v>
      </c>
      <c r="N1109" s="48">
        <v>800</v>
      </c>
      <c r="O1109" s="48">
        <v>800</v>
      </c>
      <c r="P1109" s="48">
        <v>800</v>
      </c>
      <c r="Q1109" s="48">
        <v>800</v>
      </c>
      <c r="R1109" s="48">
        <v>319</v>
      </c>
      <c r="S1109" s="48">
        <v>319</v>
      </c>
      <c r="T1109" s="48">
        <v>319</v>
      </c>
      <c r="U1109" s="48">
        <v>319</v>
      </c>
      <c r="V1109" s="48"/>
    </row>
    <row r="1110" spans="2:22" ht="20" x14ac:dyDescent="0.25">
      <c r="B1110" s="47" t="s">
        <v>1136</v>
      </c>
      <c r="C1110" s="47" t="s">
        <v>1137</v>
      </c>
      <c r="D1110" s="47" t="s">
        <v>211</v>
      </c>
      <c r="E1110" s="47" t="s">
        <v>27</v>
      </c>
      <c r="F1110" s="47" t="s">
        <v>1138</v>
      </c>
      <c r="G1110" s="47" t="s">
        <v>27</v>
      </c>
      <c r="H1110" s="47">
        <v>70570</v>
      </c>
      <c r="I1110" s="47">
        <v>2100</v>
      </c>
      <c r="J1110" s="47" t="s">
        <v>28</v>
      </c>
      <c r="K1110" s="47" t="s">
        <v>1144</v>
      </c>
      <c r="L1110" s="47" t="s">
        <v>39</v>
      </c>
      <c r="M1110" s="47" t="s">
        <v>1140</v>
      </c>
      <c r="N1110" s="48">
        <v>800</v>
      </c>
      <c r="O1110" s="48">
        <v>800</v>
      </c>
      <c r="P1110" s="48">
        <v>800</v>
      </c>
      <c r="Q1110" s="48">
        <v>800</v>
      </c>
      <c r="R1110" s="48">
        <v>319</v>
      </c>
      <c r="S1110" s="48">
        <v>319</v>
      </c>
      <c r="T1110" s="48">
        <v>319</v>
      </c>
      <c r="U1110" s="48">
        <v>319</v>
      </c>
      <c r="V1110" s="48"/>
    </row>
    <row r="1111" spans="2:22" ht="30" x14ac:dyDescent="0.25">
      <c r="B1111" s="47" t="s">
        <v>1136</v>
      </c>
      <c r="C1111" s="47" t="s">
        <v>1137</v>
      </c>
      <c r="D1111" s="47" t="s">
        <v>211</v>
      </c>
      <c r="E1111" s="47" t="s">
        <v>27</v>
      </c>
      <c r="F1111" s="47" t="s">
        <v>1138</v>
      </c>
      <c r="G1111" s="47" t="s">
        <v>27</v>
      </c>
      <c r="H1111" s="47">
        <v>70570</v>
      </c>
      <c r="I1111" s="47">
        <v>2100</v>
      </c>
      <c r="J1111" s="47" t="s">
        <v>28</v>
      </c>
      <c r="K1111" s="47" t="s">
        <v>1142</v>
      </c>
      <c r="L1111" s="47" t="s">
        <v>36</v>
      </c>
      <c r="M1111" s="47" t="s">
        <v>1140</v>
      </c>
      <c r="N1111" s="48">
        <v>800</v>
      </c>
      <c r="O1111" s="48">
        <v>800</v>
      </c>
      <c r="P1111" s="48">
        <v>800</v>
      </c>
      <c r="Q1111" s="48">
        <v>800</v>
      </c>
      <c r="R1111" s="48">
        <v>319</v>
      </c>
      <c r="S1111" s="48">
        <v>319</v>
      </c>
      <c r="T1111" s="48">
        <v>319</v>
      </c>
      <c r="U1111" s="48">
        <v>319</v>
      </c>
      <c r="V1111" s="48"/>
    </row>
    <row r="1112" spans="2:22" ht="34.5" x14ac:dyDescent="0.25">
      <c r="B1112" s="44" t="s">
        <v>132</v>
      </c>
      <c r="C1112" s="44" t="s">
        <v>133</v>
      </c>
      <c r="D1112" s="44" t="s">
        <v>226</v>
      </c>
      <c r="E1112" s="44" t="s">
        <v>27</v>
      </c>
      <c r="F1112" s="44" t="s">
        <v>2003</v>
      </c>
      <c r="G1112" s="44" t="s">
        <v>40</v>
      </c>
      <c r="H1112" s="44">
        <v>70393</v>
      </c>
      <c r="I1112" s="44">
        <v>79054</v>
      </c>
      <c r="J1112" s="44" t="s">
        <v>28</v>
      </c>
      <c r="K1112" s="44" t="s">
        <v>132</v>
      </c>
      <c r="L1112" s="44" t="s">
        <v>29</v>
      </c>
      <c r="M1112" s="44"/>
      <c r="N1112" s="45">
        <v>1200</v>
      </c>
      <c r="O1112" s="45">
        <v>1200</v>
      </c>
      <c r="P1112" s="45">
        <v>1200</v>
      </c>
      <c r="Q1112" s="45">
        <v>1200</v>
      </c>
      <c r="R1112" s="45">
        <v>478</v>
      </c>
      <c r="S1112" s="45">
        <v>478</v>
      </c>
      <c r="T1112" s="45">
        <v>478</v>
      </c>
      <c r="U1112" s="45">
        <v>478</v>
      </c>
      <c r="V1112" s="46"/>
    </row>
    <row r="1113" spans="2:22" ht="20" x14ac:dyDescent="0.25">
      <c r="B1113" s="47" t="s">
        <v>132</v>
      </c>
      <c r="C1113" s="47" t="s">
        <v>133</v>
      </c>
      <c r="D1113" s="47" t="s">
        <v>226</v>
      </c>
      <c r="E1113" s="47" t="s">
        <v>27</v>
      </c>
      <c r="F1113" s="47" t="s">
        <v>2003</v>
      </c>
      <c r="G1113" s="47" t="s">
        <v>40</v>
      </c>
      <c r="H1113" s="47">
        <v>70393</v>
      </c>
      <c r="I1113" s="47">
        <v>79054</v>
      </c>
      <c r="J1113" s="47" t="s">
        <v>28</v>
      </c>
      <c r="K1113" s="47" t="s">
        <v>213</v>
      </c>
      <c r="L1113" s="47" t="s">
        <v>213</v>
      </c>
      <c r="M1113" s="47" t="s">
        <v>1147</v>
      </c>
      <c r="N1113" s="48">
        <v>1200</v>
      </c>
      <c r="O1113" s="48">
        <v>1200</v>
      </c>
      <c r="P1113" s="48">
        <v>1200</v>
      </c>
      <c r="Q1113" s="48">
        <v>1200</v>
      </c>
      <c r="R1113" s="48">
        <v>478</v>
      </c>
      <c r="S1113" s="48">
        <v>478</v>
      </c>
      <c r="T1113" s="48">
        <v>478</v>
      </c>
      <c r="U1113" s="48">
        <v>478</v>
      </c>
      <c r="V1113" s="48"/>
    </row>
    <row r="1114" spans="2:22" ht="34.5" x14ac:dyDescent="0.25">
      <c r="B1114" s="44" t="s">
        <v>1148</v>
      </c>
      <c r="C1114" s="44" t="s">
        <v>1149</v>
      </c>
      <c r="D1114" s="44" t="s">
        <v>226</v>
      </c>
      <c r="E1114" s="44" t="s">
        <v>27</v>
      </c>
      <c r="F1114" s="44" t="s">
        <v>1150</v>
      </c>
      <c r="G1114" s="44" t="s">
        <v>27</v>
      </c>
      <c r="H1114" s="44">
        <v>70327</v>
      </c>
      <c r="I1114" s="44">
        <v>70379</v>
      </c>
      <c r="J1114" s="44" t="s">
        <v>28</v>
      </c>
      <c r="K1114" s="44" t="s">
        <v>1148</v>
      </c>
      <c r="L1114" s="44" t="s">
        <v>29</v>
      </c>
      <c r="M1114" s="44"/>
      <c r="N1114" s="45">
        <v>600</v>
      </c>
      <c r="O1114" s="45">
        <v>600</v>
      </c>
      <c r="P1114" s="45">
        <v>600</v>
      </c>
      <c r="Q1114" s="45">
        <v>600</v>
      </c>
      <c r="R1114" s="45">
        <v>120</v>
      </c>
      <c r="S1114" s="45">
        <v>120</v>
      </c>
      <c r="T1114" s="45">
        <v>120</v>
      </c>
      <c r="U1114" s="45">
        <v>120</v>
      </c>
      <c r="V1114" s="46"/>
    </row>
    <row r="1115" spans="2:22" ht="30" x14ac:dyDescent="0.25">
      <c r="B1115" s="47" t="s">
        <v>1148</v>
      </c>
      <c r="C1115" s="47" t="s">
        <v>1149</v>
      </c>
      <c r="D1115" s="47" t="s">
        <v>226</v>
      </c>
      <c r="E1115" s="47" t="s">
        <v>27</v>
      </c>
      <c r="F1115" s="47" t="s">
        <v>1150</v>
      </c>
      <c r="G1115" s="47" t="s">
        <v>27</v>
      </c>
      <c r="H1115" s="47">
        <v>70327</v>
      </c>
      <c r="I1115" s="47">
        <v>70379</v>
      </c>
      <c r="J1115" s="47" t="s">
        <v>28</v>
      </c>
      <c r="K1115" s="47" t="s">
        <v>2488</v>
      </c>
      <c r="L1115" s="47" t="s">
        <v>36</v>
      </c>
      <c r="M1115" s="47" t="s">
        <v>1151</v>
      </c>
      <c r="N1115" s="48">
        <v>600</v>
      </c>
      <c r="O1115" s="48">
        <v>600</v>
      </c>
      <c r="P1115" s="48">
        <v>600</v>
      </c>
      <c r="Q1115" s="48">
        <v>600</v>
      </c>
      <c r="R1115" s="48">
        <v>120</v>
      </c>
      <c r="S1115" s="48">
        <v>120</v>
      </c>
      <c r="T1115" s="48">
        <v>120</v>
      </c>
      <c r="U1115" s="48">
        <v>120</v>
      </c>
      <c r="V1115" s="48"/>
    </row>
    <row r="1116" spans="2:22" ht="30" x14ac:dyDescent="0.25">
      <c r="B1116" s="47" t="s">
        <v>1148</v>
      </c>
      <c r="C1116" s="47" t="s">
        <v>1149</v>
      </c>
      <c r="D1116" s="47" t="s">
        <v>226</v>
      </c>
      <c r="E1116" s="47" t="s">
        <v>27</v>
      </c>
      <c r="F1116" s="47" t="s">
        <v>1150</v>
      </c>
      <c r="G1116" s="47" t="s">
        <v>27</v>
      </c>
      <c r="H1116" s="47">
        <v>70327</v>
      </c>
      <c r="I1116" s="47">
        <v>70379</v>
      </c>
      <c r="J1116" s="47" t="s">
        <v>28</v>
      </c>
      <c r="K1116" s="47" t="s">
        <v>2487</v>
      </c>
      <c r="L1116" s="47" t="s">
        <v>36</v>
      </c>
      <c r="M1116" s="47" t="s">
        <v>1151</v>
      </c>
      <c r="N1116" s="48">
        <v>600</v>
      </c>
      <c r="O1116" s="48">
        <v>600</v>
      </c>
      <c r="P1116" s="48">
        <v>600</v>
      </c>
      <c r="Q1116" s="48">
        <v>600</v>
      </c>
      <c r="R1116" s="48">
        <v>120</v>
      </c>
      <c r="S1116" s="48">
        <v>120</v>
      </c>
      <c r="T1116" s="48">
        <v>120</v>
      </c>
      <c r="U1116" s="48">
        <v>120</v>
      </c>
      <c r="V1116" s="48"/>
    </row>
    <row r="1117" spans="2:22" ht="30" x14ac:dyDescent="0.25">
      <c r="B1117" s="47" t="s">
        <v>1148</v>
      </c>
      <c r="C1117" s="47" t="s">
        <v>1149</v>
      </c>
      <c r="D1117" s="47" t="s">
        <v>226</v>
      </c>
      <c r="E1117" s="47" t="s">
        <v>27</v>
      </c>
      <c r="F1117" s="47" t="s">
        <v>1150</v>
      </c>
      <c r="G1117" s="47" t="s">
        <v>27</v>
      </c>
      <c r="H1117" s="47">
        <v>70327</v>
      </c>
      <c r="I1117" s="47">
        <v>70379</v>
      </c>
      <c r="J1117" s="47" t="s">
        <v>28</v>
      </c>
      <c r="K1117" s="47" t="s">
        <v>2484</v>
      </c>
      <c r="L1117" s="47" t="s">
        <v>36</v>
      </c>
      <c r="M1117" s="47" t="s">
        <v>1151</v>
      </c>
      <c r="N1117" s="48">
        <v>600</v>
      </c>
      <c r="O1117" s="48">
        <v>600</v>
      </c>
      <c r="P1117" s="48">
        <v>600</v>
      </c>
      <c r="Q1117" s="48">
        <v>600</v>
      </c>
      <c r="R1117" s="48">
        <v>120</v>
      </c>
      <c r="S1117" s="48">
        <v>120</v>
      </c>
      <c r="T1117" s="48">
        <v>120</v>
      </c>
      <c r="U1117" s="48">
        <v>120</v>
      </c>
      <c r="V1117" s="48"/>
    </row>
    <row r="1118" spans="2:22" ht="20" x14ac:dyDescent="0.25">
      <c r="B1118" s="47" t="s">
        <v>1148</v>
      </c>
      <c r="C1118" s="47" t="s">
        <v>1149</v>
      </c>
      <c r="D1118" s="47" t="s">
        <v>226</v>
      </c>
      <c r="E1118" s="47" t="s">
        <v>27</v>
      </c>
      <c r="F1118" s="47" t="s">
        <v>1150</v>
      </c>
      <c r="G1118" s="47" t="s">
        <v>27</v>
      </c>
      <c r="H1118" s="47">
        <v>70327</v>
      </c>
      <c r="I1118" s="47">
        <v>70379</v>
      </c>
      <c r="J1118" s="47" t="s">
        <v>28</v>
      </c>
      <c r="K1118" s="47" t="s">
        <v>1152</v>
      </c>
      <c r="L1118" s="47" t="s">
        <v>39</v>
      </c>
      <c r="M1118" s="47" t="s">
        <v>1151</v>
      </c>
      <c r="N1118" s="48">
        <v>600</v>
      </c>
      <c r="O1118" s="48">
        <v>600</v>
      </c>
      <c r="P1118" s="48">
        <v>600</v>
      </c>
      <c r="Q1118" s="48">
        <v>600</v>
      </c>
      <c r="R1118" s="48">
        <v>120</v>
      </c>
      <c r="S1118" s="48">
        <v>120</v>
      </c>
      <c r="T1118" s="48">
        <v>120</v>
      </c>
      <c r="U1118" s="48">
        <v>120</v>
      </c>
      <c r="V1118" s="48"/>
    </row>
    <row r="1119" spans="2:22" ht="30" x14ac:dyDescent="0.25">
      <c r="B1119" s="47" t="s">
        <v>1148</v>
      </c>
      <c r="C1119" s="47" t="s">
        <v>1149</v>
      </c>
      <c r="D1119" s="47" t="s">
        <v>226</v>
      </c>
      <c r="E1119" s="47" t="s">
        <v>27</v>
      </c>
      <c r="F1119" s="47" t="s">
        <v>1150</v>
      </c>
      <c r="G1119" s="47" t="s">
        <v>27</v>
      </c>
      <c r="H1119" s="47">
        <v>70327</v>
      </c>
      <c r="I1119" s="47">
        <v>70379</v>
      </c>
      <c r="J1119" s="47" t="s">
        <v>28</v>
      </c>
      <c r="K1119" s="47" t="s">
        <v>1153</v>
      </c>
      <c r="L1119" s="47" t="s">
        <v>36</v>
      </c>
      <c r="M1119" s="47" t="s">
        <v>1151</v>
      </c>
      <c r="N1119" s="48">
        <v>600</v>
      </c>
      <c r="O1119" s="48">
        <v>600</v>
      </c>
      <c r="P1119" s="48">
        <v>600</v>
      </c>
      <c r="Q1119" s="48">
        <v>600</v>
      </c>
      <c r="R1119" s="48">
        <v>120</v>
      </c>
      <c r="S1119" s="48">
        <v>120</v>
      </c>
      <c r="T1119" s="48">
        <v>120</v>
      </c>
      <c r="U1119" s="48">
        <v>120</v>
      </c>
      <c r="V1119" s="48"/>
    </row>
    <row r="1120" spans="2:22" ht="30" x14ac:dyDescent="0.25">
      <c r="B1120" s="47" t="s">
        <v>1148</v>
      </c>
      <c r="C1120" s="47" t="s">
        <v>1149</v>
      </c>
      <c r="D1120" s="47" t="s">
        <v>226</v>
      </c>
      <c r="E1120" s="47" t="s">
        <v>27</v>
      </c>
      <c r="F1120" s="47" t="s">
        <v>1150</v>
      </c>
      <c r="G1120" s="47" t="s">
        <v>27</v>
      </c>
      <c r="H1120" s="47">
        <v>70327</v>
      </c>
      <c r="I1120" s="47">
        <v>70379</v>
      </c>
      <c r="J1120" s="47" t="s">
        <v>28</v>
      </c>
      <c r="K1120" s="47" t="s">
        <v>2489</v>
      </c>
      <c r="L1120" s="47" t="s">
        <v>36</v>
      </c>
      <c r="M1120" s="47" t="s">
        <v>1151</v>
      </c>
      <c r="N1120" s="48">
        <v>600</v>
      </c>
      <c r="O1120" s="48">
        <v>600</v>
      </c>
      <c r="P1120" s="48">
        <v>600</v>
      </c>
      <c r="Q1120" s="48">
        <v>600</v>
      </c>
      <c r="R1120" s="48">
        <v>120</v>
      </c>
      <c r="S1120" s="48">
        <v>120</v>
      </c>
      <c r="T1120" s="48">
        <v>120</v>
      </c>
      <c r="U1120" s="48">
        <v>120</v>
      </c>
      <c r="V1120" s="48"/>
    </row>
    <row r="1121" spans="2:22" ht="20" x14ac:dyDescent="0.25">
      <c r="B1121" s="47" t="s">
        <v>1148</v>
      </c>
      <c r="C1121" s="47" t="s">
        <v>1149</v>
      </c>
      <c r="D1121" s="47" t="s">
        <v>226</v>
      </c>
      <c r="E1121" s="47" t="s">
        <v>27</v>
      </c>
      <c r="F1121" s="47" t="s">
        <v>1150</v>
      </c>
      <c r="G1121" s="47" t="s">
        <v>27</v>
      </c>
      <c r="H1121" s="47">
        <v>70327</v>
      </c>
      <c r="I1121" s="47">
        <v>70379</v>
      </c>
      <c r="J1121" s="47" t="s">
        <v>28</v>
      </c>
      <c r="K1121" s="47" t="s">
        <v>1157</v>
      </c>
      <c r="L1121" s="47" t="s">
        <v>39</v>
      </c>
      <c r="M1121" s="47" t="s">
        <v>1151</v>
      </c>
      <c r="N1121" s="48">
        <v>600</v>
      </c>
      <c r="O1121" s="48">
        <v>600</v>
      </c>
      <c r="P1121" s="48">
        <v>600</v>
      </c>
      <c r="Q1121" s="48">
        <v>600</v>
      </c>
      <c r="R1121" s="48">
        <v>120</v>
      </c>
      <c r="S1121" s="48">
        <v>120</v>
      </c>
      <c r="T1121" s="48">
        <v>120</v>
      </c>
      <c r="U1121" s="48">
        <v>120</v>
      </c>
      <c r="V1121" s="48"/>
    </row>
    <row r="1122" spans="2:22" ht="30" x14ac:dyDescent="0.25">
      <c r="B1122" s="47" t="s">
        <v>1148</v>
      </c>
      <c r="C1122" s="47" t="s">
        <v>1149</v>
      </c>
      <c r="D1122" s="47" t="s">
        <v>226</v>
      </c>
      <c r="E1122" s="47" t="s">
        <v>27</v>
      </c>
      <c r="F1122" s="47" t="s">
        <v>1150</v>
      </c>
      <c r="G1122" s="47" t="s">
        <v>27</v>
      </c>
      <c r="H1122" s="47">
        <v>70327</v>
      </c>
      <c r="I1122" s="47">
        <v>70379</v>
      </c>
      <c r="J1122" s="47" t="s">
        <v>28</v>
      </c>
      <c r="K1122" s="47" t="s">
        <v>2490</v>
      </c>
      <c r="L1122" s="47" t="s">
        <v>36</v>
      </c>
      <c r="M1122" s="47" t="s">
        <v>1151</v>
      </c>
      <c r="N1122" s="48">
        <v>600</v>
      </c>
      <c r="O1122" s="48">
        <v>600</v>
      </c>
      <c r="P1122" s="48">
        <v>600</v>
      </c>
      <c r="Q1122" s="48">
        <v>600</v>
      </c>
      <c r="R1122" s="48">
        <v>120</v>
      </c>
      <c r="S1122" s="48">
        <v>120</v>
      </c>
      <c r="T1122" s="48">
        <v>120</v>
      </c>
      <c r="U1122" s="48">
        <v>120</v>
      </c>
      <c r="V1122" s="48"/>
    </row>
    <row r="1123" spans="2:22" ht="20" x14ac:dyDescent="0.25">
      <c r="B1123" s="47" t="s">
        <v>1148</v>
      </c>
      <c r="C1123" s="47" t="s">
        <v>1149</v>
      </c>
      <c r="D1123" s="47" t="s">
        <v>226</v>
      </c>
      <c r="E1123" s="47" t="s">
        <v>27</v>
      </c>
      <c r="F1123" s="47" t="s">
        <v>1150</v>
      </c>
      <c r="G1123" s="47" t="s">
        <v>27</v>
      </c>
      <c r="H1123" s="47">
        <v>70327</v>
      </c>
      <c r="I1123" s="47">
        <v>70379</v>
      </c>
      <c r="J1123" s="47" t="s">
        <v>28</v>
      </c>
      <c r="K1123" s="47" t="s">
        <v>1155</v>
      </c>
      <c r="L1123" s="47" t="s">
        <v>39</v>
      </c>
      <c r="M1123" s="47" t="s">
        <v>1151</v>
      </c>
      <c r="N1123" s="48">
        <v>600</v>
      </c>
      <c r="O1123" s="48">
        <v>600</v>
      </c>
      <c r="P1123" s="48">
        <v>600</v>
      </c>
      <c r="Q1123" s="48">
        <v>600</v>
      </c>
      <c r="R1123" s="48">
        <v>120</v>
      </c>
      <c r="S1123" s="48">
        <v>120</v>
      </c>
      <c r="T1123" s="48">
        <v>120</v>
      </c>
      <c r="U1123" s="48">
        <v>120</v>
      </c>
      <c r="V1123" s="48"/>
    </row>
    <row r="1124" spans="2:22" ht="30" x14ac:dyDescent="0.25">
      <c r="B1124" s="47" t="s">
        <v>1148</v>
      </c>
      <c r="C1124" s="47" t="s">
        <v>1149</v>
      </c>
      <c r="D1124" s="47" t="s">
        <v>226</v>
      </c>
      <c r="E1124" s="47" t="s">
        <v>27</v>
      </c>
      <c r="F1124" s="47" t="s">
        <v>1150</v>
      </c>
      <c r="G1124" s="47" t="s">
        <v>27</v>
      </c>
      <c r="H1124" s="47">
        <v>70327</v>
      </c>
      <c r="I1124" s="47">
        <v>70379</v>
      </c>
      <c r="J1124" s="47" t="s">
        <v>28</v>
      </c>
      <c r="K1124" s="47" t="s">
        <v>2485</v>
      </c>
      <c r="L1124" s="47" t="s">
        <v>36</v>
      </c>
      <c r="M1124" s="47" t="s">
        <v>1151</v>
      </c>
      <c r="N1124" s="48">
        <v>600</v>
      </c>
      <c r="O1124" s="48">
        <v>600</v>
      </c>
      <c r="P1124" s="48">
        <v>600</v>
      </c>
      <c r="Q1124" s="48">
        <v>600</v>
      </c>
      <c r="R1124" s="48">
        <v>120</v>
      </c>
      <c r="S1124" s="48">
        <v>120</v>
      </c>
      <c r="T1124" s="48">
        <v>120</v>
      </c>
      <c r="U1124" s="48">
        <v>120</v>
      </c>
      <c r="V1124" s="48"/>
    </row>
    <row r="1125" spans="2:22" ht="30" x14ac:dyDescent="0.25">
      <c r="B1125" s="47" t="s">
        <v>1148</v>
      </c>
      <c r="C1125" s="47" t="s">
        <v>1149</v>
      </c>
      <c r="D1125" s="47" t="s">
        <v>226</v>
      </c>
      <c r="E1125" s="47" t="s">
        <v>27</v>
      </c>
      <c r="F1125" s="47" t="s">
        <v>1150</v>
      </c>
      <c r="G1125" s="47" t="s">
        <v>27</v>
      </c>
      <c r="H1125" s="47">
        <v>70327</v>
      </c>
      <c r="I1125" s="47">
        <v>70379</v>
      </c>
      <c r="J1125" s="47" t="s">
        <v>28</v>
      </c>
      <c r="K1125" s="47" t="s">
        <v>2486</v>
      </c>
      <c r="L1125" s="47" t="s">
        <v>36</v>
      </c>
      <c r="M1125" s="47" t="s">
        <v>1151</v>
      </c>
      <c r="N1125" s="48">
        <v>600</v>
      </c>
      <c r="O1125" s="48">
        <v>600</v>
      </c>
      <c r="P1125" s="48">
        <v>600</v>
      </c>
      <c r="Q1125" s="48">
        <v>600</v>
      </c>
      <c r="R1125" s="48">
        <v>120</v>
      </c>
      <c r="S1125" s="48">
        <v>120</v>
      </c>
      <c r="T1125" s="48">
        <v>120</v>
      </c>
      <c r="U1125" s="48">
        <v>120</v>
      </c>
      <c r="V1125" s="48"/>
    </row>
    <row r="1126" spans="2:22" ht="20" x14ac:dyDescent="0.25">
      <c r="B1126" s="47" t="s">
        <v>1148</v>
      </c>
      <c r="C1126" s="47" t="s">
        <v>1149</v>
      </c>
      <c r="D1126" s="47" t="s">
        <v>226</v>
      </c>
      <c r="E1126" s="47" t="s">
        <v>27</v>
      </c>
      <c r="F1126" s="47" t="s">
        <v>1150</v>
      </c>
      <c r="G1126" s="47" t="s">
        <v>27</v>
      </c>
      <c r="H1126" s="47">
        <v>70327</v>
      </c>
      <c r="I1126" s="47">
        <v>70379</v>
      </c>
      <c r="J1126" s="47" t="s">
        <v>28</v>
      </c>
      <c r="K1126" s="47" t="s">
        <v>2491</v>
      </c>
      <c r="L1126" s="47" t="s">
        <v>34</v>
      </c>
      <c r="M1126" s="47" t="s">
        <v>1151</v>
      </c>
      <c r="N1126" s="48">
        <v>600</v>
      </c>
      <c r="O1126" s="47">
        <v>775</v>
      </c>
      <c r="P1126" s="47">
        <v>743</v>
      </c>
      <c r="Q1126" s="47">
        <v>890</v>
      </c>
      <c r="R1126" s="48">
        <v>120</v>
      </c>
      <c r="S1126" s="47">
        <v>154</v>
      </c>
      <c r="T1126" s="47">
        <v>148</v>
      </c>
      <c r="U1126" s="47">
        <v>177</v>
      </c>
      <c r="V1126" s="47"/>
    </row>
    <row r="1127" spans="2:22" ht="20" x14ac:dyDescent="0.25">
      <c r="B1127" s="47" t="s">
        <v>1148</v>
      </c>
      <c r="C1127" s="47" t="s">
        <v>1149</v>
      </c>
      <c r="D1127" s="47" t="s">
        <v>226</v>
      </c>
      <c r="E1127" s="47" t="s">
        <v>27</v>
      </c>
      <c r="F1127" s="47" t="s">
        <v>1150</v>
      </c>
      <c r="G1127" s="47" t="s">
        <v>27</v>
      </c>
      <c r="H1127" s="47">
        <v>70327</v>
      </c>
      <c r="I1127" s="47">
        <v>70379</v>
      </c>
      <c r="J1127" s="47" t="s">
        <v>28</v>
      </c>
      <c r="K1127" s="47" t="s">
        <v>2492</v>
      </c>
      <c r="L1127" s="47" t="s">
        <v>34</v>
      </c>
      <c r="M1127" s="47" t="s">
        <v>1151</v>
      </c>
      <c r="N1127" s="48">
        <v>600</v>
      </c>
      <c r="O1127" s="47">
        <v>775</v>
      </c>
      <c r="P1127" s="47">
        <v>743</v>
      </c>
      <c r="Q1127" s="47">
        <v>890</v>
      </c>
      <c r="R1127" s="48">
        <v>120</v>
      </c>
      <c r="S1127" s="47">
        <v>154</v>
      </c>
      <c r="T1127" s="47">
        <v>148</v>
      </c>
      <c r="U1127" s="47">
        <v>177</v>
      </c>
      <c r="V1127" s="47"/>
    </row>
    <row r="1128" spans="2:22" ht="20" x14ac:dyDescent="0.25">
      <c r="B1128" s="47" t="s">
        <v>1148</v>
      </c>
      <c r="C1128" s="47" t="s">
        <v>1149</v>
      </c>
      <c r="D1128" s="47" t="s">
        <v>226</v>
      </c>
      <c r="E1128" s="47" t="s">
        <v>27</v>
      </c>
      <c r="F1128" s="47" t="s">
        <v>1150</v>
      </c>
      <c r="G1128" s="47" t="s">
        <v>27</v>
      </c>
      <c r="H1128" s="47">
        <v>70327</v>
      </c>
      <c r="I1128" s="47">
        <v>70379</v>
      </c>
      <c r="J1128" s="47" t="s">
        <v>28</v>
      </c>
      <c r="K1128" s="47" t="s">
        <v>2493</v>
      </c>
      <c r="L1128" s="47" t="s">
        <v>34</v>
      </c>
      <c r="M1128" s="47" t="s">
        <v>1151</v>
      </c>
      <c r="N1128" s="48">
        <v>600</v>
      </c>
      <c r="O1128" s="47">
        <v>775</v>
      </c>
      <c r="P1128" s="47">
        <v>743</v>
      </c>
      <c r="Q1128" s="47">
        <v>890</v>
      </c>
      <c r="R1128" s="48">
        <v>120</v>
      </c>
      <c r="S1128" s="47">
        <v>154</v>
      </c>
      <c r="T1128" s="47">
        <v>148</v>
      </c>
      <c r="U1128" s="47">
        <v>177</v>
      </c>
      <c r="V1128" s="47"/>
    </row>
    <row r="1129" spans="2:22" ht="23" x14ac:dyDescent="0.25">
      <c r="B1129" s="44" t="s">
        <v>2315</v>
      </c>
      <c r="C1129" s="44" t="s">
        <v>2316</v>
      </c>
      <c r="D1129" s="44" t="s">
        <v>2312</v>
      </c>
      <c r="E1129" s="44" t="s">
        <v>27</v>
      </c>
      <c r="F1129" s="44" t="s">
        <v>2690</v>
      </c>
      <c r="G1129" s="44" t="s">
        <v>40</v>
      </c>
      <c r="H1129" s="44">
        <v>70628</v>
      </c>
      <c r="I1129" s="44">
        <v>70764</v>
      </c>
      <c r="J1129" s="44" t="s">
        <v>42</v>
      </c>
      <c r="K1129" s="44" t="s">
        <v>2315</v>
      </c>
      <c r="L1129" s="44" t="s">
        <v>29</v>
      </c>
      <c r="M1129" s="44"/>
      <c r="N1129" s="45">
        <v>1200</v>
      </c>
      <c r="O1129" s="45">
        <v>1200</v>
      </c>
      <c r="P1129" s="45">
        <v>1200</v>
      </c>
      <c r="Q1129" s="45">
        <v>1200</v>
      </c>
      <c r="R1129" s="45">
        <v>717</v>
      </c>
      <c r="S1129" s="45">
        <v>717</v>
      </c>
      <c r="T1129" s="45">
        <v>717</v>
      </c>
      <c r="U1129" s="45">
        <v>717</v>
      </c>
      <c r="V1129" s="46"/>
    </row>
    <row r="1130" spans="2:22" ht="20" x14ac:dyDescent="0.25">
      <c r="B1130" s="47" t="s">
        <v>2315</v>
      </c>
      <c r="C1130" s="47" t="s">
        <v>2316</v>
      </c>
      <c r="D1130" s="47" t="s">
        <v>2312</v>
      </c>
      <c r="E1130" s="47" t="s">
        <v>27</v>
      </c>
      <c r="F1130" s="47" t="s">
        <v>2690</v>
      </c>
      <c r="G1130" s="47" t="s">
        <v>40</v>
      </c>
      <c r="H1130" s="47">
        <v>70628</v>
      </c>
      <c r="I1130" s="47">
        <v>70764</v>
      </c>
      <c r="J1130" s="47" t="s">
        <v>42</v>
      </c>
      <c r="K1130" s="47" t="s">
        <v>2319</v>
      </c>
      <c r="L1130" s="47" t="s">
        <v>39</v>
      </c>
      <c r="M1130" s="47" t="s">
        <v>2318</v>
      </c>
      <c r="N1130" s="48">
        <v>1200</v>
      </c>
      <c r="O1130" s="48">
        <v>1200</v>
      </c>
      <c r="P1130" s="48">
        <v>1200</v>
      </c>
      <c r="Q1130" s="48">
        <v>1200</v>
      </c>
      <c r="R1130" s="48">
        <v>717</v>
      </c>
      <c r="S1130" s="48">
        <v>717</v>
      </c>
      <c r="T1130" s="48">
        <v>717</v>
      </c>
      <c r="U1130" s="48">
        <v>717</v>
      </c>
      <c r="V1130" s="48"/>
    </row>
    <row r="1131" spans="2:22" ht="20" x14ac:dyDescent="0.25">
      <c r="B1131" s="47" t="s">
        <v>2315</v>
      </c>
      <c r="C1131" s="47" t="s">
        <v>2316</v>
      </c>
      <c r="D1131" s="47" t="s">
        <v>2312</v>
      </c>
      <c r="E1131" s="47" t="s">
        <v>27</v>
      </c>
      <c r="F1131" s="47" t="s">
        <v>2690</v>
      </c>
      <c r="G1131" s="47" t="s">
        <v>40</v>
      </c>
      <c r="H1131" s="47">
        <v>70628</v>
      </c>
      <c r="I1131" s="47">
        <v>70764</v>
      </c>
      <c r="J1131" s="47" t="s">
        <v>42</v>
      </c>
      <c r="K1131" s="47" t="s">
        <v>2320</v>
      </c>
      <c r="L1131" s="47" t="s">
        <v>39</v>
      </c>
      <c r="M1131" s="47" t="s">
        <v>2318</v>
      </c>
      <c r="N1131" s="48">
        <v>1200</v>
      </c>
      <c r="O1131" s="48">
        <v>1200</v>
      </c>
      <c r="P1131" s="48">
        <v>1200</v>
      </c>
      <c r="Q1131" s="48">
        <v>1200</v>
      </c>
      <c r="R1131" s="48">
        <v>717</v>
      </c>
      <c r="S1131" s="48">
        <v>717</v>
      </c>
      <c r="T1131" s="48">
        <v>717</v>
      </c>
      <c r="U1131" s="48">
        <v>717</v>
      </c>
      <c r="V1131" s="48"/>
    </row>
    <row r="1132" spans="2:22" ht="20" x14ac:dyDescent="0.25">
      <c r="B1132" s="47" t="s">
        <v>2315</v>
      </c>
      <c r="C1132" s="47" t="s">
        <v>2316</v>
      </c>
      <c r="D1132" s="47" t="s">
        <v>2312</v>
      </c>
      <c r="E1132" s="47" t="s">
        <v>27</v>
      </c>
      <c r="F1132" s="47" t="s">
        <v>2690</v>
      </c>
      <c r="G1132" s="47" t="s">
        <v>40</v>
      </c>
      <c r="H1132" s="47">
        <v>70628</v>
      </c>
      <c r="I1132" s="47">
        <v>70764</v>
      </c>
      <c r="J1132" s="47" t="s">
        <v>42</v>
      </c>
      <c r="K1132" s="47" t="s">
        <v>2317</v>
      </c>
      <c r="L1132" s="47" t="s">
        <v>39</v>
      </c>
      <c r="M1132" s="47" t="s">
        <v>2318</v>
      </c>
      <c r="N1132" s="48">
        <v>1200</v>
      </c>
      <c r="O1132" s="48">
        <v>1200</v>
      </c>
      <c r="P1132" s="48">
        <v>1200</v>
      </c>
      <c r="Q1132" s="48">
        <v>1200</v>
      </c>
      <c r="R1132" s="48">
        <v>717</v>
      </c>
      <c r="S1132" s="48">
        <v>717</v>
      </c>
      <c r="T1132" s="48">
        <v>717</v>
      </c>
      <c r="U1132" s="48">
        <v>717</v>
      </c>
      <c r="V1132" s="48"/>
    </row>
    <row r="1133" spans="2:22" x14ac:dyDescent="0.25">
      <c r="B1133" s="44" t="s">
        <v>2321</v>
      </c>
      <c r="C1133" s="44" t="s">
        <v>2322</v>
      </c>
      <c r="D1133" s="44" t="s">
        <v>2312</v>
      </c>
      <c r="E1133" s="44" t="s">
        <v>27</v>
      </c>
      <c r="F1133" s="44" t="s">
        <v>2239</v>
      </c>
      <c r="G1133" s="44" t="s">
        <v>27</v>
      </c>
      <c r="H1133" s="44">
        <v>70628</v>
      </c>
      <c r="I1133" s="44">
        <v>70630</v>
      </c>
      <c r="J1133" s="44" t="s">
        <v>28</v>
      </c>
      <c r="K1133" s="44" t="s">
        <v>2321</v>
      </c>
      <c r="L1133" s="44" t="s">
        <v>29</v>
      </c>
      <c r="M1133" s="44"/>
      <c r="N1133" s="45">
        <v>2740</v>
      </c>
      <c r="O1133" s="45">
        <v>2740</v>
      </c>
      <c r="P1133" s="45">
        <v>2740</v>
      </c>
      <c r="Q1133" s="45">
        <v>2740</v>
      </c>
      <c r="R1133" s="45">
        <v>1637</v>
      </c>
      <c r="S1133" s="45">
        <v>1637</v>
      </c>
      <c r="T1133" s="45">
        <v>1637</v>
      </c>
      <c r="U1133" s="45">
        <v>1637</v>
      </c>
      <c r="V1133" s="46"/>
    </row>
    <row r="1134" spans="2:22" x14ac:dyDescent="0.25">
      <c r="B1134" s="47" t="s">
        <v>2321</v>
      </c>
      <c r="C1134" s="47" t="s">
        <v>2322</v>
      </c>
      <c r="D1134" s="47" t="s">
        <v>2312</v>
      </c>
      <c r="E1134" s="47" t="s">
        <v>27</v>
      </c>
      <c r="F1134" s="47" t="s">
        <v>2239</v>
      </c>
      <c r="G1134" s="47" t="s">
        <v>27</v>
      </c>
      <c r="H1134" s="47">
        <v>70628</v>
      </c>
      <c r="I1134" s="47">
        <v>70630</v>
      </c>
      <c r="J1134" s="47" t="s">
        <v>28</v>
      </c>
      <c r="K1134" s="47" t="s">
        <v>2321</v>
      </c>
      <c r="L1134" s="47" t="s">
        <v>30</v>
      </c>
      <c r="M1134" s="47" t="s">
        <v>2322</v>
      </c>
      <c r="N1134" s="48">
        <v>2740</v>
      </c>
      <c r="O1134" s="48">
        <v>2740</v>
      </c>
      <c r="P1134" s="48">
        <v>2740</v>
      </c>
      <c r="Q1134" s="48">
        <v>2740</v>
      </c>
      <c r="R1134" s="48">
        <v>1637</v>
      </c>
      <c r="S1134" s="48">
        <v>1637</v>
      </c>
      <c r="T1134" s="48">
        <v>1637</v>
      </c>
      <c r="U1134" s="48">
        <v>1637</v>
      </c>
      <c r="V1134" s="48"/>
    </row>
    <row r="1135" spans="2:22" ht="23" x14ac:dyDescent="0.25">
      <c r="B1135" s="44" t="s">
        <v>1164</v>
      </c>
      <c r="C1135" s="44" t="s">
        <v>1165</v>
      </c>
      <c r="D1135" s="44" t="s">
        <v>672</v>
      </c>
      <c r="E1135" s="44" t="s">
        <v>27</v>
      </c>
      <c r="F1135" s="44" t="s">
        <v>343</v>
      </c>
      <c r="G1135" s="44" t="s">
        <v>27</v>
      </c>
      <c r="H1135" s="44">
        <v>70057</v>
      </c>
      <c r="I1135" s="44">
        <v>70053</v>
      </c>
      <c r="J1135" s="44" t="s">
        <v>42</v>
      </c>
      <c r="K1135" s="44" t="s">
        <v>1164</v>
      </c>
      <c r="L1135" s="44" t="s">
        <v>29</v>
      </c>
      <c r="M1135" s="44"/>
      <c r="N1135" s="45">
        <v>1174</v>
      </c>
      <c r="O1135" s="45">
        <v>1379</v>
      </c>
      <c r="P1135" s="45">
        <v>1407</v>
      </c>
      <c r="Q1135" s="45">
        <v>1563</v>
      </c>
      <c r="R1135" s="45">
        <v>468</v>
      </c>
      <c r="S1135" s="45">
        <v>549</v>
      </c>
      <c r="T1135" s="45">
        <v>561</v>
      </c>
      <c r="U1135" s="45">
        <v>623</v>
      </c>
      <c r="V1135" s="46"/>
    </row>
    <row r="1136" spans="2:22" ht="20" x14ac:dyDescent="0.25">
      <c r="B1136" s="47" t="s">
        <v>1164</v>
      </c>
      <c r="C1136" s="47" t="s">
        <v>1165</v>
      </c>
      <c r="D1136" s="47" t="s">
        <v>672</v>
      </c>
      <c r="E1136" s="47" t="s">
        <v>27</v>
      </c>
      <c r="F1136" s="47" t="s">
        <v>343</v>
      </c>
      <c r="G1136" s="47" t="s">
        <v>27</v>
      </c>
      <c r="H1136" s="47">
        <v>70057</v>
      </c>
      <c r="I1136" s="47">
        <v>70053</v>
      </c>
      <c r="J1136" s="47" t="s">
        <v>42</v>
      </c>
      <c r="K1136" s="47" t="s">
        <v>388</v>
      </c>
      <c r="L1136" s="47" t="s">
        <v>31</v>
      </c>
      <c r="M1136" s="47" t="s">
        <v>346</v>
      </c>
      <c r="N1136" s="48">
        <v>1174</v>
      </c>
      <c r="O1136" s="48">
        <v>1379</v>
      </c>
      <c r="P1136" s="48">
        <v>1407</v>
      </c>
      <c r="Q1136" s="47">
        <v>1574</v>
      </c>
      <c r="R1136" s="48">
        <v>468</v>
      </c>
      <c r="S1136" s="48">
        <v>549</v>
      </c>
      <c r="T1136" s="48">
        <v>561</v>
      </c>
      <c r="U1136" s="47">
        <v>627</v>
      </c>
      <c r="V1136" s="47"/>
    </row>
    <row r="1137" spans="2:22" ht="20" x14ac:dyDescent="0.25">
      <c r="B1137" s="47" t="s">
        <v>1164</v>
      </c>
      <c r="C1137" s="47" t="s">
        <v>1165</v>
      </c>
      <c r="D1137" s="47" t="s">
        <v>672</v>
      </c>
      <c r="E1137" s="47" t="s">
        <v>27</v>
      </c>
      <c r="F1137" s="47" t="s">
        <v>343</v>
      </c>
      <c r="G1137" s="47" t="s">
        <v>27</v>
      </c>
      <c r="H1137" s="47">
        <v>70057</v>
      </c>
      <c r="I1137" s="47">
        <v>70053</v>
      </c>
      <c r="J1137" s="47" t="s">
        <v>42</v>
      </c>
      <c r="K1137" s="47" t="s">
        <v>1164</v>
      </c>
      <c r="L1137" s="47" t="s">
        <v>30</v>
      </c>
      <c r="M1137" s="47" t="s">
        <v>1165</v>
      </c>
      <c r="N1137" s="47">
        <v>1295</v>
      </c>
      <c r="O1137" s="47">
        <v>1424</v>
      </c>
      <c r="P1137" s="47">
        <v>1421</v>
      </c>
      <c r="Q1137" s="48">
        <v>1563</v>
      </c>
      <c r="R1137" s="47">
        <v>516</v>
      </c>
      <c r="S1137" s="47">
        <v>567</v>
      </c>
      <c r="T1137" s="47">
        <v>566</v>
      </c>
      <c r="U1137" s="48">
        <v>623</v>
      </c>
      <c r="V1137" s="48"/>
    </row>
    <row r="1138" spans="2:22" ht="23" x14ac:dyDescent="0.25">
      <c r="B1138" s="44" t="s">
        <v>1166</v>
      </c>
      <c r="C1138" s="44" t="s">
        <v>1167</v>
      </c>
      <c r="D1138" s="44" t="s">
        <v>1168</v>
      </c>
      <c r="E1138" s="44" t="s">
        <v>27</v>
      </c>
      <c r="F1138" s="44" t="s">
        <v>1120</v>
      </c>
      <c r="G1138" s="44" t="s">
        <v>27</v>
      </c>
      <c r="H1138" s="44">
        <v>70343</v>
      </c>
      <c r="I1138" s="44">
        <v>70545</v>
      </c>
      <c r="J1138" s="44" t="s">
        <v>28</v>
      </c>
      <c r="K1138" s="44" t="s">
        <v>1166</v>
      </c>
      <c r="L1138" s="44" t="s">
        <v>29</v>
      </c>
      <c r="M1138" s="44"/>
      <c r="N1138" s="45">
        <v>1980</v>
      </c>
      <c r="O1138" s="45">
        <v>1980</v>
      </c>
      <c r="P1138" s="45">
        <v>2000</v>
      </c>
      <c r="Q1138" s="45">
        <v>2000</v>
      </c>
      <c r="R1138" s="45">
        <v>789</v>
      </c>
      <c r="S1138" s="45">
        <v>789</v>
      </c>
      <c r="T1138" s="45">
        <v>797</v>
      </c>
      <c r="U1138" s="45">
        <v>797</v>
      </c>
      <c r="V1138" s="46"/>
    </row>
    <row r="1139" spans="2:22" x14ac:dyDescent="0.25">
      <c r="B1139" s="47" t="s">
        <v>1166</v>
      </c>
      <c r="C1139" s="47" t="s">
        <v>1167</v>
      </c>
      <c r="D1139" s="47" t="s">
        <v>1168</v>
      </c>
      <c r="E1139" s="47" t="s">
        <v>27</v>
      </c>
      <c r="F1139" s="47" t="s">
        <v>1120</v>
      </c>
      <c r="G1139" s="47" t="s">
        <v>27</v>
      </c>
      <c r="H1139" s="47">
        <v>70343</v>
      </c>
      <c r="I1139" s="47">
        <v>70545</v>
      </c>
      <c r="J1139" s="47" t="s">
        <v>28</v>
      </c>
      <c r="K1139" s="47"/>
      <c r="L1139" s="47" t="s">
        <v>301</v>
      </c>
      <c r="M1139" s="47" t="s">
        <v>1169</v>
      </c>
      <c r="N1139" s="48">
        <v>1980</v>
      </c>
      <c r="O1139" s="48">
        <v>1980</v>
      </c>
      <c r="P1139" s="47">
        <v>2091</v>
      </c>
      <c r="Q1139" s="47">
        <v>2091</v>
      </c>
      <c r="R1139" s="48">
        <v>789</v>
      </c>
      <c r="S1139" s="48">
        <v>789</v>
      </c>
      <c r="T1139" s="47">
        <v>833</v>
      </c>
      <c r="U1139" s="47">
        <v>833</v>
      </c>
      <c r="V1139" s="47"/>
    </row>
    <row r="1140" spans="2:22" ht="20" x14ac:dyDescent="0.25">
      <c r="B1140" s="47" t="s">
        <v>1166</v>
      </c>
      <c r="C1140" s="47" t="s">
        <v>1167</v>
      </c>
      <c r="D1140" s="47" t="s">
        <v>1168</v>
      </c>
      <c r="E1140" s="47" t="s">
        <v>27</v>
      </c>
      <c r="F1140" s="47" t="s">
        <v>1120</v>
      </c>
      <c r="G1140" s="47" t="s">
        <v>27</v>
      </c>
      <c r="H1140" s="47">
        <v>70343</v>
      </c>
      <c r="I1140" s="47">
        <v>70545</v>
      </c>
      <c r="J1140" s="47" t="s">
        <v>28</v>
      </c>
      <c r="K1140" s="47" t="s">
        <v>2007</v>
      </c>
      <c r="L1140" s="47" t="s">
        <v>1315</v>
      </c>
      <c r="M1140" s="47" t="s">
        <v>2005</v>
      </c>
      <c r="N1140" s="47">
        <v>2000</v>
      </c>
      <c r="O1140" s="47">
        <v>2000</v>
      </c>
      <c r="P1140" s="48">
        <v>2000</v>
      </c>
      <c r="Q1140" s="48">
        <v>2000</v>
      </c>
      <c r="R1140" s="47">
        <v>797</v>
      </c>
      <c r="S1140" s="47">
        <v>797</v>
      </c>
      <c r="T1140" s="48">
        <v>797</v>
      </c>
      <c r="U1140" s="48">
        <v>797</v>
      </c>
      <c r="V1140" s="48"/>
    </row>
    <row r="1141" spans="2:22" ht="20" x14ac:dyDescent="0.25">
      <c r="B1141" s="47" t="s">
        <v>1166</v>
      </c>
      <c r="C1141" s="47" t="s">
        <v>1167</v>
      </c>
      <c r="D1141" s="47" t="s">
        <v>1168</v>
      </c>
      <c r="E1141" s="47" t="s">
        <v>27</v>
      </c>
      <c r="F1141" s="47" t="s">
        <v>1120</v>
      </c>
      <c r="G1141" s="47" t="s">
        <v>27</v>
      </c>
      <c r="H1141" s="47">
        <v>70343</v>
      </c>
      <c r="I1141" s="47">
        <v>70545</v>
      </c>
      <c r="J1141" s="47" t="s">
        <v>28</v>
      </c>
      <c r="K1141" s="47" t="s">
        <v>2004</v>
      </c>
      <c r="L1141" s="47" t="s">
        <v>1315</v>
      </c>
      <c r="M1141" s="47" t="s">
        <v>2005</v>
      </c>
      <c r="N1141" s="47">
        <v>2000</v>
      </c>
      <c r="O1141" s="47">
        <v>2000</v>
      </c>
      <c r="P1141" s="48">
        <v>2000</v>
      </c>
      <c r="Q1141" s="48">
        <v>2000</v>
      </c>
      <c r="R1141" s="47">
        <v>797</v>
      </c>
      <c r="S1141" s="47">
        <v>797</v>
      </c>
      <c r="T1141" s="48">
        <v>797</v>
      </c>
      <c r="U1141" s="48">
        <v>797</v>
      </c>
      <c r="V1141" s="48"/>
    </row>
    <row r="1142" spans="2:22" ht="20" x14ac:dyDescent="0.25">
      <c r="B1142" s="47" t="s">
        <v>1166</v>
      </c>
      <c r="C1142" s="47" t="s">
        <v>1167</v>
      </c>
      <c r="D1142" s="47" t="s">
        <v>1168</v>
      </c>
      <c r="E1142" s="47" t="s">
        <v>27</v>
      </c>
      <c r="F1142" s="47" t="s">
        <v>1120</v>
      </c>
      <c r="G1142" s="47" t="s">
        <v>27</v>
      </c>
      <c r="H1142" s="47">
        <v>70343</v>
      </c>
      <c r="I1142" s="47">
        <v>70545</v>
      </c>
      <c r="J1142" s="47" t="s">
        <v>28</v>
      </c>
      <c r="K1142" s="47" t="s">
        <v>2006</v>
      </c>
      <c r="L1142" s="47" t="s">
        <v>1315</v>
      </c>
      <c r="M1142" s="47" t="s">
        <v>2005</v>
      </c>
      <c r="N1142" s="47">
        <v>2000</v>
      </c>
      <c r="O1142" s="47">
        <v>2000</v>
      </c>
      <c r="P1142" s="48">
        <v>2000</v>
      </c>
      <c r="Q1142" s="48">
        <v>2000</v>
      </c>
      <c r="R1142" s="47">
        <v>797</v>
      </c>
      <c r="S1142" s="47">
        <v>797</v>
      </c>
      <c r="T1142" s="48">
        <v>797</v>
      </c>
      <c r="U1142" s="48">
        <v>797</v>
      </c>
      <c r="V1142" s="48"/>
    </row>
    <row r="1143" spans="2:22" ht="23" x14ac:dyDescent="0.25">
      <c r="B1143" s="44" t="s">
        <v>1170</v>
      </c>
      <c r="C1143" s="44" t="s">
        <v>1167</v>
      </c>
      <c r="D1143" s="44" t="s">
        <v>1168</v>
      </c>
      <c r="E1143" s="44" t="s">
        <v>27</v>
      </c>
      <c r="F1143" s="44" t="s">
        <v>422</v>
      </c>
      <c r="G1143" s="44" t="s">
        <v>27</v>
      </c>
      <c r="H1143" s="44">
        <v>70343</v>
      </c>
      <c r="I1143" s="44">
        <v>70396</v>
      </c>
      <c r="J1143" s="44" t="s">
        <v>28</v>
      </c>
      <c r="K1143" s="44" t="s">
        <v>1170</v>
      </c>
      <c r="L1143" s="44" t="s">
        <v>29</v>
      </c>
      <c r="M1143" s="44"/>
      <c r="N1143" s="45">
        <v>1904</v>
      </c>
      <c r="O1143" s="45">
        <v>1980</v>
      </c>
      <c r="P1143" s="45">
        <v>2000</v>
      </c>
      <c r="Q1143" s="45">
        <v>2000</v>
      </c>
      <c r="R1143" s="45">
        <v>758</v>
      </c>
      <c r="S1143" s="45">
        <v>789</v>
      </c>
      <c r="T1143" s="45">
        <v>797</v>
      </c>
      <c r="U1143" s="45">
        <v>797</v>
      </c>
      <c r="V1143" s="46"/>
    </row>
    <row r="1144" spans="2:22" ht="20" x14ac:dyDescent="0.25">
      <c r="B1144" s="47" t="s">
        <v>1170</v>
      </c>
      <c r="C1144" s="47" t="s">
        <v>1167</v>
      </c>
      <c r="D1144" s="47" t="s">
        <v>1168</v>
      </c>
      <c r="E1144" s="47" t="s">
        <v>27</v>
      </c>
      <c r="F1144" s="47" t="s">
        <v>422</v>
      </c>
      <c r="G1144" s="47" t="s">
        <v>27</v>
      </c>
      <c r="H1144" s="47">
        <v>70343</v>
      </c>
      <c r="I1144" s="47">
        <v>70396</v>
      </c>
      <c r="J1144" s="47" t="s">
        <v>28</v>
      </c>
      <c r="K1144" s="47" t="s">
        <v>1170</v>
      </c>
      <c r="L1144" s="47" t="s">
        <v>30</v>
      </c>
      <c r="M1144" s="47" t="s">
        <v>1167</v>
      </c>
      <c r="N1144" s="48">
        <v>1904</v>
      </c>
      <c r="O1144" s="47">
        <v>2094</v>
      </c>
      <c r="P1144" s="47">
        <v>2167</v>
      </c>
      <c r="Q1144" s="47">
        <v>2384</v>
      </c>
      <c r="R1144" s="48">
        <v>758</v>
      </c>
      <c r="S1144" s="47">
        <v>834</v>
      </c>
      <c r="T1144" s="47">
        <v>863</v>
      </c>
      <c r="U1144" s="47">
        <v>950</v>
      </c>
      <c r="V1144" s="47"/>
    </row>
    <row r="1145" spans="2:22" ht="20" x14ac:dyDescent="0.25">
      <c r="B1145" s="47" t="s">
        <v>1170</v>
      </c>
      <c r="C1145" s="47" t="s">
        <v>1167</v>
      </c>
      <c r="D1145" s="47" t="s">
        <v>1168</v>
      </c>
      <c r="E1145" s="47" t="s">
        <v>27</v>
      </c>
      <c r="F1145" s="47" t="s">
        <v>422</v>
      </c>
      <c r="G1145" s="47" t="s">
        <v>27</v>
      </c>
      <c r="H1145" s="47">
        <v>70343</v>
      </c>
      <c r="I1145" s="47">
        <v>70396</v>
      </c>
      <c r="J1145" s="47" t="s">
        <v>28</v>
      </c>
      <c r="K1145" s="47" t="s">
        <v>1095</v>
      </c>
      <c r="L1145" s="47" t="s">
        <v>31</v>
      </c>
      <c r="M1145" s="47" t="s">
        <v>424</v>
      </c>
      <c r="N1145" s="48">
        <v>1904</v>
      </c>
      <c r="O1145" s="47">
        <v>2094</v>
      </c>
      <c r="P1145" s="47">
        <v>2167</v>
      </c>
      <c r="Q1145" s="47">
        <v>2384</v>
      </c>
      <c r="R1145" s="48">
        <v>758</v>
      </c>
      <c r="S1145" s="47">
        <v>834</v>
      </c>
      <c r="T1145" s="47">
        <v>863</v>
      </c>
      <c r="U1145" s="47">
        <v>950</v>
      </c>
      <c r="V1145" s="47"/>
    </row>
    <row r="1146" spans="2:22" ht="20" x14ac:dyDescent="0.25">
      <c r="B1146" s="47" t="s">
        <v>1170</v>
      </c>
      <c r="C1146" s="47" t="s">
        <v>1167</v>
      </c>
      <c r="D1146" s="47" t="s">
        <v>1168</v>
      </c>
      <c r="E1146" s="47" t="s">
        <v>27</v>
      </c>
      <c r="F1146" s="47" t="s">
        <v>422</v>
      </c>
      <c r="G1146" s="47" t="s">
        <v>27</v>
      </c>
      <c r="H1146" s="47">
        <v>70343</v>
      </c>
      <c r="I1146" s="47">
        <v>70396</v>
      </c>
      <c r="J1146" s="47" t="s">
        <v>28</v>
      </c>
      <c r="K1146" s="47"/>
      <c r="L1146" s="47" t="s">
        <v>301</v>
      </c>
      <c r="M1146" s="47" t="s">
        <v>424</v>
      </c>
      <c r="N1146" s="47">
        <v>1980</v>
      </c>
      <c r="O1146" s="48">
        <v>1980</v>
      </c>
      <c r="P1146" s="47">
        <v>2091</v>
      </c>
      <c r="Q1146" s="47">
        <v>2091</v>
      </c>
      <c r="R1146" s="47">
        <v>789</v>
      </c>
      <c r="S1146" s="48">
        <v>789</v>
      </c>
      <c r="T1146" s="47">
        <v>833</v>
      </c>
      <c r="U1146" s="47">
        <v>833</v>
      </c>
      <c r="V1146" s="47"/>
    </row>
    <row r="1147" spans="2:22" ht="20" x14ac:dyDescent="0.25">
      <c r="B1147" s="47" t="s">
        <v>1170</v>
      </c>
      <c r="C1147" s="47" t="s">
        <v>1167</v>
      </c>
      <c r="D1147" s="47" t="s">
        <v>1168</v>
      </c>
      <c r="E1147" s="47" t="s">
        <v>27</v>
      </c>
      <c r="F1147" s="47" t="s">
        <v>422</v>
      </c>
      <c r="G1147" s="47" t="s">
        <v>27</v>
      </c>
      <c r="H1147" s="47">
        <v>70343</v>
      </c>
      <c r="I1147" s="47">
        <v>70396</v>
      </c>
      <c r="J1147" s="47" t="s">
        <v>28</v>
      </c>
      <c r="K1147" s="47" t="s">
        <v>2004</v>
      </c>
      <c r="L1147" s="47" t="s">
        <v>1315</v>
      </c>
      <c r="M1147" s="47" t="s">
        <v>2005</v>
      </c>
      <c r="N1147" s="47">
        <v>2000</v>
      </c>
      <c r="O1147" s="47">
        <v>2000</v>
      </c>
      <c r="P1147" s="48">
        <v>2000</v>
      </c>
      <c r="Q1147" s="48">
        <v>2000</v>
      </c>
      <c r="R1147" s="47">
        <v>797</v>
      </c>
      <c r="S1147" s="47">
        <v>797</v>
      </c>
      <c r="T1147" s="48">
        <v>797</v>
      </c>
      <c r="U1147" s="48">
        <v>797</v>
      </c>
      <c r="V1147" s="48"/>
    </row>
    <row r="1148" spans="2:22" ht="20" x14ac:dyDescent="0.25">
      <c r="B1148" s="47" t="s">
        <v>1170</v>
      </c>
      <c r="C1148" s="47" t="s">
        <v>1167</v>
      </c>
      <c r="D1148" s="47" t="s">
        <v>1168</v>
      </c>
      <c r="E1148" s="47" t="s">
        <v>27</v>
      </c>
      <c r="F1148" s="47" t="s">
        <v>422</v>
      </c>
      <c r="G1148" s="47" t="s">
        <v>27</v>
      </c>
      <c r="H1148" s="47">
        <v>70343</v>
      </c>
      <c r="I1148" s="47">
        <v>70396</v>
      </c>
      <c r="J1148" s="47" t="s">
        <v>28</v>
      </c>
      <c r="K1148" s="47" t="s">
        <v>2007</v>
      </c>
      <c r="L1148" s="47" t="s">
        <v>1315</v>
      </c>
      <c r="M1148" s="47" t="s">
        <v>2005</v>
      </c>
      <c r="N1148" s="47">
        <v>2000</v>
      </c>
      <c r="O1148" s="47">
        <v>2000</v>
      </c>
      <c r="P1148" s="48">
        <v>2000</v>
      </c>
      <c r="Q1148" s="48">
        <v>2000</v>
      </c>
      <c r="R1148" s="47">
        <v>797</v>
      </c>
      <c r="S1148" s="47">
        <v>797</v>
      </c>
      <c r="T1148" s="48">
        <v>797</v>
      </c>
      <c r="U1148" s="48">
        <v>797</v>
      </c>
      <c r="V1148" s="48"/>
    </row>
    <row r="1149" spans="2:22" ht="20" x14ac:dyDescent="0.25">
      <c r="B1149" s="47" t="s">
        <v>1170</v>
      </c>
      <c r="C1149" s="47" t="s">
        <v>1167</v>
      </c>
      <c r="D1149" s="47" t="s">
        <v>1168</v>
      </c>
      <c r="E1149" s="47" t="s">
        <v>27</v>
      </c>
      <c r="F1149" s="47" t="s">
        <v>422</v>
      </c>
      <c r="G1149" s="47" t="s">
        <v>27</v>
      </c>
      <c r="H1149" s="47">
        <v>70343</v>
      </c>
      <c r="I1149" s="47">
        <v>70396</v>
      </c>
      <c r="J1149" s="47" t="s">
        <v>28</v>
      </c>
      <c r="K1149" s="47" t="s">
        <v>2006</v>
      </c>
      <c r="L1149" s="47" t="s">
        <v>1315</v>
      </c>
      <c r="M1149" s="47" t="s">
        <v>2005</v>
      </c>
      <c r="N1149" s="47">
        <v>2000</v>
      </c>
      <c r="O1149" s="47">
        <v>2000</v>
      </c>
      <c r="P1149" s="48">
        <v>2000</v>
      </c>
      <c r="Q1149" s="48">
        <v>2000</v>
      </c>
      <c r="R1149" s="47">
        <v>797</v>
      </c>
      <c r="S1149" s="47">
        <v>797</v>
      </c>
      <c r="T1149" s="48">
        <v>797</v>
      </c>
      <c r="U1149" s="48">
        <v>797</v>
      </c>
      <c r="V1149" s="48"/>
    </row>
    <row r="1150" spans="2:22" ht="23" x14ac:dyDescent="0.25">
      <c r="B1150" s="44" t="s">
        <v>1171</v>
      </c>
      <c r="C1150" s="44" t="s">
        <v>1172</v>
      </c>
      <c r="D1150" s="44" t="s">
        <v>748</v>
      </c>
      <c r="E1150" s="44" t="s">
        <v>27</v>
      </c>
      <c r="F1150" s="44" t="s">
        <v>983</v>
      </c>
      <c r="G1150" s="44" t="s">
        <v>27</v>
      </c>
      <c r="H1150" s="44">
        <v>70345</v>
      </c>
      <c r="I1150" s="44">
        <v>70354</v>
      </c>
      <c r="J1150" s="44" t="s">
        <v>28</v>
      </c>
      <c r="K1150" s="44" t="s">
        <v>1171</v>
      </c>
      <c r="L1150" s="44" t="s">
        <v>29</v>
      </c>
      <c r="M1150" s="44"/>
      <c r="N1150" s="45">
        <v>600</v>
      </c>
      <c r="O1150" s="45">
        <v>600</v>
      </c>
      <c r="P1150" s="45">
        <v>600</v>
      </c>
      <c r="Q1150" s="45">
        <v>600</v>
      </c>
      <c r="R1150" s="45">
        <v>120</v>
      </c>
      <c r="S1150" s="45">
        <v>120</v>
      </c>
      <c r="T1150" s="45">
        <v>120</v>
      </c>
      <c r="U1150" s="45">
        <v>120</v>
      </c>
      <c r="V1150" s="46"/>
    </row>
    <row r="1151" spans="2:22" ht="30" x14ac:dyDescent="0.25">
      <c r="B1151" s="47" t="s">
        <v>1171</v>
      </c>
      <c r="C1151" s="47" t="s">
        <v>1172</v>
      </c>
      <c r="D1151" s="47" t="s">
        <v>748</v>
      </c>
      <c r="E1151" s="47" t="s">
        <v>27</v>
      </c>
      <c r="F1151" s="47" t="s">
        <v>983</v>
      </c>
      <c r="G1151" s="47" t="s">
        <v>27</v>
      </c>
      <c r="H1151" s="47">
        <v>70345</v>
      </c>
      <c r="I1151" s="47">
        <v>70354</v>
      </c>
      <c r="J1151" s="47" t="s">
        <v>28</v>
      </c>
      <c r="K1151" s="47" t="s">
        <v>2494</v>
      </c>
      <c r="L1151" s="47" t="s">
        <v>36</v>
      </c>
      <c r="M1151" s="47" t="s">
        <v>984</v>
      </c>
      <c r="N1151" s="48">
        <v>600</v>
      </c>
      <c r="O1151" s="48">
        <v>600</v>
      </c>
      <c r="P1151" s="48">
        <v>600</v>
      </c>
      <c r="Q1151" s="48">
        <v>600</v>
      </c>
      <c r="R1151" s="48">
        <v>120</v>
      </c>
      <c r="S1151" s="48">
        <v>120</v>
      </c>
      <c r="T1151" s="48">
        <v>120</v>
      </c>
      <c r="U1151" s="48">
        <v>120</v>
      </c>
      <c r="V1151" s="48"/>
    </row>
    <row r="1152" spans="2:22" ht="30" x14ac:dyDescent="0.25">
      <c r="B1152" s="47" t="s">
        <v>1171</v>
      </c>
      <c r="C1152" s="47" t="s">
        <v>1172</v>
      </c>
      <c r="D1152" s="47" t="s">
        <v>748</v>
      </c>
      <c r="E1152" s="47" t="s">
        <v>27</v>
      </c>
      <c r="F1152" s="47" t="s">
        <v>983</v>
      </c>
      <c r="G1152" s="47" t="s">
        <v>27</v>
      </c>
      <c r="H1152" s="47">
        <v>70345</v>
      </c>
      <c r="I1152" s="47">
        <v>70354</v>
      </c>
      <c r="J1152" s="47" t="s">
        <v>28</v>
      </c>
      <c r="K1152" s="47" t="s">
        <v>2495</v>
      </c>
      <c r="L1152" s="47" t="s">
        <v>36</v>
      </c>
      <c r="M1152" s="47" t="s">
        <v>984</v>
      </c>
      <c r="N1152" s="48">
        <v>600</v>
      </c>
      <c r="O1152" s="48">
        <v>600</v>
      </c>
      <c r="P1152" s="48">
        <v>600</v>
      </c>
      <c r="Q1152" s="48">
        <v>600</v>
      </c>
      <c r="R1152" s="48">
        <v>120</v>
      </c>
      <c r="S1152" s="48">
        <v>120</v>
      </c>
      <c r="T1152" s="48">
        <v>120</v>
      </c>
      <c r="U1152" s="48">
        <v>120</v>
      </c>
      <c r="V1152" s="48"/>
    </row>
    <row r="1153" spans="2:22" ht="23" x14ac:dyDescent="0.25">
      <c r="B1153" s="44" t="s">
        <v>1174</v>
      </c>
      <c r="C1153" s="44" t="s">
        <v>747</v>
      </c>
      <c r="D1153" s="44" t="s">
        <v>748</v>
      </c>
      <c r="E1153" s="44" t="s">
        <v>27</v>
      </c>
      <c r="F1153" s="44" t="s">
        <v>983</v>
      </c>
      <c r="G1153" s="44" t="s">
        <v>27</v>
      </c>
      <c r="H1153" s="44">
        <v>70346</v>
      </c>
      <c r="I1153" s="44">
        <v>70354</v>
      </c>
      <c r="J1153" s="44" t="s">
        <v>28</v>
      </c>
      <c r="K1153" s="44" t="s">
        <v>1174</v>
      </c>
      <c r="L1153" s="44" t="s">
        <v>29</v>
      </c>
      <c r="M1153" s="44"/>
      <c r="N1153" s="45">
        <v>600</v>
      </c>
      <c r="O1153" s="45">
        <v>600</v>
      </c>
      <c r="P1153" s="45">
        <v>600</v>
      </c>
      <c r="Q1153" s="45">
        <v>600</v>
      </c>
      <c r="R1153" s="45">
        <v>120</v>
      </c>
      <c r="S1153" s="45">
        <v>120</v>
      </c>
      <c r="T1153" s="45">
        <v>120</v>
      </c>
      <c r="U1153" s="45">
        <v>120</v>
      </c>
      <c r="V1153" s="46"/>
    </row>
    <row r="1154" spans="2:22" ht="30" x14ac:dyDescent="0.25">
      <c r="B1154" s="47" t="s">
        <v>1174</v>
      </c>
      <c r="C1154" s="47" t="s">
        <v>747</v>
      </c>
      <c r="D1154" s="47" t="s">
        <v>748</v>
      </c>
      <c r="E1154" s="47" t="s">
        <v>27</v>
      </c>
      <c r="F1154" s="47" t="s">
        <v>983</v>
      </c>
      <c r="G1154" s="47" t="s">
        <v>27</v>
      </c>
      <c r="H1154" s="47">
        <v>70346</v>
      </c>
      <c r="I1154" s="47">
        <v>70354</v>
      </c>
      <c r="J1154" s="47" t="s">
        <v>28</v>
      </c>
      <c r="K1154" s="47" t="s">
        <v>2496</v>
      </c>
      <c r="L1154" s="47" t="s">
        <v>36</v>
      </c>
      <c r="M1154" s="47" t="s">
        <v>984</v>
      </c>
      <c r="N1154" s="48">
        <v>600</v>
      </c>
      <c r="O1154" s="48">
        <v>600</v>
      </c>
      <c r="P1154" s="48">
        <v>600</v>
      </c>
      <c r="Q1154" s="48">
        <v>600</v>
      </c>
      <c r="R1154" s="48">
        <v>120</v>
      </c>
      <c r="S1154" s="48">
        <v>120</v>
      </c>
      <c r="T1154" s="48">
        <v>120</v>
      </c>
      <c r="U1154" s="48">
        <v>120</v>
      </c>
      <c r="V1154" s="48"/>
    </row>
    <row r="1155" spans="2:22" ht="34.5" x14ac:dyDescent="0.25">
      <c r="B1155" s="44" t="s">
        <v>1176</v>
      </c>
      <c r="C1155" s="44" t="s">
        <v>1172</v>
      </c>
      <c r="D1155" s="44" t="s">
        <v>748</v>
      </c>
      <c r="E1155" s="44" t="s">
        <v>27</v>
      </c>
      <c r="F1155" s="44" t="s">
        <v>381</v>
      </c>
      <c r="G1155" s="44" t="s">
        <v>27</v>
      </c>
      <c r="H1155" s="44">
        <v>70345</v>
      </c>
      <c r="I1155" s="44">
        <v>70440</v>
      </c>
      <c r="J1155" s="44" t="s">
        <v>28</v>
      </c>
      <c r="K1155" s="44" t="s">
        <v>1176</v>
      </c>
      <c r="L1155" s="44" t="s">
        <v>29</v>
      </c>
      <c r="M1155" s="44"/>
      <c r="N1155" s="45">
        <v>600</v>
      </c>
      <c r="O1155" s="45">
        <v>702</v>
      </c>
      <c r="P1155" s="45">
        <v>725</v>
      </c>
      <c r="Q1155" s="45">
        <v>797</v>
      </c>
      <c r="R1155" s="45">
        <v>120</v>
      </c>
      <c r="S1155" s="45">
        <v>140</v>
      </c>
      <c r="T1155" s="45">
        <v>144</v>
      </c>
      <c r="U1155" s="45">
        <v>159</v>
      </c>
      <c r="V1155" s="46"/>
    </row>
    <row r="1156" spans="2:22" ht="30" x14ac:dyDescent="0.25">
      <c r="B1156" s="47" t="s">
        <v>1176</v>
      </c>
      <c r="C1156" s="47" t="s">
        <v>1172</v>
      </c>
      <c r="D1156" s="47" t="s">
        <v>748</v>
      </c>
      <c r="E1156" s="47" t="s">
        <v>27</v>
      </c>
      <c r="F1156" s="47" t="s">
        <v>381</v>
      </c>
      <c r="G1156" s="47" t="s">
        <v>27</v>
      </c>
      <c r="H1156" s="47">
        <v>70345</v>
      </c>
      <c r="I1156" s="47">
        <v>70440</v>
      </c>
      <c r="J1156" s="47" t="s">
        <v>28</v>
      </c>
      <c r="K1156" s="47" t="s">
        <v>2009</v>
      </c>
      <c r="L1156" s="47" t="s">
        <v>34</v>
      </c>
      <c r="M1156" s="47" t="s">
        <v>382</v>
      </c>
      <c r="N1156" s="48">
        <v>600</v>
      </c>
      <c r="O1156" s="47">
        <v>775</v>
      </c>
      <c r="P1156" s="47">
        <v>743</v>
      </c>
      <c r="Q1156" s="47">
        <v>890</v>
      </c>
      <c r="R1156" s="48">
        <v>120</v>
      </c>
      <c r="S1156" s="47">
        <v>154</v>
      </c>
      <c r="T1156" s="47">
        <v>148</v>
      </c>
      <c r="U1156" s="47">
        <v>177</v>
      </c>
      <c r="V1156" s="47"/>
    </row>
    <row r="1157" spans="2:22" ht="30" x14ac:dyDescent="0.25">
      <c r="B1157" s="47" t="s">
        <v>1176</v>
      </c>
      <c r="C1157" s="47" t="s">
        <v>1172</v>
      </c>
      <c r="D1157" s="47" t="s">
        <v>748</v>
      </c>
      <c r="E1157" s="47" t="s">
        <v>27</v>
      </c>
      <c r="F1157" s="47" t="s">
        <v>381</v>
      </c>
      <c r="G1157" s="47" t="s">
        <v>27</v>
      </c>
      <c r="H1157" s="47">
        <v>70345</v>
      </c>
      <c r="I1157" s="47">
        <v>70440</v>
      </c>
      <c r="J1157" s="47" t="s">
        <v>28</v>
      </c>
      <c r="K1157" s="47" t="s">
        <v>2008</v>
      </c>
      <c r="L1157" s="47" t="s">
        <v>34</v>
      </c>
      <c r="M1157" s="47" t="s">
        <v>382</v>
      </c>
      <c r="N1157" s="48">
        <v>600</v>
      </c>
      <c r="O1157" s="47">
        <v>775</v>
      </c>
      <c r="P1157" s="47">
        <v>743</v>
      </c>
      <c r="Q1157" s="47">
        <v>890</v>
      </c>
      <c r="R1157" s="48">
        <v>120</v>
      </c>
      <c r="S1157" s="47">
        <v>154</v>
      </c>
      <c r="T1157" s="47">
        <v>148</v>
      </c>
      <c r="U1157" s="47">
        <v>177</v>
      </c>
      <c r="V1157" s="47"/>
    </row>
    <row r="1158" spans="2:22" ht="30" x14ac:dyDescent="0.25">
      <c r="B1158" s="47" t="s">
        <v>1176</v>
      </c>
      <c r="C1158" s="47" t="s">
        <v>1172</v>
      </c>
      <c r="D1158" s="47" t="s">
        <v>748</v>
      </c>
      <c r="E1158" s="47" t="s">
        <v>27</v>
      </c>
      <c r="F1158" s="47" t="s">
        <v>381</v>
      </c>
      <c r="G1158" s="47" t="s">
        <v>27</v>
      </c>
      <c r="H1158" s="47">
        <v>70345</v>
      </c>
      <c r="I1158" s="47">
        <v>70440</v>
      </c>
      <c r="J1158" s="47" t="s">
        <v>28</v>
      </c>
      <c r="K1158" s="47" t="s">
        <v>2011</v>
      </c>
      <c r="L1158" s="47" t="s">
        <v>34</v>
      </c>
      <c r="M1158" s="47" t="s">
        <v>382</v>
      </c>
      <c r="N1158" s="48">
        <v>600</v>
      </c>
      <c r="O1158" s="47">
        <v>775</v>
      </c>
      <c r="P1158" s="47">
        <v>743</v>
      </c>
      <c r="Q1158" s="47">
        <v>890</v>
      </c>
      <c r="R1158" s="48">
        <v>120</v>
      </c>
      <c r="S1158" s="47">
        <v>154</v>
      </c>
      <c r="T1158" s="47">
        <v>148</v>
      </c>
      <c r="U1158" s="47">
        <v>177</v>
      </c>
      <c r="V1158" s="47"/>
    </row>
    <row r="1159" spans="2:22" ht="30" x14ac:dyDescent="0.25">
      <c r="B1159" s="47" t="s">
        <v>1176</v>
      </c>
      <c r="C1159" s="47" t="s">
        <v>1172</v>
      </c>
      <c r="D1159" s="47" t="s">
        <v>748</v>
      </c>
      <c r="E1159" s="47" t="s">
        <v>27</v>
      </c>
      <c r="F1159" s="47" t="s">
        <v>381</v>
      </c>
      <c r="G1159" s="47" t="s">
        <v>27</v>
      </c>
      <c r="H1159" s="47">
        <v>70345</v>
      </c>
      <c r="I1159" s="47">
        <v>70440</v>
      </c>
      <c r="J1159" s="47" t="s">
        <v>28</v>
      </c>
      <c r="K1159" s="47" t="s">
        <v>2010</v>
      </c>
      <c r="L1159" s="47" t="s">
        <v>34</v>
      </c>
      <c r="M1159" s="47" t="s">
        <v>382</v>
      </c>
      <c r="N1159" s="48">
        <v>600</v>
      </c>
      <c r="O1159" s="47">
        <v>775</v>
      </c>
      <c r="P1159" s="47">
        <v>743</v>
      </c>
      <c r="Q1159" s="47">
        <v>890</v>
      </c>
      <c r="R1159" s="48">
        <v>120</v>
      </c>
      <c r="S1159" s="47">
        <v>154</v>
      </c>
      <c r="T1159" s="47">
        <v>148</v>
      </c>
      <c r="U1159" s="47">
        <v>177</v>
      </c>
      <c r="V1159" s="47"/>
    </row>
    <row r="1160" spans="2:22" ht="30" x14ac:dyDescent="0.25">
      <c r="B1160" s="47" t="s">
        <v>1176</v>
      </c>
      <c r="C1160" s="47" t="s">
        <v>1172</v>
      </c>
      <c r="D1160" s="47" t="s">
        <v>748</v>
      </c>
      <c r="E1160" s="47" t="s">
        <v>27</v>
      </c>
      <c r="F1160" s="47" t="s">
        <v>381</v>
      </c>
      <c r="G1160" s="47" t="s">
        <v>27</v>
      </c>
      <c r="H1160" s="47">
        <v>70345</v>
      </c>
      <c r="I1160" s="47">
        <v>70440</v>
      </c>
      <c r="J1160" s="47" t="s">
        <v>28</v>
      </c>
      <c r="K1160" s="47" t="s">
        <v>2013</v>
      </c>
      <c r="L1160" s="47" t="s">
        <v>34</v>
      </c>
      <c r="M1160" s="47" t="s">
        <v>382</v>
      </c>
      <c r="N1160" s="48">
        <v>600</v>
      </c>
      <c r="O1160" s="47">
        <v>775</v>
      </c>
      <c r="P1160" s="47">
        <v>743</v>
      </c>
      <c r="Q1160" s="47">
        <v>890</v>
      </c>
      <c r="R1160" s="48">
        <v>120</v>
      </c>
      <c r="S1160" s="47">
        <v>154</v>
      </c>
      <c r="T1160" s="47">
        <v>148</v>
      </c>
      <c r="U1160" s="47">
        <v>177</v>
      </c>
      <c r="V1160" s="47"/>
    </row>
    <row r="1161" spans="2:22" ht="30" x14ac:dyDescent="0.25">
      <c r="B1161" s="47" t="s">
        <v>1176</v>
      </c>
      <c r="C1161" s="47" t="s">
        <v>1172</v>
      </c>
      <c r="D1161" s="47" t="s">
        <v>748</v>
      </c>
      <c r="E1161" s="47" t="s">
        <v>27</v>
      </c>
      <c r="F1161" s="47" t="s">
        <v>381</v>
      </c>
      <c r="G1161" s="47" t="s">
        <v>27</v>
      </c>
      <c r="H1161" s="47">
        <v>70345</v>
      </c>
      <c r="I1161" s="47">
        <v>70440</v>
      </c>
      <c r="J1161" s="47" t="s">
        <v>28</v>
      </c>
      <c r="K1161" s="47" t="s">
        <v>2012</v>
      </c>
      <c r="L1161" s="47" t="s">
        <v>34</v>
      </c>
      <c r="M1161" s="47" t="s">
        <v>382</v>
      </c>
      <c r="N1161" s="48">
        <v>600</v>
      </c>
      <c r="O1161" s="47">
        <v>775</v>
      </c>
      <c r="P1161" s="47">
        <v>743</v>
      </c>
      <c r="Q1161" s="47">
        <v>890</v>
      </c>
      <c r="R1161" s="48">
        <v>120</v>
      </c>
      <c r="S1161" s="47">
        <v>154</v>
      </c>
      <c r="T1161" s="47">
        <v>148</v>
      </c>
      <c r="U1161" s="47">
        <v>177</v>
      </c>
      <c r="V1161" s="47"/>
    </row>
    <row r="1162" spans="2:22" ht="30" x14ac:dyDescent="0.25">
      <c r="B1162" s="47" t="s">
        <v>1176</v>
      </c>
      <c r="C1162" s="47" t="s">
        <v>1172</v>
      </c>
      <c r="D1162" s="47" t="s">
        <v>748</v>
      </c>
      <c r="E1162" s="47" t="s">
        <v>27</v>
      </c>
      <c r="F1162" s="47" t="s">
        <v>381</v>
      </c>
      <c r="G1162" s="47" t="s">
        <v>27</v>
      </c>
      <c r="H1162" s="47">
        <v>70345</v>
      </c>
      <c r="I1162" s="47">
        <v>70440</v>
      </c>
      <c r="J1162" s="47" t="s">
        <v>28</v>
      </c>
      <c r="K1162" s="47" t="s">
        <v>1176</v>
      </c>
      <c r="L1162" s="47" t="s">
        <v>30</v>
      </c>
      <c r="M1162" s="47" t="s">
        <v>1172</v>
      </c>
      <c r="N1162" s="47">
        <v>638</v>
      </c>
      <c r="O1162" s="48">
        <v>702</v>
      </c>
      <c r="P1162" s="48">
        <v>725</v>
      </c>
      <c r="Q1162" s="48">
        <v>797</v>
      </c>
      <c r="R1162" s="47">
        <v>127</v>
      </c>
      <c r="S1162" s="48">
        <v>140</v>
      </c>
      <c r="T1162" s="48">
        <v>144</v>
      </c>
      <c r="U1162" s="48">
        <v>159</v>
      </c>
      <c r="V1162" s="48"/>
    </row>
    <row r="1163" spans="2:22" ht="34.5" x14ac:dyDescent="0.25">
      <c r="B1163" s="44" t="s">
        <v>176</v>
      </c>
      <c r="C1163" s="44" t="s">
        <v>162</v>
      </c>
      <c r="D1163" s="44" t="s">
        <v>222</v>
      </c>
      <c r="E1163" s="44" t="s">
        <v>27</v>
      </c>
      <c r="F1163" s="44" t="s">
        <v>226</v>
      </c>
      <c r="G1163" s="44" t="s">
        <v>27</v>
      </c>
      <c r="H1163" s="44">
        <v>70312</v>
      </c>
      <c r="I1163" s="44">
        <v>70327</v>
      </c>
      <c r="J1163" s="44" t="s">
        <v>28</v>
      </c>
      <c r="K1163" s="44" t="s">
        <v>176</v>
      </c>
      <c r="L1163" s="44" t="s">
        <v>29</v>
      </c>
      <c r="M1163" s="44"/>
      <c r="N1163" s="45"/>
      <c r="O1163" s="45"/>
      <c r="P1163" s="45"/>
      <c r="Q1163" s="45"/>
      <c r="R1163" s="45"/>
      <c r="S1163" s="45"/>
      <c r="T1163" s="45"/>
      <c r="U1163" s="45"/>
      <c r="V1163" s="46" t="s">
        <v>1316</v>
      </c>
    </row>
    <row r="1164" spans="2:22" ht="23" x14ac:dyDescent="0.25">
      <c r="B1164" s="44" t="s">
        <v>2323</v>
      </c>
      <c r="C1164" s="44" t="s">
        <v>2324</v>
      </c>
      <c r="D1164" s="44" t="s">
        <v>2691</v>
      </c>
      <c r="E1164" s="44" t="s">
        <v>40</v>
      </c>
      <c r="F1164" s="44" t="s">
        <v>2239</v>
      </c>
      <c r="G1164" s="44" t="s">
        <v>27</v>
      </c>
      <c r="H1164" s="44">
        <v>70773</v>
      </c>
      <c r="I1164" s="44">
        <v>70630</v>
      </c>
      <c r="J1164" s="44" t="s">
        <v>42</v>
      </c>
      <c r="K1164" s="44" t="s">
        <v>2323</v>
      </c>
      <c r="L1164" s="44" t="s">
        <v>29</v>
      </c>
      <c r="M1164" s="44"/>
      <c r="N1164" s="45">
        <v>1200</v>
      </c>
      <c r="O1164" s="45">
        <v>1200</v>
      </c>
      <c r="P1164" s="45">
        <v>1200</v>
      </c>
      <c r="Q1164" s="45">
        <v>1200</v>
      </c>
      <c r="R1164" s="45">
        <v>717</v>
      </c>
      <c r="S1164" s="45">
        <v>717</v>
      </c>
      <c r="T1164" s="45">
        <v>717</v>
      </c>
      <c r="U1164" s="45">
        <v>717</v>
      </c>
      <c r="V1164" s="46"/>
    </row>
    <row r="1165" spans="2:22" ht="30" x14ac:dyDescent="0.25">
      <c r="B1165" s="47" t="s">
        <v>2323</v>
      </c>
      <c r="C1165" s="47" t="s">
        <v>2324</v>
      </c>
      <c r="D1165" s="47" t="s">
        <v>2691</v>
      </c>
      <c r="E1165" s="47" t="s">
        <v>40</v>
      </c>
      <c r="F1165" s="47" t="s">
        <v>2239</v>
      </c>
      <c r="G1165" s="47" t="s">
        <v>27</v>
      </c>
      <c r="H1165" s="47">
        <v>70773</v>
      </c>
      <c r="I1165" s="47">
        <v>70630</v>
      </c>
      <c r="J1165" s="47" t="s">
        <v>42</v>
      </c>
      <c r="K1165" s="47" t="s">
        <v>2328</v>
      </c>
      <c r="L1165" s="47" t="s">
        <v>36</v>
      </c>
      <c r="M1165" s="47" t="s">
        <v>2241</v>
      </c>
      <c r="N1165" s="48">
        <v>1200</v>
      </c>
      <c r="O1165" s="48">
        <v>1200</v>
      </c>
      <c r="P1165" s="48">
        <v>1200</v>
      </c>
      <c r="Q1165" s="48">
        <v>1200</v>
      </c>
      <c r="R1165" s="48">
        <v>717</v>
      </c>
      <c r="S1165" s="48">
        <v>717</v>
      </c>
      <c r="T1165" s="48">
        <v>717</v>
      </c>
      <c r="U1165" s="48">
        <v>717</v>
      </c>
      <c r="V1165" s="48"/>
    </row>
    <row r="1166" spans="2:22" ht="20" x14ac:dyDescent="0.25">
      <c r="B1166" s="47" t="s">
        <v>2323</v>
      </c>
      <c r="C1166" s="47" t="s">
        <v>2324</v>
      </c>
      <c r="D1166" s="47" t="s">
        <v>2691</v>
      </c>
      <c r="E1166" s="47" t="s">
        <v>40</v>
      </c>
      <c r="F1166" s="47" t="s">
        <v>2239</v>
      </c>
      <c r="G1166" s="47" t="s">
        <v>27</v>
      </c>
      <c r="H1166" s="47">
        <v>70773</v>
      </c>
      <c r="I1166" s="47">
        <v>70630</v>
      </c>
      <c r="J1166" s="47" t="s">
        <v>42</v>
      </c>
      <c r="K1166" s="47" t="s">
        <v>2326</v>
      </c>
      <c r="L1166" s="47" t="s">
        <v>39</v>
      </c>
      <c r="M1166" s="47" t="s">
        <v>2241</v>
      </c>
      <c r="N1166" s="48">
        <v>1200</v>
      </c>
      <c r="O1166" s="48">
        <v>1200</v>
      </c>
      <c r="P1166" s="48">
        <v>1200</v>
      </c>
      <c r="Q1166" s="48">
        <v>1200</v>
      </c>
      <c r="R1166" s="48">
        <v>717</v>
      </c>
      <c r="S1166" s="48">
        <v>717</v>
      </c>
      <c r="T1166" s="48">
        <v>717</v>
      </c>
      <c r="U1166" s="48">
        <v>717</v>
      </c>
      <c r="V1166" s="48"/>
    </row>
    <row r="1167" spans="2:22" ht="20" x14ac:dyDescent="0.25">
      <c r="B1167" s="47" t="s">
        <v>2323</v>
      </c>
      <c r="C1167" s="47" t="s">
        <v>2324</v>
      </c>
      <c r="D1167" s="47" t="s">
        <v>2691</v>
      </c>
      <c r="E1167" s="47" t="s">
        <v>40</v>
      </c>
      <c r="F1167" s="47" t="s">
        <v>2239</v>
      </c>
      <c r="G1167" s="47" t="s">
        <v>27</v>
      </c>
      <c r="H1167" s="47">
        <v>70773</v>
      </c>
      <c r="I1167" s="47">
        <v>70630</v>
      </c>
      <c r="J1167" s="47" t="s">
        <v>42</v>
      </c>
      <c r="K1167" s="47" t="s">
        <v>2329</v>
      </c>
      <c r="L1167" s="47" t="s">
        <v>39</v>
      </c>
      <c r="M1167" s="47" t="s">
        <v>2241</v>
      </c>
      <c r="N1167" s="48">
        <v>1200</v>
      </c>
      <c r="O1167" s="48">
        <v>1200</v>
      </c>
      <c r="P1167" s="48">
        <v>1200</v>
      </c>
      <c r="Q1167" s="48">
        <v>1200</v>
      </c>
      <c r="R1167" s="48">
        <v>717</v>
      </c>
      <c r="S1167" s="48">
        <v>717</v>
      </c>
      <c r="T1167" s="48">
        <v>717</v>
      </c>
      <c r="U1167" s="48">
        <v>717</v>
      </c>
      <c r="V1167" s="48"/>
    </row>
    <row r="1168" spans="2:22" ht="20" x14ac:dyDescent="0.25">
      <c r="B1168" s="47" t="s">
        <v>2323</v>
      </c>
      <c r="C1168" s="47" t="s">
        <v>2324</v>
      </c>
      <c r="D1168" s="47" t="s">
        <v>2691</v>
      </c>
      <c r="E1168" s="47" t="s">
        <v>40</v>
      </c>
      <c r="F1168" s="47" t="s">
        <v>2239</v>
      </c>
      <c r="G1168" s="47" t="s">
        <v>27</v>
      </c>
      <c r="H1168" s="47">
        <v>70773</v>
      </c>
      <c r="I1168" s="47">
        <v>70630</v>
      </c>
      <c r="J1168" s="47" t="s">
        <v>42</v>
      </c>
      <c r="K1168" s="47" t="s">
        <v>2327</v>
      </c>
      <c r="L1168" s="47" t="s">
        <v>39</v>
      </c>
      <c r="M1168" s="47" t="s">
        <v>2241</v>
      </c>
      <c r="N1168" s="48">
        <v>1200</v>
      </c>
      <c r="O1168" s="48">
        <v>1200</v>
      </c>
      <c r="P1168" s="48">
        <v>1200</v>
      </c>
      <c r="Q1168" s="48">
        <v>1200</v>
      </c>
      <c r="R1168" s="48">
        <v>717</v>
      </c>
      <c r="S1168" s="48">
        <v>717</v>
      </c>
      <c r="T1168" s="48">
        <v>717</v>
      </c>
      <c r="U1168" s="48">
        <v>717</v>
      </c>
      <c r="V1168" s="48"/>
    </row>
    <row r="1169" spans="2:22" ht="30" x14ac:dyDescent="0.25">
      <c r="B1169" s="47" t="s">
        <v>2323</v>
      </c>
      <c r="C1169" s="47" t="s">
        <v>2324</v>
      </c>
      <c r="D1169" s="47" t="s">
        <v>2691</v>
      </c>
      <c r="E1169" s="47" t="s">
        <v>40</v>
      </c>
      <c r="F1169" s="47" t="s">
        <v>2239</v>
      </c>
      <c r="G1169" s="47" t="s">
        <v>27</v>
      </c>
      <c r="H1169" s="47">
        <v>70773</v>
      </c>
      <c r="I1169" s="47">
        <v>70630</v>
      </c>
      <c r="J1169" s="47" t="s">
        <v>42</v>
      </c>
      <c r="K1169" s="47" t="s">
        <v>2325</v>
      </c>
      <c r="L1169" s="47" t="s">
        <v>36</v>
      </c>
      <c r="M1169" s="47" t="s">
        <v>2241</v>
      </c>
      <c r="N1169" s="48">
        <v>1200</v>
      </c>
      <c r="O1169" s="48">
        <v>1200</v>
      </c>
      <c r="P1169" s="48">
        <v>1200</v>
      </c>
      <c r="Q1169" s="48">
        <v>1200</v>
      </c>
      <c r="R1169" s="48">
        <v>717</v>
      </c>
      <c r="S1169" s="48">
        <v>717</v>
      </c>
      <c r="T1169" s="48">
        <v>717</v>
      </c>
      <c r="U1169" s="48">
        <v>717</v>
      </c>
      <c r="V1169" s="48"/>
    </row>
    <row r="1170" spans="2:22" ht="23" x14ac:dyDescent="0.25">
      <c r="B1170" s="94" t="s">
        <v>1179</v>
      </c>
      <c r="C1170" s="44" t="s">
        <v>206</v>
      </c>
      <c r="D1170" s="44" t="s">
        <v>1180</v>
      </c>
      <c r="E1170" s="44" t="s">
        <v>27</v>
      </c>
      <c r="F1170" s="44" t="s">
        <v>767</v>
      </c>
      <c r="G1170" s="44" t="s">
        <v>27</v>
      </c>
      <c r="H1170" s="44">
        <v>70127</v>
      </c>
      <c r="I1170" s="44">
        <v>70191</v>
      </c>
      <c r="J1170" s="44" t="s">
        <v>28</v>
      </c>
      <c r="K1170" s="44" t="s">
        <v>1179</v>
      </c>
      <c r="L1170" s="44" t="s">
        <v>29</v>
      </c>
      <c r="M1170" s="44"/>
      <c r="N1170" s="45">
        <v>1200</v>
      </c>
      <c r="O1170" s="97">
        <v>1520</v>
      </c>
      <c r="P1170" s="97">
        <v>1483</v>
      </c>
      <c r="Q1170" s="97">
        <v>1657</v>
      </c>
      <c r="R1170" s="45">
        <v>239</v>
      </c>
      <c r="S1170" s="97">
        <v>303</v>
      </c>
      <c r="T1170" s="97">
        <v>295</v>
      </c>
      <c r="U1170" s="97">
        <v>330</v>
      </c>
      <c r="V1170" s="46"/>
    </row>
    <row r="1171" spans="2:22" ht="20" x14ac:dyDescent="0.25">
      <c r="B1171" s="47" t="s">
        <v>1179</v>
      </c>
      <c r="C1171" s="47" t="s">
        <v>206</v>
      </c>
      <c r="D1171" s="47" t="s">
        <v>1180</v>
      </c>
      <c r="E1171" s="47" t="s">
        <v>27</v>
      </c>
      <c r="F1171" s="47" t="s">
        <v>767</v>
      </c>
      <c r="G1171" s="47" t="s">
        <v>27</v>
      </c>
      <c r="H1171" s="47">
        <v>70127</v>
      </c>
      <c r="I1171" s="47">
        <v>70191</v>
      </c>
      <c r="J1171" s="47" t="s">
        <v>28</v>
      </c>
      <c r="K1171" s="47" t="s">
        <v>1186</v>
      </c>
      <c r="L1171" s="47" t="s">
        <v>34</v>
      </c>
      <c r="M1171" s="47" t="s">
        <v>1187</v>
      </c>
      <c r="N1171" s="48">
        <v>1200</v>
      </c>
      <c r="O1171" s="47">
        <v>1549</v>
      </c>
      <c r="P1171" s="47">
        <v>1486</v>
      </c>
      <c r="Q1171" s="47">
        <v>1780</v>
      </c>
      <c r="R1171" s="48">
        <v>239</v>
      </c>
      <c r="S1171" s="47">
        <v>309</v>
      </c>
      <c r="T1171" s="47">
        <v>296</v>
      </c>
      <c r="U1171" s="47">
        <v>355</v>
      </c>
      <c r="V1171" s="47"/>
    </row>
    <row r="1172" spans="2:22" ht="20" x14ac:dyDescent="0.25">
      <c r="B1172" s="47" t="s">
        <v>1179</v>
      </c>
      <c r="C1172" s="47" t="s">
        <v>206</v>
      </c>
      <c r="D1172" s="47" t="s">
        <v>1180</v>
      </c>
      <c r="E1172" s="47" t="s">
        <v>27</v>
      </c>
      <c r="F1172" s="47" t="s">
        <v>767</v>
      </c>
      <c r="G1172" s="47" t="s">
        <v>27</v>
      </c>
      <c r="H1172" s="47">
        <v>70127</v>
      </c>
      <c r="I1172" s="47">
        <v>70191</v>
      </c>
      <c r="J1172" s="47" t="s">
        <v>28</v>
      </c>
      <c r="K1172" s="47" t="s">
        <v>1185</v>
      </c>
      <c r="L1172" s="47" t="s">
        <v>34</v>
      </c>
      <c r="M1172" s="47" t="s">
        <v>771</v>
      </c>
      <c r="N1172" s="48">
        <v>1200</v>
      </c>
      <c r="O1172" s="47">
        <v>1549</v>
      </c>
      <c r="P1172" s="47">
        <v>1486</v>
      </c>
      <c r="Q1172" s="47">
        <v>1780</v>
      </c>
      <c r="R1172" s="48">
        <v>239</v>
      </c>
      <c r="S1172" s="47">
        <v>309</v>
      </c>
      <c r="T1172" s="47">
        <v>296</v>
      </c>
      <c r="U1172" s="47">
        <v>355</v>
      </c>
      <c r="V1172" s="47"/>
    </row>
    <row r="1173" spans="2:22" ht="20" x14ac:dyDescent="0.25">
      <c r="B1173" s="96" t="s">
        <v>1179</v>
      </c>
      <c r="C1173" s="96" t="s">
        <v>206</v>
      </c>
      <c r="D1173" s="96" t="s">
        <v>1180</v>
      </c>
      <c r="E1173" s="96" t="s">
        <v>27</v>
      </c>
      <c r="F1173" s="96" t="s">
        <v>767</v>
      </c>
      <c r="G1173" s="96" t="s">
        <v>27</v>
      </c>
      <c r="H1173" s="96">
        <v>70127</v>
      </c>
      <c r="I1173" s="96">
        <v>70191</v>
      </c>
      <c r="J1173" s="96" t="s">
        <v>28</v>
      </c>
      <c r="K1173" s="96" t="s">
        <v>2657</v>
      </c>
      <c r="L1173" s="96" t="s">
        <v>34</v>
      </c>
      <c r="M1173" s="96" t="s">
        <v>771</v>
      </c>
      <c r="N1173" s="96">
        <v>1294</v>
      </c>
      <c r="O1173" s="95">
        <v>1520</v>
      </c>
      <c r="P1173" s="95">
        <v>1483</v>
      </c>
      <c r="Q1173" s="95">
        <v>1657</v>
      </c>
      <c r="R1173" s="96">
        <v>258</v>
      </c>
      <c r="S1173" s="95">
        <v>303</v>
      </c>
      <c r="T1173" s="95">
        <v>295</v>
      </c>
      <c r="U1173" s="95">
        <v>330</v>
      </c>
      <c r="V1173" s="95"/>
    </row>
    <row r="1174" spans="2:22" ht="23" x14ac:dyDescent="0.25">
      <c r="B1174" s="44" t="s">
        <v>1189</v>
      </c>
      <c r="C1174" s="44" t="s">
        <v>206</v>
      </c>
      <c r="D1174" s="44" t="s">
        <v>1180</v>
      </c>
      <c r="E1174" s="44" t="s">
        <v>27</v>
      </c>
      <c r="F1174" s="44" t="s">
        <v>821</v>
      </c>
      <c r="G1174" s="44" t="s">
        <v>27</v>
      </c>
      <c r="H1174" s="44">
        <v>70127</v>
      </c>
      <c r="I1174" s="44">
        <v>70194</v>
      </c>
      <c r="J1174" s="44" t="s">
        <v>28</v>
      </c>
      <c r="K1174" s="44" t="s">
        <v>1189</v>
      </c>
      <c r="L1174" s="44" t="s">
        <v>29</v>
      </c>
      <c r="M1174" s="44"/>
      <c r="N1174" s="45">
        <v>1072</v>
      </c>
      <c r="O1174" s="45">
        <v>1179</v>
      </c>
      <c r="P1174" s="45">
        <v>1219</v>
      </c>
      <c r="Q1174" s="45">
        <v>1341</v>
      </c>
      <c r="R1174" s="45">
        <v>213</v>
      </c>
      <c r="S1174" s="45">
        <v>235</v>
      </c>
      <c r="T1174" s="45">
        <v>243</v>
      </c>
      <c r="U1174" s="45">
        <v>267</v>
      </c>
      <c r="V1174" s="46"/>
    </row>
    <row r="1175" spans="2:22" ht="20" x14ac:dyDescent="0.25">
      <c r="B1175" s="47" t="s">
        <v>1189</v>
      </c>
      <c r="C1175" s="47" t="s">
        <v>206</v>
      </c>
      <c r="D1175" s="47" t="s">
        <v>1180</v>
      </c>
      <c r="E1175" s="47" t="s">
        <v>27</v>
      </c>
      <c r="F1175" s="47" t="s">
        <v>821</v>
      </c>
      <c r="G1175" s="47" t="s">
        <v>27</v>
      </c>
      <c r="H1175" s="47">
        <v>70127</v>
      </c>
      <c r="I1175" s="47">
        <v>70194</v>
      </c>
      <c r="J1175" s="47" t="s">
        <v>28</v>
      </c>
      <c r="K1175" s="47" t="s">
        <v>239</v>
      </c>
      <c r="L1175" s="47" t="s">
        <v>31</v>
      </c>
      <c r="M1175" s="47" t="s">
        <v>823</v>
      </c>
      <c r="N1175" s="48">
        <v>1072</v>
      </c>
      <c r="O1175" s="48">
        <v>1179</v>
      </c>
      <c r="P1175" s="48">
        <v>1219</v>
      </c>
      <c r="Q1175" s="48">
        <v>1341</v>
      </c>
      <c r="R1175" s="48">
        <v>213</v>
      </c>
      <c r="S1175" s="48">
        <v>235</v>
      </c>
      <c r="T1175" s="48">
        <v>243</v>
      </c>
      <c r="U1175" s="48">
        <v>267</v>
      </c>
      <c r="V1175" s="48"/>
    </row>
    <row r="1176" spans="2:22" ht="23" x14ac:dyDescent="0.25">
      <c r="B1176" s="44" t="s">
        <v>2648</v>
      </c>
      <c r="C1176" s="44" t="s">
        <v>292</v>
      </c>
      <c r="D1176" s="44" t="s">
        <v>983</v>
      </c>
      <c r="E1176" s="44" t="s">
        <v>27</v>
      </c>
      <c r="F1176" s="44" t="s">
        <v>2649</v>
      </c>
      <c r="G1176" s="44" t="s">
        <v>27</v>
      </c>
      <c r="H1176" s="44">
        <v>70355</v>
      </c>
      <c r="I1176" s="44">
        <v>2210</v>
      </c>
      <c r="J1176" s="44" t="s">
        <v>28</v>
      </c>
      <c r="K1176" s="44" t="s">
        <v>2648</v>
      </c>
      <c r="L1176" s="44" t="s">
        <v>29</v>
      </c>
      <c r="M1176" s="44"/>
      <c r="N1176" s="45">
        <v>1200</v>
      </c>
      <c r="O1176" s="45">
        <v>1394</v>
      </c>
      <c r="P1176" s="45">
        <v>1444</v>
      </c>
      <c r="Q1176" s="45">
        <v>1588</v>
      </c>
      <c r="R1176" s="45">
        <v>478</v>
      </c>
      <c r="S1176" s="45">
        <v>555</v>
      </c>
      <c r="T1176" s="45">
        <v>575</v>
      </c>
      <c r="U1176" s="45">
        <v>633</v>
      </c>
      <c r="V1176" s="46"/>
    </row>
    <row r="1177" spans="2:22" x14ac:dyDescent="0.25">
      <c r="B1177" s="47" t="s">
        <v>2648</v>
      </c>
      <c r="C1177" s="47" t="s">
        <v>292</v>
      </c>
      <c r="D1177" s="47" t="s">
        <v>983</v>
      </c>
      <c r="E1177" s="47" t="s">
        <v>27</v>
      </c>
      <c r="F1177" s="47" t="s">
        <v>2649</v>
      </c>
      <c r="G1177" s="47" t="s">
        <v>27</v>
      </c>
      <c r="H1177" s="47">
        <v>70355</v>
      </c>
      <c r="I1177" s="47">
        <v>2210</v>
      </c>
      <c r="J1177" s="47" t="s">
        <v>28</v>
      </c>
      <c r="K1177" s="47" t="s">
        <v>2014</v>
      </c>
      <c r="L1177" s="47" t="s">
        <v>34</v>
      </c>
      <c r="M1177" s="47" t="s">
        <v>984</v>
      </c>
      <c r="N1177" s="48">
        <v>1200</v>
      </c>
      <c r="O1177" s="47">
        <v>1549</v>
      </c>
      <c r="P1177" s="47">
        <v>1486</v>
      </c>
      <c r="Q1177" s="47">
        <v>1780</v>
      </c>
      <c r="R1177" s="48">
        <v>478</v>
      </c>
      <c r="S1177" s="47">
        <v>617</v>
      </c>
      <c r="T1177" s="47">
        <v>592</v>
      </c>
      <c r="U1177" s="47">
        <v>709</v>
      </c>
      <c r="V1177" s="47"/>
    </row>
    <row r="1178" spans="2:22" x14ac:dyDescent="0.25">
      <c r="B1178" s="47" t="s">
        <v>2648</v>
      </c>
      <c r="C1178" s="47" t="s">
        <v>292</v>
      </c>
      <c r="D1178" s="47" t="s">
        <v>983</v>
      </c>
      <c r="E1178" s="47" t="s">
        <v>27</v>
      </c>
      <c r="F1178" s="47" t="s">
        <v>2649</v>
      </c>
      <c r="G1178" s="47" t="s">
        <v>27</v>
      </c>
      <c r="H1178" s="47">
        <v>70355</v>
      </c>
      <c r="I1178" s="47">
        <v>2210</v>
      </c>
      <c r="J1178" s="47" t="s">
        <v>28</v>
      </c>
      <c r="K1178" s="47" t="s">
        <v>2017</v>
      </c>
      <c r="L1178" s="47" t="s">
        <v>34</v>
      </c>
      <c r="M1178" s="47" t="s">
        <v>984</v>
      </c>
      <c r="N1178" s="48">
        <v>1200</v>
      </c>
      <c r="O1178" s="47">
        <v>1549</v>
      </c>
      <c r="P1178" s="47">
        <v>1486</v>
      </c>
      <c r="Q1178" s="47">
        <v>1780</v>
      </c>
      <c r="R1178" s="48">
        <v>478</v>
      </c>
      <c r="S1178" s="47">
        <v>617</v>
      </c>
      <c r="T1178" s="47">
        <v>592</v>
      </c>
      <c r="U1178" s="47">
        <v>709</v>
      </c>
      <c r="V1178" s="47"/>
    </row>
    <row r="1179" spans="2:22" x14ac:dyDescent="0.25">
      <c r="B1179" s="47" t="s">
        <v>2648</v>
      </c>
      <c r="C1179" s="47" t="s">
        <v>292</v>
      </c>
      <c r="D1179" s="47" t="s">
        <v>983</v>
      </c>
      <c r="E1179" s="47" t="s">
        <v>27</v>
      </c>
      <c r="F1179" s="47" t="s">
        <v>2649</v>
      </c>
      <c r="G1179" s="47" t="s">
        <v>27</v>
      </c>
      <c r="H1179" s="47">
        <v>70355</v>
      </c>
      <c r="I1179" s="47">
        <v>2210</v>
      </c>
      <c r="J1179" s="47" t="s">
        <v>28</v>
      </c>
      <c r="K1179" s="47" t="s">
        <v>2015</v>
      </c>
      <c r="L1179" s="47" t="s">
        <v>34</v>
      </c>
      <c r="M1179" s="47" t="s">
        <v>984</v>
      </c>
      <c r="N1179" s="48">
        <v>1200</v>
      </c>
      <c r="O1179" s="47">
        <v>1549</v>
      </c>
      <c r="P1179" s="47">
        <v>1486</v>
      </c>
      <c r="Q1179" s="47">
        <v>1780</v>
      </c>
      <c r="R1179" s="48">
        <v>478</v>
      </c>
      <c r="S1179" s="47">
        <v>617</v>
      </c>
      <c r="T1179" s="47">
        <v>592</v>
      </c>
      <c r="U1179" s="47">
        <v>709</v>
      </c>
      <c r="V1179" s="47"/>
    </row>
    <row r="1180" spans="2:22" x14ac:dyDescent="0.25">
      <c r="B1180" s="47" t="s">
        <v>2648</v>
      </c>
      <c r="C1180" s="47" t="s">
        <v>292</v>
      </c>
      <c r="D1180" s="47" t="s">
        <v>983</v>
      </c>
      <c r="E1180" s="47" t="s">
        <v>27</v>
      </c>
      <c r="F1180" s="47" t="s">
        <v>2649</v>
      </c>
      <c r="G1180" s="47" t="s">
        <v>27</v>
      </c>
      <c r="H1180" s="47">
        <v>70355</v>
      </c>
      <c r="I1180" s="47">
        <v>2210</v>
      </c>
      <c r="J1180" s="47" t="s">
        <v>28</v>
      </c>
      <c r="K1180" s="47" t="s">
        <v>2016</v>
      </c>
      <c r="L1180" s="47" t="s">
        <v>34</v>
      </c>
      <c r="M1180" s="47" t="s">
        <v>984</v>
      </c>
      <c r="N1180" s="48">
        <v>1200</v>
      </c>
      <c r="O1180" s="47">
        <v>1549</v>
      </c>
      <c r="P1180" s="47">
        <v>1486</v>
      </c>
      <c r="Q1180" s="47">
        <v>1780</v>
      </c>
      <c r="R1180" s="48">
        <v>478</v>
      </c>
      <c r="S1180" s="47">
        <v>617</v>
      </c>
      <c r="T1180" s="47">
        <v>592</v>
      </c>
      <c r="U1180" s="47">
        <v>709</v>
      </c>
      <c r="V1180" s="47"/>
    </row>
    <row r="1181" spans="2:22" x14ac:dyDescent="0.25">
      <c r="B1181" s="47" t="s">
        <v>2648</v>
      </c>
      <c r="C1181" s="47" t="s">
        <v>292</v>
      </c>
      <c r="D1181" s="47" t="s">
        <v>983</v>
      </c>
      <c r="E1181" s="47" t="s">
        <v>27</v>
      </c>
      <c r="F1181" s="47" t="s">
        <v>2649</v>
      </c>
      <c r="G1181" s="47" t="s">
        <v>27</v>
      </c>
      <c r="H1181" s="47">
        <v>70355</v>
      </c>
      <c r="I1181" s="47">
        <v>2210</v>
      </c>
      <c r="J1181" s="47" t="s">
        <v>28</v>
      </c>
      <c r="K1181" s="47" t="s">
        <v>2648</v>
      </c>
      <c r="L1181" s="47" t="s">
        <v>30</v>
      </c>
      <c r="M1181" s="47" t="s">
        <v>292</v>
      </c>
      <c r="N1181" s="47">
        <v>1268</v>
      </c>
      <c r="O1181" s="48">
        <v>1394</v>
      </c>
      <c r="P1181" s="48">
        <v>1444</v>
      </c>
      <c r="Q1181" s="48">
        <v>1588</v>
      </c>
      <c r="R1181" s="47">
        <v>505</v>
      </c>
      <c r="S1181" s="48">
        <v>555</v>
      </c>
      <c r="T1181" s="48">
        <v>575</v>
      </c>
      <c r="U1181" s="48">
        <v>633</v>
      </c>
      <c r="V1181" s="48"/>
    </row>
    <row r="1182" spans="2:22" ht="23" x14ac:dyDescent="0.25">
      <c r="B1182" s="44" t="s">
        <v>1191</v>
      </c>
      <c r="C1182" s="44" t="s">
        <v>530</v>
      </c>
      <c r="D1182" s="44" t="s">
        <v>531</v>
      </c>
      <c r="E1182" s="44" t="s">
        <v>27</v>
      </c>
      <c r="F1182" s="44" t="s">
        <v>776</v>
      </c>
      <c r="G1182" s="44" t="s">
        <v>40</v>
      </c>
      <c r="H1182" s="44">
        <v>70362</v>
      </c>
      <c r="I1182" s="44">
        <v>70605</v>
      </c>
      <c r="J1182" s="44" t="s">
        <v>28</v>
      </c>
      <c r="K1182" s="44" t="s">
        <v>1191</v>
      </c>
      <c r="L1182" s="44" t="s">
        <v>29</v>
      </c>
      <c r="M1182" s="44"/>
      <c r="N1182" s="45">
        <v>1270</v>
      </c>
      <c r="O1182" s="45">
        <v>1397</v>
      </c>
      <c r="P1182" s="45">
        <v>1447</v>
      </c>
      <c r="Q1182" s="45">
        <v>1591</v>
      </c>
      <c r="R1182" s="45">
        <v>506</v>
      </c>
      <c r="S1182" s="45">
        <v>557</v>
      </c>
      <c r="T1182" s="45">
        <v>576</v>
      </c>
      <c r="U1182" s="45">
        <v>634</v>
      </c>
      <c r="V1182" s="46"/>
    </row>
    <row r="1183" spans="2:22" ht="20" x14ac:dyDescent="0.25">
      <c r="B1183" s="47" t="s">
        <v>1191</v>
      </c>
      <c r="C1183" s="47" t="s">
        <v>530</v>
      </c>
      <c r="D1183" s="47" t="s">
        <v>531</v>
      </c>
      <c r="E1183" s="47" t="s">
        <v>27</v>
      </c>
      <c r="F1183" s="47" t="s">
        <v>776</v>
      </c>
      <c r="G1183" s="47" t="s">
        <v>40</v>
      </c>
      <c r="H1183" s="47">
        <v>70362</v>
      </c>
      <c r="I1183" s="47">
        <v>70605</v>
      </c>
      <c r="J1183" s="47" t="s">
        <v>28</v>
      </c>
      <c r="K1183" s="47" t="s">
        <v>1191</v>
      </c>
      <c r="L1183" s="47" t="s">
        <v>30</v>
      </c>
      <c r="M1183" s="47" t="s">
        <v>530</v>
      </c>
      <c r="N1183" s="48">
        <v>1270</v>
      </c>
      <c r="O1183" s="48">
        <v>1397</v>
      </c>
      <c r="P1183" s="48">
        <v>1447</v>
      </c>
      <c r="Q1183" s="48">
        <v>1591</v>
      </c>
      <c r="R1183" s="48">
        <v>506</v>
      </c>
      <c r="S1183" s="48">
        <v>557</v>
      </c>
      <c r="T1183" s="48">
        <v>576</v>
      </c>
      <c r="U1183" s="48">
        <v>634</v>
      </c>
      <c r="V1183" s="48"/>
    </row>
    <row r="1184" spans="2:22" ht="23" x14ac:dyDescent="0.25">
      <c r="B1184" s="44" t="s">
        <v>1192</v>
      </c>
      <c r="C1184" s="44" t="s">
        <v>1193</v>
      </c>
      <c r="D1184" s="44" t="s">
        <v>900</v>
      </c>
      <c r="E1184" s="44" t="s">
        <v>27</v>
      </c>
      <c r="F1184" s="44" t="s">
        <v>809</v>
      </c>
      <c r="G1184" s="44" t="s">
        <v>27</v>
      </c>
      <c r="H1184" s="44">
        <v>70590</v>
      </c>
      <c r="I1184" s="44">
        <v>70820</v>
      </c>
      <c r="J1184" s="44" t="s">
        <v>28</v>
      </c>
      <c r="K1184" s="44" t="s">
        <v>1192</v>
      </c>
      <c r="L1184" s="44" t="s">
        <v>29</v>
      </c>
      <c r="M1184" s="44"/>
      <c r="N1184" s="45">
        <v>2000</v>
      </c>
      <c r="O1184" s="45">
        <v>2000</v>
      </c>
      <c r="P1184" s="45">
        <v>2000</v>
      </c>
      <c r="Q1184" s="45">
        <v>2000</v>
      </c>
      <c r="R1184" s="45">
        <v>797</v>
      </c>
      <c r="S1184" s="45">
        <v>797</v>
      </c>
      <c r="T1184" s="45">
        <v>797</v>
      </c>
      <c r="U1184" s="45">
        <v>797</v>
      </c>
      <c r="V1184" s="46"/>
    </row>
    <row r="1185" spans="2:22" ht="20" x14ac:dyDescent="0.25">
      <c r="B1185" s="47" t="s">
        <v>1192</v>
      </c>
      <c r="C1185" s="47" t="s">
        <v>1193</v>
      </c>
      <c r="D1185" s="47" t="s">
        <v>900</v>
      </c>
      <c r="E1185" s="47" t="s">
        <v>27</v>
      </c>
      <c r="F1185" s="47" t="s">
        <v>809</v>
      </c>
      <c r="G1185" s="47" t="s">
        <v>27</v>
      </c>
      <c r="H1185" s="47">
        <v>70590</v>
      </c>
      <c r="I1185" s="47">
        <v>70820</v>
      </c>
      <c r="J1185" s="47" t="s">
        <v>28</v>
      </c>
      <c r="K1185" s="47" t="s">
        <v>1196</v>
      </c>
      <c r="L1185" s="47" t="s">
        <v>39</v>
      </c>
      <c r="M1185" s="47" t="s">
        <v>1195</v>
      </c>
      <c r="N1185" s="48">
        <v>2000</v>
      </c>
      <c r="O1185" s="48">
        <v>2000</v>
      </c>
      <c r="P1185" s="48">
        <v>2000</v>
      </c>
      <c r="Q1185" s="48">
        <v>2000</v>
      </c>
      <c r="R1185" s="48">
        <v>797</v>
      </c>
      <c r="S1185" s="48">
        <v>797</v>
      </c>
      <c r="T1185" s="48">
        <v>797</v>
      </c>
      <c r="U1185" s="48">
        <v>797</v>
      </c>
      <c r="V1185" s="48"/>
    </row>
    <row r="1186" spans="2:22" ht="20" x14ac:dyDescent="0.25">
      <c r="B1186" s="47" t="s">
        <v>1192</v>
      </c>
      <c r="C1186" s="47" t="s">
        <v>1193</v>
      </c>
      <c r="D1186" s="47" t="s">
        <v>900</v>
      </c>
      <c r="E1186" s="47" t="s">
        <v>27</v>
      </c>
      <c r="F1186" s="47" t="s">
        <v>809</v>
      </c>
      <c r="G1186" s="47" t="s">
        <v>27</v>
      </c>
      <c r="H1186" s="47">
        <v>70590</v>
      </c>
      <c r="I1186" s="47">
        <v>70820</v>
      </c>
      <c r="J1186" s="47" t="s">
        <v>28</v>
      </c>
      <c r="K1186" s="47" t="s">
        <v>1193</v>
      </c>
      <c r="L1186" s="47" t="s">
        <v>49</v>
      </c>
      <c r="M1186" s="47" t="s">
        <v>1195</v>
      </c>
      <c r="N1186" s="48">
        <v>2000</v>
      </c>
      <c r="O1186" s="48">
        <v>2000</v>
      </c>
      <c r="P1186" s="48">
        <v>2000</v>
      </c>
      <c r="Q1186" s="48">
        <v>2000</v>
      </c>
      <c r="R1186" s="48">
        <v>797</v>
      </c>
      <c r="S1186" s="48">
        <v>797</v>
      </c>
      <c r="T1186" s="48">
        <v>797</v>
      </c>
      <c r="U1186" s="48">
        <v>797</v>
      </c>
      <c r="V1186" s="48"/>
    </row>
    <row r="1187" spans="2:22" ht="20" x14ac:dyDescent="0.25">
      <c r="B1187" s="47" t="s">
        <v>1192</v>
      </c>
      <c r="C1187" s="47" t="s">
        <v>1193</v>
      </c>
      <c r="D1187" s="47" t="s">
        <v>900</v>
      </c>
      <c r="E1187" s="47" t="s">
        <v>27</v>
      </c>
      <c r="F1187" s="47" t="s">
        <v>809</v>
      </c>
      <c r="G1187" s="47" t="s">
        <v>27</v>
      </c>
      <c r="H1187" s="47">
        <v>70590</v>
      </c>
      <c r="I1187" s="47">
        <v>70820</v>
      </c>
      <c r="J1187" s="47" t="s">
        <v>28</v>
      </c>
      <c r="K1187" s="47" t="s">
        <v>1200</v>
      </c>
      <c r="L1187" s="47" t="s">
        <v>39</v>
      </c>
      <c r="M1187" s="47" t="s">
        <v>1195</v>
      </c>
      <c r="N1187" s="48">
        <v>2000</v>
      </c>
      <c r="O1187" s="48">
        <v>2000</v>
      </c>
      <c r="P1187" s="48">
        <v>2000</v>
      </c>
      <c r="Q1187" s="48">
        <v>2000</v>
      </c>
      <c r="R1187" s="48">
        <v>797</v>
      </c>
      <c r="S1187" s="48">
        <v>797</v>
      </c>
      <c r="T1187" s="48">
        <v>797</v>
      </c>
      <c r="U1187" s="48">
        <v>797</v>
      </c>
      <c r="V1187" s="48"/>
    </row>
    <row r="1188" spans="2:22" ht="20" x14ac:dyDescent="0.25">
      <c r="B1188" s="47" t="s">
        <v>1192</v>
      </c>
      <c r="C1188" s="47" t="s">
        <v>1193</v>
      </c>
      <c r="D1188" s="47" t="s">
        <v>900</v>
      </c>
      <c r="E1188" s="47" t="s">
        <v>27</v>
      </c>
      <c r="F1188" s="47" t="s">
        <v>809</v>
      </c>
      <c r="G1188" s="47" t="s">
        <v>27</v>
      </c>
      <c r="H1188" s="47">
        <v>70590</v>
      </c>
      <c r="I1188" s="47">
        <v>70820</v>
      </c>
      <c r="J1188" s="47" t="s">
        <v>28</v>
      </c>
      <c r="K1188" s="47" t="s">
        <v>1199</v>
      </c>
      <c r="L1188" s="47" t="s">
        <v>39</v>
      </c>
      <c r="M1188" s="47" t="s">
        <v>1195</v>
      </c>
      <c r="N1188" s="48">
        <v>2000</v>
      </c>
      <c r="O1188" s="48">
        <v>2000</v>
      </c>
      <c r="P1188" s="48">
        <v>2000</v>
      </c>
      <c r="Q1188" s="48">
        <v>2000</v>
      </c>
      <c r="R1188" s="48">
        <v>797</v>
      </c>
      <c r="S1188" s="48">
        <v>797</v>
      </c>
      <c r="T1188" s="48">
        <v>797</v>
      </c>
      <c r="U1188" s="48">
        <v>797</v>
      </c>
      <c r="V1188" s="48"/>
    </row>
    <row r="1189" spans="2:22" ht="30" x14ac:dyDescent="0.25">
      <c r="B1189" s="47" t="s">
        <v>1192</v>
      </c>
      <c r="C1189" s="47" t="s">
        <v>1193</v>
      </c>
      <c r="D1189" s="47" t="s">
        <v>900</v>
      </c>
      <c r="E1189" s="47" t="s">
        <v>27</v>
      </c>
      <c r="F1189" s="47" t="s">
        <v>809</v>
      </c>
      <c r="G1189" s="47" t="s">
        <v>27</v>
      </c>
      <c r="H1189" s="47">
        <v>70590</v>
      </c>
      <c r="I1189" s="47">
        <v>70820</v>
      </c>
      <c r="J1189" s="47" t="s">
        <v>28</v>
      </c>
      <c r="K1189" s="47" t="s">
        <v>1194</v>
      </c>
      <c r="L1189" s="47" t="s">
        <v>36</v>
      </c>
      <c r="M1189" s="47" t="s">
        <v>1195</v>
      </c>
      <c r="N1189" s="48">
        <v>2000</v>
      </c>
      <c r="O1189" s="48">
        <v>2000</v>
      </c>
      <c r="P1189" s="48">
        <v>2000</v>
      </c>
      <c r="Q1189" s="48">
        <v>2000</v>
      </c>
      <c r="R1189" s="48">
        <v>797</v>
      </c>
      <c r="S1189" s="48">
        <v>797</v>
      </c>
      <c r="T1189" s="48">
        <v>797</v>
      </c>
      <c r="U1189" s="48">
        <v>797</v>
      </c>
      <c r="V1189" s="48"/>
    </row>
    <row r="1190" spans="2:22" ht="20" x14ac:dyDescent="0.25">
      <c r="B1190" s="47" t="s">
        <v>1192</v>
      </c>
      <c r="C1190" s="47" t="s">
        <v>1193</v>
      </c>
      <c r="D1190" s="47" t="s">
        <v>900</v>
      </c>
      <c r="E1190" s="47" t="s">
        <v>27</v>
      </c>
      <c r="F1190" s="47" t="s">
        <v>809</v>
      </c>
      <c r="G1190" s="47" t="s">
        <v>27</v>
      </c>
      <c r="H1190" s="47">
        <v>70590</v>
      </c>
      <c r="I1190" s="47">
        <v>70820</v>
      </c>
      <c r="J1190" s="47" t="s">
        <v>28</v>
      </c>
      <c r="K1190" s="47" t="s">
        <v>2111</v>
      </c>
      <c r="L1190" s="47" t="s">
        <v>49</v>
      </c>
      <c r="M1190" s="47" t="s">
        <v>1195</v>
      </c>
      <c r="N1190" s="48">
        <v>2000</v>
      </c>
      <c r="O1190" s="48">
        <v>2000</v>
      </c>
      <c r="P1190" s="48">
        <v>2000</v>
      </c>
      <c r="Q1190" s="48">
        <v>2000</v>
      </c>
      <c r="R1190" s="48">
        <v>797</v>
      </c>
      <c r="S1190" s="48">
        <v>797</v>
      </c>
      <c r="T1190" s="48">
        <v>797</v>
      </c>
      <c r="U1190" s="48">
        <v>797</v>
      </c>
      <c r="V1190" s="48"/>
    </row>
    <row r="1191" spans="2:22" ht="23" x14ac:dyDescent="0.25">
      <c r="B1191" s="44" t="s">
        <v>1202</v>
      </c>
      <c r="C1191" s="44" t="s">
        <v>1203</v>
      </c>
      <c r="D1191" s="44" t="s">
        <v>1204</v>
      </c>
      <c r="E1191" s="44" t="s">
        <v>27</v>
      </c>
      <c r="F1191" s="44" t="s">
        <v>1205</v>
      </c>
      <c r="G1191" s="44" t="s">
        <v>27</v>
      </c>
      <c r="H1191" s="44">
        <v>70368</v>
      </c>
      <c r="I1191" s="44">
        <v>70475</v>
      </c>
      <c r="J1191" s="44" t="s">
        <v>28</v>
      </c>
      <c r="K1191" s="44" t="s">
        <v>1202</v>
      </c>
      <c r="L1191" s="44" t="s">
        <v>29</v>
      </c>
      <c r="M1191" s="44"/>
      <c r="N1191" s="45">
        <v>803</v>
      </c>
      <c r="O1191" s="45">
        <v>883</v>
      </c>
      <c r="P1191" s="45">
        <v>913</v>
      </c>
      <c r="Q1191" s="45">
        <v>1004</v>
      </c>
      <c r="R1191" s="45">
        <v>160</v>
      </c>
      <c r="S1191" s="45">
        <v>176</v>
      </c>
      <c r="T1191" s="45">
        <v>182</v>
      </c>
      <c r="U1191" s="45">
        <v>200</v>
      </c>
      <c r="V1191" s="46"/>
    </row>
    <row r="1192" spans="2:22" ht="20" x14ac:dyDescent="0.25">
      <c r="B1192" s="47" t="s">
        <v>1202</v>
      </c>
      <c r="C1192" s="47" t="s">
        <v>1203</v>
      </c>
      <c r="D1192" s="47" t="s">
        <v>1204</v>
      </c>
      <c r="E1192" s="47" t="s">
        <v>27</v>
      </c>
      <c r="F1192" s="47" t="s">
        <v>1205</v>
      </c>
      <c r="G1192" s="47" t="s">
        <v>27</v>
      </c>
      <c r="H1192" s="47">
        <v>70368</v>
      </c>
      <c r="I1192" s="47">
        <v>70475</v>
      </c>
      <c r="J1192" s="47" t="s">
        <v>28</v>
      </c>
      <c r="K1192" s="47" t="s">
        <v>1202</v>
      </c>
      <c r="L1192" s="47" t="s">
        <v>30</v>
      </c>
      <c r="M1192" s="47" t="s">
        <v>1203</v>
      </c>
      <c r="N1192" s="48">
        <v>803</v>
      </c>
      <c r="O1192" s="48">
        <v>883</v>
      </c>
      <c r="P1192" s="48">
        <v>913</v>
      </c>
      <c r="Q1192" s="48">
        <v>1004</v>
      </c>
      <c r="R1192" s="48">
        <v>160</v>
      </c>
      <c r="S1192" s="48">
        <v>176</v>
      </c>
      <c r="T1192" s="48">
        <v>182</v>
      </c>
      <c r="U1192" s="48">
        <v>200</v>
      </c>
      <c r="V1192" s="48"/>
    </row>
    <row r="1193" spans="2:22" ht="34.5" x14ac:dyDescent="0.25">
      <c r="B1193" s="44" t="s">
        <v>1210</v>
      </c>
      <c r="C1193" s="44" t="s">
        <v>1211</v>
      </c>
      <c r="D1193" s="44" t="s">
        <v>1212</v>
      </c>
      <c r="E1193" s="44" t="s">
        <v>27</v>
      </c>
      <c r="F1193" s="44" t="s">
        <v>294</v>
      </c>
      <c r="G1193" s="44" t="s">
        <v>27</v>
      </c>
      <c r="H1193" s="44">
        <v>70369</v>
      </c>
      <c r="I1193" s="44">
        <v>70107</v>
      </c>
      <c r="J1193" s="44" t="s">
        <v>28</v>
      </c>
      <c r="K1193" s="44" t="s">
        <v>1210</v>
      </c>
      <c r="L1193" s="44" t="s">
        <v>29</v>
      </c>
      <c r="M1193" s="44"/>
      <c r="N1193" s="45">
        <v>1091</v>
      </c>
      <c r="O1193" s="45">
        <v>1271</v>
      </c>
      <c r="P1193" s="45">
        <v>1303</v>
      </c>
      <c r="Q1193" s="45">
        <v>1448</v>
      </c>
      <c r="R1193" s="45">
        <v>435</v>
      </c>
      <c r="S1193" s="45">
        <v>506</v>
      </c>
      <c r="T1193" s="45">
        <v>519</v>
      </c>
      <c r="U1193" s="45">
        <v>577</v>
      </c>
      <c r="V1193" s="46"/>
    </row>
    <row r="1194" spans="2:22" ht="30" x14ac:dyDescent="0.25">
      <c r="B1194" s="47" t="s">
        <v>1210</v>
      </c>
      <c r="C1194" s="47" t="s">
        <v>1211</v>
      </c>
      <c r="D1194" s="47" t="s">
        <v>1212</v>
      </c>
      <c r="E1194" s="47" t="s">
        <v>27</v>
      </c>
      <c r="F1194" s="47" t="s">
        <v>294</v>
      </c>
      <c r="G1194" s="47" t="s">
        <v>27</v>
      </c>
      <c r="H1194" s="47">
        <v>70369</v>
      </c>
      <c r="I1194" s="47">
        <v>70107</v>
      </c>
      <c r="J1194" s="47" t="s">
        <v>28</v>
      </c>
      <c r="K1194" s="47" t="s">
        <v>249</v>
      </c>
      <c r="L1194" s="47" t="s">
        <v>31</v>
      </c>
      <c r="M1194" s="47" t="s">
        <v>515</v>
      </c>
      <c r="N1194" s="48">
        <v>1091</v>
      </c>
      <c r="O1194" s="48">
        <v>1271</v>
      </c>
      <c r="P1194" s="48">
        <v>1303</v>
      </c>
      <c r="Q1194" s="48">
        <v>1448</v>
      </c>
      <c r="R1194" s="48">
        <v>435</v>
      </c>
      <c r="S1194" s="48">
        <v>506</v>
      </c>
      <c r="T1194" s="48">
        <v>519</v>
      </c>
      <c r="U1194" s="48">
        <v>577</v>
      </c>
      <c r="V1194" s="48"/>
    </row>
    <row r="1195" spans="2:22" ht="23" x14ac:dyDescent="0.25">
      <c r="B1195" s="44" t="s">
        <v>1213</v>
      </c>
      <c r="C1195" s="44" t="s">
        <v>1211</v>
      </c>
      <c r="D1195" s="44" t="s">
        <v>1212</v>
      </c>
      <c r="E1195" s="44" t="s">
        <v>27</v>
      </c>
      <c r="F1195" s="44" t="s">
        <v>983</v>
      </c>
      <c r="G1195" s="44" t="s">
        <v>27</v>
      </c>
      <c r="H1195" s="44">
        <v>70369</v>
      </c>
      <c r="I1195" s="44">
        <v>70355</v>
      </c>
      <c r="J1195" s="44" t="s">
        <v>28</v>
      </c>
      <c r="K1195" s="44" t="s">
        <v>1213</v>
      </c>
      <c r="L1195" s="44" t="s">
        <v>29</v>
      </c>
      <c r="M1195" s="44"/>
      <c r="N1195" s="45">
        <v>1200</v>
      </c>
      <c r="O1195" s="45">
        <v>1200</v>
      </c>
      <c r="P1195" s="45">
        <v>1200</v>
      </c>
      <c r="Q1195" s="45">
        <v>1200</v>
      </c>
      <c r="R1195" s="45">
        <v>478</v>
      </c>
      <c r="S1195" s="45">
        <v>478</v>
      </c>
      <c r="T1195" s="45">
        <v>478</v>
      </c>
      <c r="U1195" s="45">
        <v>478</v>
      </c>
      <c r="V1195" s="46"/>
    </row>
    <row r="1196" spans="2:22" ht="30" x14ac:dyDescent="0.25">
      <c r="B1196" s="47" t="s">
        <v>1213</v>
      </c>
      <c r="C1196" s="47" t="s">
        <v>1211</v>
      </c>
      <c r="D1196" s="47" t="s">
        <v>1212</v>
      </c>
      <c r="E1196" s="47" t="s">
        <v>27</v>
      </c>
      <c r="F1196" s="47" t="s">
        <v>983</v>
      </c>
      <c r="G1196" s="47" t="s">
        <v>27</v>
      </c>
      <c r="H1196" s="47">
        <v>70369</v>
      </c>
      <c r="I1196" s="47">
        <v>70355</v>
      </c>
      <c r="J1196" s="47" t="s">
        <v>28</v>
      </c>
      <c r="K1196" s="47" t="s">
        <v>1214</v>
      </c>
      <c r="L1196" s="47" t="s">
        <v>36</v>
      </c>
      <c r="M1196" s="47" t="s">
        <v>984</v>
      </c>
      <c r="N1196" s="48">
        <v>1200</v>
      </c>
      <c r="O1196" s="48">
        <v>1200</v>
      </c>
      <c r="P1196" s="48">
        <v>1200</v>
      </c>
      <c r="Q1196" s="48">
        <v>1200</v>
      </c>
      <c r="R1196" s="48">
        <v>478</v>
      </c>
      <c r="S1196" s="48">
        <v>478</v>
      </c>
      <c r="T1196" s="48">
        <v>478</v>
      </c>
      <c r="U1196" s="48">
        <v>478</v>
      </c>
      <c r="V1196" s="48"/>
    </row>
    <row r="1197" spans="2:22" ht="30" x14ac:dyDescent="0.25">
      <c r="B1197" s="47" t="s">
        <v>1213</v>
      </c>
      <c r="C1197" s="47" t="s">
        <v>1211</v>
      </c>
      <c r="D1197" s="47" t="s">
        <v>1212</v>
      </c>
      <c r="E1197" s="47" t="s">
        <v>27</v>
      </c>
      <c r="F1197" s="47" t="s">
        <v>983</v>
      </c>
      <c r="G1197" s="47" t="s">
        <v>27</v>
      </c>
      <c r="H1197" s="47">
        <v>70369</v>
      </c>
      <c r="I1197" s="47">
        <v>70355</v>
      </c>
      <c r="J1197" s="47" t="s">
        <v>28</v>
      </c>
      <c r="K1197" s="47" t="s">
        <v>2497</v>
      </c>
      <c r="L1197" s="47" t="s">
        <v>36</v>
      </c>
      <c r="M1197" s="47" t="s">
        <v>984</v>
      </c>
      <c r="N1197" s="48">
        <v>1200</v>
      </c>
      <c r="O1197" s="48">
        <v>1200</v>
      </c>
      <c r="P1197" s="48">
        <v>1200</v>
      </c>
      <c r="Q1197" s="48">
        <v>1200</v>
      </c>
      <c r="R1197" s="48">
        <v>478</v>
      </c>
      <c r="S1197" s="48">
        <v>478</v>
      </c>
      <c r="T1197" s="48">
        <v>478</v>
      </c>
      <c r="U1197" s="48">
        <v>478</v>
      </c>
      <c r="V1197" s="48"/>
    </row>
    <row r="1198" spans="2:22" ht="20" x14ac:dyDescent="0.25">
      <c r="B1198" s="47" t="s">
        <v>1213</v>
      </c>
      <c r="C1198" s="47" t="s">
        <v>1211</v>
      </c>
      <c r="D1198" s="47" t="s">
        <v>1212</v>
      </c>
      <c r="E1198" s="47" t="s">
        <v>27</v>
      </c>
      <c r="F1198" s="47" t="s">
        <v>983</v>
      </c>
      <c r="G1198" s="47" t="s">
        <v>27</v>
      </c>
      <c r="H1198" s="47">
        <v>70369</v>
      </c>
      <c r="I1198" s="47">
        <v>70355</v>
      </c>
      <c r="J1198" s="47" t="s">
        <v>28</v>
      </c>
      <c r="K1198" s="47" t="s">
        <v>2304</v>
      </c>
      <c r="L1198" s="47" t="s">
        <v>34</v>
      </c>
      <c r="M1198" s="47" t="s">
        <v>984</v>
      </c>
      <c r="N1198" s="48">
        <v>1200</v>
      </c>
      <c r="O1198" s="47">
        <v>1549</v>
      </c>
      <c r="P1198" s="47">
        <v>1486</v>
      </c>
      <c r="Q1198" s="47">
        <v>1780</v>
      </c>
      <c r="R1198" s="48">
        <v>478</v>
      </c>
      <c r="S1198" s="47">
        <v>617</v>
      </c>
      <c r="T1198" s="47">
        <v>592</v>
      </c>
      <c r="U1198" s="47">
        <v>709</v>
      </c>
      <c r="V1198" s="47"/>
    </row>
    <row r="1199" spans="2:22" ht="20" x14ac:dyDescent="0.25">
      <c r="B1199" s="47" t="s">
        <v>1213</v>
      </c>
      <c r="C1199" s="47" t="s">
        <v>1211</v>
      </c>
      <c r="D1199" s="47" t="s">
        <v>1212</v>
      </c>
      <c r="E1199" s="47" t="s">
        <v>27</v>
      </c>
      <c r="F1199" s="47" t="s">
        <v>983</v>
      </c>
      <c r="G1199" s="47" t="s">
        <v>27</v>
      </c>
      <c r="H1199" s="47">
        <v>70369</v>
      </c>
      <c r="I1199" s="47">
        <v>70355</v>
      </c>
      <c r="J1199" s="47" t="s">
        <v>28</v>
      </c>
      <c r="K1199" s="47" t="s">
        <v>2017</v>
      </c>
      <c r="L1199" s="47" t="s">
        <v>34</v>
      </c>
      <c r="M1199" s="47" t="s">
        <v>984</v>
      </c>
      <c r="N1199" s="48">
        <v>1200</v>
      </c>
      <c r="O1199" s="47">
        <v>1549</v>
      </c>
      <c r="P1199" s="47">
        <v>1486</v>
      </c>
      <c r="Q1199" s="47">
        <v>1780</v>
      </c>
      <c r="R1199" s="48">
        <v>478</v>
      </c>
      <c r="S1199" s="47">
        <v>617</v>
      </c>
      <c r="T1199" s="47">
        <v>592</v>
      </c>
      <c r="U1199" s="47">
        <v>709</v>
      </c>
      <c r="V1199" s="47"/>
    </row>
    <row r="1200" spans="2:22" ht="20" x14ac:dyDescent="0.25">
      <c r="B1200" s="47" t="s">
        <v>1213</v>
      </c>
      <c r="C1200" s="47" t="s">
        <v>1211</v>
      </c>
      <c r="D1200" s="47" t="s">
        <v>1212</v>
      </c>
      <c r="E1200" s="47" t="s">
        <v>27</v>
      </c>
      <c r="F1200" s="47" t="s">
        <v>983</v>
      </c>
      <c r="G1200" s="47" t="s">
        <v>27</v>
      </c>
      <c r="H1200" s="47">
        <v>70369</v>
      </c>
      <c r="I1200" s="47">
        <v>70355</v>
      </c>
      <c r="J1200" s="47" t="s">
        <v>28</v>
      </c>
      <c r="K1200" s="47" t="s">
        <v>2308</v>
      </c>
      <c r="L1200" s="47" t="s">
        <v>34</v>
      </c>
      <c r="M1200" s="47" t="s">
        <v>984</v>
      </c>
      <c r="N1200" s="48">
        <v>1200</v>
      </c>
      <c r="O1200" s="47">
        <v>1549</v>
      </c>
      <c r="P1200" s="47">
        <v>1486</v>
      </c>
      <c r="Q1200" s="47">
        <v>1780</v>
      </c>
      <c r="R1200" s="48">
        <v>478</v>
      </c>
      <c r="S1200" s="47">
        <v>617</v>
      </c>
      <c r="T1200" s="47">
        <v>592</v>
      </c>
      <c r="U1200" s="47">
        <v>709</v>
      </c>
      <c r="V1200" s="47"/>
    </row>
    <row r="1201" spans="2:22" ht="20" x14ac:dyDescent="0.25">
      <c r="B1201" s="47" t="s">
        <v>1213</v>
      </c>
      <c r="C1201" s="47" t="s">
        <v>1211</v>
      </c>
      <c r="D1201" s="47" t="s">
        <v>1212</v>
      </c>
      <c r="E1201" s="47" t="s">
        <v>27</v>
      </c>
      <c r="F1201" s="47" t="s">
        <v>983</v>
      </c>
      <c r="G1201" s="47" t="s">
        <v>27</v>
      </c>
      <c r="H1201" s="47">
        <v>70369</v>
      </c>
      <c r="I1201" s="47">
        <v>70355</v>
      </c>
      <c r="J1201" s="47" t="s">
        <v>28</v>
      </c>
      <c r="K1201" s="47" t="s">
        <v>2014</v>
      </c>
      <c r="L1201" s="47" t="s">
        <v>34</v>
      </c>
      <c r="M1201" s="47" t="s">
        <v>984</v>
      </c>
      <c r="N1201" s="48">
        <v>1200</v>
      </c>
      <c r="O1201" s="47">
        <v>1549</v>
      </c>
      <c r="P1201" s="47">
        <v>1486</v>
      </c>
      <c r="Q1201" s="47">
        <v>1780</v>
      </c>
      <c r="R1201" s="48">
        <v>478</v>
      </c>
      <c r="S1201" s="47">
        <v>617</v>
      </c>
      <c r="T1201" s="47">
        <v>592</v>
      </c>
      <c r="U1201" s="47">
        <v>709</v>
      </c>
      <c r="V1201" s="47"/>
    </row>
    <row r="1202" spans="2:22" ht="23" x14ac:dyDescent="0.25">
      <c r="B1202" s="44" t="s">
        <v>2330</v>
      </c>
      <c r="C1202" s="44" t="s">
        <v>2331</v>
      </c>
      <c r="D1202" s="44" t="s">
        <v>2239</v>
      </c>
      <c r="E1202" s="44" t="s">
        <v>27</v>
      </c>
      <c r="F1202" s="44" t="s">
        <v>2332</v>
      </c>
      <c r="G1202" s="44" t="s">
        <v>40</v>
      </c>
      <c r="H1202" s="44">
        <v>70630</v>
      </c>
      <c r="I1202" s="44">
        <v>70750</v>
      </c>
      <c r="J1202" s="44" t="s">
        <v>42</v>
      </c>
      <c r="K1202" s="44" t="s">
        <v>2330</v>
      </c>
      <c r="L1202" s="44" t="s">
        <v>29</v>
      </c>
      <c r="M1202" s="44"/>
      <c r="N1202" s="45">
        <v>1200</v>
      </c>
      <c r="O1202" s="45">
        <v>1200</v>
      </c>
      <c r="P1202" s="45">
        <v>1200</v>
      </c>
      <c r="Q1202" s="45">
        <v>1200</v>
      </c>
      <c r="R1202" s="45">
        <v>717</v>
      </c>
      <c r="S1202" s="45">
        <v>717</v>
      </c>
      <c r="T1202" s="45">
        <v>717</v>
      </c>
      <c r="U1202" s="45">
        <v>717</v>
      </c>
      <c r="V1202" s="46"/>
    </row>
    <row r="1203" spans="2:22" ht="20" x14ac:dyDescent="0.25">
      <c r="B1203" s="47" t="s">
        <v>2330</v>
      </c>
      <c r="C1203" s="47" t="s">
        <v>2331</v>
      </c>
      <c r="D1203" s="47" t="s">
        <v>2239</v>
      </c>
      <c r="E1203" s="47" t="s">
        <v>27</v>
      </c>
      <c r="F1203" s="47" t="s">
        <v>2332</v>
      </c>
      <c r="G1203" s="47" t="s">
        <v>40</v>
      </c>
      <c r="H1203" s="47">
        <v>70630</v>
      </c>
      <c r="I1203" s="47">
        <v>70750</v>
      </c>
      <c r="J1203" s="47" t="s">
        <v>42</v>
      </c>
      <c r="K1203" s="47" t="s">
        <v>2335</v>
      </c>
      <c r="L1203" s="47" t="s">
        <v>39</v>
      </c>
      <c r="M1203" s="47" t="s">
        <v>2241</v>
      </c>
      <c r="N1203" s="48">
        <v>1200</v>
      </c>
      <c r="O1203" s="48">
        <v>1200</v>
      </c>
      <c r="P1203" s="48">
        <v>1200</v>
      </c>
      <c r="Q1203" s="48">
        <v>1200</v>
      </c>
      <c r="R1203" s="48">
        <v>717</v>
      </c>
      <c r="S1203" s="48">
        <v>717</v>
      </c>
      <c r="T1203" s="48">
        <v>717</v>
      </c>
      <c r="U1203" s="48">
        <v>717</v>
      </c>
      <c r="V1203" s="48"/>
    </row>
    <row r="1204" spans="2:22" ht="30" x14ac:dyDescent="0.25">
      <c r="B1204" s="47" t="s">
        <v>2330</v>
      </c>
      <c r="C1204" s="47" t="s">
        <v>2331</v>
      </c>
      <c r="D1204" s="47" t="s">
        <v>2239</v>
      </c>
      <c r="E1204" s="47" t="s">
        <v>27</v>
      </c>
      <c r="F1204" s="47" t="s">
        <v>2332</v>
      </c>
      <c r="G1204" s="47" t="s">
        <v>40</v>
      </c>
      <c r="H1204" s="47">
        <v>70630</v>
      </c>
      <c r="I1204" s="47">
        <v>70750</v>
      </c>
      <c r="J1204" s="47" t="s">
        <v>42</v>
      </c>
      <c r="K1204" s="47" t="s">
        <v>2337</v>
      </c>
      <c r="L1204" s="47" t="s">
        <v>36</v>
      </c>
      <c r="M1204" s="47" t="s">
        <v>2241</v>
      </c>
      <c r="N1204" s="48">
        <v>1200</v>
      </c>
      <c r="O1204" s="48">
        <v>1200</v>
      </c>
      <c r="P1204" s="48">
        <v>1200</v>
      </c>
      <c r="Q1204" s="48">
        <v>1200</v>
      </c>
      <c r="R1204" s="48">
        <v>717</v>
      </c>
      <c r="S1204" s="48">
        <v>717</v>
      </c>
      <c r="T1204" s="48">
        <v>717</v>
      </c>
      <c r="U1204" s="48">
        <v>717</v>
      </c>
      <c r="V1204" s="48"/>
    </row>
    <row r="1205" spans="2:22" ht="20" x14ac:dyDescent="0.25">
      <c r="B1205" s="47" t="s">
        <v>2330</v>
      </c>
      <c r="C1205" s="47" t="s">
        <v>2331</v>
      </c>
      <c r="D1205" s="47" t="s">
        <v>2239</v>
      </c>
      <c r="E1205" s="47" t="s">
        <v>27</v>
      </c>
      <c r="F1205" s="47" t="s">
        <v>2332</v>
      </c>
      <c r="G1205" s="47" t="s">
        <v>40</v>
      </c>
      <c r="H1205" s="47">
        <v>70630</v>
      </c>
      <c r="I1205" s="47">
        <v>70750</v>
      </c>
      <c r="J1205" s="47" t="s">
        <v>42</v>
      </c>
      <c r="K1205" s="47" t="s">
        <v>2333</v>
      </c>
      <c r="L1205" s="47" t="s">
        <v>39</v>
      </c>
      <c r="M1205" s="47" t="s">
        <v>2241</v>
      </c>
      <c r="N1205" s="48">
        <v>1200</v>
      </c>
      <c r="O1205" s="48">
        <v>1200</v>
      </c>
      <c r="P1205" s="48">
        <v>1200</v>
      </c>
      <c r="Q1205" s="48">
        <v>1200</v>
      </c>
      <c r="R1205" s="48">
        <v>717</v>
      </c>
      <c r="S1205" s="48">
        <v>717</v>
      </c>
      <c r="T1205" s="48">
        <v>717</v>
      </c>
      <c r="U1205" s="48">
        <v>717</v>
      </c>
      <c r="V1205" s="48"/>
    </row>
    <row r="1206" spans="2:22" ht="20" x14ac:dyDescent="0.25">
      <c r="B1206" s="47" t="s">
        <v>2330</v>
      </c>
      <c r="C1206" s="47" t="s">
        <v>2331</v>
      </c>
      <c r="D1206" s="47" t="s">
        <v>2239</v>
      </c>
      <c r="E1206" s="47" t="s">
        <v>27</v>
      </c>
      <c r="F1206" s="47" t="s">
        <v>2332</v>
      </c>
      <c r="G1206" s="47" t="s">
        <v>40</v>
      </c>
      <c r="H1206" s="47">
        <v>70630</v>
      </c>
      <c r="I1206" s="47">
        <v>70750</v>
      </c>
      <c r="J1206" s="47" t="s">
        <v>42</v>
      </c>
      <c r="K1206" s="47" t="s">
        <v>2334</v>
      </c>
      <c r="L1206" s="47" t="s">
        <v>39</v>
      </c>
      <c r="M1206" s="47" t="s">
        <v>2241</v>
      </c>
      <c r="N1206" s="48">
        <v>1200</v>
      </c>
      <c r="O1206" s="48">
        <v>1200</v>
      </c>
      <c r="P1206" s="48">
        <v>1200</v>
      </c>
      <c r="Q1206" s="48">
        <v>1200</v>
      </c>
      <c r="R1206" s="48">
        <v>717</v>
      </c>
      <c r="S1206" s="48">
        <v>717</v>
      </c>
      <c r="T1206" s="48">
        <v>717</v>
      </c>
      <c r="U1206" s="48">
        <v>717</v>
      </c>
      <c r="V1206" s="48"/>
    </row>
    <row r="1207" spans="2:22" ht="30" x14ac:dyDescent="0.25">
      <c r="B1207" s="47" t="s">
        <v>2330</v>
      </c>
      <c r="C1207" s="47" t="s">
        <v>2331</v>
      </c>
      <c r="D1207" s="47" t="s">
        <v>2239</v>
      </c>
      <c r="E1207" s="47" t="s">
        <v>27</v>
      </c>
      <c r="F1207" s="47" t="s">
        <v>2332</v>
      </c>
      <c r="G1207" s="47" t="s">
        <v>40</v>
      </c>
      <c r="H1207" s="47">
        <v>70630</v>
      </c>
      <c r="I1207" s="47">
        <v>70750</v>
      </c>
      <c r="J1207" s="47" t="s">
        <v>42</v>
      </c>
      <c r="K1207" s="47" t="s">
        <v>2336</v>
      </c>
      <c r="L1207" s="47" t="s">
        <v>36</v>
      </c>
      <c r="M1207" s="47" t="s">
        <v>2241</v>
      </c>
      <c r="N1207" s="48">
        <v>1200</v>
      </c>
      <c r="O1207" s="48">
        <v>1200</v>
      </c>
      <c r="P1207" s="48">
        <v>1200</v>
      </c>
      <c r="Q1207" s="48">
        <v>1200</v>
      </c>
      <c r="R1207" s="48">
        <v>717</v>
      </c>
      <c r="S1207" s="48">
        <v>717</v>
      </c>
      <c r="T1207" s="48">
        <v>717</v>
      </c>
      <c r="U1207" s="48">
        <v>717</v>
      </c>
      <c r="V1207" s="48"/>
    </row>
    <row r="1208" spans="2:22" ht="23" x14ac:dyDescent="0.25">
      <c r="B1208" s="44" t="s">
        <v>159</v>
      </c>
      <c r="C1208" s="44" t="s">
        <v>160</v>
      </c>
      <c r="D1208" s="44" t="s">
        <v>534</v>
      </c>
      <c r="E1208" s="44" t="s">
        <v>27</v>
      </c>
      <c r="F1208" s="44" t="s">
        <v>2368</v>
      </c>
      <c r="G1208" s="44" t="s">
        <v>40</v>
      </c>
      <c r="H1208" s="44">
        <v>70609</v>
      </c>
      <c r="I1208" s="44">
        <v>72026</v>
      </c>
      <c r="J1208" s="44" t="s">
        <v>42</v>
      </c>
      <c r="K1208" s="44" t="s">
        <v>159</v>
      </c>
      <c r="L1208" s="44" t="s">
        <v>29</v>
      </c>
      <c r="M1208" s="44"/>
      <c r="N1208" s="45">
        <v>1627</v>
      </c>
      <c r="O1208" s="45">
        <v>1627</v>
      </c>
      <c r="P1208" s="45">
        <v>1627</v>
      </c>
      <c r="Q1208" s="45">
        <v>1627</v>
      </c>
      <c r="R1208" s="45">
        <v>648</v>
      </c>
      <c r="S1208" s="45">
        <v>648</v>
      </c>
      <c r="T1208" s="45">
        <v>648</v>
      </c>
      <c r="U1208" s="45">
        <v>648</v>
      </c>
      <c r="V1208" s="46"/>
    </row>
    <row r="1209" spans="2:22" ht="20" x14ac:dyDescent="0.25">
      <c r="B1209" s="47" t="s">
        <v>159</v>
      </c>
      <c r="C1209" s="47" t="s">
        <v>160</v>
      </c>
      <c r="D1209" s="47" t="s">
        <v>534</v>
      </c>
      <c r="E1209" s="47" t="s">
        <v>27</v>
      </c>
      <c r="F1209" s="47" t="s">
        <v>2368</v>
      </c>
      <c r="G1209" s="47" t="s">
        <v>40</v>
      </c>
      <c r="H1209" s="47">
        <v>70609</v>
      </c>
      <c r="I1209" s="47">
        <v>72026</v>
      </c>
      <c r="J1209" s="47" t="s">
        <v>42</v>
      </c>
      <c r="K1209" s="47" t="s">
        <v>213</v>
      </c>
      <c r="L1209" s="47" t="s">
        <v>213</v>
      </c>
      <c r="M1209" s="47" t="s">
        <v>1216</v>
      </c>
      <c r="N1209" s="48">
        <v>1627</v>
      </c>
      <c r="O1209" s="48">
        <v>1627</v>
      </c>
      <c r="P1209" s="48">
        <v>1627</v>
      </c>
      <c r="Q1209" s="48">
        <v>1627</v>
      </c>
      <c r="R1209" s="48">
        <v>648</v>
      </c>
      <c r="S1209" s="48">
        <v>648</v>
      </c>
      <c r="T1209" s="48">
        <v>648</v>
      </c>
      <c r="U1209" s="48">
        <v>648</v>
      </c>
      <c r="V1209" s="48"/>
    </row>
    <row r="1210" spans="2:22" ht="23" x14ac:dyDescent="0.25">
      <c r="B1210" s="44" t="s">
        <v>1217</v>
      </c>
      <c r="C1210" s="44" t="s">
        <v>1218</v>
      </c>
      <c r="D1210" s="44" t="s">
        <v>904</v>
      </c>
      <c r="E1210" s="44" t="s">
        <v>27</v>
      </c>
      <c r="F1210" s="44" t="s">
        <v>908</v>
      </c>
      <c r="G1210" s="44" t="s">
        <v>27</v>
      </c>
      <c r="H1210" s="44">
        <v>70392</v>
      </c>
      <c r="I1210" s="44">
        <v>70528</v>
      </c>
      <c r="J1210" s="44" t="s">
        <v>28</v>
      </c>
      <c r="K1210" s="44" t="s">
        <v>1217</v>
      </c>
      <c r="L1210" s="44" t="s">
        <v>29</v>
      </c>
      <c r="M1210" s="44"/>
      <c r="N1210" s="45">
        <v>1215</v>
      </c>
      <c r="O1210" s="45">
        <v>1393</v>
      </c>
      <c r="P1210" s="45">
        <v>1443</v>
      </c>
      <c r="Q1210" s="45">
        <v>1587</v>
      </c>
      <c r="R1210" s="45">
        <v>484</v>
      </c>
      <c r="S1210" s="45">
        <v>555</v>
      </c>
      <c r="T1210" s="45">
        <v>575</v>
      </c>
      <c r="U1210" s="45">
        <v>632</v>
      </c>
      <c r="V1210" s="46"/>
    </row>
    <row r="1211" spans="2:22" ht="20" x14ac:dyDescent="0.25">
      <c r="B1211" s="47" t="s">
        <v>1217</v>
      </c>
      <c r="C1211" s="47" t="s">
        <v>1218</v>
      </c>
      <c r="D1211" s="47" t="s">
        <v>904</v>
      </c>
      <c r="E1211" s="47" t="s">
        <v>27</v>
      </c>
      <c r="F1211" s="47" t="s">
        <v>908</v>
      </c>
      <c r="G1211" s="47" t="s">
        <v>27</v>
      </c>
      <c r="H1211" s="47">
        <v>70392</v>
      </c>
      <c r="I1211" s="47">
        <v>70528</v>
      </c>
      <c r="J1211" s="47" t="s">
        <v>28</v>
      </c>
      <c r="K1211" s="47" t="s">
        <v>388</v>
      </c>
      <c r="L1211" s="47" t="s">
        <v>31</v>
      </c>
      <c r="M1211" s="47" t="s">
        <v>905</v>
      </c>
      <c r="N1211" s="48">
        <v>1215</v>
      </c>
      <c r="O1211" s="47">
        <v>1422</v>
      </c>
      <c r="P1211" s="47">
        <v>1452</v>
      </c>
      <c r="Q1211" s="47">
        <v>1621</v>
      </c>
      <c r="R1211" s="48">
        <v>484</v>
      </c>
      <c r="S1211" s="47">
        <v>566</v>
      </c>
      <c r="T1211" s="47">
        <v>578</v>
      </c>
      <c r="U1211" s="47">
        <v>646</v>
      </c>
      <c r="V1211" s="47"/>
    </row>
    <row r="1212" spans="2:22" ht="20" x14ac:dyDescent="0.25">
      <c r="B1212" s="47" t="s">
        <v>1217</v>
      </c>
      <c r="C1212" s="47" t="s">
        <v>1218</v>
      </c>
      <c r="D1212" s="47" t="s">
        <v>904</v>
      </c>
      <c r="E1212" s="47" t="s">
        <v>27</v>
      </c>
      <c r="F1212" s="47" t="s">
        <v>908</v>
      </c>
      <c r="G1212" s="47" t="s">
        <v>27</v>
      </c>
      <c r="H1212" s="47">
        <v>70392</v>
      </c>
      <c r="I1212" s="47">
        <v>70528</v>
      </c>
      <c r="J1212" s="47" t="s">
        <v>28</v>
      </c>
      <c r="K1212" s="47" t="s">
        <v>1217</v>
      </c>
      <c r="L1212" s="47" t="s">
        <v>30</v>
      </c>
      <c r="M1212" s="47" t="s">
        <v>1218</v>
      </c>
      <c r="N1212" s="47">
        <v>1266</v>
      </c>
      <c r="O1212" s="48">
        <v>1393</v>
      </c>
      <c r="P1212" s="48">
        <v>1443</v>
      </c>
      <c r="Q1212" s="48">
        <v>1587</v>
      </c>
      <c r="R1212" s="47">
        <v>504</v>
      </c>
      <c r="S1212" s="48">
        <v>555</v>
      </c>
      <c r="T1212" s="48">
        <v>575</v>
      </c>
      <c r="U1212" s="48">
        <v>632</v>
      </c>
      <c r="V1212" s="48"/>
    </row>
    <row r="1213" spans="2:22" ht="23" x14ac:dyDescent="0.25">
      <c r="B1213" s="44" t="s">
        <v>1219</v>
      </c>
      <c r="C1213" s="44" t="s">
        <v>1220</v>
      </c>
      <c r="D1213" s="44" t="s">
        <v>1221</v>
      </c>
      <c r="E1213" s="44" t="s">
        <v>27</v>
      </c>
      <c r="F1213" s="44" t="s">
        <v>298</v>
      </c>
      <c r="G1213" s="44" t="s">
        <v>27</v>
      </c>
      <c r="H1213" s="44">
        <v>70374</v>
      </c>
      <c r="I1213" s="44">
        <v>70937</v>
      </c>
      <c r="J1213" s="44" t="s">
        <v>28</v>
      </c>
      <c r="K1213" s="44" t="s">
        <v>1219</v>
      </c>
      <c r="L1213" s="44" t="s">
        <v>29</v>
      </c>
      <c r="M1213" s="44"/>
      <c r="N1213" s="45">
        <v>450</v>
      </c>
      <c r="O1213" s="45">
        <v>450</v>
      </c>
      <c r="P1213" s="45">
        <v>450</v>
      </c>
      <c r="Q1213" s="45">
        <v>450</v>
      </c>
      <c r="R1213" s="45">
        <v>90</v>
      </c>
      <c r="S1213" s="45">
        <v>90</v>
      </c>
      <c r="T1213" s="45">
        <v>90</v>
      </c>
      <c r="U1213" s="45">
        <v>90</v>
      </c>
      <c r="V1213" s="46"/>
    </row>
    <row r="1214" spans="2:22" ht="30" x14ac:dyDescent="0.25">
      <c r="B1214" s="47" t="s">
        <v>1219</v>
      </c>
      <c r="C1214" s="47" t="s">
        <v>1220</v>
      </c>
      <c r="D1214" s="47" t="s">
        <v>1221</v>
      </c>
      <c r="E1214" s="47" t="s">
        <v>27</v>
      </c>
      <c r="F1214" s="47" t="s">
        <v>298</v>
      </c>
      <c r="G1214" s="47" t="s">
        <v>27</v>
      </c>
      <c r="H1214" s="47">
        <v>70374</v>
      </c>
      <c r="I1214" s="47">
        <v>70937</v>
      </c>
      <c r="J1214" s="47" t="s">
        <v>28</v>
      </c>
      <c r="K1214" s="47" t="s">
        <v>2499</v>
      </c>
      <c r="L1214" s="47" t="s">
        <v>36</v>
      </c>
      <c r="M1214" s="47" t="s">
        <v>1223</v>
      </c>
      <c r="N1214" s="48">
        <v>450</v>
      </c>
      <c r="O1214" s="48">
        <v>450</v>
      </c>
      <c r="P1214" s="48">
        <v>450</v>
      </c>
      <c r="Q1214" s="48">
        <v>450</v>
      </c>
      <c r="R1214" s="48">
        <v>90</v>
      </c>
      <c r="S1214" s="48">
        <v>90</v>
      </c>
      <c r="T1214" s="48">
        <v>90</v>
      </c>
      <c r="U1214" s="48">
        <v>90</v>
      </c>
      <c r="V1214" s="48"/>
    </row>
    <row r="1215" spans="2:22" ht="30" x14ac:dyDescent="0.25">
      <c r="B1215" s="47" t="s">
        <v>1219</v>
      </c>
      <c r="C1215" s="47" t="s">
        <v>1220</v>
      </c>
      <c r="D1215" s="47" t="s">
        <v>1221</v>
      </c>
      <c r="E1215" s="47" t="s">
        <v>27</v>
      </c>
      <c r="F1215" s="47" t="s">
        <v>298</v>
      </c>
      <c r="G1215" s="47" t="s">
        <v>27</v>
      </c>
      <c r="H1215" s="47">
        <v>70374</v>
      </c>
      <c r="I1215" s="47">
        <v>70937</v>
      </c>
      <c r="J1215" s="47" t="s">
        <v>28</v>
      </c>
      <c r="K1215" s="47" t="s">
        <v>2498</v>
      </c>
      <c r="L1215" s="47" t="s">
        <v>36</v>
      </c>
      <c r="M1215" s="47" t="s">
        <v>1223</v>
      </c>
      <c r="N1215" s="48">
        <v>450</v>
      </c>
      <c r="O1215" s="48">
        <v>450</v>
      </c>
      <c r="P1215" s="48">
        <v>450</v>
      </c>
      <c r="Q1215" s="48">
        <v>450</v>
      </c>
      <c r="R1215" s="48">
        <v>90</v>
      </c>
      <c r="S1215" s="48">
        <v>90</v>
      </c>
      <c r="T1215" s="48">
        <v>90</v>
      </c>
      <c r="U1215" s="48">
        <v>90</v>
      </c>
      <c r="V1215" s="48"/>
    </row>
    <row r="1216" spans="2:22" ht="30" x14ac:dyDescent="0.25">
      <c r="B1216" s="47" t="s">
        <v>1219</v>
      </c>
      <c r="C1216" s="47" t="s">
        <v>1220</v>
      </c>
      <c r="D1216" s="47" t="s">
        <v>1221</v>
      </c>
      <c r="E1216" s="47" t="s">
        <v>27</v>
      </c>
      <c r="F1216" s="47" t="s">
        <v>298</v>
      </c>
      <c r="G1216" s="47" t="s">
        <v>27</v>
      </c>
      <c r="H1216" s="47">
        <v>70374</v>
      </c>
      <c r="I1216" s="47">
        <v>70937</v>
      </c>
      <c r="J1216" s="47" t="s">
        <v>28</v>
      </c>
      <c r="K1216" s="47" t="s">
        <v>2500</v>
      </c>
      <c r="L1216" s="47" t="s">
        <v>36</v>
      </c>
      <c r="M1216" s="47" t="s">
        <v>1223</v>
      </c>
      <c r="N1216" s="48">
        <v>450</v>
      </c>
      <c r="O1216" s="48">
        <v>450</v>
      </c>
      <c r="P1216" s="48">
        <v>450</v>
      </c>
      <c r="Q1216" s="48">
        <v>450</v>
      </c>
      <c r="R1216" s="48">
        <v>90</v>
      </c>
      <c r="S1216" s="48">
        <v>90</v>
      </c>
      <c r="T1216" s="48">
        <v>90</v>
      </c>
      <c r="U1216" s="48">
        <v>90</v>
      </c>
      <c r="V1216" s="48"/>
    </row>
    <row r="1217" spans="2:22" ht="23" x14ac:dyDescent="0.25">
      <c r="B1217" s="44" t="s">
        <v>1224</v>
      </c>
      <c r="C1217" s="44" t="s">
        <v>2656</v>
      </c>
      <c r="D1217" s="44" t="s">
        <v>1221</v>
      </c>
      <c r="E1217" s="44" t="s">
        <v>27</v>
      </c>
      <c r="F1217" s="44" t="s">
        <v>1150</v>
      </c>
      <c r="G1217" s="44" t="s">
        <v>27</v>
      </c>
      <c r="H1217" s="44">
        <v>70374</v>
      </c>
      <c r="I1217" s="44">
        <v>70379</v>
      </c>
      <c r="J1217" s="44" t="s">
        <v>28</v>
      </c>
      <c r="K1217" s="44" t="s">
        <v>1224</v>
      </c>
      <c r="L1217" s="44" t="s">
        <v>29</v>
      </c>
      <c r="M1217" s="44"/>
      <c r="N1217" s="45">
        <v>814</v>
      </c>
      <c r="O1217" s="45">
        <v>843</v>
      </c>
      <c r="P1217" s="45">
        <v>843</v>
      </c>
      <c r="Q1217" s="45">
        <v>843</v>
      </c>
      <c r="R1217" s="45">
        <v>162</v>
      </c>
      <c r="S1217" s="45">
        <v>168</v>
      </c>
      <c r="T1217" s="45">
        <v>168</v>
      </c>
      <c r="U1217" s="45">
        <v>168</v>
      </c>
      <c r="V1217" s="46"/>
    </row>
    <row r="1218" spans="2:22" ht="20" x14ac:dyDescent="0.25">
      <c r="B1218" s="47" t="s">
        <v>1224</v>
      </c>
      <c r="C1218" s="47" t="s">
        <v>2656</v>
      </c>
      <c r="D1218" s="47" t="s">
        <v>1221</v>
      </c>
      <c r="E1218" s="47" t="s">
        <v>27</v>
      </c>
      <c r="F1218" s="47" t="s">
        <v>1150</v>
      </c>
      <c r="G1218" s="47" t="s">
        <v>27</v>
      </c>
      <c r="H1218" s="47">
        <v>70374</v>
      </c>
      <c r="I1218" s="47">
        <v>70379</v>
      </c>
      <c r="J1218" s="47" t="s">
        <v>28</v>
      </c>
      <c r="K1218" s="47" t="s">
        <v>1224</v>
      </c>
      <c r="L1218" s="47" t="s">
        <v>30</v>
      </c>
      <c r="M1218" s="47" t="s">
        <v>2656</v>
      </c>
      <c r="N1218" s="48">
        <v>814</v>
      </c>
      <c r="O1218" s="47">
        <v>895</v>
      </c>
      <c r="P1218" s="47">
        <v>893</v>
      </c>
      <c r="Q1218" s="47">
        <v>982</v>
      </c>
      <c r="R1218" s="48">
        <v>162</v>
      </c>
      <c r="S1218" s="47">
        <v>178</v>
      </c>
      <c r="T1218" s="47">
        <v>178</v>
      </c>
      <c r="U1218" s="47">
        <v>196</v>
      </c>
      <c r="V1218" s="47"/>
    </row>
    <row r="1219" spans="2:22" ht="20" x14ac:dyDescent="0.25">
      <c r="B1219" s="47" t="s">
        <v>1224</v>
      </c>
      <c r="C1219" s="47" t="s">
        <v>2656</v>
      </c>
      <c r="D1219" s="47" t="s">
        <v>1221</v>
      </c>
      <c r="E1219" s="47" t="s">
        <v>27</v>
      </c>
      <c r="F1219" s="47" t="s">
        <v>1150</v>
      </c>
      <c r="G1219" s="47" t="s">
        <v>27</v>
      </c>
      <c r="H1219" s="47">
        <v>70374</v>
      </c>
      <c r="I1219" s="47">
        <v>70379</v>
      </c>
      <c r="J1219" s="47" t="s">
        <v>28</v>
      </c>
      <c r="K1219" s="47" t="s">
        <v>213</v>
      </c>
      <c r="L1219" s="47" t="s">
        <v>213</v>
      </c>
      <c r="M1219" s="47" t="s">
        <v>1223</v>
      </c>
      <c r="N1219" s="47">
        <v>843</v>
      </c>
      <c r="O1219" s="48">
        <v>843</v>
      </c>
      <c r="P1219" s="48">
        <v>843</v>
      </c>
      <c r="Q1219" s="48">
        <v>843</v>
      </c>
      <c r="R1219" s="47">
        <v>168</v>
      </c>
      <c r="S1219" s="48">
        <v>168</v>
      </c>
      <c r="T1219" s="48">
        <v>168</v>
      </c>
      <c r="U1219" s="48">
        <v>168</v>
      </c>
      <c r="V1219" s="48" t="s">
        <v>2589</v>
      </c>
    </row>
    <row r="1220" spans="2:22" ht="23" x14ac:dyDescent="0.25">
      <c r="B1220" s="44" t="s">
        <v>123</v>
      </c>
      <c r="C1220" s="44" t="s">
        <v>117</v>
      </c>
      <c r="D1220" s="44" t="s">
        <v>422</v>
      </c>
      <c r="E1220" s="44" t="s">
        <v>27</v>
      </c>
      <c r="F1220" s="44" t="s">
        <v>959</v>
      </c>
      <c r="G1220" s="44" t="s">
        <v>27</v>
      </c>
      <c r="H1220" s="44">
        <v>70396</v>
      </c>
      <c r="I1220" s="44">
        <v>70551</v>
      </c>
      <c r="J1220" s="44" t="s">
        <v>28</v>
      </c>
      <c r="K1220" s="44" t="s">
        <v>123</v>
      </c>
      <c r="L1220" s="44" t="s">
        <v>29</v>
      </c>
      <c r="M1220" s="44"/>
      <c r="N1220" s="45">
        <v>1841</v>
      </c>
      <c r="O1220" s="45">
        <v>2000</v>
      </c>
      <c r="P1220" s="45">
        <v>2000</v>
      </c>
      <c r="Q1220" s="45">
        <v>2000</v>
      </c>
      <c r="R1220" s="45">
        <v>733</v>
      </c>
      <c r="S1220" s="45">
        <v>797</v>
      </c>
      <c r="T1220" s="45">
        <v>797</v>
      </c>
      <c r="U1220" s="45">
        <v>797</v>
      </c>
      <c r="V1220" s="46"/>
    </row>
    <row r="1221" spans="2:22" ht="20" x14ac:dyDescent="0.25">
      <c r="B1221" s="47" t="s">
        <v>123</v>
      </c>
      <c r="C1221" s="47" t="s">
        <v>117</v>
      </c>
      <c r="D1221" s="47" t="s">
        <v>422</v>
      </c>
      <c r="E1221" s="47" t="s">
        <v>27</v>
      </c>
      <c r="F1221" s="47" t="s">
        <v>959</v>
      </c>
      <c r="G1221" s="47" t="s">
        <v>27</v>
      </c>
      <c r="H1221" s="47">
        <v>70396</v>
      </c>
      <c r="I1221" s="47">
        <v>70551</v>
      </c>
      <c r="J1221" s="47" t="s">
        <v>28</v>
      </c>
      <c r="K1221" s="47" t="s">
        <v>123</v>
      </c>
      <c r="L1221" s="47" t="s">
        <v>30</v>
      </c>
      <c r="M1221" s="47" t="s">
        <v>117</v>
      </c>
      <c r="N1221" s="48">
        <v>1841</v>
      </c>
      <c r="O1221" s="47">
        <v>2025</v>
      </c>
      <c r="P1221" s="47">
        <v>2095</v>
      </c>
      <c r="Q1221" s="47">
        <v>2304</v>
      </c>
      <c r="R1221" s="48">
        <v>733</v>
      </c>
      <c r="S1221" s="47">
        <v>807</v>
      </c>
      <c r="T1221" s="47">
        <v>835</v>
      </c>
      <c r="U1221" s="47">
        <v>918</v>
      </c>
      <c r="V1221" s="47"/>
    </row>
    <row r="1222" spans="2:22" ht="20" x14ac:dyDescent="0.25">
      <c r="B1222" s="47" t="s">
        <v>123</v>
      </c>
      <c r="C1222" s="47" t="s">
        <v>117</v>
      </c>
      <c r="D1222" s="47" t="s">
        <v>422</v>
      </c>
      <c r="E1222" s="47" t="s">
        <v>27</v>
      </c>
      <c r="F1222" s="47" t="s">
        <v>959</v>
      </c>
      <c r="G1222" s="47" t="s">
        <v>27</v>
      </c>
      <c r="H1222" s="47">
        <v>70396</v>
      </c>
      <c r="I1222" s="47">
        <v>70551</v>
      </c>
      <c r="J1222" s="47" t="s">
        <v>28</v>
      </c>
      <c r="K1222" s="47" t="s">
        <v>124</v>
      </c>
      <c r="L1222" s="47" t="s">
        <v>1315</v>
      </c>
      <c r="M1222" s="47" t="s">
        <v>1226</v>
      </c>
      <c r="N1222" s="47">
        <v>2000</v>
      </c>
      <c r="O1222" s="48">
        <v>2000</v>
      </c>
      <c r="P1222" s="48">
        <v>2000</v>
      </c>
      <c r="Q1222" s="48">
        <v>2000</v>
      </c>
      <c r="R1222" s="47">
        <v>797</v>
      </c>
      <c r="S1222" s="48">
        <v>797</v>
      </c>
      <c r="T1222" s="48">
        <v>797</v>
      </c>
      <c r="U1222" s="48">
        <v>797</v>
      </c>
      <c r="V1222" s="48"/>
    </row>
    <row r="1223" spans="2:22" ht="23" x14ac:dyDescent="0.25">
      <c r="B1223" s="44" t="s">
        <v>151</v>
      </c>
      <c r="C1223" s="44" t="s">
        <v>152</v>
      </c>
      <c r="D1223" s="44" t="s">
        <v>422</v>
      </c>
      <c r="E1223" s="44" t="s">
        <v>27</v>
      </c>
      <c r="F1223" s="44" t="s">
        <v>1227</v>
      </c>
      <c r="G1223" s="44" t="s">
        <v>27</v>
      </c>
      <c r="H1223" s="44">
        <v>70396</v>
      </c>
      <c r="I1223" s="44">
        <v>70532</v>
      </c>
      <c r="J1223" s="44" t="s">
        <v>28</v>
      </c>
      <c r="K1223" s="44" t="s">
        <v>151</v>
      </c>
      <c r="L1223" s="44" t="s">
        <v>29</v>
      </c>
      <c r="M1223" s="44"/>
      <c r="N1223" s="45">
        <v>1857</v>
      </c>
      <c r="O1223" s="45">
        <v>2000</v>
      </c>
      <c r="P1223" s="45">
        <v>2000</v>
      </c>
      <c r="Q1223" s="45">
        <v>2000</v>
      </c>
      <c r="R1223" s="45">
        <v>740</v>
      </c>
      <c r="S1223" s="45">
        <v>797</v>
      </c>
      <c r="T1223" s="45">
        <v>797</v>
      </c>
      <c r="U1223" s="45">
        <v>797</v>
      </c>
      <c r="V1223" s="46"/>
    </row>
    <row r="1224" spans="2:22" ht="20" x14ac:dyDescent="0.25">
      <c r="B1224" s="47" t="s">
        <v>151</v>
      </c>
      <c r="C1224" s="47" t="s">
        <v>152</v>
      </c>
      <c r="D1224" s="47" t="s">
        <v>422</v>
      </c>
      <c r="E1224" s="47" t="s">
        <v>27</v>
      </c>
      <c r="F1224" s="47" t="s">
        <v>1227</v>
      </c>
      <c r="G1224" s="47" t="s">
        <v>27</v>
      </c>
      <c r="H1224" s="47">
        <v>70396</v>
      </c>
      <c r="I1224" s="47">
        <v>70532</v>
      </c>
      <c r="J1224" s="47" t="s">
        <v>28</v>
      </c>
      <c r="K1224" s="47" t="s">
        <v>151</v>
      </c>
      <c r="L1224" s="47" t="s">
        <v>30</v>
      </c>
      <c r="M1224" s="47" t="s">
        <v>152</v>
      </c>
      <c r="N1224" s="48">
        <v>1857</v>
      </c>
      <c r="O1224" s="47">
        <v>2042</v>
      </c>
      <c r="P1224" s="47">
        <v>2112</v>
      </c>
      <c r="Q1224" s="47">
        <v>2324</v>
      </c>
      <c r="R1224" s="48">
        <v>740</v>
      </c>
      <c r="S1224" s="47">
        <v>813</v>
      </c>
      <c r="T1224" s="47">
        <v>841</v>
      </c>
      <c r="U1224" s="47">
        <v>926</v>
      </c>
      <c r="V1224" s="47"/>
    </row>
    <row r="1225" spans="2:22" ht="20" x14ac:dyDescent="0.25">
      <c r="B1225" s="47" t="s">
        <v>151</v>
      </c>
      <c r="C1225" s="47" t="s">
        <v>152</v>
      </c>
      <c r="D1225" s="47" t="s">
        <v>422</v>
      </c>
      <c r="E1225" s="47" t="s">
        <v>27</v>
      </c>
      <c r="F1225" s="47" t="s">
        <v>1227</v>
      </c>
      <c r="G1225" s="47" t="s">
        <v>27</v>
      </c>
      <c r="H1225" s="47">
        <v>70396</v>
      </c>
      <c r="I1225" s="47">
        <v>70532</v>
      </c>
      <c r="J1225" s="47" t="s">
        <v>28</v>
      </c>
      <c r="K1225" s="47" t="s">
        <v>960</v>
      </c>
      <c r="L1225" s="47" t="s">
        <v>31</v>
      </c>
      <c r="M1225" s="47" t="s">
        <v>424</v>
      </c>
      <c r="N1225" s="48">
        <v>1857</v>
      </c>
      <c r="O1225" s="47">
        <v>2042</v>
      </c>
      <c r="P1225" s="47">
        <v>2112</v>
      </c>
      <c r="Q1225" s="47">
        <v>2324</v>
      </c>
      <c r="R1225" s="48">
        <v>740</v>
      </c>
      <c r="S1225" s="47">
        <v>813</v>
      </c>
      <c r="T1225" s="47">
        <v>841</v>
      </c>
      <c r="U1225" s="47">
        <v>926</v>
      </c>
      <c r="V1225" s="47"/>
    </row>
    <row r="1226" spans="2:22" ht="20" x14ac:dyDescent="0.25">
      <c r="B1226" s="47" t="s">
        <v>151</v>
      </c>
      <c r="C1226" s="47" t="s">
        <v>152</v>
      </c>
      <c r="D1226" s="47" t="s">
        <v>422</v>
      </c>
      <c r="E1226" s="47" t="s">
        <v>27</v>
      </c>
      <c r="F1226" s="47" t="s">
        <v>1227</v>
      </c>
      <c r="G1226" s="47" t="s">
        <v>27</v>
      </c>
      <c r="H1226" s="47">
        <v>70396</v>
      </c>
      <c r="I1226" s="47">
        <v>70532</v>
      </c>
      <c r="J1226" s="47" t="s">
        <v>28</v>
      </c>
      <c r="K1226" s="47" t="s">
        <v>153</v>
      </c>
      <c r="L1226" s="47" t="s">
        <v>1315</v>
      </c>
      <c r="M1226" s="47" t="s">
        <v>1228</v>
      </c>
      <c r="N1226" s="47">
        <v>2000</v>
      </c>
      <c r="O1226" s="48">
        <v>2000</v>
      </c>
      <c r="P1226" s="48">
        <v>2000</v>
      </c>
      <c r="Q1226" s="48">
        <v>2000</v>
      </c>
      <c r="R1226" s="47">
        <v>797</v>
      </c>
      <c r="S1226" s="48">
        <v>797</v>
      </c>
      <c r="T1226" s="48">
        <v>797</v>
      </c>
      <c r="U1226" s="48">
        <v>797</v>
      </c>
      <c r="V1226" s="48"/>
    </row>
    <row r="1227" spans="2:22" ht="23" x14ac:dyDescent="0.25">
      <c r="B1227" s="44" t="s">
        <v>1229</v>
      </c>
      <c r="C1227" s="44" t="s">
        <v>1230</v>
      </c>
      <c r="D1227" s="44" t="s">
        <v>422</v>
      </c>
      <c r="E1227" s="44" t="s">
        <v>27</v>
      </c>
      <c r="F1227" s="44" t="s">
        <v>908</v>
      </c>
      <c r="G1227" s="44" t="s">
        <v>27</v>
      </c>
      <c r="H1227" s="44">
        <v>70396</v>
      </c>
      <c r="I1227" s="44">
        <v>70528</v>
      </c>
      <c r="J1227" s="44" t="s">
        <v>28</v>
      </c>
      <c r="K1227" s="44" t="s">
        <v>1229</v>
      </c>
      <c r="L1227" s="44" t="s">
        <v>29</v>
      </c>
      <c r="M1227" s="44"/>
      <c r="N1227" s="45">
        <v>1857</v>
      </c>
      <c r="O1227" s="45">
        <v>2042</v>
      </c>
      <c r="P1227" s="45">
        <v>2112</v>
      </c>
      <c r="Q1227" s="45">
        <v>2324</v>
      </c>
      <c r="R1227" s="45">
        <v>740</v>
      </c>
      <c r="S1227" s="45">
        <v>813</v>
      </c>
      <c r="T1227" s="45">
        <v>841</v>
      </c>
      <c r="U1227" s="45">
        <v>926</v>
      </c>
      <c r="V1227" s="46"/>
    </row>
    <row r="1228" spans="2:22" ht="20" x14ac:dyDescent="0.25">
      <c r="B1228" s="47" t="s">
        <v>1229</v>
      </c>
      <c r="C1228" s="47" t="s">
        <v>1230</v>
      </c>
      <c r="D1228" s="47" t="s">
        <v>422</v>
      </c>
      <c r="E1228" s="47" t="s">
        <v>27</v>
      </c>
      <c r="F1228" s="47" t="s">
        <v>908</v>
      </c>
      <c r="G1228" s="47" t="s">
        <v>27</v>
      </c>
      <c r="H1228" s="47">
        <v>70396</v>
      </c>
      <c r="I1228" s="47">
        <v>70528</v>
      </c>
      <c r="J1228" s="47" t="s">
        <v>28</v>
      </c>
      <c r="K1228" s="47" t="s">
        <v>960</v>
      </c>
      <c r="L1228" s="47" t="s">
        <v>31</v>
      </c>
      <c r="M1228" s="47" t="s">
        <v>424</v>
      </c>
      <c r="N1228" s="48">
        <v>1857</v>
      </c>
      <c r="O1228" s="48">
        <v>2042</v>
      </c>
      <c r="P1228" s="48">
        <v>2112</v>
      </c>
      <c r="Q1228" s="48">
        <v>2324</v>
      </c>
      <c r="R1228" s="48">
        <v>740</v>
      </c>
      <c r="S1228" s="48">
        <v>813</v>
      </c>
      <c r="T1228" s="48">
        <v>841</v>
      </c>
      <c r="U1228" s="48">
        <v>926</v>
      </c>
      <c r="V1228" s="48"/>
    </row>
    <row r="1229" spans="2:22" ht="20" x14ac:dyDescent="0.25">
      <c r="B1229" s="47" t="s">
        <v>1229</v>
      </c>
      <c r="C1229" s="47" t="s">
        <v>1230</v>
      </c>
      <c r="D1229" s="47" t="s">
        <v>422</v>
      </c>
      <c r="E1229" s="47" t="s">
        <v>27</v>
      </c>
      <c r="F1229" s="47" t="s">
        <v>908</v>
      </c>
      <c r="G1229" s="47" t="s">
        <v>27</v>
      </c>
      <c r="H1229" s="47">
        <v>70396</v>
      </c>
      <c r="I1229" s="47">
        <v>70528</v>
      </c>
      <c r="J1229" s="47" t="s">
        <v>28</v>
      </c>
      <c r="K1229" s="47" t="s">
        <v>1229</v>
      </c>
      <c r="L1229" s="47" t="s">
        <v>30</v>
      </c>
      <c r="M1229" s="47" t="s">
        <v>1230</v>
      </c>
      <c r="N1229" s="48">
        <v>1857</v>
      </c>
      <c r="O1229" s="48">
        <v>2042</v>
      </c>
      <c r="P1229" s="48">
        <v>2112</v>
      </c>
      <c r="Q1229" s="48">
        <v>2324</v>
      </c>
      <c r="R1229" s="48">
        <v>740</v>
      </c>
      <c r="S1229" s="48">
        <v>813</v>
      </c>
      <c r="T1229" s="48">
        <v>841</v>
      </c>
      <c r="U1229" s="48">
        <v>926</v>
      </c>
      <c r="V1229" s="48"/>
    </row>
    <row r="1230" spans="2:22" ht="23" x14ac:dyDescent="0.25">
      <c r="B1230" s="44" t="s">
        <v>1232</v>
      </c>
      <c r="C1230" s="44" t="s">
        <v>488</v>
      </c>
      <c r="D1230" s="44" t="s">
        <v>238</v>
      </c>
      <c r="E1230" s="44" t="s">
        <v>27</v>
      </c>
      <c r="F1230" s="44" t="s">
        <v>489</v>
      </c>
      <c r="G1230" s="44" t="s">
        <v>27</v>
      </c>
      <c r="H1230" s="44">
        <v>70018</v>
      </c>
      <c r="I1230" s="44">
        <v>70100</v>
      </c>
      <c r="J1230" s="44" t="s">
        <v>28</v>
      </c>
      <c r="K1230" s="44" t="s">
        <v>1232</v>
      </c>
      <c r="L1230" s="44" t="s">
        <v>29</v>
      </c>
      <c r="M1230" s="44"/>
      <c r="N1230" s="45">
        <v>1214</v>
      </c>
      <c r="O1230" s="45">
        <v>1388</v>
      </c>
      <c r="P1230" s="45">
        <v>1434</v>
      </c>
      <c r="Q1230" s="45">
        <v>1577</v>
      </c>
      <c r="R1230" s="45">
        <v>483</v>
      </c>
      <c r="S1230" s="45">
        <v>553</v>
      </c>
      <c r="T1230" s="45">
        <v>571</v>
      </c>
      <c r="U1230" s="45">
        <v>628</v>
      </c>
      <c r="V1230" s="46"/>
    </row>
    <row r="1231" spans="2:22" ht="20" x14ac:dyDescent="0.25">
      <c r="B1231" s="47" t="s">
        <v>1232</v>
      </c>
      <c r="C1231" s="47" t="s">
        <v>488</v>
      </c>
      <c r="D1231" s="47" t="s">
        <v>238</v>
      </c>
      <c r="E1231" s="47" t="s">
        <v>27</v>
      </c>
      <c r="F1231" s="47" t="s">
        <v>489</v>
      </c>
      <c r="G1231" s="47" t="s">
        <v>27</v>
      </c>
      <c r="H1231" s="47">
        <v>70018</v>
      </c>
      <c r="I1231" s="47">
        <v>70100</v>
      </c>
      <c r="J1231" s="47" t="s">
        <v>28</v>
      </c>
      <c r="K1231" s="47" t="s">
        <v>388</v>
      </c>
      <c r="L1231" s="47" t="s">
        <v>31</v>
      </c>
      <c r="M1231" s="47" t="s">
        <v>491</v>
      </c>
      <c r="N1231" s="48">
        <v>1214</v>
      </c>
      <c r="O1231" s="47">
        <v>1420</v>
      </c>
      <c r="P1231" s="47">
        <v>1450</v>
      </c>
      <c r="Q1231" s="47">
        <v>1619</v>
      </c>
      <c r="R1231" s="48">
        <v>483</v>
      </c>
      <c r="S1231" s="47">
        <v>566</v>
      </c>
      <c r="T1231" s="47">
        <v>578</v>
      </c>
      <c r="U1231" s="47">
        <v>645</v>
      </c>
      <c r="V1231" s="47"/>
    </row>
    <row r="1232" spans="2:22" ht="20" x14ac:dyDescent="0.25">
      <c r="B1232" s="47" t="s">
        <v>1232</v>
      </c>
      <c r="C1232" s="47" t="s">
        <v>488</v>
      </c>
      <c r="D1232" s="47" t="s">
        <v>238</v>
      </c>
      <c r="E1232" s="47" t="s">
        <v>27</v>
      </c>
      <c r="F1232" s="47" t="s">
        <v>489</v>
      </c>
      <c r="G1232" s="47" t="s">
        <v>27</v>
      </c>
      <c r="H1232" s="47">
        <v>70018</v>
      </c>
      <c r="I1232" s="47">
        <v>70100</v>
      </c>
      <c r="J1232" s="47" t="s">
        <v>28</v>
      </c>
      <c r="K1232" s="47" t="s">
        <v>1232</v>
      </c>
      <c r="L1232" s="47" t="s">
        <v>30</v>
      </c>
      <c r="M1232" s="47" t="s">
        <v>488</v>
      </c>
      <c r="N1232" s="47">
        <v>1260</v>
      </c>
      <c r="O1232" s="48">
        <v>1388</v>
      </c>
      <c r="P1232" s="48">
        <v>1434</v>
      </c>
      <c r="Q1232" s="48">
        <v>1577</v>
      </c>
      <c r="R1232" s="47">
        <v>502</v>
      </c>
      <c r="S1232" s="48">
        <v>553</v>
      </c>
      <c r="T1232" s="48">
        <v>571</v>
      </c>
      <c r="U1232" s="48">
        <v>628</v>
      </c>
      <c r="V1232" s="48"/>
    </row>
    <row r="1233" spans="2:22" ht="23" x14ac:dyDescent="0.25">
      <c r="B1233" s="44" t="s">
        <v>1233</v>
      </c>
      <c r="C1233" s="44" t="s">
        <v>1234</v>
      </c>
      <c r="D1233" s="44" t="s">
        <v>238</v>
      </c>
      <c r="E1233" s="44" t="s">
        <v>27</v>
      </c>
      <c r="F1233" s="44" t="s">
        <v>445</v>
      </c>
      <c r="G1233" s="44" t="s">
        <v>27</v>
      </c>
      <c r="H1233" s="44">
        <v>70018</v>
      </c>
      <c r="I1233" s="44">
        <v>70266</v>
      </c>
      <c r="J1233" s="44" t="s">
        <v>28</v>
      </c>
      <c r="K1233" s="44" t="s">
        <v>1233</v>
      </c>
      <c r="L1233" s="44" t="s">
        <v>29</v>
      </c>
      <c r="M1233" s="44"/>
      <c r="N1233" s="45">
        <v>1200</v>
      </c>
      <c r="O1233" s="45">
        <v>1259</v>
      </c>
      <c r="P1233" s="45">
        <v>1425</v>
      </c>
      <c r="Q1233" s="45">
        <v>1425</v>
      </c>
      <c r="R1233" s="45">
        <v>478</v>
      </c>
      <c r="S1233" s="45">
        <v>502</v>
      </c>
      <c r="T1233" s="45">
        <v>568</v>
      </c>
      <c r="U1233" s="45">
        <v>568</v>
      </c>
      <c r="V1233" s="46"/>
    </row>
    <row r="1234" spans="2:22" ht="20" x14ac:dyDescent="0.25">
      <c r="B1234" s="47" t="s">
        <v>1233</v>
      </c>
      <c r="C1234" s="47" t="s">
        <v>1234</v>
      </c>
      <c r="D1234" s="47" t="s">
        <v>238</v>
      </c>
      <c r="E1234" s="47" t="s">
        <v>27</v>
      </c>
      <c r="F1234" s="47" t="s">
        <v>445</v>
      </c>
      <c r="G1234" s="47" t="s">
        <v>27</v>
      </c>
      <c r="H1234" s="47">
        <v>70018</v>
      </c>
      <c r="I1234" s="47">
        <v>70266</v>
      </c>
      <c r="J1234" s="47" t="s">
        <v>28</v>
      </c>
      <c r="K1234" s="47" t="s">
        <v>2091</v>
      </c>
      <c r="L1234" s="47" t="s">
        <v>34</v>
      </c>
      <c r="M1234" s="47" t="s">
        <v>447</v>
      </c>
      <c r="N1234" s="48">
        <v>1200</v>
      </c>
      <c r="O1234" s="47">
        <v>1549</v>
      </c>
      <c r="P1234" s="47">
        <v>1486</v>
      </c>
      <c r="Q1234" s="47">
        <v>1780</v>
      </c>
      <c r="R1234" s="48">
        <v>478</v>
      </c>
      <c r="S1234" s="47">
        <v>617</v>
      </c>
      <c r="T1234" s="47">
        <v>592</v>
      </c>
      <c r="U1234" s="47">
        <v>709</v>
      </c>
      <c r="V1234" s="47"/>
    </row>
    <row r="1235" spans="2:22" ht="20" x14ac:dyDescent="0.25">
      <c r="B1235" s="47" t="s">
        <v>1233</v>
      </c>
      <c r="C1235" s="47" t="s">
        <v>1234</v>
      </c>
      <c r="D1235" s="47" t="s">
        <v>238</v>
      </c>
      <c r="E1235" s="47" t="s">
        <v>27</v>
      </c>
      <c r="F1235" s="47" t="s">
        <v>445</v>
      </c>
      <c r="G1235" s="47" t="s">
        <v>27</v>
      </c>
      <c r="H1235" s="47">
        <v>70018</v>
      </c>
      <c r="I1235" s="47">
        <v>70266</v>
      </c>
      <c r="J1235" s="47" t="s">
        <v>28</v>
      </c>
      <c r="K1235" s="47" t="s">
        <v>2089</v>
      </c>
      <c r="L1235" s="47" t="s">
        <v>34</v>
      </c>
      <c r="M1235" s="47" t="s">
        <v>447</v>
      </c>
      <c r="N1235" s="48">
        <v>1200</v>
      </c>
      <c r="O1235" s="47">
        <v>1549</v>
      </c>
      <c r="P1235" s="47">
        <v>1486</v>
      </c>
      <c r="Q1235" s="47">
        <v>1780</v>
      </c>
      <c r="R1235" s="48">
        <v>478</v>
      </c>
      <c r="S1235" s="47">
        <v>617</v>
      </c>
      <c r="T1235" s="47">
        <v>592</v>
      </c>
      <c r="U1235" s="47">
        <v>709</v>
      </c>
      <c r="V1235" s="47"/>
    </row>
    <row r="1236" spans="2:22" ht="20" x14ac:dyDescent="0.25">
      <c r="B1236" s="47" t="s">
        <v>1233</v>
      </c>
      <c r="C1236" s="47" t="s">
        <v>1234</v>
      </c>
      <c r="D1236" s="47" t="s">
        <v>238</v>
      </c>
      <c r="E1236" s="47" t="s">
        <v>27</v>
      </c>
      <c r="F1236" s="47" t="s">
        <v>445</v>
      </c>
      <c r="G1236" s="47" t="s">
        <v>27</v>
      </c>
      <c r="H1236" s="47">
        <v>70018</v>
      </c>
      <c r="I1236" s="47">
        <v>70266</v>
      </c>
      <c r="J1236" s="47" t="s">
        <v>28</v>
      </c>
      <c r="K1236" s="47" t="s">
        <v>2092</v>
      </c>
      <c r="L1236" s="47" t="s">
        <v>34</v>
      </c>
      <c r="M1236" s="47" t="s">
        <v>447</v>
      </c>
      <c r="N1236" s="48">
        <v>1200</v>
      </c>
      <c r="O1236" s="47">
        <v>1549</v>
      </c>
      <c r="P1236" s="47">
        <v>1486</v>
      </c>
      <c r="Q1236" s="47">
        <v>1780</v>
      </c>
      <c r="R1236" s="48">
        <v>478</v>
      </c>
      <c r="S1236" s="47">
        <v>617</v>
      </c>
      <c r="T1236" s="47">
        <v>592</v>
      </c>
      <c r="U1236" s="47">
        <v>709</v>
      </c>
      <c r="V1236" s="47"/>
    </row>
    <row r="1237" spans="2:22" ht="20" x14ac:dyDescent="0.25">
      <c r="B1237" s="47" t="s">
        <v>1233</v>
      </c>
      <c r="C1237" s="47" t="s">
        <v>1234</v>
      </c>
      <c r="D1237" s="47" t="s">
        <v>238</v>
      </c>
      <c r="E1237" s="47" t="s">
        <v>27</v>
      </c>
      <c r="F1237" s="47" t="s">
        <v>445</v>
      </c>
      <c r="G1237" s="47" t="s">
        <v>27</v>
      </c>
      <c r="H1237" s="47">
        <v>70018</v>
      </c>
      <c r="I1237" s="47">
        <v>70266</v>
      </c>
      <c r="J1237" s="47" t="s">
        <v>28</v>
      </c>
      <c r="K1237" s="47" t="s">
        <v>2090</v>
      </c>
      <c r="L1237" s="47" t="s">
        <v>34</v>
      </c>
      <c r="M1237" s="47" t="s">
        <v>447</v>
      </c>
      <c r="N1237" s="48">
        <v>1200</v>
      </c>
      <c r="O1237" s="47">
        <v>1549</v>
      </c>
      <c r="P1237" s="47">
        <v>1486</v>
      </c>
      <c r="Q1237" s="47">
        <v>1780</v>
      </c>
      <c r="R1237" s="48">
        <v>478</v>
      </c>
      <c r="S1237" s="47">
        <v>617</v>
      </c>
      <c r="T1237" s="47">
        <v>592</v>
      </c>
      <c r="U1237" s="47">
        <v>709</v>
      </c>
      <c r="V1237" s="47"/>
    </row>
    <row r="1238" spans="2:22" ht="20" x14ac:dyDescent="0.25">
      <c r="B1238" s="47" t="s">
        <v>1233</v>
      </c>
      <c r="C1238" s="47" t="s">
        <v>1234</v>
      </c>
      <c r="D1238" s="47" t="s">
        <v>238</v>
      </c>
      <c r="E1238" s="47" t="s">
        <v>27</v>
      </c>
      <c r="F1238" s="47" t="s">
        <v>445</v>
      </c>
      <c r="G1238" s="47" t="s">
        <v>27</v>
      </c>
      <c r="H1238" s="47">
        <v>70018</v>
      </c>
      <c r="I1238" s="47">
        <v>70266</v>
      </c>
      <c r="J1238" s="47" t="s">
        <v>28</v>
      </c>
      <c r="K1238" s="47" t="s">
        <v>1233</v>
      </c>
      <c r="L1238" s="47" t="s">
        <v>30</v>
      </c>
      <c r="M1238" s="47" t="s">
        <v>1234</v>
      </c>
      <c r="N1238" s="47">
        <v>1259</v>
      </c>
      <c r="O1238" s="48">
        <v>1259</v>
      </c>
      <c r="P1238" s="48">
        <v>1425</v>
      </c>
      <c r="Q1238" s="48">
        <v>1425</v>
      </c>
      <c r="R1238" s="47">
        <v>502</v>
      </c>
      <c r="S1238" s="48">
        <v>502</v>
      </c>
      <c r="T1238" s="48">
        <v>568</v>
      </c>
      <c r="U1238" s="48">
        <v>568</v>
      </c>
      <c r="V1238" s="48"/>
    </row>
    <row r="1239" spans="2:22" ht="20" x14ac:dyDescent="0.25">
      <c r="B1239" s="47" t="s">
        <v>1233</v>
      </c>
      <c r="C1239" s="47" t="s">
        <v>1234</v>
      </c>
      <c r="D1239" s="47" t="s">
        <v>238</v>
      </c>
      <c r="E1239" s="47" t="s">
        <v>27</v>
      </c>
      <c r="F1239" s="47" t="s">
        <v>445</v>
      </c>
      <c r="G1239" s="47" t="s">
        <v>27</v>
      </c>
      <c r="H1239" s="47">
        <v>70018</v>
      </c>
      <c r="I1239" s="47">
        <v>70266</v>
      </c>
      <c r="J1239" s="47" t="s">
        <v>28</v>
      </c>
      <c r="K1239" s="47" t="s">
        <v>388</v>
      </c>
      <c r="L1239" s="47" t="s">
        <v>31</v>
      </c>
      <c r="M1239" s="47" t="s">
        <v>241</v>
      </c>
      <c r="N1239" s="47">
        <v>1259</v>
      </c>
      <c r="O1239" s="48">
        <v>1259</v>
      </c>
      <c r="P1239" s="48">
        <v>1425</v>
      </c>
      <c r="Q1239" s="48">
        <v>1425</v>
      </c>
      <c r="R1239" s="47">
        <v>502</v>
      </c>
      <c r="S1239" s="48">
        <v>502</v>
      </c>
      <c r="T1239" s="48">
        <v>568</v>
      </c>
      <c r="U1239" s="48">
        <v>568</v>
      </c>
      <c r="V1239" s="48"/>
    </row>
    <row r="1240" spans="2:22" ht="23" x14ac:dyDescent="0.25">
      <c r="B1240" s="44" t="s">
        <v>1236</v>
      </c>
      <c r="C1240" s="44" t="s">
        <v>252</v>
      </c>
      <c r="D1240" s="44" t="s">
        <v>54</v>
      </c>
      <c r="E1240" s="44" t="s">
        <v>27</v>
      </c>
      <c r="F1240" s="44" t="s">
        <v>253</v>
      </c>
      <c r="G1240" s="44" t="s">
        <v>27</v>
      </c>
      <c r="H1240" s="44">
        <v>70402</v>
      </c>
      <c r="I1240" s="44">
        <v>70531</v>
      </c>
      <c r="J1240" s="44" t="s">
        <v>28</v>
      </c>
      <c r="K1240" s="44" t="s">
        <v>1236</v>
      </c>
      <c r="L1240" s="44" t="s">
        <v>29</v>
      </c>
      <c r="M1240" s="44"/>
      <c r="N1240" s="45">
        <v>600</v>
      </c>
      <c r="O1240" s="45">
        <v>775</v>
      </c>
      <c r="P1240" s="45">
        <v>743</v>
      </c>
      <c r="Q1240" s="45">
        <v>890</v>
      </c>
      <c r="R1240" s="45">
        <v>120</v>
      </c>
      <c r="S1240" s="45">
        <v>154</v>
      </c>
      <c r="T1240" s="45">
        <v>148</v>
      </c>
      <c r="U1240" s="45">
        <v>177</v>
      </c>
      <c r="V1240" s="46"/>
    </row>
    <row r="1241" spans="2:22" x14ac:dyDescent="0.25">
      <c r="B1241" s="47" t="s">
        <v>1236</v>
      </c>
      <c r="C1241" s="47" t="s">
        <v>252</v>
      </c>
      <c r="D1241" s="47" t="s">
        <v>54</v>
      </c>
      <c r="E1241" s="47" t="s">
        <v>27</v>
      </c>
      <c r="F1241" s="47" t="s">
        <v>253</v>
      </c>
      <c r="G1241" s="47" t="s">
        <v>27</v>
      </c>
      <c r="H1241" s="47">
        <v>70402</v>
      </c>
      <c r="I1241" s="47">
        <v>70531</v>
      </c>
      <c r="J1241" s="47" t="s">
        <v>28</v>
      </c>
      <c r="K1241" s="47" t="s">
        <v>2018</v>
      </c>
      <c r="L1241" s="47" t="s">
        <v>34</v>
      </c>
      <c r="M1241" s="47" t="s">
        <v>55</v>
      </c>
      <c r="N1241" s="48">
        <v>600</v>
      </c>
      <c r="O1241" s="48">
        <v>775</v>
      </c>
      <c r="P1241" s="48">
        <v>743</v>
      </c>
      <c r="Q1241" s="48">
        <v>890</v>
      </c>
      <c r="R1241" s="48">
        <v>120</v>
      </c>
      <c r="S1241" s="48">
        <v>154</v>
      </c>
      <c r="T1241" s="48">
        <v>148</v>
      </c>
      <c r="U1241" s="48">
        <v>177</v>
      </c>
      <c r="V1241" s="48"/>
    </row>
    <row r="1242" spans="2:22" ht="23" x14ac:dyDescent="0.25">
      <c r="B1242" s="44" t="s">
        <v>1239</v>
      </c>
      <c r="C1242" s="44" t="s">
        <v>1240</v>
      </c>
      <c r="D1242" s="44" t="s">
        <v>908</v>
      </c>
      <c r="E1242" s="44" t="s">
        <v>27</v>
      </c>
      <c r="F1242" s="44" t="s">
        <v>723</v>
      </c>
      <c r="G1242" s="44" t="s">
        <v>27</v>
      </c>
      <c r="H1242" s="44">
        <v>70528</v>
      </c>
      <c r="I1242" s="44">
        <v>70539</v>
      </c>
      <c r="J1242" s="44" t="s">
        <v>28</v>
      </c>
      <c r="K1242" s="44" t="s">
        <v>1239</v>
      </c>
      <c r="L1242" s="44" t="s">
        <v>29</v>
      </c>
      <c r="M1242" s="44"/>
      <c r="N1242" s="45">
        <v>1800</v>
      </c>
      <c r="O1242" s="45">
        <v>1800</v>
      </c>
      <c r="P1242" s="45">
        <v>1800</v>
      </c>
      <c r="Q1242" s="45">
        <v>1800</v>
      </c>
      <c r="R1242" s="45">
        <v>717</v>
      </c>
      <c r="S1242" s="45">
        <v>717</v>
      </c>
      <c r="T1242" s="45">
        <v>717</v>
      </c>
      <c r="U1242" s="45">
        <v>717</v>
      </c>
      <c r="V1242" s="46"/>
    </row>
    <row r="1243" spans="2:22" ht="30" x14ac:dyDescent="0.25">
      <c r="B1243" s="47" t="s">
        <v>1239</v>
      </c>
      <c r="C1243" s="47" t="s">
        <v>1240</v>
      </c>
      <c r="D1243" s="47" t="s">
        <v>908</v>
      </c>
      <c r="E1243" s="47" t="s">
        <v>27</v>
      </c>
      <c r="F1243" s="47" t="s">
        <v>723</v>
      </c>
      <c r="G1243" s="47" t="s">
        <v>27</v>
      </c>
      <c r="H1243" s="47">
        <v>70528</v>
      </c>
      <c r="I1243" s="47">
        <v>70539</v>
      </c>
      <c r="J1243" s="47" t="s">
        <v>28</v>
      </c>
      <c r="K1243" s="47" t="s">
        <v>1241</v>
      </c>
      <c r="L1243" s="47" t="s">
        <v>36</v>
      </c>
      <c r="M1243" s="47" t="s">
        <v>911</v>
      </c>
      <c r="N1243" s="48">
        <v>1800</v>
      </c>
      <c r="O1243" s="48">
        <v>1800</v>
      </c>
      <c r="P1243" s="48">
        <v>1800</v>
      </c>
      <c r="Q1243" s="48">
        <v>1800</v>
      </c>
      <c r="R1243" s="48">
        <v>717</v>
      </c>
      <c r="S1243" s="48">
        <v>717</v>
      </c>
      <c r="T1243" s="48">
        <v>717</v>
      </c>
      <c r="U1243" s="48">
        <v>717</v>
      </c>
      <c r="V1243" s="48"/>
    </row>
    <row r="1244" spans="2:22" ht="23" x14ac:dyDescent="0.25">
      <c r="B1244" s="44" t="s">
        <v>156</v>
      </c>
      <c r="C1244" s="44" t="s">
        <v>157</v>
      </c>
      <c r="D1244" s="44" t="s">
        <v>908</v>
      </c>
      <c r="E1244" s="44" t="s">
        <v>27</v>
      </c>
      <c r="F1244" s="44" t="s">
        <v>1242</v>
      </c>
      <c r="G1244" s="44" t="s">
        <v>27</v>
      </c>
      <c r="H1244" s="44">
        <v>70528</v>
      </c>
      <c r="I1244" s="44">
        <v>70530</v>
      </c>
      <c r="J1244" s="44" t="s">
        <v>28</v>
      </c>
      <c r="K1244" s="44" t="s">
        <v>156</v>
      </c>
      <c r="L1244" s="44" t="s">
        <v>29</v>
      </c>
      <c r="M1244" s="44"/>
      <c r="N1244" s="45">
        <v>1894</v>
      </c>
      <c r="O1244" s="45">
        <v>2101</v>
      </c>
      <c r="P1244" s="45">
        <v>2173</v>
      </c>
      <c r="Q1244" s="45">
        <v>2390</v>
      </c>
      <c r="R1244" s="45">
        <v>755</v>
      </c>
      <c r="S1244" s="45">
        <v>837</v>
      </c>
      <c r="T1244" s="45">
        <v>866</v>
      </c>
      <c r="U1244" s="45">
        <v>952</v>
      </c>
      <c r="V1244" s="46"/>
    </row>
    <row r="1245" spans="2:22" ht="20" x14ac:dyDescent="0.25">
      <c r="B1245" s="47" t="s">
        <v>156</v>
      </c>
      <c r="C1245" s="47" t="s">
        <v>157</v>
      </c>
      <c r="D1245" s="47" t="s">
        <v>908</v>
      </c>
      <c r="E1245" s="47" t="s">
        <v>27</v>
      </c>
      <c r="F1245" s="47" t="s">
        <v>1242</v>
      </c>
      <c r="G1245" s="47" t="s">
        <v>27</v>
      </c>
      <c r="H1245" s="47">
        <v>70528</v>
      </c>
      <c r="I1245" s="47">
        <v>70530</v>
      </c>
      <c r="J1245" s="47" t="s">
        <v>28</v>
      </c>
      <c r="K1245" s="47" t="s">
        <v>246</v>
      </c>
      <c r="L1245" s="47" t="s">
        <v>31</v>
      </c>
      <c r="M1245" s="47" t="s">
        <v>911</v>
      </c>
      <c r="N1245" s="48">
        <v>1894</v>
      </c>
      <c r="O1245" s="47">
        <v>2252</v>
      </c>
      <c r="P1245" s="47">
        <v>2290</v>
      </c>
      <c r="Q1245" s="47">
        <v>2581</v>
      </c>
      <c r="R1245" s="48">
        <v>755</v>
      </c>
      <c r="S1245" s="47">
        <v>897</v>
      </c>
      <c r="T1245" s="47">
        <v>912</v>
      </c>
      <c r="U1245" s="47">
        <v>1028</v>
      </c>
      <c r="V1245" s="47"/>
    </row>
    <row r="1246" spans="2:22" ht="20" x14ac:dyDescent="0.25">
      <c r="B1246" s="47" t="s">
        <v>156</v>
      </c>
      <c r="C1246" s="47" t="s">
        <v>157</v>
      </c>
      <c r="D1246" s="47" t="s">
        <v>908</v>
      </c>
      <c r="E1246" s="47" t="s">
        <v>27</v>
      </c>
      <c r="F1246" s="47" t="s">
        <v>1242</v>
      </c>
      <c r="G1246" s="47" t="s">
        <v>27</v>
      </c>
      <c r="H1246" s="47">
        <v>70528</v>
      </c>
      <c r="I1246" s="47">
        <v>70530</v>
      </c>
      <c r="J1246" s="47" t="s">
        <v>28</v>
      </c>
      <c r="K1246" s="47" t="s">
        <v>156</v>
      </c>
      <c r="L1246" s="47" t="s">
        <v>30</v>
      </c>
      <c r="M1246" s="47" t="s">
        <v>157</v>
      </c>
      <c r="N1246" s="47">
        <v>1910</v>
      </c>
      <c r="O1246" s="48">
        <v>2101</v>
      </c>
      <c r="P1246" s="48">
        <v>2173</v>
      </c>
      <c r="Q1246" s="48">
        <v>2390</v>
      </c>
      <c r="R1246" s="47">
        <v>761</v>
      </c>
      <c r="S1246" s="48">
        <v>837</v>
      </c>
      <c r="T1246" s="48">
        <v>866</v>
      </c>
      <c r="U1246" s="48">
        <v>952</v>
      </c>
      <c r="V1246" s="48"/>
    </row>
    <row r="1247" spans="2:22" ht="23" x14ac:dyDescent="0.25">
      <c r="B1247" s="44" t="s">
        <v>1244</v>
      </c>
      <c r="C1247" s="44" t="s">
        <v>152</v>
      </c>
      <c r="D1247" s="44" t="s">
        <v>908</v>
      </c>
      <c r="E1247" s="44" t="s">
        <v>27</v>
      </c>
      <c r="F1247" s="44" t="s">
        <v>1227</v>
      </c>
      <c r="G1247" s="44" t="s">
        <v>27</v>
      </c>
      <c r="H1247" s="44">
        <v>70528</v>
      </c>
      <c r="I1247" s="44">
        <v>70532</v>
      </c>
      <c r="J1247" s="44" t="s">
        <v>28</v>
      </c>
      <c r="K1247" s="44" t="s">
        <v>1244</v>
      </c>
      <c r="L1247" s="44" t="s">
        <v>29</v>
      </c>
      <c r="M1247" s="44"/>
      <c r="N1247" s="45">
        <v>1860</v>
      </c>
      <c r="O1247" s="45">
        <v>2000</v>
      </c>
      <c r="P1247" s="45">
        <v>2000</v>
      </c>
      <c r="Q1247" s="45">
        <v>2000</v>
      </c>
      <c r="R1247" s="45">
        <v>741</v>
      </c>
      <c r="S1247" s="45">
        <v>797</v>
      </c>
      <c r="T1247" s="45">
        <v>797</v>
      </c>
      <c r="U1247" s="45">
        <v>797</v>
      </c>
      <c r="V1247" s="46"/>
    </row>
    <row r="1248" spans="2:22" ht="20" x14ac:dyDescent="0.25">
      <c r="B1248" s="47" t="s">
        <v>1244</v>
      </c>
      <c r="C1248" s="47" t="s">
        <v>152</v>
      </c>
      <c r="D1248" s="47" t="s">
        <v>908</v>
      </c>
      <c r="E1248" s="47" t="s">
        <v>27</v>
      </c>
      <c r="F1248" s="47" t="s">
        <v>1227</v>
      </c>
      <c r="G1248" s="47" t="s">
        <v>27</v>
      </c>
      <c r="H1248" s="47">
        <v>70528</v>
      </c>
      <c r="I1248" s="47">
        <v>70532</v>
      </c>
      <c r="J1248" s="47" t="s">
        <v>28</v>
      </c>
      <c r="K1248" s="47" t="s">
        <v>1244</v>
      </c>
      <c r="L1248" s="47" t="s">
        <v>30</v>
      </c>
      <c r="M1248" s="47" t="s">
        <v>152</v>
      </c>
      <c r="N1248" s="48">
        <v>1860</v>
      </c>
      <c r="O1248" s="47">
        <v>2046</v>
      </c>
      <c r="P1248" s="47">
        <v>2116</v>
      </c>
      <c r="Q1248" s="47">
        <v>2328</v>
      </c>
      <c r="R1248" s="48">
        <v>741</v>
      </c>
      <c r="S1248" s="47">
        <v>815</v>
      </c>
      <c r="T1248" s="47">
        <v>843</v>
      </c>
      <c r="U1248" s="47">
        <v>927</v>
      </c>
      <c r="V1248" s="47"/>
    </row>
    <row r="1249" spans="2:22" ht="20" x14ac:dyDescent="0.25">
      <c r="B1249" s="47" t="s">
        <v>1244</v>
      </c>
      <c r="C1249" s="47" t="s">
        <v>152</v>
      </c>
      <c r="D1249" s="47" t="s">
        <v>908</v>
      </c>
      <c r="E1249" s="47" t="s">
        <v>27</v>
      </c>
      <c r="F1249" s="47" t="s">
        <v>1227</v>
      </c>
      <c r="G1249" s="47" t="s">
        <v>27</v>
      </c>
      <c r="H1249" s="47">
        <v>70528</v>
      </c>
      <c r="I1249" s="47">
        <v>70532</v>
      </c>
      <c r="J1249" s="47" t="s">
        <v>28</v>
      </c>
      <c r="K1249" s="47" t="s">
        <v>2608</v>
      </c>
      <c r="L1249" s="47" t="s">
        <v>1315</v>
      </c>
      <c r="M1249" s="47" t="s">
        <v>1228</v>
      </c>
      <c r="N1249" s="47">
        <v>2000</v>
      </c>
      <c r="O1249" s="48">
        <v>2000</v>
      </c>
      <c r="P1249" s="48">
        <v>2000</v>
      </c>
      <c r="Q1249" s="48">
        <v>2000</v>
      </c>
      <c r="R1249" s="47">
        <v>797</v>
      </c>
      <c r="S1249" s="48">
        <v>797</v>
      </c>
      <c r="T1249" s="48">
        <v>797</v>
      </c>
      <c r="U1249" s="48">
        <v>797</v>
      </c>
      <c r="V1249" s="48"/>
    </row>
    <row r="1250" spans="2:22" x14ac:dyDescent="0.25">
      <c r="B1250" s="44" t="s">
        <v>100</v>
      </c>
      <c r="C1250" s="44" t="s">
        <v>101</v>
      </c>
      <c r="D1250" s="44" t="s">
        <v>648</v>
      </c>
      <c r="E1250" s="44" t="s">
        <v>27</v>
      </c>
      <c r="F1250" s="44" t="s">
        <v>1246</v>
      </c>
      <c r="G1250" s="44" t="s">
        <v>27</v>
      </c>
      <c r="H1250" s="44">
        <v>70284</v>
      </c>
      <c r="I1250" s="44">
        <v>70533</v>
      </c>
      <c r="J1250" s="44" t="s">
        <v>28</v>
      </c>
      <c r="K1250" s="44" t="s">
        <v>100</v>
      </c>
      <c r="L1250" s="44" t="s">
        <v>29</v>
      </c>
      <c r="M1250" s="44"/>
      <c r="N1250" s="45">
        <v>1840</v>
      </c>
      <c r="O1250" s="45">
        <v>2000</v>
      </c>
      <c r="P1250" s="45">
        <v>2000</v>
      </c>
      <c r="Q1250" s="45">
        <v>2000</v>
      </c>
      <c r="R1250" s="45">
        <v>733</v>
      </c>
      <c r="S1250" s="45">
        <v>797</v>
      </c>
      <c r="T1250" s="45">
        <v>797</v>
      </c>
      <c r="U1250" s="45">
        <v>797</v>
      </c>
      <c r="V1250" s="46"/>
    </row>
    <row r="1251" spans="2:22" ht="20" x14ac:dyDescent="0.25">
      <c r="B1251" s="47" t="s">
        <v>100</v>
      </c>
      <c r="C1251" s="47" t="s">
        <v>101</v>
      </c>
      <c r="D1251" s="47" t="s">
        <v>648</v>
      </c>
      <c r="E1251" s="47" t="s">
        <v>27</v>
      </c>
      <c r="F1251" s="47" t="s">
        <v>1246</v>
      </c>
      <c r="G1251" s="47" t="s">
        <v>27</v>
      </c>
      <c r="H1251" s="47">
        <v>70284</v>
      </c>
      <c r="I1251" s="47">
        <v>70533</v>
      </c>
      <c r="J1251" s="47" t="s">
        <v>28</v>
      </c>
      <c r="K1251" s="47" t="s">
        <v>960</v>
      </c>
      <c r="L1251" s="47" t="s">
        <v>31</v>
      </c>
      <c r="M1251" s="47" t="s">
        <v>1247</v>
      </c>
      <c r="N1251" s="48">
        <v>1840</v>
      </c>
      <c r="O1251" s="47">
        <v>2025</v>
      </c>
      <c r="P1251" s="47">
        <v>2088</v>
      </c>
      <c r="Q1251" s="47">
        <v>2297</v>
      </c>
      <c r="R1251" s="48">
        <v>733</v>
      </c>
      <c r="S1251" s="47">
        <v>807</v>
      </c>
      <c r="T1251" s="47">
        <v>832</v>
      </c>
      <c r="U1251" s="47">
        <v>915</v>
      </c>
      <c r="V1251" s="47"/>
    </row>
    <row r="1252" spans="2:22" ht="20" x14ac:dyDescent="0.25">
      <c r="B1252" s="47" t="s">
        <v>100</v>
      </c>
      <c r="C1252" s="47" t="s">
        <v>101</v>
      </c>
      <c r="D1252" s="47" t="s">
        <v>648</v>
      </c>
      <c r="E1252" s="47" t="s">
        <v>27</v>
      </c>
      <c r="F1252" s="47" t="s">
        <v>1246</v>
      </c>
      <c r="G1252" s="47" t="s">
        <v>27</v>
      </c>
      <c r="H1252" s="47">
        <v>70284</v>
      </c>
      <c r="I1252" s="47">
        <v>70533</v>
      </c>
      <c r="J1252" s="47" t="s">
        <v>28</v>
      </c>
      <c r="K1252" s="47" t="s">
        <v>107</v>
      </c>
      <c r="L1252" s="47" t="s">
        <v>1315</v>
      </c>
      <c r="M1252" s="47" t="s">
        <v>1247</v>
      </c>
      <c r="N1252" s="47">
        <v>2000</v>
      </c>
      <c r="O1252" s="48">
        <v>2000</v>
      </c>
      <c r="P1252" s="48">
        <v>2000</v>
      </c>
      <c r="Q1252" s="48">
        <v>2000</v>
      </c>
      <c r="R1252" s="47">
        <v>797</v>
      </c>
      <c r="S1252" s="48">
        <v>797</v>
      </c>
      <c r="T1252" s="48">
        <v>797</v>
      </c>
      <c r="U1252" s="48">
        <v>797</v>
      </c>
      <c r="V1252" s="48"/>
    </row>
    <row r="1253" spans="2:22" ht="20" x14ac:dyDescent="0.25">
      <c r="B1253" s="47" t="s">
        <v>100</v>
      </c>
      <c r="C1253" s="47" t="s">
        <v>101</v>
      </c>
      <c r="D1253" s="47" t="s">
        <v>648</v>
      </c>
      <c r="E1253" s="47" t="s">
        <v>27</v>
      </c>
      <c r="F1253" s="47" t="s">
        <v>1246</v>
      </c>
      <c r="G1253" s="47" t="s">
        <v>27</v>
      </c>
      <c r="H1253" s="47">
        <v>70284</v>
      </c>
      <c r="I1253" s="47">
        <v>70533</v>
      </c>
      <c r="J1253" s="47" t="s">
        <v>28</v>
      </c>
      <c r="K1253" s="47" t="s">
        <v>102</v>
      </c>
      <c r="L1253" s="47" t="s">
        <v>1315</v>
      </c>
      <c r="M1253" s="47" t="s">
        <v>1248</v>
      </c>
      <c r="N1253" s="47">
        <v>2000</v>
      </c>
      <c r="O1253" s="48">
        <v>2000</v>
      </c>
      <c r="P1253" s="48">
        <v>2000</v>
      </c>
      <c r="Q1253" s="48">
        <v>2000</v>
      </c>
      <c r="R1253" s="47">
        <v>797</v>
      </c>
      <c r="S1253" s="48">
        <v>797</v>
      </c>
      <c r="T1253" s="48">
        <v>797</v>
      </c>
      <c r="U1253" s="48">
        <v>797</v>
      </c>
      <c r="V1253" s="48"/>
    </row>
    <row r="1254" spans="2:22" ht="23" x14ac:dyDescent="0.25">
      <c r="B1254" s="44" t="s">
        <v>1249</v>
      </c>
      <c r="C1254" s="44" t="s">
        <v>1250</v>
      </c>
      <c r="D1254" s="44" t="s">
        <v>1251</v>
      </c>
      <c r="E1254" s="44" t="s">
        <v>27</v>
      </c>
      <c r="F1254" s="44" t="s">
        <v>928</v>
      </c>
      <c r="G1254" s="44" t="s">
        <v>27</v>
      </c>
      <c r="H1254" s="44">
        <v>79065</v>
      </c>
      <c r="I1254" s="44">
        <v>79091</v>
      </c>
      <c r="J1254" s="44" t="s">
        <v>28</v>
      </c>
      <c r="K1254" s="44" t="s">
        <v>1249</v>
      </c>
      <c r="L1254" s="44" t="s">
        <v>29</v>
      </c>
      <c r="M1254" s="44"/>
      <c r="N1254" s="45">
        <v>1000</v>
      </c>
      <c r="O1254" s="45">
        <v>1000</v>
      </c>
      <c r="P1254" s="45">
        <v>1000</v>
      </c>
      <c r="Q1254" s="45">
        <v>1000</v>
      </c>
      <c r="R1254" s="45">
        <v>398</v>
      </c>
      <c r="S1254" s="45">
        <v>398</v>
      </c>
      <c r="T1254" s="45">
        <v>398</v>
      </c>
      <c r="U1254" s="45">
        <v>398</v>
      </c>
      <c r="V1254" s="46"/>
    </row>
    <row r="1255" spans="2:22" ht="30" x14ac:dyDescent="0.25">
      <c r="B1255" s="47" t="s">
        <v>1249</v>
      </c>
      <c r="C1255" s="47" t="s">
        <v>1250</v>
      </c>
      <c r="D1255" s="47" t="s">
        <v>1251</v>
      </c>
      <c r="E1255" s="47" t="s">
        <v>27</v>
      </c>
      <c r="F1255" s="47" t="s">
        <v>928</v>
      </c>
      <c r="G1255" s="47" t="s">
        <v>27</v>
      </c>
      <c r="H1255" s="47">
        <v>79065</v>
      </c>
      <c r="I1255" s="47">
        <v>79091</v>
      </c>
      <c r="J1255" s="47" t="s">
        <v>28</v>
      </c>
      <c r="K1255" s="47" t="s">
        <v>2221</v>
      </c>
      <c r="L1255" s="47" t="s">
        <v>36</v>
      </c>
      <c r="M1255" s="47" t="s">
        <v>1253</v>
      </c>
      <c r="N1255" s="48">
        <v>1000</v>
      </c>
      <c r="O1255" s="48">
        <v>1000</v>
      </c>
      <c r="P1255" s="48">
        <v>1000</v>
      </c>
      <c r="Q1255" s="48">
        <v>1000</v>
      </c>
      <c r="R1255" s="48">
        <v>398</v>
      </c>
      <c r="S1255" s="48">
        <v>398</v>
      </c>
      <c r="T1255" s="48">
        <v>398</v>
      </c>
      <c r="U1255" s="48">
        <v>398</v>
      </c>
      <c r="V1255" s="48"/>
    </row>
    <row r="1256" spans="2:22" ht="20" x14ac:dyDescent="0.25">
      <c r="B1256" s="47" t="s">
        <v>1249</v>
      </c>
      <c r="C1256" s="47" t="s">
        <v>1250</v>
      </c>
      <c r="D1256" s="47" t="s">
        <v>1251</v>
      </c>
      <c r="E1256" s="47" t="s">
        <v>27</v>
      </c>
      <c r="F1256" s="47" t="s">
        <v>928</v>
      </c>
      <c r="G1256" s="47" t="s">
        <v>27</v>
      </c>
      <c r="H1256" s="47">
        <v>79065</v>
      </c>
      <c r="I1256" s="47">
        <v>79091</v>
      </c>
      <c r="J1256" s="47" t="s">
        <v>28</v>
      </c>
      <c r="K1256" s="47" t="s">
        <v>2218</v>
      </c>
      <c r="L1256" s="47" t="s">
        <v>39</v>
      </c>
      <c r="M1256" s="47" t="s">
        <v>1253</v>
      </c>
      <c r="N1256" s="48">
        <v>1000</v>
      </c>
      <c r="O1256" s="48">
        <v>1000</v>
      </c>
      <c r="P1256" s="48">
        <v>1000</v>
      </c>
      <c r="Q1256" s="48">
        <v>1000</v>
      </c>
      <c r="R1256" s="48">
        <v>398</v>
      </c>
      <c r="S1256" s="48">
        <v>398</v>
      </c>
      <c r="T1256" s="48">
        <v>398</v>
      </c>
      <c r="U1256" s="48">
        <v>398</v>
      </c>
      <c r="V1256" s="48"/>
    </row>
    <row r="1257" spans="2:22" ht="20" x14ac:dyDescent="0.25">
      <c r="B1257" s="47" t="s">
        <v>1249</v>
      </c>
      <c r="C1257" s="47" t="s">
        <v>1250</v>
      </c>
      <c r="D1257" s="47" t="s">
        <v>1251</v>
      </c>
      <c r="E1257" s="47" t="s">
        <v>27</v>
      </c>
      <c r="F1257" s="47" t="s">
        <v>928</v>
      </c>
      <c r="G1257" s="47" t="s">
        <v>27</v>
      </c>
      <c r="H1257" s="47">
        <v>79065</v>
      </c>
      <c r="I1257" s="47">
        <v>79091</v>
      </c>
      <c r="J1257" s="47" t="s">
        <v>28</v>
      </c>
      <c r="K1257" s="47" t="s">
        <v>2217</v>
      </c>
      <c r="L1257" s="47" t="s">
        <v>39</v>
      </c>
      <c r="M1257" s="47" t="s">
        <v>1253</v>
      </c>
      <c r="N1257" s="48">
        <v>1000</v>
      </c>
      <c r="O1257" s="48">
        <v>1000</v>
      </c>
      <c r="P1257" s="48">
        <v>1000</v>
      </c>
      <c r="Q1257" s="48">
        <v>1000</v>
      </c>
      <c r="R1257" s="48">
        <v>398</v>
      </c>
      <c r="S1257" s="48">
        <v>398</v>
      </c>
      <c r="T1257" s="48">
        <v>398</v>
      </c>
      <c r="U1257" s="48">
        <v>398</v>
      </c>
      <c r="V1257" s="48"/>
    </row>
    <row r="1258" spans="2:22" ht="20" x14ac:dyDescent="0.25">
      <c r="B1258" s="47" t="s">
        <v>1249</v>
      </c>
      <c r="C1258" s="47" t="s">
        <v>1250</v>
      </c>
      <c r="D1258" s="47" t="s">
        <v>1251</v>
      </c>
      <c r="E1258" s="47" t="s">
        <v>27</v>
      </c>
      <c r="F1258" s="47" t="s">
        <v>928</v>
      </c>
      <c r="G1258" s="47" t="s">
        <v>27</v>
      </c>
      <c r="H1258" s="47">
        <v>79065</v>
      </c>
      <c r="I1258" s="47">
        <v>79091</v>
      </c>
      <c r="J1258" s="47" t="s">
        <v>28</v>
      </c>
      <c r="K1258" s="47" t="s">
        <v>2219</v>
      </c>
      <c r="L1258" s="47" t="s">
        <v>39</v>
      </c>
      <c r="M1258" s="47" t="s">
        <v>1253</v>
      </c>
      <c r="N1258" s="48">
        <v>1000</v>
      </c>
      <c r="O1258" s="48">
        <v>1000</v>
      </c>
      <c r="P1258" s="48">
        <v>1000</v>
      </c>
      <c r="Q1258" s="48">
        <v>1000</v>
      </c>
      <c r="R1258" s="48">
        <v>398</v>
      </c>
      <c r="S1258" s="48">
        <v>398</v>
      </c>
      <c r="T1258" s="48">
        <v>398</v>
      </c>
      <c r="U1258" s="48">
        <v>398</v>
      </c>
      <c r="V1258" s="48"/>
    </row>
    <row r="1259" spans="2:22" ht="20" x14ac:dyDescent="0.25">
      <c r="B1259" s="47" t="s">
        <v>1249</v>
      </c>
      <c r="C1259" s="47" t="s">
        <v>1250</v>
      </c>
      <c r="D1259" s="47" t="s">
        <v>1251</v>
      </c>
      <c r="E1259" s="47" t="s">
        <v>27</v>
      </c>
      <c r="F1259" s="47" t="s">
        <v>928</v>
      </c>
      <c r="G1259" s="47" t="s">
        <v>27</v>
      </c>
      <c r="H1259" s="47">
        <v>79065</v>
      </c>
      <c r="I1259" s="47">
        <v>79091</v>
      </c>
      <c r="J1259" s="47" t="s">
        <v>28</v>
      </c>
      <c r="K1259" s="47" t="s">
        <v>2216</v>
      </c>
      <c r="L1259" s="47" t="s">
        <v>39</v>
      </c>
      <c r="M1259" s="47" t="s">
        <v>1253</v>
      </c>
      <c r="N1259" s="48">
        <v>1000</v>
      </c>
      <c r="O1259" s="48">
        <v>1000</v>
      </c>
      <c r="P1259" s="48">
        <v>1000</v>
      </c>
      <c r="Q1259" s="48">
        <v>1000</v>
      </c>
      <c r="R1259" s="48">
        <v>398</v>
      </c>
      <c r="S1259" s="48">
        <v>398</v>
      </c>
      <c r="T1259" s="48">
        <v>398</v>
      </c>
      <c r="U1259" s="48">
        <v>398</v>
      </c>
      <c r="V1259" s="48"/>
    </row>
    <row r="1260" spans="2:22" ht="30" x14ac:dyDescent="0.25">
      <c r="B1260" s="47" t="s">
        <v>1249</v>
      </c>
      <c r="C1260" s="47" t="s">
        <v>1250</v>
      </c>
      <c r="D1260" s="47" t="s">
        <v>1251</v>
      </c>
      <c r="E1260" s="47" t="s">
        <v>27</v>
      </c>
      <c r="F1260" s="47" t="s">
        <v>928</v>
      </c>
      <c r="G1260" s="47" t="s">
        <v>27</v>
      </c>
      <c r="H1260" s="47">
        <v>79065</v>
      </c>
      <c r="I1260" s="47">
        <v>79091</v>
      </c>
      <c r="J1260" s="47" t="s">
        <v>28</v>
      </c>
      <c r="K1260" s="47" t="s">
        <v>2502</v>
      </c>
      <c r="L1260" s="47" t="s">
        <v>36</v>
      </c>
      <c r="M1260" s="47" t="s">
        <v>1253</v>
      </c>
      <c r="N1260" s="48">
        <v>1000</v>
      </c>
      <c r="O1260" s="48">
        <v>1000</v>
      </c>
      <c r="P1260" s="48">
        <v>1000</v>
      </c>
      <c r="Q1260" s="48">
        <v>1000</v>
      </c>
      <c r="R1260" s="48">
        <v>398</v>
      </c>
      <c r="S1260" s="48">
        <v>398</v>
      </c>
      <c r="T1260" s="48">
        <v>398</v>
      </c>
      <c r="U1260" s="48">
        <v>398</v>
      </c>
      <c r="V1260" s="48"/>
    </row>
    <row r="1261" spans="2:22" ht="30" x14ac:dyDescent="0.25">
      <c r="B1261" s="47" t="s">
        <v>1249</v>
      </c>
      <c r="C1261" s="47" t="s">
        <v>1250</v>
      </c>
      <c r="D1261" s="47" t="s">
        <v>1251</v>
      </c>
      <c r="E1261" s="47" t="s">
        <v>27</v>
      </c>
      <c r="F1261" s="47" t="s">
        <v>928</v>
      </c>
      <c r="G1261" s="47" t="s">
        <v>27</v>
      </c>
      <c r="H1261" s="47">
        <v>79065</v>
      </c>
      <c r="I1261" s="47">
        <v>79091</v>
      </c>
      <c r="J1261" s="47" t="s">
        <v>28</v>
      </c>
      <c r="K1261" s="47" t="s">
        <v>2220</v>
      </c>
      <c r="L1261" s="47" t="s">
        <v>36</v>
      </c>
      <c r="M1261" s="47" t="s">
        <v>1253</v>
      </c>
      <c r="N1261" s="48">
        <v>1000</v>
      </c>
      <c r="O1261" s="48">
        <v>1000</v>
      </c>
      <c r="P1261" s="48">
        <v>1000</v>
      </c>
      <c r="Q1261" s="48">
        <v>1000</v>
      </c>
      <c r="R1261" s="48">
        <v>398</v>
      </c>
      <c r="S1261" s="48">
        <v>398</v>
      </c>
      <c r="T1261" s="48">
        <v>398</v>
      </c>
      <c r="U1261" s="48">
        <v>398</v>
      </c>
      <c r="V1261" s="48"/>
    </row>
    <row r="1262" spans="2:22" ht="30" x14ac:dyDescent="0.25">
      <c r="B1262" s="47" t="s">
        <v>1249</v>
      </c>
      <c r="C1262" s="47" t="s">
        <v>1250</v>
      </c>
      <c r="D1262" s="47" t="s">
        <v>1251</v>
      </c>
      <c r="E1262" s="47" t="s">
        <v>27</v>
      </c>
      <c r="F1262" s="47" t="s">
        <v>928</v>
      </c>
      <c r="G1262" s="47" t="s">
        <v>27</v>
      </c>
      <c r="H1262" s="47">
        <v>79065</v>
      </c>
      <c r="I1262" s="47">
        <v>79091</v>
      </c>
      <c r="J1262" s="47" t="s">
        <v>28</v>
      </c>
      <c r="K1262" s="47" t="s">
        <v>2501</v>
      </c>
      <c r="L1262" s="47" t="s">
        <v>36</v>
      </c>
      <c r="M1262" s="47" t="s">
        <v>1253</v>
      </c>
      <c r="N1262" s="48">
        <v>1000</v>
      </c>
      <c r="O1262" s="48">
        <v>1000</v>
      </c>
      <c r="P1262" s="48">
        <v>1000</v>
      </c>
      <c r="Q1262" s="48">
        <v>1000</v>
      </c>
      <c r="R1262" s="48">
        <v>398</v>
      </c>
      <c r="S1262" s="48">
        <v>398</v>
      </c>
      <c r="T1262" s="48">
        <v>398</v>
      </c>
      <c r="U1262" s="48">
        <v>398</v>
      </c>
      <c r="V1262" s="48"/>
    </row>
    <row r="1263" spans="2:22" ht="23" x14ac:dyDescent="0.25">
      <c r="B1263" s="44" t="s">
        <v>1255</v>
      </c>
      <c r="C1263" s="44" t="s">
        <v>1256</v>
      </c>
      <c r="D1263" s="44" t="s">
        <v>1251</v>
      </c>
      <c r="E1263" s="44" t="s">
        <v>27</v>
      </c>
      <c r="F1263" s="44" t="s">
        <v>928</v>
      </c>
      <c r="G1263" s="44" t="s">
        <v>27</v>
      </c>
      <c r="H1263" s="44">
        <v>79065</v>
      </c>
      <c r="I1263" s="44">
        <v>79091</v>
      </c>
      <c r="J1263" s="44" t="s">
        <v>28</v>
      </c>
      <c r="K1263" s="44" t="s">
        <v>1255</v>
      </c>
      <c r="L1263" s="44" t="s">
        <v>29</v>
      </c>
      <c r="M1263" s="44"/>
      <c r="N1263" s="45">
        <v>1000</v>
      </c>
      <c r="O1263" s="45">
        <v>1000</v>
      </c>
      <c r="P1263" s="45">
        <v>1000</v>
      </c>
      <c r="Q1263" s="45">
        <v>1000</v>
      </c>
      <c r="R1263" s="45">
        <v>398</v>
      </c>
      <c r="S1263" s="45">
        <v>398</v>
      </c>
      <c r="T1263" s="45">
        <v>398</v>
      </c>
      <c r="U1263" s="45">
        <v>398</v>
      </c>
      <c r="V1263" s="46"/>
    </row>
    <row r="1264" spans="2:22" ht="30" x14ac:dyDescent="0.25">
      <c r="B1264" s="47" t="s">
        <v>1255</v>
      </c>
      <c r="C1264" s="47" t="s">
        <v>1256</v>
      </c>
      <c r="D1264" s="47" t="s">
        <v>1251</v>
      </c>
      <c r="E1264" s="47" t="s">
        <v>27</v>
      </c>
      <c r="F1264" s="47" t="s">
        <v>928</v>
      </c>
      <c r="G1264" s="47" t="s">
        <v>27</v>
      </c>
      <c r="H1264" s="47">
        <v>79065</v>
      </c>
      <c r="I1264" s="47">
        <v>79091</v>
      </c>
      <c r="J1264" s="47" t="s">
        <v>28</v>
      </c>
      <c r="K1264" s="47" t="s">
        <v>2214</v>
      </c>
      <c r="L1264" s="47" t="s">
        <v>36</v>
      </c>
      <c r="M1264" s="47" t="s">
        <v>1253</v>
      </c>
      <c r="N1264" s="48">
        <v>1000</v>
      </c>
      <c r="O1264" s="48">
        <v>1000</v>
      </c>
      <c r="P1264" s="48">
        <v>1000</v>
      </c>
      <c r="Q1264" s="48">
        <v>1000</v>
      </c>
      <c r="R1264" s="48">
        <v>398</v>
      </c>
      <c r="S1264" s="48">
        <v>398</v>
      </c>
      <c r="T1264" s="48">
        <v>398</v>
      </c>
      <c r="U1264" s="48">
        <v>398</v>
      </c>
      <c r="V1264" s="48"/>
    </row>
    <row r="1265" spans="2:22" ht="20" x14ac:dyDescent="0.25">
      <c r="B1265" s="47" t="s">
        <v>1255</v>
      </c>
      <c r="C1265" s="47" t="s">
        <v>1256</v>
      </c>
      <c r="D1265" s="47" t="s">
        <v>1251</v>
      </c>
      <c r="E1265" s="47" t="s">
        <v>27</v>
      </c>
      <c r="F1265" s="47" t="s">
        <v>928</v>
      </c>
      <c r="G1265" s="47" t="s">
        <v>27</v>
      </c>
      <c r="H1265" s="47">
        <v>79065</v>
      </c>
      <c r="I1265" s="47">
        <v>79091</v>
      </c>
      <c r="J1265" s="47" t="s">
        <v>28</v>
      </c>
      <c r="K1265" s="47" t="s">
        <v>2210</v>
      </c>
      <c r="L1265" s="47" t="s">
        <v>39</v>
      </c>
      <c r="M1265" s="47" t="s">
        <v>1253</v>
      </c>
      <c r="N1265" s="48">
        <v>1000</v>
      </c>
      <c r="O1265" s="48">
        <v>1000</v>
      </c>
      <c r="P1265" s="48">
        <v>1000</v>
      </c>
      <c r="Q1265" s="48">
        <v>1000</v>
      </c>
      <c r="R1265" s="48">
        <v>398</v>
      </c>
      <c r="S1265" s="48">
        <v>398</v>
      </c>
      <c r="T1265" s="48">
        <v>398</v>
      </c>
      <c r="U1265" s="48">
        <v>398</v>
      </c>
      <c r="V1265" s="48"/>
    </row>
    <row r="1266" spans="2:22" ht="20" x14ac:dyDescent="0.25">
      <c r="B1266" s="47" t="s">
        <v>1255</v>
      </c>
      <c r="C1266" s="47" t="s">
        <v>1256</v>
      </c>
      <c r="D1266" s="47" t="s">
        <v>1251</v>
      </c>
      <c r="E1266" s="47" t="s">
        <v>27</v>
      </c>
      <c r="F1266" s="47" t="s">
        <v>928</v>
      </c>
      <c r="G1266" s="47" t="s">
        <v>27</v>
      </c>
      <c r="H1266" s="47">
        <v>79065</v>
      </c>
      <c r="I1266" s="47">
        <v>79091</v>
      </c>
      <c r="J1266" s="47" t="s">
        <v>28</v>
      </c>
      <c r="K1266" s="47" t="s">
        <v>2211</v>
      </c>
      <c r="L1266" s="47" t="s">
        <v>39</v>
      </c>
      <c r="M1266" s="47" t="s">
        <v>1253</v>
      </c>
      <c r="N1266" s="48">
        <v>1000</v>
      </c>
      <c r="O1266" s="48">
        <v>1000</v>
      </c>
      <c r="P1266" s="48">
        <v>1000</v>
      </c>
      <c r="Q1266" s="48">
        <v>1000</v>
      </c>
      <c r="R1266" s="48">
        <v>398</v>
      </c>
      <c r="S1266" s="48">
        <v>398</v>
      </c>
      <c r="T1266" s="48">
        <v>398</v>
      </c>
      <c r="U1266" s="48">
        <v>398</v>
      </c>
      <c r="V1266" s="48"/>
    </row>
    <row r="1267" spans="2:22" ht="20" x14ac:dyDescent="0.25">
      <c r="B1267" s="47" t="s">
        <v>1255</v>
      </c>
      <c r="C1267" s="47" t="s">
        <v>1256</v>
      </c>
      <c r="D1267" s="47" t="s">
        <v>1251</v>
      </c>
      <c r="E1267" s="47" t="s">
        <v>27</v>
      </c>
      <c r="F1267" s="47" t="s">
        <v>928</v>
      </c>
      <c r="G1267" s="47" t="s">
        <v>27</v>
      </c>
      <c r="H1267" s="47">
        <v>79065</v>
      </c>
      <c r="I1267" s="47">
        <v>79091</v>
      </c>
      <c r="J1267" s="47" t="s">
        <v>28</v>
      </c>
      <c r="K1267" s="47" t="s">
        <v>2212</v>
      </c>
      <c r="L1267" s="47" t="s">
        <v>39</v>
      </c>
      <c r="M1267" s="47" t="s">
        <v>1253</v>
      </c>
      <c r="N1267" s="48">
        <v>1000</v>
      </c>
      <c r="O1267" s="48">
        <v>1000</v>
      </c>
      <c r="P1267" s="48">
        <v>1000</v>
      </c>
      <c r="Q1267" s="48">
        <v>1000</v>
      </c>
      <c r="R1267" s="48">
        <v>398</v>
      </c>
      <c r="S1267" s="48">
        <v>398</v>
      </c>
      <c r="T1267" s="48">
        <v>398</v>
      </c>
      <c r="U1267" s="48">
        <v>398</v>
      </c>
      <c r="V1267" s="48"/>
    </row>
    <row r="1268" spans="2:22" ht="20" x14ac:dyDescent="0.25">
      <c r="B1268" s="47" t="s">
        <v>1255</v>
      </c>
      <c r="C1268" s="47" t="s">
        <v>1256</v>
      </c>
      <c r="D1268" s="47" t="s">
        <v>1251</v>
      </c>
      <c r="E1268" s="47" t="s">
        <v>27</v>
      </c>
      <c r="F1268" s="47" t="s">
        <v>928</v>
      </c>
      <c r="G1268" s="47" t="s">
        <v>27</v>
      </c>
      <c r="H1268" s="47">
        <v>79065</v>
      </c>
      <c r="I1268" s="47">
        <v>79091</v>
      </c>
      <c r="J1268" s="47" t="s">
        <v>28</v>
      </c>
      <c r="K1268" s="47" t="s">
        <v>2213</v>
      </c>
      <c r="L1268" s="47" t="s">
        <v>39</v>
      </c>
      <c r="M1268" s="47" t="s">
        <v>1253</v>
      </c>
      <c r="N1268" s="48">
        <v>1000</v>
      </c>
      <c r="O1268" s="48">
        <v>1000</v>
      </c>
      <c r="P1268" s="48">
        <v>1000</v>
      </c>
      <c r="Q1268" s="48">
        <v>1000</v>
      </c>
      <c r="R1268" s="48">
        <v>398</v>
      </c>
      <c r="S1268" s="48">
        <v>398</v>
      </c>
      <c r="T1268" s="48">
        <v>398</v>
      </c>
      <c r="U1268" s="48">
        <v>398</v>
      </c>
      <c r="V1268" s="48"/>
    </row>
    <row r="1269" spans="2:22" ht="30" x14ac:dyDescent="0.25">
      <c r="B1269" s="47" t="s">
        <v>1255</v>
      </c>
      <c r="C1269" s="47" t="s">
        <v>1256</v>
      </c>
      <c r="D1269" s="47" t="s">
        <v>1251</v>
      </c>
      <c r="E1269" s="47" t="s">
        <v>27</v>
      </c>
      <c r="F1269" s="47" t="s">
        <v>928</v>
      </c>
      <c r="G1269" s="47" t="s">
        <v>27</v>
      </c>
      <c r="H1269" s="47">
        <v>79065</v>
      </c>
      <c r="I1269" s="47">
        <v>79091</v>
      </c>
      <c r="J1269" s="47" t="s">
        <v>28</v>
      </c>
      <c r="K1269" s="47" t="s">
        <v>2503</v>
      </c>
      <c r="L1269" s="47" t="s">
        <v>36</v>
      </c>
      <c r="M1269" s="47" t="s">
        <v>1253</v>
      </c>
      <c r="N1269" s="48">
        <v>1000</v>
      </c>
      <c r="O1269" s="48">
        <v>1000</v>
      </c>
      <c r="P1269" s="48">
        <v>1000</v>
      </c>
      <c r="Q1269" s="48">
        <v>1000</v>
      </c>
      <c r="R1269" s="48">
        <v>398</v>
      </c>
      <c r="S1269" s="48">
        <v>398</v>
      </c>
      <c r="T1269" s="48">
        <v>398</v>
      </c>
      <c r="U1269" s="48">
        <v>398</v>
      </c>
      <c r="V1269" s="48"/>
    </row>
    <row r="1270" spans="2:22" ht="30" x14ac:dyDescent="0.25">
      <c r="B1270" s="47" t="s">
        <v>1255</v>
      </c>
      <c r="C1270" s="47" t="s">
        <v>1256</v>
      </c>
      <c r="D1270" s="47" t="s">
        <v>1251</v>
      </c>
      <c r="E1270" s="47" t="s">
        <v>27</v>
      </c>
      <c r="F1270" s="47" t="s">
        <v>928</v>
      </c>
      <c r="G1270" s="47" t="s">
        <v>27</v>
      </c>
      <c r="H1270" s="47">
        <v>79065</v>
      </c>
      <c r="I1270" s="47">
        <v>79091</v>
      </c>
      <c r="J1270" s="47" t="s">
        <v>28</v>
      </c>
      <c r="K1270" s="47" t="s">
        <v>2504</v>
      </c>
      <c r="L1270" s="47" t="s">
        <v>36</v>
      </c>
      <c r="M1270" s="47" t="s">
        <v>1253</v>
      </c>
      <c r="N1270" s="48">
        <v>1000</v>
      </c>
      <c r="O1270" s="48">
        <v>1000</v>
      </c>
      <c r="P1270" s="48">
        <v>1000</v>
      </c>
      <c r="Q1270" s="48">
        <v>1000</v>
      </c>
      <c r="R1270" s="48">
        <v>398</v>
      </c>
      <c r="S1270" s="48">
        <v>398</v>
      </c>
      <c r="T1270" s="48">
        <v>398</v>
      </c>
      <c r="U1270" s="48">
        <v>398</v>
      </c>
      <c r="V1270" s="48"/>
    </row>
    <row r="1271" spans="2:22" ht="30" x14ac:dyDescent="0.25">
      <c r="B1271" s="47" t="s">
        <v>1255</v>
      </c>
      <c r="C1271" s="47" t="s">
        <v>1256</v>
      </c>
      <c r="D1271" s="47" t="s">
        <v>1251</v>
      </c>
      <c r="E1271" s="47" t="s">
        <v>27</v>
      </c>
      <c r="F1271" s="47" t="s">
        <v>928</v>
      </c>
      <c r="G1271" s="47" t="s">
        <v>27</v>
      </c>
      <c r="H1271" s="47">
        <v>79065</v>
      </c>
      <c r="I1271" s="47">
        <v>79091</v>
      </c>
      <c r="J1271" s="47" t="s">
        <v>28</v>
      </c>
      <c r="K1271" s="47" t="s">
        <v>2215</v>
      </c>
      <c r="L1271" s="47" t="s">
        <v>36</v>
      </c>
      <c r="M1271" s="47" t="s">
        <v>1253</v>
      </c>
      <c r="N1271" s="48">
        <v>1000</v>
      </c>
      <c r="O1271" s="48">
        <v>1000</v>
      </c>
      <c r="P1271" s="48">
        <v>1000</v>
      </c>
      <c r="Q1271" s="48">
        <v>1000</v>
      </c>
      <c r="R1271" s="48">
        <v>398</v>
      </c>
      <c r="S1271" s="48">
        <v>398</v>
      </c>
      <c r="T1271" s="48">
        <v>398</v>
      </c>
      <c r="U1271" s="48">
        <v>398</v>
      </c>
      <c r="V1271" s="48"/>
    </row>
    <row r="1272" spans="2:22" ht="23" x14ac:dyDescent="0.25">
      <c r="B1272" s="44" t="s">
        <v>1259</v>
      </c>
      <c r="C1272" s="44" t="s">
        <v>417</v>
      </c>
      <c r="D1272" s="44" t="s">
        <v>1006</v>
      </c>
      <c r="E1272" s="44" t="s">
        <v>27</v>
      </c>
      <c r="F1272" s="44" t="s">
        <v>418</v>
      </c>
      <c r="G1272" s="44" t="s">
        <v>27</v>
      </c>
      <c r="H1272" s="44">
        <v>70417</v>
      </c>
      <c r="I1272" s="44">
        <v>70512</v>
      </c>
      <c r="J1272" s="44" t="s">
        <v>28</v>
      </c>
      <c r="K1272" s="44" t="s">
        <v>1259</v>
      </c>
      <c r="L1272" s="44" t="s">
        <v>29</v>
      </c>
      <c r="M1272" s="44"/>
      <c r="N1272" s="45">
        <v>1266</v>
      </c>
      <c r="O1272" s="45">
        <v>1393</v>
      </c>
      <c r="P1272" s="45">
        <v>1443</v>
      </c>
      <c r="Q1272" s="45">
        <v>1587</v>
      </c>
      <c r="R1272" s="45">
        <v>504</v>
      </c>
      <c r="S1272" s="45">
        <v>555</v>
      </c>
      <c r="T1272" s="45">
        <v>575</v>
      </c>
      <c r="U1272" s="45">
        <v>632</v>
      </c>
      <c r="V1272" s="46"/>
    </row>
    <row r="1273" spans="2:22" ht="20" x14ac:dyDescent="0.25">
      <c r="B1273" s="47" t="s">
        <v>1259</v>
      </c>
      <c r="C1273" s="47" t="s">
        <v>417</v>
      </c>
      <c r="D1273" s="47" t="s">
        <v>1006</v>
      </c>
      <c r="E1273" s="47" t="s">
        <v>27</v>
      </c>
      <c r="F1273" s="47" t="s">
        <v>418</v>
      </c>
      <c r="G1273" s="47" t="s">
        <v>27</v>
      </c>
      <c r="H1273" s="47">
        <v>70417</v>
      </c>
      <c r="I1273" s="47">
        <v>70512</v>
      </c>
      <c r="J1273" s="47" t="s">
        <v>28</v>
      </c>
      <c r="K1273" s="47" t="s">
        <v>1259</v>
      </c>
      <c r="L1273" s="47" t="s">
        <v>30</v>
      </c>
      <c r="M1273" s="47" t="s">
        <v>417</v>
      </c>
      <c r="N1273" s="48">
        <v>1266</v>
      </c>
      <c r="O1273" s="48">
        <v>1393</v>
      </c>
      <c r="P1273" s="48">
        <v>1443</v>
      </c>
      <c r="Q1273" s="48">
        <v>1587</v>
      </c>
      <c r="R1273" s="48">
        <v>504</v>
      </c>
      <c r="S1273" s="48">
        <v>555</v>
      </c>
      <c r="T1273" s="48">
        <v>575</v>
      </c>
      <c r="U1273" s="48">
        <v>632</v>
      </c>
      <c r="V1273" s="48"/>
    </row>
    <row r="1274" spans="2:22" ht="23" x14ac:dyDescent="0.25">
      <c r="B1274" s="44" t="s">
        <v>1260</v>
      </c>
      <c r="C1274" s="44" t="s">
        <v>1068</v>
      </c>
      <c r="D1274" s="44" t="s">
        <v>1006</v>
      </c>
      <c r="E1274" s="44" t="s">
        <v>27</v>
      </c>
      <c r="F1274" s="44" t="s">
        <v>1071</v>
      </c>
      <c r="G1274" s="44" t="s">
        <v>27</v>
      </c>
      <c r="H1274" s="44">
        <v>70417</v>
      </c>
      <c r="I1274" s="44">
        <v>70428</v>
      </c>
      <c r="J1274" s="44" t="s">
        <v>28</v>
      </c>
      <c r="K1274" s="44" t="s">
        <v>1260</v>
      </c>
      <c r="L1274" s="44" t="s">
        <v>29</v>
      </c>
      <c r="M1274" s="44"/>
      <c r="N1274" s="45">
        <v>1134</v>
      </c>
      <c r="O1274" s="45">
        <v>1134</v>
      </c>
      <c r="P1274" s="45">
        <v>1334</v>
      </c>
      <c r="Q1274" s="45">
        <v>1334</v>
      </c>
      <c r="R1274" s="45">
        <v>452</v>
      </c>
      <c r="S1274" s="45">
        <v>452</v>
      </c>
      <c r="T1274" s="45">
        <v>531</v>
      </c>
      <c r="U1274" s="45">
        <v>531</v>
      </c>
      <c r="V1274" s="46"/>
    </row>
    <row r="1275" spans="2:22" ht="20" x14ac:dyDescent="0.25">
      <c r="B1275" s="47" t="s">
        <v>1260</v>
      </c>
      <c r="C1275" s="47" t="s">
        <v>1068</v>
      </c>
      <c r="D1275" s="47" t="s">
        <v>1006</v>
      </c>
      <c r="E1275" s="47" t="s">
        <v>27</v>
      </c>
      <c r="F1275" s="47" t="s">
        <v>1071</v>
      </c>
      <c r="G1275" s="47" t="s">
        <v>27</v>
      </c>
      <c r="H1275" s="47">
        <v>70417</v>
      </c>
      <c r="I1275" s="47">
        <v>70428</v>
      </c>
      <c r="J1275" s="47" t="s">
        <v>28</v>
      </c>
      <c r="K1275" s="47" t="s">
        <v>1260</v>
      </c>
      <c r="L1275" s="47" t="s">
        <v>30</v>
      </c>
      <c r="M1275" s="47" t="s">
        <v>1068</v>
      </c>
      <c r="N1275" s="48">
        <v>1134</v>
      </c>
      <c r="O1275" s="48">
        <v>1134</v>
      </c>
      <c r="P1275" s="48">
        <v>1334</v>
      </c>
      <c r="Q1275" s="48">
        <v>1334</v>
      </c>
      <c r="R1275" s="48">
        <v>452</v>
      </c>
      <c r="S1275" s="48">
        <v>452</v>
      </c>
      <c r="T1275" s="48">
        <v>531</v>
      </c>
      <c r="U1275" s="48">
        <v>531</v>
      </c>
      <c r="V1275" s="48"/>
    </row>
    <row r="1276" spans="2:22" ht="23" x14ac:dyDescent="0.25">
      <c r="B1276" s="44" t="s">
        <v>112</v>
      </c>
      <c r="C1276" s="44" t="s">
        <v>101</v>
      </c>
      <c r="D1276" s="44" t="s">
        <v>962</v>
      </c>
      <c r="E1276" s="44" t="s">
        <v>27</v>
      </c>
      <c r="F1276" s="44" t="s">
        <v>1246</v>
      </c>
      <c r="G1276" s="44" t="s">
        <v>27</v>
      </c>
      <c r="H1276" s="44">
        <v>70524</v>
      </c>
      <c r="I1276" s="44">
        <v>70533</v>
      </c>
      <c r="J1276" s="44" t="s">
        <v>28</v>
      </c>
      <c r="K1276" s="44" t="s">
        <v>112</v>
      </c>
      <c r="L1276" s="44" t="s">
        <v>29</v>
      </c>
      <c r="M1276" s="44"/>
      <c r="N1276" s="45">
        <v>1841</v>
      </c>
      <c r="O1276" s="45">
        <v>2000</v>
      </c>
      <c r="P1276" s="45">
        <v>2000</v>
      </c>
      <c r="Q1276" s="45">
        <v>2000</v>
      </c>
      <c r="R1276" s="45">
        <v>733</v>
      </c>
      <c r="S1276" s="45">
        <v>797</v>
      </c>
      <c r="T1276" s="45">
        <v>797</v>
      </c>
      <c r="U1276" s="45">
        <v>797</v>
      </c>
      <c r="V1276" s="46"/>
    </row>
    <row r="1277" spans="2:22" ht="20" x14ac:dyDescent="0.25">
      <c r="B1277" s="47" t="s">
        <v>112</v>
      </c>
      <c r="C1277" s="47" t="s">
        <v>101</v>
      </c>
      <c r="D1277" s="47" t="s">
        <v>962</v>
      </c>
      <c r="E1277" s="47" t="s">
        <v>27</v>
      </c>
      <c r="F1277" s="47" t="s">
        <v>1246</v>
      </c>
      <c r="G1277" s="47" t="s">
        <v>27</v>
      </c>
      <c r="H1277" s="47">
        <v>70524</v>
      </c>
      <c r="I1277" s="47">
        <v>70533</v>
      </c>
      <c r="J1277" s="47" t="s">
        <v>28</v>
      </c>
      <c r="K1277" s="47" t="s">
        <v>1095</v>
      </c>
      <c r="L1277" s="47" t="s">
        <v>31</v>
      </c>
      <c r="M1277" s="47" t="s">
        <v>1261</v>
      </c>
      <c r="N1277" s="48">
        <v>1841</v>
      </c>
      <c r="O1277" s="47">
        <v>2025</v>
      </c>
      <c r="P1277" s="47">
        <v>2094</v>
      </c>
      <c r="Q1277" s="47">
        <v>2303</v>
      </c>
      <c r="R1277" s="48">
        <v>733</v>
      </c>
      <c r="S1277" s="47">
        <v>807</v>
      </c>
      <c r="T1277" s="47">
        <v>834</v>
      </c>
      <c r="U1277" s="47">
        <v>917</v>
      </c>
      <c r="V1277" s="47"/>
    </row>
    <row r="1278" spans="2:22" ht="20" x14ac:dyDescent="0.25">
      <c r="B1278" s="47" t="s">
        <v>112</v>
      </c>
      <c r="C1278" s="47" t="s">
        <v>101</v>
      </c>
      <c r="D1278" s="47" t="s">
        <v>962</v>
      </c>
      <c r="E1278" s="47" t="s">
        <v>27</v>
      </c>
      <c r="F1278" s="47" t="s">
        <v>1246</v>
      </c>
      <c r="G1278" s="47" t="s">
        <v>27</v>
      </c>
      <c r="H1278" s="47">
        <v>70524</v>
      </c>
      <c r="I1278" s="47">
        <v>70533</v>
      </c>
      <c r="J1278" s="47" t="s">
        <v>28</v>
      </c>
      <c r="K1278" s="47" t="s">
        <v>960</v>
      </c>
      <c r="L1278" s="47" t="s">
        <v>31</v>
      </c>
      <c r="M1278" s="47" t="s">
        <v>1247</v>
      </c>
      <c r="N1278" s="48">
        <v>1841</v>
      </c>
      <c r="O1278" s="47">
        <v>2025</v>
      </c>
      <c r="P1278" s="47">
        <v>2094</v>
      </c>
      <c r="Q1278" s="47">
        <v>2303</v>
      </c>
      <c r="R1278" s="48">
        <v>733</v>
      </c>
      <c r="S1278" s="47">
        <v>807</v>
      </c>
      <c r="T1278" s="47">
        <v>834</v>
      </c>
      <c r="U1278" s="47">
        <v>917</v>
      </c>
      <c r="V1278" s="47"/>
    </row>
    <row r="1279" spans="2:22" ht="20" x14ac:dyDescent="0.25">
      <c r="B1279" s="47" t="s">
        <v>112</v>
      </c>
      <c r="C1279" s="47" t="s">
        <v>101</v>
      </c>
      <c r="D1279" s="47" t="s">
        <v>962</v>
      </c>
      <c r="E1279" s="47" t="s">
        <v>27</v>
      </c>
      <c r="F1279" s="47" t="s">
        <v>1246</v>
      </c>
      <c r="G1279" s="47" t="s">
        <v>27</v>
      </c>
      <c r="H1279" s="47">
        <v>70524</v>
      </c>
      <c r="I1279" s="47">
        <v>70533</v>
      </c>
      <c r="J1279" s="47" t="s">
        <v>28</v>
      </c>
      <c r="K1279" s="47" t="s">
        <v>113</v>
      </c>
      <c r="L1279" s="47" t="s">
        <v>1315</v>
      </c>
      <c r="M1279" s="47" t="s">
        <v>1247</v>
      </c>
      <c r="N1279" s="47">
        <v>2000</v>
      </c>
      <c r="O1279" s="48">
        <v>2000</v>
      </c>
      <c r="P1279" s="48">
        <v>2000</v>
      </c>
      <c r="Q1279" s="48">
        <v>2000</v>
      </c>
      <c r="R1279" s="47">
        <v>797</v>
      </c>
      <c r="S1279" s="48">
        <v>797</v>
      </c>
      <c r="T1279" s="48">
        <v>797</v>
      </c>
      <c r="U1279" s="48">
        <v>797</v>
      </c>
      <c r="V1279" s="48"/>
    </row>
    <row r="1280" spans="2:22" ht="23" x14ac:dyDescent="0.25">
      <c r="B1280" s="44" t="s">
        <v>1262</v>
      </c>
      <c r="C1280" s="44" t="s">
        <v>1263</v>
      </c>
      <c r="D1280" s="44" t="s">
        <v>1015</v>
      </c>
      <c r="E1280" s="44" t="s">
        <v>27</v>
      </c>
      <c r="F1280" s="44" t="s">
        <v>2478</v>
      </c>
      <c r="G1280" s="44" t="s">
        <v>27</v>
      </c>
      <c r="H1280" s="44">
        <v>70427</v>
      </c>
      <c r="I1280" s="44">
        <v>70927</v>
      </c>
      <c r="J1280" s="44" t="s">
        <v>28</v>
      </c>
      <c r="K1280" s="44" t="s">
        <v>1262</v>
      </c>
      <c r="L1280" s="44" t="s">
        <v>29</v>
      </c>
      <c r="M1280" s="44"/>
      <c r="N1280" s="45">
        <v>1175</v>
      </c>
      <c r="O1280" s="45">
        <v>1188</v>
      </c>
      <c r="P1280" s="45">
        <v>1255</v>
      </c>
      <c r="Q1280" s="45">
        <v>1255</v>
      </c>
      <c r="R1280" s="45">
        <v>468</v>
      </c>
      <c r="S1280" s="45">
        <v>473</v>
      </c>
      <c r="T1280" s="45">
        <v>500</v>
      </c>
      <c r="U1280" s="45">
        <v>500</v>
      </c>
      <c r="V1280" s="46"/>
    </row>
    <row r="1281" spans="2:22" ht="20" x14ac:dyDescent="0.25">
      <c r="B1281" s="47" t="s">
        <v>1262</v>
      </c>
      <c r="C1281" s="47" t="s">
        <v>1263</v>
      </c>
      <c r="D1281" s="47" t="s">
        <v>1015</v>
      </c>
      <c r="E1281" s="47" t="s">
        <v>27</v>
      </c>
      <c r="F1281" s="47" t="s">
        <v>2478</v>
      </c>
      <c r="G1281" s="47" t="s">
        <v>27</v>
      </c>
      <c r="H1281" s="47">
        <v>70427</v>
      </c>
      <c r="I1281" s="47">
        <v>70927</v>
      </c>
      <c r="J1281" s="47" t="s">
        <v>28</v>
      </c>
      <c r="K1281" s="47" t="s">
        <v>388</v>
      </c>
      <c r="L1281" s="47" t="s">
        <v>31</v>
      </c>
      <c r="M1281" s="47" t="s">
        <v>1017</v>
      </c>
      <c r="N1281" s="48">
        <v>1175</v>
      </c>
      <c r="O1281" s="47">
        <v>1380</v>
      </c>
      <c r="P1281" s="47">
        <v>1408</v>
      </c>
      <c r="Q1281" s="47">
        <v>1575</v>
      </c>
      <c r="R1281" s="48">
        <v>468</v>
      </c>
      <c r="S1281" s="47">
        <v>550</v>
      </c>
      <c r="T1281" s="47">
        <v>561</v>
      </c>
      <c r="U1281" s="47">
        <v>628</v>
      </c>
      <c r="V1281" s="47"/>
    </row>
    <row r="1282" spans="2:22" ht="20" x14ac:dyDescent="0.25">
      <c r="B1282" s="47" t="s">
        <v>1262</v>
      </c>
      <c r="C1282" s="47" t="s">
        <v>1263</v>
      </c>
      <c r="D1282" s="47" t="s">
        <v>1015</v>
      </c>
      <c r="E1282" s="47" t="s">
        <v>27</v>
      </c>
      <c r="F1282" s="47" t="s">
        <v>2478</v>
      </c>
      <c r="G1282" s="47" t="s">
        <v>27</v>
      </c>
      <c r="H1282" s="47">
        <v>70427</v>
      </c>
      <c r="I1282" s="47">
        <v>70927</v>
      </c>
      <c r="J1282" s="47" t="s">
        <v>28</v>
      </c>
      <c r="K1282" s="47"/>
      <c r="L1282" s="47" t="s">
        <v>301</v>
      </c>
      <c r="M1282" s="47" t="s">
        <v>1017</v>
      </c>
      <c r="N1282" s="47">
        <v>1188</v>
      </c>
      <c r="O1282" s="48">
        <v>1188</v>
      </c>
      <c r="P1282" s="48">
        <v>1255</v>
      </c>
      <c r="Q1282" s="48">
        <v>1255</v>
      </c>
      <c r="R1282" s="47">
        <v>473</v>
      </c>
      <c r="S1282" s="48">
        <v>473</v>
      </c>
      <c r="T1282" s="48">
        <v>500</v>
      </c>
      <c r="U1282" s="48">
        <v>500</v>
      </c>
      <c r="V1282" s="48"/>
    </row>
    <row r="1283" spans="2:22" ht="23" x14ac:dyDescent="0.25">
      <c r="B1283" s="44" t="s">
        <v>1264</v>
      </c>
      <c r="C1283" s="44" t="s">
        <v>1265</v>
      </c>
      <c r="D1283" s="44" t="s">
        <v>1015</v>
      </c>
      <c r="E1283" s="44" t="s">
        <v>27</v>
      </c>
      <c r="F1283" s="44" t="s">
        <v>490</v>
      </c>
      <c r="G1283" s="44" t="s">
        <v>27</v>
      </c>
      <c r="H1283" s="44">
        <v>70427</v>
      </c>
      <c r="I1283" s="44">
        <v>70464</v>
      </c>
      <c r="J1283" s="44" t="s">
        <v>28</v>
      </c>
      <c r="K1283" s="44" t="s">
        <v>1264</v>
      </c>
      <c r="L1283" s="44" t="s">
        <v>29</v>
      </c>
      <c r="M1283" s="44"/>
      <c r="N1283" s="45">
        <v>1175</v>
      </c>
      <c r="O1283" s="45">
        <v>1188</v>
      </c>
      <c r="P1283" s="45">
        <v>1255</v>
      </c>
      <c r="Q1283" s="45">
        <v>1255</v>
      </c>
      <c r="R1283" s="45">
        <v>468</v>
      </c>
      <c r="S1283" s="45">
        <v>473</v>
      </c>
      <c r="T1283" s="45">
        <v>500</v>
      </c>
      <c r="U1283" s="45">
        <v>500</v>
      </c>
      <c r="V1283" s="46"/>
    </row>
    <row r="1284" spans="2:22" ht="20" x14ac:dyDescent="0.25">
      <c r="B1284" s="47" t="s">
        <v>1264</v>
      </c>
      <c r="C1284" s="47" t="s">
        <v>1265</v>
      </c>
      <c r="D1284" s="47" t="s">
        <v>1015</v>
      </c>
      <c r="E1284" s="47" t="s">
        <v>27</v>
      </c>
      <c r="F1284" s="47" t="s">
        <v>490</v>
      </c>
      <c r="G1284" s="47" t="s">
        <v>27</v>
      </c>
      <c r="H1284" s="47">
        <v>70427</v>
      </c>
      <c r="I1284" s="47">
        <v>70464</v>
      </c>
      <c r="J1284" s="47" t="s">
        <v>28</v>
      </c>
      <c r="K1284" s="47" t="s">
        <v>388</v>
      </c>
      <c r="L1284" s="47" t="s">
        <v>31</v>
      </c>
      <c r="M1284" s="47" t="s">
        <v>1017</v>
      </c>
      <c r="N1284" s="48">
        <v>1175</v>
      </c>
      <c r="O1284" s="47">
        <v>1380</v>
      </c>
      <c r="P1284" s="47">
        <v>1408</v>
      </c>
      <c r="Q1284" s="47">
        <v>1575</v>
      </c>
      <c r="R1284" s="48">
        <v>468</v>
      </c>
      <c r="S1284" s="47">
        <v>550</v>
      </c>
      <c r="T1284" s="47">
        <v>561</v>
      </c>
      <c r="U1284" s="47">
        <v>628</v>
      </c>
      <c r="V1284" s="47"/>
    </row>
    <row r="1285" spans="2:22" ht="20" x14ac:dyDescent="0.25">
      <c r="B1285" s="47" t="s">
        <v>1264</v>
      </c>
      <c r="C1285" s="47" t="s">
        <v>1265</v>
      </c>
      <c r="D1285" s="47" t="s">
        <v>1015</v>
      </c>
      <c r="E1285" s="47" t="s">
        <v>27</v>
      </c>
      <c r="F1285" s="47" t="s">
        <v>490</v>
      </c>
      <c r="G1285" s="47" t="s">
        <v>27</v>
      </c>
      <c r="H1285" s="47">
        <v>70427</v>
      </c>
      <c r="I1285" s="47">
        <v>70464</v>
      </c>
      <c r="J1285" s="47" t="s">
        <v>28</v>
      </c>
      <c r="K1285" s="47"/>
      <c r="L1285" s="47" t="s">
        <v>301</v>
      </c>
      <c r="M1285" s="47" t="s">
        <v>1017</v>
      </c>
      <c r="N1285" s="47">
        <v>1188</v>
      </c>
      <c r="O1285" s="48">
        <v>1188</v>
      </c>
      <c r="P1285" s="48">
        <v>1255</v>
      </c>
      <c r="Q1285" s="48">
        <v>1255</v>
      </c>
      <c r="R1285" s="47">
        <v>473</v>
      </c>
      <c r="S1285" s="48">
        <v>473</v>
      </c>
      <c r="T1285" s="48">
        <v>500</v>
      </c>
      <c r="U1285" s="48">
        <v>500</v>
      </c>
      <c r="V1285" s="48"/>
    </row>
    <row r="1286" spans="2:22" ht="23" x14ac:dyDescent="0.25">
      <c r="B1286" s="44" t="s">
        <v>163</v>
      </c>
      <c r="C1286" s="44" t="s">
        <v>2557</v>
      </c>
      <c r="D1286" s="44" t="s">
        <v>1266</v>
      </c>
      <c r="E1286" s="44" t="s">
        <v>27</v>
      </c>
      <c r="F1286" s="44" t="s">
        <v>723</v>
      </c>
      <c r="G1286" s="44" t="s">
        <v>27</v>
      </c>
      <c r="H1286" s="44">
        <v>70432</v>
      </c>
      <c r="I1286" s="44">
        <v>70539</v>
      </c>
      <c r="J1286" s="44" t="s">
        <v>28</v>
      </c>
      <c r="K1286" s="44" t="s">
        <v>163</v>
      </c>
      <c r="L1286" s="44" t="s">
        <v>29</v>
      </c>
      <c r="M1286" s="44"/>
      <c r="N1286" s="45">
        <v>1423</v>
      </c>
      <c r="O1286" s="45">
        <v>1566</v>
      </c>
      <c r="P1286" s="45">
        <v>1600</v>
      </c>
      <c r="Q1286" s="45">
        <v>1600</v>
      </c>
      <c r="R1286" s="45">
        <v>567</v>
      </c>
      <c r="S1286" s="45">
        <v>624</v>
      </c>
      <c r="T1286" s="45">
        <v>637</v>
      </c>
      <c r="U1286" s="45">
        <v>637</v>
      </c>
      <c r="V1286" s="46"/>
    </row>
    <row r="1287" spans="2:22" ht="20" x14ac:dyDescent="0.25">
      <c r="B1287" s="47" t="s">
        <v>163</v>
      </c>
      <c r="C1287" s="47" t="s">
        <v>2557</v>
      </c>
      <c r="D1287" s="47" t="s">
        <v>1266</v>
      </c>
      <c r="E1287" s="47" t="s">
        <v>27</v>
      </c>
      <c r="F1287" s="47" t="s">
        <v>723</v>
      </c>
      <c r="G1287" s="47" t="s">
        <v>27</v>
      </c>
      <c r="H1287" s="47">
        <v>70432</v>
      </c>
      <c r="I1287" s="47">
        <v>70539</v>
      </c>
      <c r="J1287" s="47" t="s">
        <v>28</v>
      </c>
      <c r="K1287" s="47" t="s">
        <v>388</v>
      </c>
      <c r="L1287" s="47" t="s">
        <v>31</v>
      </c>
      <c r="M1287" s="47" t="s">
        <v>1267</v>
      </c>
      <c r="N1287" s="48">
        <v>1423</v>
      </c>
      <c r="O1287" s="48">
        <v>1566</v>
      </c>
      <c r="P1287" s="47">
        <v>1622</v>
      </c>
      <c r="Q1287" s="47">
        <v>1784</v>
      </c>
      <c r="R1287" s="48">
        <v>567</v>
      </c>
      <c r="S1287" s="48">
        <v>624</v>
      </c>
      <c r="T1287" s="47">
        <v>646</v>
      </c>
      <c r="U1287" s="47">
        <v>711</v>
      </c>
      <c r="V1287" s="47"/>
    </row>
    <row r="1288" spans="2:22" ht="20" x14ac:dyDescent="0.25">
      <c r="B1288" s="47" t="s">
        <v>163</v>
      </c>
      <c r="C1288" s="47" t="s">
        <v>2557</v>
      </c>
      <c r="D1288" s="47" t="s">
        <v>1266</v>
      </c>
      <c r="E1288" s="47" t="s">
        <v>27</v>
      </c>
      <c r="F1288" s="47" t="s">
        <v>723</v>
      </c>
      <c r="G1288" s="47" t="s">
        <v>27</v>
      </c>
      <c r="H1288" s="47">
        <v>70432</v>
      </c>
      <c r="I1288" s="47">
        <v>70539</v>
      </c>
      <c r="J1288" s="47" t="s">
        <v>28</v>
      </c>
      <c r="K1288" s="47" t="s">
        <v>2558</v>
      </c>
      <c r="L1288" s="47" t="s">
        <v>1315</v>
      </c>
      <c r="M1288" s="47" t="s">
        <v>1267</v>
      </c>
      <c r="N1288" s="47">
        <v>1600</v>
      </c>
      <c r="O1288" s="47">
        <v>1600</v>
      </c>
      <c r="P1288" s="48">
        <v>1600</v>
      </c>
      <c r="Q1288" s="48">
        <v>1600</v>
      </c>
      <c r="R1288" s="47">
        <v>637</v>
      </c>
      <c r="S1288" s="47">
        <v>637</v>
      </c>
      <c r="T1288" s="48">
        <v>637</v>
      </c>
      <c r="U1288" s="48">
        <v>637</v>
      </c>
      <c r="V1288" s="48"/>
    </row>
    <row r="1289" spans="2:22" ht="23" x14ac:dyDescent="0.25">
      <c r="B1289" s="44" t="s">
        <v>168</v>
      </c>
      <c r="C1289" s="44" t="s">
        <v>2557</v>
      </c>
      <c r="D1289" s="44" t="s">
        <v>1266</v>
      </c>
      <c r="E1289" s="44" t="s">
        <v>27</v>
      </c>
      <c r="F1289" s="44" t="s">
        <v>1242</v>
      </c>
      <c r="G1289" s="44" t="s">
        <v>27</v>
      </c>
      <c r="H1289" s="44">
        <v>70432</v>
      </c>
      <c r="I1289" s="44">
        <v>70530</v>
      </c>
      <c r="J1289" s="44" t="s">
        <v>28</v>
      </c>
      <c r="K1289" s="44" t="s">
        <v>168</v>
      </c>
      <c r="L1289" s="44" t="s">
        <v>29</v>
      </c>
      <c r="M1289" s="44"/>
      <c r="N1289" s="45">
        <v>1423</v>
      </c>
      <c r="O1289" s="45">
        <v>1566</v>
      </c>
      <c r="P1289" s="45">
        <v>1600</v>
      </c>
      <c r="Q1289" s="45">
        <v>1600</v>
      </c>
      <c r="R1289" s="45">
        <v>567</v>
      </c>
      <c r="S1289" s="45">
        <v>624</v>
      </c>
      <c r="T1289" s="45">
        <v>637</v>
      </c>
      <c r="U1289" s="45">
        <v>637</v>
      </c>
      <c r="V1289" s="46"/>
    </row>
    <row r="1290" spans="2:22" ht="20" x14ac:dyDescent="0.25">
      <c r="B1290" s="47" t="s">
        <v>168</v>
      </c>
      <c r="C1290" s="47" t="s">
        <v>2557</v>
      </c>
      <c r="D1290" s="47" t="s">
        <v>1266</v>
      </c>
      <c r="E1290" s="47" t="s">
        <v>27</v>
      </c>
      <c r="F1290" s="47" t="s">
        <v>1242</v>
      </c>
      <c r="G1290" s="47" t="s">
        <v>27</v>
      </c>
      <c r="H1290" s="47">
        <v>70432</v>
      </c>
      <c r="I1290" s="47">
        <v>70530</v>
      </c>
      <c r="J1290" s="47" t="s">
        <v>28</v>
      </c>
      <c r="K1290" s="47" t="s">
        <v>388</v>
      </c>
      <c r="L1290" s="47" t="s">
        <v>31</v>
      </c>
      <c r="M1290" s="47" t="s">
        <v>1267</v>
      </c>
      <c r="N1290" s="48">
        <v>1423</v>
      </c>
      <c r="O1290" s="48">
        <v>1566</v>
      </c>
      <c r="P1290" s="47">
        <v>1622</v>
      </c>
      <c r="Q1290" s="47">
        <v>1784</v>
      </c>
      <c r="R1290" s="48">
        <v>567</v>
      </c>
      <c r="S1290" s="48">
        <v>624</v>
      </c>
      <c r="T1290" s="47">
        <v>646</v>
      </c>
      <c r="U1290" s="47">
        <v>711</v>
      </c>
      <c r="V1290" s="47"/>
    </row>
    <row r="1291" spans="2:22" ht="20" x14ac:dyDescent="0.25">
      <c r="B1291" s="47" t="s">
        <v>168</v>
      </c>
      <c r="C1291" s="47" t="s">
        <v>2557</v>
      </c>
      <c r="D1291" s="47" t="s">
        <v>1266</v>
      </c>
      <c r="E1291" s="47" t="s">
        <v>27</v>
      </c>
      <c r="F1291" s="47" t="s">
        <v>1242</v>
      </c>
      <c r="G1291" s="47" t="s">
        <v>27</v>
      </c>
      <c r="H1291" s="47">
        <v>70432</v>
      </c>
      <c r="I1291" s="47">
        <v>70530</v>
      </c>
      <c r="J1291" s="47" t="s">
        <v>28</v>
      </c>
      <c r="K1291" s="47" t="s">
        <v>2559</v>
      </c>
      <c r="L1291" s="47" t="s">
        <v>1315</v>
      </c>
      <c r="M1291" s="47" t="s">
        <v>1267</v>
      </c>
      <c r="N1291" s="47">
        <v>1600</v>
      </c>
      <c r="O1291" s="47">
        <v>1600</v>
      </c>
      <c r="P1291" s="48">
        <v>1600</v>
      </c>
      <c r="Q1291" s="48">
        <v>1600</v>
      </c>
      <c r="R1291" s="47">
        <v>637</v>
      </c>
      <c r="S1291" s="47">
        <v>637</v>
      </c>
      <c r="T1291" s="48">
        <v>637</v>
      </c>
      <c r="U1291" s="48">
        <v>637</v>
      </c>
      <c r="V1291" s="48"/>
    </row>
    <row r="1292" spans="2:22" ht="23" x14ac:dyDescent="0.25">
      <c r="B1292" s="44" t="s">
        <v>179</v>
      </c>
      <c r="C1292" s="44" t="s">
        <v>162</v>
      </c>
      <c r="D1292" s="44" t="s">
        <v>224</v>
      </c>
      <c r="E1292" s="44" t="s">
        <v>27</v>
      </c>
      <c r="F1292" s="44" t="s">
        <v>225</v>
      </c>
      <c r="G1292" s="44" t="s">
        <v>27</v>
      </c>
      <c r="H1292" s="44">
        <v>70435</v>
      </c>
      <c r="I1292" s="44">
        <v>70304</v>
      </c>
      <c r="J1292" s="44" t="s">
        <v>28</v>
      </c>
      <c r="K1292" s="44" t="s">
        <v>179</v>
      </c>
      <c r="L1292" s="44" t="s">
        <v>29</v>
      </c>
      <c r="M1292" s="44"/>
      <c r="N1292" s="45">
        <v>1241</v>
      </c>
      <c r="O1292" s="45">
        <v>1383</v>
      </c>
      <c r="P1292" s="45">
        <v>1281</v>
      </c>
      <c r="Q1292" s="45">
        <v>1415</v>
      </c>
      <c r="R1292" s="45">
        <v>247</v>
      </c>
      <c r="S1292" s="45">
        <v>275</v>
      </c>
      <c r="T1292" s="45">
        <v>255</v>
      </c>
      <c r="U1292" s="45">
        <v>282</v>
      </c>
      <c r="V1292" s="46"/>
    </row>
    <row r="1293" spans="2:22" ht="20" x14ac:dyDescent="0.25">
      <c r="B1293" s="47" t="s">
        <v>179</v>
      </c>
      <c r="C1293" s="47" t="s">
        <v>162</v>
      </c>
      <c r="D1293" s="47" t="s">
        <v>224</v>
      </c>
      <c r="E1293" s="47" t="s">
        <v>27</v>
      </c>
      <c r="F1293" s="47" t="s">
        <v>225</v>
      </c>
      <c r="G1293" s="47" t="s">
        <v>27</v>
      </c>
      <c r="H1293" s="47">
        <v>70435</v>
      </c>
      <c r="I1293" s="47">
        <v>70304</v>
      </c>
      <c r="J1293" s="47" t="s">
        <v>28</v>
      </c>
      <c r="K1293" s="47" t="s">
        <v>179</v>
      </c>
      <c r="L1293" s="47" t="s">
        <v>30</v>
      </c>
      <c r="M1293" s="47" t="s">
        <v>162</v>
      </c>
      <c r="N1293" s="48">
        <v>1241</v>
      </c>
      <c r="O1293" s="48">
        <v>1383</v>
      </c>
      <c r="P1293" s="48">
        <v>1281</v>
      </c>
      <c r="Q1293" s="48">
        <v>1415</v>
      </c>
      <c r="R1293" s="48">
        <v>247</v>
      </c>
      <c r="S1293" s="48">
        <v>275</v>
      </c>
      <c r="T1293" s="48">
        <v>255</v>
      </c>
      <c r="U1293" s="48">
        <v>282</v>
      </c>
      <c r="V1293" s="48"/>
    </row>
    <row r="1294" spans="2:22" ht="34.5" x14ac:dyDescent="0.25">
      <c r="B1294" s="44" t="s">
        <v>1273</v>
      </c>
      <c r="C1294" s="44" t="s">
        <v>1274</v>
      </c>
      <c r="D1294" s="44" t="s">
        <v>560</v>
      </c>
      <c r="E1294" s="44" t="s">
        <v>27</v>
      </c>
      <c r="F1294" s="44" t="s">
        <v>579</v>
      </c>
      <c r="G1294" s="44" t="s">
        <v>27</v>
      </c>
      <c r="H1294" s="44">
        <v>79035</v>
      </c>
      <c r="I1294" s="44">
        <v>79047</v>
      </c>
      <c r="J1294" s="44" t="s">
        <v>28</v>
      </c>
      <c r="K1294" s="44" t="s">
        <v>1273</v>
      </c>
      <c r="L1294" s="44" t="s">
        <v>29</v>
      </c>
      <c r="M1294" s="44"/>
      <c r="N1294" s="45">
        <v>579</v>
      </c>
      <c r="O1294" s="45">
        <v>579</v>
      </c>
      <c r="P1294" s="45">
        <v>600</v>
      </c>
      <c r="Q1294" s="45">
        <v>600</v>
      </c>
      <c r="R1294" s="45">
        <v>138</v>
      </c>
      <c r="S1294" s="45">
        <v>138</v>
      </c>
      <c r="T1294" s="45">
        <v>143</v>
      </c>
      <c r="U1294" s="45">
        <v>143</v>
      </c>
      <c r="V1294" s="46"/>
    </row>
    <row r="1295" spans="2:22" ht="30" x14ac:dyDescent="0.25">
      <c r="B1295" s="47" t="s">
        <v>1273</v>
      </c>
      <c r="C1295" s="47" t="s">
        <v>1274</v>
      </c>
      <c r="D1295" s="47" t="s">
        <v>560</v>
      </c>
      <c r="E1295" s="47" t="s">
        <v>27</v>
      </c>
      <c r="F1295" s="47" t="s">
        <v>579</v>
      </c>
      <c r="G1295" s="47" t="s">
        <v>27</v>
      </c>
      <c r="H1295" s="47">
        <v>79035</v>
      </c>
      <c r="I1295" s="47">
        <v>79047</v>
      </c>
      <c r="J1295" s="47" t="s">
        <v>28</v>
      </c>
      <c r="K1295" s="47" t="s">
        <v>1273</v>
      </c>
      <c r="L1295" s="47" t="s">
        <v>30</v>
      </c>
      <c r="M1295" s="47" t="s">
        <v>1274</v>
      </c>
      <c r="N1295" s="48">
        <v>579</v>
      </c>
      <c r="O1295" s="48">
        <v>579</v>
      </c>
      <c r="P1295" s="47">
        <v>717</v>
      </c>
      <c r="Q1295" s="47">
        <v>717</v>
      </c>
      <c r="R1295" s="48">
        <v>138</v>
      </c>
      <c r="S1295" s="48">
        <v>138</v>
      </c>
      <c r="T1295" s="47">
        <v>171</v>
      </c>
      <c r="U1295" s="47">
        <v>171</v>
      </c>
      <c r="V1295" s="47"/>
    </row>
    <row r="1296" spans="2:22" ht="30" x14ac:dyDescent="0.25">
      <c r="B1296" s="47" t="s">
        <v>1273</v>
      </c>
      <c r="C1296" s="47" t="s">
        <v>1274</v>
      </c>
      <c r="D1296" s="47" t="s">
        <v>560</v>
      </c>
      <c r="E1296" s="47" t="s">
        <v>27</v>
      </c>
      <c r="F1296" s="47" t="s">
        <v>579</v>
      </c>
      <c r="G1296" s="47" t="s">
        <v>27</v>
      </c>
      <c r="H1296" s="47">
        <v>79035</v>
      </c>
      <c r="I1296" s="47">
        <v>79047</v>
      </c>
      <c r="J1296" s="47" t="s">
        <v>28</v>
      </c>
      <c r="K1296" s="47" t="s">
        <v>2019</v>
      </c>
      <c r="L1296" s="47" t="s">
        <v>39</v>
      </c>
      <c r="M1296" s="47" t="s">
        <v>582</v>
      </c>
      <c r="N1296" s="47">
        <v>600</v>
      </c>
      <c r="O1296" s="47">
        <v>600</v>
      </c>
      <c r="P1296" s="48">
        <v>600</v>
      </c>
      <c r="Q1296" s="48">
        <v>600</v>
      </c>
      <c r="R1296" s="47">
        <v>143</v>
      </c>
      <c r="S1296" s="47">
        <v>143</v>
      </c>
      <c r="T1296" s="48">
        <v>143</v>
      </c>
      <c r="U1296" s="48">
        <v>143</v>
      </c>
      <c r="V1296" s="48"/>
    </row>
    <row r="1297" spans="2:22" ht="34.5" x14ac:dyDescent="0.25">
      <c r="B1297" s="44" t="s">
        <v>1277</v>
      </c>
      <c r="C1297" s="44" t="s">
        <v>1278</v>
      </c>
      <c r="D1297" s="44" t="s">
        <v>560</v>
      </c>
      <c r="E1297" s="44" t="s">
        <v>27</v>
      </c>
      <c r="F1297" s="44" t="s">
        <v>580</v>
      </c>
      <c r="G1297" s="44" t="s">
        <v>27</v>
      </c>
      <c r="H1297" s="44">
        <v>79036</v>
      </c>
      <c r="I1297" s="44">
        <v>79058</v>
      </c>
      <c r="J1297" s="44" t="s">
        <v>28</v>
      </c>
      <c r="K1297" s="44" t="s">
        <v>1277</v>
      </c>
      <c r="L1297" s="44" t="s">
        <v>29</v>
      </c>
      <c r="M1297" s="44"/>
      <c r="N1297" s="45">
        <v>1200</v>
      </c>
      <c r="O1297" s="45">
        <v>1200</v>
      </c>
      <c r="P1297" s="45">
        <v>1200</v>
      </c>
      <c r="Q1297" s="45">
        <v>1200</v>
      </c>
      <c r="R1297" s="45">
        <v>717</v>
      </c>
      <c r="S1297" s="45">
        <v>717</v>
      </c>
      <c r="T1297" s="45">
        <v>717</v>
      </c>
      <c r="U1297" s="45">
        <v>717</v>
      </c>
      <c r="V1297" s="46"/>
    </row>
    <row r="1298" spans="2:22" ht="30" x14ac:dyDescent="0.25">
      <c r="B1298" s="47" t="s">
        <v>1277</v>
      </c>
      <c r="C1298" s="47" t="s">
        <v>1278</v>
      </c>
      <c r="D1298" s="47" t="s">
        <v>560</v>
      </c>
      <c r="E1298" s="47" t="s">
        <v>27</v>
      </c>
      <c r="F1298" s="47" t="s">
        <v>580</v>
      </c>
      <c r="G1298" s="47" t="s">
        <v>27</v>
      </c>
      <c r="H1298" s="47">
        <v>79036</v>
      </c>
      <c r="I1298" s="47">
        <v>79058</v>
      </c>
      <c r="J1298" s="47" t="s">
        <v>28</v>
      </c>
      <c r="K1298" s="47" t="s">
        <v>2505</v>
      </c>
      <c r="L1298" s="47" t="s">
        <v>39</v>
      </c>
      <c r="M1298" s="47" t="s">
        <v>562</v>
      </c>
      <c r="N1298" s="48">
        <v>1200</v>
      </c>
      <c r="O1298" s="48">
        <v>1200</v>
      </c>
      <c r="P1298" s="48">
        <v>1200</v>
      </c>
      <c r="Q1298" s="48">
        <v>1200</v>
      </c>
      <c r="R1298" s="48">
        <v>717</v>
      </c>
      <c r="S1298" s="48">
        <v>717</v>
      </c>
      <c r="T1298" s="48">
        <v>717</v>
      </c>
      <c r="U1298" s="48">
        <v>717</v>
      </c>
      <c r="V1298" s="48"/>
    </row>
    <row r="1299" spans="2:22" ht="30" x14ac:dyDescent="0.25">
      <c r="B1299" s="47" t="s">
        <v>1277</v>
      </c>
      <c r="C1299" s="47" t="s">
        <v>1278</v>
      </c>
      <c r="D1299" s="47" t="s">
        <v>560</v>
      </c>
      <c r="E1299" s="47" t="s">
        <v>27</v>
      </c>
      <c r="F1299" s="47" t="s">
        <v>580</v>
      </c>
      <c r="G1299" s="47" t="s">
        <v>27</v>
      </c>
      <c r="H1299" s="47">
        <v>79036</v>
      </c>
      <c r="I1299" s="47">
        <v>79058</v>
      </c>
      <c r="J1299" s="47" t="s">
        <v>28</v>
      </c>
      <c r="K1299" s="47" t="s">
        <v>2508</v>
      </c>
      <c r="L1299" s="47" t="s">
        <v>39</v>
      </c>
      <c r="M1299" s="47" t="s">
        <v>562</v>
      </c>
      <c r="N1299" s="48">
        <v>1200</v>
      </c>
      <c r="O1299" s="48">
        <v>1200</v>
      </c>
      <c r="P1299" s="48">
        <v>1200</v>
      </c>
      <c r="Q1299" s="48">
        <v>1200</v>
      </c>
      <c r="R1299" s="48">
        <v>717</v>
      </c>
      <c r="S1299" s="48">
        <v>717</v>
      </c>
      <c r="T1299" s="48">
        <v>717</v>
      </c>
      <c r="U1299" s="48">
        <v>717</v>
      </c>
      <c r="V1299" s="48"/>
    </row>
    <row r="1300" spans="2:22" ht="30" x14ac:dyDescent="0.25">
      <c r="B1300" s="47" t="s">
        <v>1277</v>
      </c>
      <c r="C1300" s="47" t="s">
        <v>1278</v>
      </c>
      <c r="D1300" s="47" t="s">
        <v>560</v>
      </c>
      <c r="E1300" s="47" t="s">
        <v>27</v>
      </c>
      <c r="F1300" s="47" t="s">
        <v>580</v>
      </c>
      <c r="G1300" s="47" t="s">
        <v>27</v>
      </c>
      <c r="H1300" s="47">
        <v>79036</v>
      </c>
      <c r="I1300" s="47">
        <v>79058</v>
      </c>
      <c r="J1300" s="47" t="s">
        <v>28</v>
      </c>
      <c r="K1300" s="47" t="s">
        <v>2507</v>
      </c>
      <c r="L1300" s="47" t="s">
        <v>39</v>
      </c>
      <c r="M1300" s="47" t="s">
        <v>562</v>
      </c>
      <c r="N1300" s="48">
        <v>1200</v>
      </c>
      <c r="O1300" s="48">
        <v>1200</v>
      </c>
      <c r="P1300" s="48">
        <v>1200</v>
      </c>
      <c r="Q1300" s="48">
        <v>1200</v>
      </c>
      <c r="R1300" s="48">
        <v>717</v>
      </c>
      <c r="S1300" s="48">
        <v>717</v>
      </c>
      <c r="T1300" s="48">
        <v>717</v>
      </c>
      <c r="U1300" s="48">
        <v>717</v>
      </c>
      <c r="V1300" s="48"/>
    </row>
    <row r="1301" spans="2:22" ht="30" x14ac:dyDescent="0.25">
      <c r="B1301" s="47" t="s">
        <v>1277</v>
      </c>
      <c r="C1301" s="47" t="s">
        <v>1278</v>
      </c>
      <c r="D1301" s="47" t="s">
        <v>560</v>
      </c>
      <c r="E1301" s="47" t="s">
        <v>27</v>
      </c>
      <c r="F1301" s="47" t="s">
        <v>580</v>
      </c>
      <c r="G1301" s="47" t="s">
        <v>27</v>
      </c>
      <c r="H1301" s="47">
        <v>79036</v>
      </c>
      <c r="I1301" s="47">
        <v>79058</v>
      </c>
      <c r="J1301" s="47" t="s">
        <v>28</v>
      </c>
      <c r="K1301" s="47" t="s">
        <v>2510</v>
      </c>
      <c r="L1301" s="47" t="s">
        <v>39</v>
      </c>
      <c r="M1301" s="47" t="s">
        <v>562</v>
      </c>
      <c r="N1301" s="48">
        <v>1200</v>
      </c>
      <c r="O1301" s="48">
        <v>1200</v>
      </c>
      <c r="P1301" s="48">
        <v>1200</v>
      </c>
      <c r="Q1301" s="48">
        <v>1200</v>
      </c>
      <c r="R1301" s="48">
        <v>717</v>
      </c>
      <c r="S1301" s="48">
        <v>717</v>
      </c>
      <c r="T1301" s="48">
        <v>717</v>
      </c>
      <c r="U1301" s="48">
        <v>717</v>
      </c>
      <c r="V1301" s="48"/>
    </row>
    <row r="1302" spans="2:22" ht="30" x14ac:dyDescent="0.25">
      <c r="B1302" s="47" t="s">
        <v>1277</v>
      </c>
      <c r="C1302" s="47" t="s">
        <v>1278</v>
      </c>
      <c r="D1302" s="47" t="s">
        <v>560</v>
      </c>
      <c r="E1302" s="47" t="s">
        <v>27</v>
      </c>
      <c r="F1302" s="47" t="s">
        <v>580</v>
      </c>
      <c r="G1302" s="47" t="s">
        <v>27</v>
      </c>
      <c r="H1302" s="47">
        <v>79036</v>
      </c>
      <c r="I1302" s="47">
        <v>79058</v>
      </c>
      <c r="J1302" s="47" t="s">
        <v>28</v>
      </c>
      <c r="K1302" s="47" t="s">
        <v>2509</v>
      </c>
      <c r="L1302" s="47" t="s">
        <v>39</v>
      </c>
      <c r="M1302" s="47" t="s">
        <v>562</v>
      </c>
      <c r="N1302" s="48">
        <v>1200</v>
      </c>
      <c r="O1302" s="48">
        <v>1200</v>
      </c>
      <c r="P1302" s="48">
        <v>1200</v>
      </c>
      <c r="Q1302" s="48">
        <v>1200</v>
      </c>
      <c r="R1302" s="48">
        <v>717</v>
      </c>
      <c r="S1302" s="48">
        <v>717</v>
      </c>
      <c r="T1302" s="48">
        <v>717</v>
      </c>
      <c r="U1302" s="48">
        <v>717</v>
      </c>
      <c r="V1302" s="48"/>
    </row>
    <row r="1303" spans="2:22" ht="30" x14ac:dyDescent="0.25">
      <c r="B1303" s="47" t="s">
        <v>1277</v>
      </c>
      <c r="C1303" s="47" t="s">
        <v>1278</v>
      </c>
      <c r="D1303" s="47" t="s">
        <v>560</v>
      </c>
      <c r="E1303" s="47" t="s">
        <v>27</v>
      </c>
      <c r="F1303" s="47" t="s">
        <v>580</v>
      </c>
      <c r="G1303" s="47" t="s">
        <v>27</v>
      </c>
      <c r="H1303" s="47">
        <v>79036</v>
      </c>
      <c r="I1303" s="47">
        <v>79058</v>
      </c>
      <c r="J1303" s="47" t="s">
        <v>28</v>
      </c>
      <c r="K1303" s="47" t="s">
        <v>2506</v>
      </c>
      <c r="L1303" s="47" t="s">
        <v>39</v>
      </c>
      <c r="M1303" s="47" t="s">
        <v>562</v>
      </c>
      <c r="N1303" s="48">
        <v>1200</v>
      </c>
      <c r="O1303" s="48">
        <v>1200</v>
      </c>
      <c r="P1303" s="48">
        <v>1200</v>
      </c>
      <c r="Q1303" s="48">
        <v>1200</v>
      </c>
      <c r="R1303" s="48">
        <v>717</v>
      </c>
      <c r="S1303" s="48">
        <v>717</v>
      </c>
      <c r="T1303" s="48">
        <v>717</v>
      </c>
      <c r="U1303" s="48">
        <v>717</v>
      </c>
      <c r="V1303" s="48"/>
    </row>
    <row r="1304" spans="2:22" ht="34.5" x14ac:dyDescent="0.25">
      <c r="B1304" s="44" t="s">
        <v>1280</v>
      </c>
      <c r="C1304" s="44" t="s">
        <v>1281</v>
      </c>
      <c r="D1304" s="44" t="s">
        <v>580</v>
      </c>
      <c r="E1304" s="44" t="s">
        <v>27</v>
      </c>
      <c r="F1304" s="44" t="s">
        <v>1282</v>
      </c>
      <c r="G1304" s="44" t="s">
        <v>40</v>
      </c>
      <c r="H1304" s="44">
        <v>79058</v>
      </c>
      <c r="I1304" s="44">
        <v>79266</v>
      </c>
      <c r="J1304" s="44" t="s">
        <v>42</v>
      </c>
      <c r="K1304" s="44" t="s">
        <v>1280</v>
      </c>
      <c r="L1304" s="44" t="s">
        <v>29</v>
      </c>
      <c r="M1304" s="44"/>
      <c r="N1304" s="45">
        <v>1584</v>
      </c>
      <c r="O1304" s="45">
        <v>1584</v>
      </c>
      <c r="P1304" s="45">
        <v>1600</v>
      </c>
      <c r="Q1304" s="45">
        <v>1673</v>
      </c>
      <c r="R1304" s="45">
        <v>947</v>
      </c>
      <c r="S1304" s="45">
        <v>947</v>
      </c>
      <c r="T1304" s="45">
        <v>956</v>
      </c>
      <c r="U1304" s="45">
        <v>1000</v>
      </c>
      <c r="V1304" s="46"/>
    </row>
    <row r="1305" spans="2:22" ht="20" x14ac:dyDescent="0.25">
      <c r="B1305" s="47" t="s">
        <v>1280</v>
      </c>
      <c r="C1305" s="47" t="s">
        <v>1281</v>
      </c>
      <c r="D1305" s="47" t="s">
        <v>580</v>
      </c>
      <c r="E1305" s="47" t="s">
        <v>27</v>
      </c>
      <c r="F1305" s="47" t="s">
        <v>1282</v>
      </c>
      <c r="G1305" s="47" t="s">
        <v>40</v>
      </c>
      <c r="H1305" s="47">
        <v>79058</v>
      </c>
      <c r="I1305" s="47">
        <v>79266</v>
      </c>
      <c r="J1305" s="47" t="s">
        <v>42</v>
      </c>
      <c r="K1305" s="47"/>
      <c r="L1305" s="47" t="s">
        <v>301</v>
      </c>
      <c r="M1305" s="47" t="s">
        <v>1284</v>
      </c>
      <c r="N1305" s="48">
        <v>1584</v>
      </c>
      <c r="O1305" s="48">
        <v>1584</v>
      </c>
      <c r="P1305" s="47">
        <v>1673</v>
      </c>
      <c r="Q1305" s="48">
        <v>1673</v>
      </c>
      <c r="R1305" s="48">
        <v>947</v>
      </c>
      <c r="S1305" s="48">
        <v>947</v>
      </c>
      <c r="T1305" s="47">
        <v>1000</v>
      </c>
      <c r="U1305" s="48">
        <v>1000</v>
      </c>
      <c r="V1305" s="48"/>
    </row>
    <row r="1306" spans="2:22" ht="20" x14ac:dyDescent="0.25">
      <c r="B1306" s="47" t="s">
        <v>1280</v>
      </c>
      <c r="C1306" s="47" t="s">
        <v>1281</v>
      </c>
      <c r="D1306" s="47" t="s">
        <v>580</v>
      </c>
      <c r="E1306" s="47" t="s">
        <v>27</v>
      </c>
      <c r="F1306" s="47" t="s">
        <v>1282</v>
      </c>
      <c r="G1306" s="47" t="s">
        <v>40</v>
      </c>
      <c r="H1306" s="47">
        <v>79058</v>
      </c>
      <c r="I1306" s="47">
        <v>79266</v>
      </c>
      <c r="J1306" s="47" t="s">
        <v>42</v>
      </c>
      <c r="K1306" s="47" t="s">
        <v>213</v>
      </c>
      <c r="L1306" s="47" t="s">
        <v>213</v>
      </c>
      <c r="M1306" s="47" t="s">
        <v>1285</v>
      </c>
      <c r="N1306" s="47">
        <v>1600</v>
      </c>
      <c r="O1306" s="47">
        <v>2063</v>
      </c>
      <c r="P1306" s="48">
        <v>1600</v>
      </c>
      <c r="Q1306" s="47">
        <v>2063</v>
      </c>
      <c r="R1306" s="47">
        <v>956</v>
      </c>
      <c r="S1306" s="47">
        <v>1233</v>
      </c>
      <c r="T1306" s="48">
        <v>956</v>
      </c>
      <c r="U1306" s="47">
        <v>1233</v>
      </c>
      <c r="V1306" s="47"/>
    </row>
    <row r="1307" spans="2:22" ht="34.5" x14ac:dyDescent="0.25">
      <c r="B1307" s="44" t="s">
        <v>103</v>
      </c>
      <c r="C1307" s="44" t="s">
        <v>104</v>
      </c>
      <c r="D1307" s="44" t="s">
        <v>580</v>
      </c>
      <c r="E1307" s="44" t="s">
        <v>27</v>
      </c>
      <c r="F1307" s="44" t="s">
        <v>1286</v>
      </c>
      <c r="G1307" s="44" t="s">
        <v>40</v>
      </c>
      <c r="H1307" s="44">
        <v>79057</v>
      </c>
      <c r="I1307" s="44">
        <v>79059</v>
      </c>
      <c r="J1307" s="44" t="s">
        <v>42</v>
      </c>
      <c r="K1307" s="44" t="s">
        <v>103</v>
      </c>
      <c r="L1307" s="44" t="s">
        <v>29</v>
      </c>
      <c r="M1307" s="44"/>
      <c r="N1307" s="45">
        <v>1200</v>
      </c>
      <c r="O1307" s="45">
        <v>1318</v>
      </c>
      <c r="P1307" s="45">
        <v>1318</v>
      </c>
      <c r="Q1307" s="45">
        <v>1318</v>
      </c>
      <c r="R1307" s="45">
        <v>478</v>
      </c>
      <c r="S1307" s="45">
        <v>525</v>
      </c>
      <c r="T1307" s="45">
        <v>525</v>
      </c>
      <c r="U1307" s="45">
        <v>525</v>
      </c>
      <c r="V1307" s="46"/>
    </row>
    <row r="1308" spans="2:22" ht="20" x14ac:dyDescent="0.25">
      <c r="B1308" s="47" t="s">
        <v>103</v>
      </c>
      <c r="C1308" s="47" t="s">
        <v>104</v>
      </c>
      <c r="D1308" s="47" t="s">
        <v>580</v>
      </c>
      <c r="E1308" s="47" t="s">
        <v>27</v>
      </c>
      <c r="F1308" s="47" t="s">
        <v>1286</v>
      </c>
      <c r="G1308" s="47" t="s">
        <v>40</v>
      </c>
      <c r="H1308" s="47">
        <v>79057</v>
      </c>
      <c r="I1308" s="47">
        <v>79059</v>
      </c>
      <c r="J1308" s="47" t="s">
        <v>42</v>
      </c>
      <c r="K1308" s="47" t="s">
        <v>2339</v>
      </c>
      <c r="L1308" s="47" t="s">
        <v>34</v>
      </c>
      <c r="M1308" s="47" t="s">
        <v>1284</v>
      </c>
      <c r="N1308" s="48">
        <v>1200</v>
      </c>
      <c r="O1308" s="47">
        <v>1549</v>
      </c>
      <c r="P1308" s="47">
        <v>1486</v>
      </c>
      <c r="Q1308" s="47">
        <v>1780</v>
      </c>
      <c r="R1308" s="48">
        <v>478</v>
      </c>
      <c r="S1308" s="47">
        <v>617</v>
      </c>
      <c r="T1308" s="47">
        <v>592</v>
      </c>
      <c r="U1308" s="47">
        <v>709</v>
      </c>
      <c r="V1308" s="47"/>
    </row>
    <row r="1309" spans="2:22" ht="20" x14ac:dyDescent="0.25">
      <c r="B1309" s="47" t="s">
        <v>103</v>
      </c>
      <c r="C1309" s="47" t="s">
        <v>104</v>
      </c>
      <c r="D1309" s="47" t="s">
        <v>580</v>
      </c>
      <c r="E1309" s="47" t="s">
        <v>27</v>
      </c>
      <c r="F1309" s="47" t="s">
        <v>1286</v>
      </c>
      <c r="G1309" s="47" t="s">
        <v>40</v>
      </c>
      <c r="H1309" s="47">
        <v>79057</v>
      </c>
      <c r="I1309" s="47">
        <v>79059</v>
      </c>
      <c r="J1309" s="47" t="s">
        <v>42</v>
      </c>
      <c r="K1309" s="47" t="s">
        <v>2338</v>
      </c>
      <c r="L1309" s="47" t="s">
        <v>34</v>
      </c>
      <c r="M1309" s="47" t="s">
        <v>1284</v>
      </c>
      <c r="N1309" s="48">
        <v>1200</v>
      </c>
      <c r="O1309" s="47">
        <v>1549</v>
      </c>
      <c r="P1309" s="47">
        <v>1486</v>
      </c>
      <c r="Q1309" s="47">
        <v>1780</v>
      </c>
      <c r="R1309" s="48">
        <v>478</v>
      </c>
      <c r="S1309" s="47">
        <v>617</v>
      </c>
      <c r="T1309" s="47">
        <v>592</v>
      </c>
      <c r="U1309" s="47">
        <v>709</v>
      </c>
      <c r="V1309" s="47"/>
    </row>
    <row r="1310" spans="2:22" ht="20" x14ac:dyDescent="0.25">
      <c r="B1310" s="47" t="s">
        <v>103</v>
      </c>
      <c r="C1310" s="47" t="s">
        <v>104</v>
      </c>
      <c r="D1310" s="47" t="s">
        <v>580</v>
      </c>
      <c r="E1310" s="47" t="s">
        <v>27</v>
      </c>
      <c r="F1310" s="47" t="s">
        <v>1286</v>
      </c>
      <c r="G1310" s="47" t="s">
        <v>40</v>
      </c>
      <c r="H1310" s="47">
        <v>79057</v>
      </c>
      <c r="I1310" s="47">
        <v>79059</v>
      </c>
      <c r="J1310" s="47" t="s">
        <v>42</v>
      </c>
      <c r="K1310" s="47" t="s">
        <v>213</v>
      </c>
      <c r="L1310" s="47" t="s">
        <v>213</v>
      </c>
      <c r="M1310" s="47" t="s">
        <v>210</v>
      </c>
      <c r="N1310" s="47">
        <v>1318</v>
      </c>
      <c r="O1310" s="48">
        <v>1318</v>
      </c>
      <c r="P1310" s="48">
        <v>1318</v>
      </c>
      <c r="Q1310" s="48">
        <v>1318</v>
      </c>
      <c r="R1310" s="47">
        <v>525</v>
      </c>
      <c r="S1310" s="48">
        <v>525</v>
      </c>
      <c r="T1310" s="48">
        <v>525</v>
      </c>
      <c r="U1310" s="48">
        <v>525</v>
      </c>
      <c r="V1310" s="48"/>
    </row>
    <row r="1311" spans="2:22" ht="23" x14ac:dyDescent="0.25">
      <c r="B1311" s="94" t="s">
        <v>1287</v>
      </c>
      <c r="C1311" s="44" t="s">
        <v>1288</v>
      </c>
      <c r="D1311" s="44" t="s">
        <v>1289</v>
      </c>
      <c r="E1311" s="44" t="s">
        <v>27</v>
      </c>
      <c r="F1311" s="44" t="s">
        <v>320</v>
      </c>
      <c r="G1311" s="44" t="s">
        <v>27</v>
      </c>
      <c r="H1311" s="44">
        <v>79066</v>
      </c>
      <c r="I1311" s="44">
        <v>79092</v>
      </c>
      <c r="J1311" s="44" t="s">
        <v>42</v>
      </c>
      <c r="K1311" s="44" t="s">
        <v>1287</v>
      </c>
      <c r="L1311" s="44" t="s">
        <v>29</v>
      </c>
      <c r="M1311" s="44"/>
      <c r="N1311" s="45">
        <v>600</v>
      </c>
      <c r="O1311" s="45">
        <v>775</v>
      </c>
      <c r="P1311" s="45">
        <v>743</v>
      </c>
      <c r="Q1311" s="45">
        <v>800</v>
      </c>
      <c r="R1311" s="45">
        <v>120</v>
      </c>
      <c r="S1311" s="45">
        <v>154</v>
      </c>
      <c r="T1311" s="45">
        <v>148</v>
      </c>
      <c r="U1311" s="45">
        <v>159</v>
      </c>
      <c r="V1311" s="46"/>
    </row>
    <row r="1312" spans="2:22" x14ac:dyDescent="0.25">
      <c r="B1312" s="47" t="s">
        <v>1287</v>
      </c>
      <c r="C1312" s="47" t="s">
        <v>1288</v>
      </c>
      <c r="D1312" s="47" t="s">
        <v>1289</v>
      </c>
      <c r="E1312" s="47" t="s">
        <v>27</v>
      </c>
      <c r="F1312" s="47" t="s">
        <v>320</v>
      </c>
      <c r="G1312" s="47" t="s">
        <v>27</v>
      </c>
      <c r="H1312" s="47">
        <v>79066</v>
      </c>
      <c r="I1312" s="47">
        <v>79092</v>
      </c>
      <c r="J1312" s="47" t="s">
        <v>42</v>
      </c>
      <c r="K1312" s="47" t="s">
        <v>2135</v>
      </c>
      <c r="L1312" s="47" t="s">
        <v>34</v>
      </c>
      <c r="M1312" s="47" t="s">
        <v>1963</v>
      </c>
      <c r="N1312" s="48">
        <v>600</v>
      </c>
      <c r="O1312" s="48">
        <v>775</v>
      </c>
      <c r="P1312" s="48">
        <v>743</v>
      </c>
      <c r="Q1312" s="47">
        <v>890</v>
      </c>
      <c r="R1312" s="48">
        <v>120</v>
      </c>
      <c r="S1312" s="48">
        <v>154</v>
      </c>
      <c r="T1312" s="48">
        <v>148</v>
      </c>
      <c r="U1312" s="47">
        <v>177</v>
      </c>
      <c r="V1312" s="47"/>
    </row>
    <row r="1313" spans="2:22" x14ac:dyDescent="0.25">
      <c r="B1313" s="47" t="s">
        <v>1287</v>
      </c>
      <c r="C1313" s="47" t="s">
        <v>1288</v>
      </c>
      <c r="D1313" s="47" t="s">
        <v>1289</v>
      </c>
      <c r="E1313" s="47" t="s">
        <v>27</v>
      </c>
      <c r="F1313" s="47" t="s">
        <v>320</v>
      </c>
      <c r="G1313" s="47" t="s">
        <v>27</v>
      </c>
      <c r="H1313" s="47">
        <v>79066</v>
      </c>
      <c r="I1313" s="47">
        <v>79092</v>
      </c>
      <c r="J1313" s="47" t="s">
        <v>42</v>
      </c>
      <c r="K1313" s="47" t="s">
        <v>2139</v>
      </c>
      <c r="L1313" s="47" t="s">
        <v>34</v>
      </c>
      <c r="M1313" s="47" t="s">
        <v>1963</v>
      </c>
      <c r="N1313" s="48">
        <v>600</v>
      </c>
      <c r="O1313" s="48">
        <v>775</v>
      </c>
      <c r="P1313" s="48">
        <v>743</v>
      </c>
      <c r="Q1313" s="47">
        <v>890</v>
      </c>
      <c r="R1313" s="48">
        <v>120</v>
      </c>
      <c r="S1313" s="48">
        <v>154</v>
      </c>
      <c r="T1313" s="48">
        <v>148</v>
      </c>
      <c r="U1313" s="47">
        <v>177</v>
      </c>
      <c r="V1313" s="47"/>
    </row>
    <row r="1314" spans="2:22" x14ac:dyDescent="0.25">
      <c r="B1314" s="47" t="s">
        <v>1287</v>
      </c>
      <c r="C1314" s="47" t="s">
        <v>1288</v>
      </c>
      <c r="D1314" s="47" t="s">
        <v>1289</v>
      </c>
      <c r="E1314" s="47" t="s">
        <v>27</v>
      </c>
      <c r="F1314" s="47" t="s">
        <v>320</v>
      </c>
      <c r="G1314" s="47" t="s">
        <v>27</v>
      </c>
      <c r="H1314" s="47">
        <v>79066</v>
      </c>
      <c r="I1314" s="47">
        <v>79092</v>
      </c>
      <c r="J1314" s="47" t="s">
        <v>42</v>
      </c>
      <c r="K1314" s="47" t="s">
        <v>2131</v>
      </c>
      <c r="L1314" s="47" t="s">
        <v>34</v>
      </c>
      <c r="M1314" s="47" t="s">
        <v>1963</v>
      </c>
      <c r="N1314" s="48">
        <v>600</v>
      </c>
      <c r="O1314" s="48">
        <v>775</v>
      </c>
      <c r="P1314" s="48">
        <v>743</v>
      </c>
      <c r="Q1314" s="47">
        <v>890</v>
      </c>
      <c r="R1314" s="48">
        <v>120</v>
      </c>
      <c r="S1314" s="48">
        <v>154</v>
      </c>
      <c r="T1314" s="48">
        <v>148</v>
      </c>
      <c r="U1314" s="47">
        <v>177</v>
      </c>
      <c r="V1314" s="47"/>
    </row>
    <row r="1315" spans="2:22" x14ac:dyDescent="0.25">
      <c r="B1315" s="47" t="s">
        <v>1287</v>
      </c>
      <c r="C1315" s="47" t="s">
        <v>1288</v>
      </c>
      <c r="D1315" s="47" t="s">
        <v>1289</v>
      </c>
      <c r="E1315" s="47" t="s">
        <v>27</v>
      </c>
      <c r="F1315" s="47" t="s">
        <v>320</v>
      </c>
      <c r="G1315" s="47" t="s">
        <v>27</v>
      </c>
      <c r="H1315" s="47">
        <v>79066</v>
      </c>
      <c r="I1315" s="47">
        <v>79092</v>
      </c>
      <c r="J1315" s="47" t="s">
        <v>42</v>
      </c>
      <c r="K1315" s="47" t="s">
        <v>2137</v>
      </c>
      <c r="L1315" s="47" t="s">
        <v>34</v>
      </c>
      <c r="M1315" s="47" t="s">
        <v>1963</v>
      </c>
      <c r="N1315" s="48">
        <v>600</v>
      </c>
      <c r="O1315" s="48">
        <v>775</v>
      </c>
      <c r="P1315" s="48">
        <v>743</v>
      </c>
      <c r="Q1315" s="47">
        <v>890</v>
      </c>
      <c r="R1315" s="48">
        <v>120</v>
      </c>
      <c r="S1315" s="48">
        <v>154</v>
      </c>
      <c r="T1315" s="48">
        <v>148</v>
      </c>
      <c r="U1315" s="47">
        <v>177</v>
      </c>
      <c r="V1315" s="47"/>
    </row>
    <row r="1316" spans="2:22" x14ac:dyDescent="0.25">
      <c r="B1316" s="47" t="s">
        <v>1287</v>
      </c>
      <c r="C1316" s="47" t="s">
        <v>1288</v>
      </c>
      <c r="D1316" s="47" t="s">
        <v>1289</v>
      </c>
      <c r="E1316" s="47" t="s">
        <v>27</v>
      </c>
      <c r="F1316" s="47" t="s">
        <v>320</v>
      </c>
      <c r="G1316" s="47" t="s">
        <v>27</v>
      </c>
      <c r="H1316" s="47">
        <v>79066</v>
      </c>
      <c r="I1316" s="47">
        <v>79092</v>
      </c>
      <c r="J1316" s="47" t="s">
        <v>42</v>
      </c>
      <c r="K1316" s="47" t="s">
        <v>2136</v>
      </c>
      <c r="L1316" s="47" t="s">
        <v>34</v>
      </c>
      <c r="M1316" s="47" t="s">
        <v>1963</v>
      </c>
      <c r="N1316" s="48">
        <v>600</v>
      </c>
      <c r="O1316" s="48">
        <v>775</v>
      </c>
      <c r="P1316" s="48">
        <v>743</v>
      </c>
      <c r="Q1316" s="47">
        <v>890</v>
      </c>
      <c r="R1316" s="48">
        <v>120</v>
      </c>
      <c r="S1316" s="48">
        <v>154</v>
      </c>
      <c r="T1316" s="48">
        <v>148</v>
      </c>
      <c r="U1316" s="47">
        <v>177</v>
      </c>
      <c r="V1316" s="47"/>
    </row>
    <row r="1317" spans="2:22" x14ac:dyDescent="0.25">
      <c r="B1317" s="47" t="s">
        <v>1287</v>
      </c>
      <c r="C1317" s="47" t="s">
        <v>1288</v>
      </c>
      <c r="D1317" s="47" t="s">
        <v>1289</v>
      </c>
      <c r="E1317" s="47" t="s">
        <v>27</v>
      </c>
      <c r="F1317" s="47" t="s">
        <v>320</v>
      </c>
      <c r="G1317" s="47" t="s">
        <v>27</v>
      </c>
      <c r="H1317" s="47">
        <v>79066</v>
      </c>
      <c r="I1317" s="47">
        <v>79092</v>
      </c>
      <c r="J1317" s="47" t="s">
        <v>42</v>
      </c>
      <c r="K1317" s="47" t="s">
        <v>2134</v>
      </c>
      <c r="L1317" s="47" t="s">
        <v>34</v>
      </c>
      <c r="M1317" s="47" t="s">
        <v>1963</v>
      </c>
      <c r="N1317" s="48">
        <v>600</v>
      </c>
      <c r="O1317" s="48">
        <v>775</v>
      </c>
      <c r="P1317" s="48">
        <v>743</v>
      </c>
      <c r="Q1317" s="47">
        <v>890</v>
      </c>
      <c r="R1317" s="48">
        <v>120</v>
      </c>
      <c r="S1317" s="48">
        <v>154</v>
      </c>
      <c r="T1317" s="48">
        <v>148</v>
      </c>
      <c r="U1317" s="47">
        <v>177</v>
      </c>
      <c r="V1317" s="47"/>
    </row>
    <row r="1318" spans="2:22" x14ac:dyDescent="0.25">
      <c r="B1318" s="47" t="s">
        <v>1287</v>
      </c>
      <c r="C1318" s="47" t="s">
        <v>1288</v>
      </c>
      <c r="D1318" s="47" t="s">
        <v>1289</v>
      </c>
      <c r="E1318" s="47" t="s">
        <v>27</v>
      </c>
      <c r="F1318" s="47" t="s">
        <v>320</v>
      </c>
      <c r="G1318" s="47" t="s">
        <v>27</v>
      </c>
      <c r="H1318" s="47">
        <v>79066</v>
      </c>
      <c r="I1318" s="47">
        <v>79092</v>
      </c>
      <c r="J1318" s="47" t="s">
        <v>42</v>
      </c>
      <c r="K1318" s="47" t="s">
        <v>2133</v>
      </c>
      <c r="L1318" s="47" t="s">
        <v>34</v>
      </c>
      <c r="M1318" s="47" t="s">
        <v>1963</v>
      </c>
      <c r="N1318" s="48">
        <v>600</v>
      </c>
      <c r="O1318" s="48">
        <v>775</v>
      </c>
      <c r="P1318" s="48">
        <v>743</v>
      </c>
      <c r="Q1318" s="47">
        <v>890</v>
      </c>
      <c r="R1318" s="48">
        <v>120</v>
      </c>
      <c r="S1318" s="48">
        <v>154</v>
      </c>
      <c r="T1318" s="48">
        <v>148</v>
      </c>
      <c r="U1318" s="47">
        <v>177</v>
      </c>
      <c r="V1318" s="47"/>
    </row>
    <row r="1319" spans="2:22" ht="30" x14ac:dyDescent="0.25">
      <c r="B1319" s="47" t="s">
        <v>1287</v>
      </c>
      <c r="C1319" s="47" t="s">
        <v>1288</v>
      </c>
      <c r="D1319" s="47" t="s">
        <v>1289</v>
      </c>
      <c r="E1319" s="47" t="s">
        <v>27</v>
      </c>
      <c r="F1319" s="47" t="s">
        <v>320</v>
      </c>
      <c r="G1319" s="47" t="s">
        <v>27</v>
      </c>
      <c r="H1319" s="47">
        <v>79066</v>
      </c>
      <c r="I1319" s="47">
        <v>79092</v>
      </c>
      <c r="J1319" s="47" t="s">
        <v>42</v>
      </c>
      <c r="K1319" s="47" t="s">
        <v>2511</v>
      </c>
      <c r="L1319" s="47" t="s">
        <v>36</v>
      </c>
      <c r="M1319" s="47" t="s">
        <v>1963</v>
      </c>
      <c r="N1319" s="47">
        <v>800</v>
      </c>
      <c r="O1319" s="47">
        <v>800</v>
      </c>
      <c r="P1319" s="47">
        <v>800</v>
      </c>
      <c r="Q1319" s="48">
        <v>800</v>
      </c>
      <c r="R1319" s="47">
        <v>159</v>
      </c>
      <c r="S1319" s="47">
        <v>159</v>
      </c>
      <c r="T1319" s="47">
        <v>159</v>
      </c>
      <c r="U1319" s="48">
        <v>159</v>
      </c>
      <c r="V1319" s="48"/>
    </row>
    <row r="1320" spans="2:22" ht="20" x14ac:dyDescent="0.25">
      <c r="B1320" s="47" t="s">
        <v>1287</v>
      </c>
      <c r="C1320" s="47" t="s">
        <v>1288</v>
      </c>
      <c r="D1320" s="47" t="s">
        <v>1289</v>
      </c>
      <c r="E1320" s="47" t="s">
        <v>27</v>
      </c>
      <c r="F1320" s="47" t="s">
        <v>320</v>
      </c>
      <c r="G1320" s="47" t="s">
        <v>27</v>
      </c>
      <c r="H1320" s="47">
        <v>79066</v>
      </c>
      <c r="I1320" s="47">
        <v>79092</v>
      </c>
      <c r="J1320" s="47" t="s">
        <v>42</v>
      </c>
      <c r="K1320" s="47" t="s">
        <v>2512</v>
      </c>
      <c r="L1320" s="47" t="s">
        <v>39</v>
      </c>
      <c r="M1320" s="47" t="s">
        <v>1963</v>
      </c>
      <c r="N1320" s="47">
        <v>800</v>
      </c>
      <c r="O1320" s="47">
        <v>800</v>
      </c>
      <c r="P1320" s="47">
        <v>800</v>
      </c>
      <c r="Q1320" s="48">
        <v>800</v>
      </c>
      <c r="R1320" s="47">
        <v>159</v>
      </c>
      <c r="S1320" s="47">
        <v>159</v>
      </c>
      <c r="T1320" s="47">
        <v>159</v>
      </c>
      <c r="U1320" s="48">
        <v>159</v>
      </c>
      <c r="V1320" s="48"/>
    </row>
    <row r="1321" spans="2:22" ht="30" x14ac:dyDescent="0.25">
      <c r="B1321" s="47" t="s">
        <v>1287</v>
      </c>
      <c r="C1321" s="47" t="s">
        <v>1288</v>
      </c>
      <c r="D1321" s="47" t="s">
        <v>1289</v>
      </c>
      <c r="E1321" s="47" t="s">
        <v>27</v>
      </c>
      <c r="F1321" s="47" t="s">
        <v>320</v>
      </c>
      <c r="G1321" s="47" t="s">
        <v>27</v>
      </c>
      <c r="H1321" s="47">
        <v>79066</v>
      </c>
      <c r="I1321" s="47">
        <v>79092</v>
      </c>
      <c r="J1321" s="47" t="s">
        <v>42</v>
      </c>
      <c r="K1321" s="47" t="s">
        <v>2514</v>
      </c>
      <c r="L1321" s="47" t="s">
        <v>36</v>
      </c>
      <c r="M1321" s="47" t="s">
        <v>1963</v>
      </c>
      <c r="N1321" s="47">
        <v>800</v>
      </c>
      <c r="O1321" s="47">
        <v>800</v>
      </c>
      <c r="P1321" s="47">
        <v>800</v>
      </c>
      <c r="Q1321" s="48">
        <v>800</v>
      </c>
      <c r="R1321" s="47">
        <v>159</v>
      </c>
      <c r="S1321" s="47">
        <v>159</v>
      </c>
      <c r="T1321" s="47">
        <v>159</v>
      </c>
      <c r="U1321" s="48">
        <v>159</v>
      </c>
      <c r="V1321" s="48"/>
    </row>
    <row r="1322" spans="2:22" ht="30" x14ac:dyDescent="0.25">
      <c r="B1322" s="47" t="s">
        <v>1287</v>
      </c>
      <c r="C1322" s="47" t="s">
        <v>1288</v>
      </c>
      <c r="D1322" s="47" t="s">
        <v>1289</v>
      </c>
      <c r="E1322" s="47" t="s">
        <v>27</v>
      </c>
      <c r="F1322" s="47" t="s">
        <v>320</v>
      </c>
      <c r="G1322" s="47" t="s">
        <v>27</v>
      </c>
      <c r="H1322" s="47">
        <v>79066</v>
      </c>
      <c r="I1322" s="47">
        <v>79092</v>
      </c>
      <c r="J1322" s="47" t="s">
        <v>42</v>
      </c>
      <c r="K1322" s="47" t="s">
        <v>2518</v>
      </c>
      <c r="L1322" s="47" t="s">
        <v>36</v>
      </c>
      <c r="M1322" s="47" t="s">
        <v>1963</v>
      </c>
      <c r="N1322" s="47">
        <v>800</v>
      </c>
      <c r="O1322" s="47">
        <v>800</v>
      </c>
      <c r="P1322" s="47">
        <v>800</v>
      </c>
      <c r="Q1322" s="48">
        <v>800</v>
      </c>
      <c r="R1322" s="47">
        <v>159</v>
      </c>
      <c r="S1322" s="47">
        <v>159</v>
      </c>
      <c r="T1322" s="47">
        <v>159</v>
      </c>
      <c r="U1322" s="48">
        <v>159</v>
      </c>
      <c r="V1322" s="48"/>
    </row>
    <row r="1323" spans="2:22" ht="20" x14ac:dyDescent="0.25">
      <c r="B1323" s="47" t="s">
        <v>1287</v>
      </c>
      <c r="C1323" s="47" t="s">
        <v>1288</v>
      </c>
      <c r="D1323" s="47" t="s">
        <v>1289</v>
      </c>
      <c r="E1323" s="47" t="s">
        <v>27</v>
      </c>
      <c r="F1323" s="47" t="s">
        <v>320</v>
      </c>
      <c r="G1323" s="47" t="s">
        <v>27</v>
      </c>
      <c r="H1323" s="47">
        <v>79066</v>
      </c>
      <c r="I1323" s="47">
        <v>79092</v>
      </c>
      <c r="J1323" s="47" t="s">
        <v>42</v>
      </c>
      <c r="K1323" s="47" t="s">
        <v>2513</v>
      </c>
      <c r="L1323" s="47" t="s">
        <v>39</v>
      </c>
      <c r="M1323" s="47" t="s">
        <v>1963</v>
      </c>
      <c r="N1323" s="47">
        <v>800</v>
      </c>
      <c r="O1323" s="47">
        <v>800</v>
      </c>
      <c r="P1323" s="47">
        <v>800</v>
      </c>
      <c r="Q1323" s="48">
        <v>800</v>
      </c>
      <c r="R1323" s="47">
        <v>159</v>
      </c>
      <c r="S1323" s="47">
        <v>159</v>
      </c>
      <c r="T1323" s="47">
        <v>159</v>
      </c>
      <c r="U1323" s="48">
        <v>159</v>
      </c>
      <c r="V1323" s="48"/>
    </row>
    <row r="1324" spans="2:22" ht="30" x14ac:dyDescent="0.25">
      <c r="B1324" s="47" t="s">
        <v>1287</v>
      </c>
      <c r="C1324" s="47" t="s">
        <v>1288</v>
      </c>
      <c r="D1324" s="47" t="s">
        <v>1289</v>
      </c>
      <c r="E1324" s="47" t="s">
        <v>27</v>
      </c>
      <c r="F1324" s="47" t="s">
        <v>320</v>
      </c>
      <c r="G1324" s="47" t="s">
        <v>27</v>
      </c>
      <c r="H1324" s="47">
        <v>79066</v>
      </c>
      <c r="I1324" s="47">
        <v>79092</v>
      </c>
      <c r="J1324" s="47" t="s">
        <v>42</v>
      </c>
      <c r="K1324" s="47" t="s">
        <v>2516</v>
      </c>
      <c r="L1324" s="47" t="s">
        <v>36</v>
      </c>
      <c r="M1324" s="47" t="s">
        <v>1963</v>
      </c>
      <c r="N1324" s="47">
        <v>800</v>
      </c>
      <c r="O1324" s="47">
        <v>800</v>
      </c>
      <c r="P1324" s="47">
        <v>800</v>
      </c>
      <c r="Q1324" s="48">
        <v>800</v>
      </c>
      <c r="R1324" s="47">
        <v>159</v>
      </c>
      <c r="S1324" s="47">
        <v>159</v>
      </c>
      <c r="T1324" s="47">
        <v>159</v>
      </c>
      <c r="U1324" s="48">
        <v>159</v>
      </c>
      <c r="V1324" s="48"/>
    </row>
    <row r="1325" spans="2:22" ht="20" x14ac:dyDescent="0.25">
      <c r="B1325" s="47" t="s">
        <v>1287</v>
      </c>
      <c r="C1325" s="47" t="s">
        <v>1288</v>
      </c>
      <c r="D1325" s="47" t="s">
        <v>1289</v>
      </c>
      <c r="E1325" s="47" t="s">
        <v>27</v>
      </c>
      <c r="F1325" s="47" t="s">
        <v>320</v>
      </c>
      <c r="G1325" s="47" t="s">
        <v>27</v>
      </c>
      <c r="H1325" s="47">
        <v>79066</v>
      </c>
      <c r="I1325" s="47">
        <v>79092</v>
      </c>
      <c r="J1325" s="47" t="s">
        <v>42</v>
      </c>
      <c r="K1325" s="47" t="s">
        <v>2515</v>
      </c>
      <c r="L1325" s="47" t="s">
        <v>39</v>
      </c>
      <c r="M1325" s="47" t="s">
        <v>1963</v>
      </c>
      <c r="N1325" s="47">
        <v>800</v>
      </c>
      <c r="O1325" s="47">
        <v>800</v>
      </c>
      <c r="P1325" s="47">
        <v>800</v>
      </c>
      <c r="Q1325" s="48">
        <v>800</v>
      </c>
      <c r="R1325" s="47">
        <v>159</v>
      </c>
      <c r="S1325" s="47">
        <v>159</v>
      </c>
      <c r="T1325" s="47">
        <v>159</v>
      </c>
      <c r="U1325" s="48">
        <v>159</v>
      </c>
      <c r="V1325" s="48"/>
    </row>
    <row r="1326" spans="2:22" ht="20" x14ac:dyDescent="0.25">
      <c r="B1326" s="47" t="s">
        <v>1287</v>
      </c>
      <c r="C1326" s="47" t="s">
        <v>1288</v>
      </c>
      <c r="D1326" s="47" t="s">
        <v>1289</v>
      </c>
      <c r="E1326" s="47" t="s">
        <v>27</v>
      </c>
      <c r="F1326" s="47" t="s">
        <v>320</v>
      </c>
      <c r="G1326" s="47" t="s">
        <v>27</v>
      </c>
      <c r="H1326" s="47">
        <v>79066</v>
      </c>
      <c r="I1326" s="47">
        <v>79092</v>
      </c>
      <c r="J1326" s="47" t="s">
        <v>42</v>
      </c>
      <c r="K1326" s="47" t="s">
        <v>2517</v>
      </c>
      <c r="L1326" s="47" t="s">
        <v>39</v>
      </c>
      <c r="M1326" s="47" t="s">
        <v>1963</v>
      </c>
      <c r="N1326" s="47">
        <v>800</v>
      </c>
      <c r="O1326" s="47">
        <v>800</v>
      </c>
      <c r="P1326" s="47">
        <v>800</v>
      </c>
      <c r="Q1326" s="48">
        <v>800</v>
      </c>
      <c r="R1326" s="47">
        <v>159</v>
      </c>
      <c r="S1326" s="47">
        <v>159</v>
      </c>
      <c r="T1326" s="47">
        <v>159</v>
      </c>
      <c r="U1326" s="48">
        <v>159</v>
      </c>
      <c r="V1326" s="48"/>
    </row>
    <row r="1327" spans="2:22" ht="23" x14ac:dyDescent="0.25">
      <c r="B1327" s="44" t="s">
        <v>1294</v>
      </c>
      <c r="C1327" s="44" t="s">
        <v>1295</v>
      </c>
      <c r="D1327" s="44" t="s">
        <v>1289</v>
      </c>
      <c r="E1327" s="44" t="s">
        <v>27</v>
      </c>
      <c r="F1327" s="44" t="s">
        <v>2551</v>
      </c>
      <c r="G1327" s="44" t="s">
        <v>40</v>
      </c>
      <c r="H1327" s="44">
        <v>79066</v>
      </c>
      <c r="I1327" s="44">
        <v>79068</v>
      </c>
      <c r="J1327" s="44" t="s">
        <v>42</v>
      </c>
      <c r="K1327" s="44" t="s">
        <v>1294</v>
      </c>
      <c r="L1327" s="44" t="s">
        <v>29</v>
      </c>
      <c r="M1327" s="44"/>
      <c r="N1327" s="45">
        <v>881</v>
      </c>
      <c r="O1327" s="45">
        <v>900</v>
      </c>
      <c r="P1327" s="45">
        <v>900</v>
      </c>
      <c r="Q1327" s="45">
        <v>900</v>
      </c>
      <c r="R1327" s="45">
        <v>175</v>
      </c>
      <c r="S1327" s="45">
        <v>179</v>
      </c>
      <c r="T1327" s="45">
        <v>179</v>
      </c>
      <c r="U1327" s="45">
        <v>179</v>
      </c>
      <c r="V1327" s="46"/>
    </row>
    <row r="1328" spans="2:22" ht="20" x14ac:dyDescent="0.25">
      <c r="B1328" s="47" t="s">
        <v>1294</v>
      </c>
      <c r="C1328" s="47" t="s">
        <v>1295</v>
      </c>
      <c r="D1328" s="47" t="s">
        <v>1289</v>
      </c>
      <c r="E1328" s="47" t="s">
        <v>27</v>
      </c>
      <c r="F1328" s="47" t="s">
        <v>2551</v>
      </c>
      <c r="G1328" s="47" t="s">
        <v>40</v>
      </c>
      <c r="H1328" s="47">
        <v>79066</v>
      </c>
      <c r="I1328" s="47">
        <v>79068</v>
      </c>
      <c r="J1328" s="47" t="s">
        <v>42</v>
      </c>
      <c r="K1328" s="47" t="s">
        <v>239</v>
      </c>
      <c r="L1328" s="47" t="s">
        <v>31</v>
      </c>
      <c r="M1328" s="47" t="s">
        <v>1291</v>
      </c>
      <c r="N1328" s="48">
        <v>881</v>
      </c>
      <c r="O1328" s="47">
        <v>1030</v>
      </c>
      <c r="P1328" s="47">
        <v>1053</v>
      </c>
      <c r="Q1328" s="47">
        <v>1174</v>
      </c>
      <c r="R1328" s="48">
        <v>175</v>
      </c>
      <c r="S1328" s="47">
        <v>205</v>
      </c>
      <c r="T1328" s="47">
        <v>210</v>
      </c>
      <c r="U1328" s="47">
        <v>234</v>
      </c>
      <c r="V1328" s="47"/>
    </row>
    <row r="1329" spans="2:22" ht="30" x14ac:dyDescent="0.25">
      <c r="B1329" s="47" t="s">
        <v>1294</v>
      </c>
      <c r="C1329" s="47" t="s">
        <v>1295</v>
      </c>
      <c r="D1329" s="47" t="s">
        <v>1289</v>
      </c>
      <c r="E1329" s="47" t="s">
        <v>27</v>
      </c>
      <c r="F1329" s="47" t="s">
        <v>2551</v>
      </c>
      <c r="G1329" s="47" t="s">
        <v>40</v>
      </c>
      <c r="H1329" s="47">
        <v>79066</v>
      </c>
      <c r="I1329" s="47">
        <v>79068</v>
      </c>
      <c r="J1329" s="47" t="s">
        <v>42</v>
      </c>
      <c r="K1329" s="47" t="s">
        <v>2692</v>
      </c>
      <c r="L1329" s="47" t="s">
        <v>36</v>
      </c>
      <c r="M1329" s="47" t="s">
        <v>1291</v>
      </c>
      <c r="N1329" s="47">
        <v>900</v>
      </c>
      <c r="O1329" s="48">
        <v>900</v>
      </c>
      <c r="P1329" s="48">
        <v>900</v>
      </c>
      <c r="Q1329" s="48">
        <v>900</v>
      </c>
      <c r="R1329" s="47">
        <v>179</v>
      </c>
      <c r="S1329" s="48">
        <v>179</v>
      </c>
      <c r="T1329" s="48">
        <v>179</v>
      </c>
      <c r="U1329" s="48">
        <v>179</v>
      </c>
      <c r="V1329" s="48"/>
    </row>
    <row r="1330" spans="2:22" ht="34.5" x14ac:dyDescent="0.25">
      <c r="B1330" s="44" t="s">
        <v>1297</v>
      </c>
      <c r="C1330" s="44" t="s">
        <v>1063</v>
      </c>
      <c r="D1330" s="44" t="s">
        <v>381</v>
      </c>
      <c r="E1330" s="44" t="s">
        <v>27</v>
      </c>
      <c r="F1330" s="44" t="s">
        <v>1066</v>
      </c>
      <c r="G1330" s="44" t="s">
        <v>27</v>
      </c>
      <c r="H1330" s="44">
        <v>70447</v>
      </c>
      <c r="I1330" s="44">
        <v>70543</v>
      </c>
      <c r="J1330" s="44" t="s">
        <v>28</v>
      </c>
      <c r="K1330" s="44" t="s">
        <v>1297</v>
      </c>
      <c r="L1330" s="44" t="s">
        <v>29</v>
      </c>
      <c r="M1330" s="44"/>
      <c r="N1330" s="45">
        <v>1199</v>
      </c>
      <c r="O1330" s="45">
        <v>1199</v>
      </c>
      <c r="P1330" s="45">
        <v>1200</v>
      </c>
      <c r="Q1330" s="45">
        <v>1200</v>
      </c>
      <c r="R1330" s="45">
        <v>478</v>
      </c>
      <c r="S1330" s="45">
        <v>478</v>
      </c>
      <c r="T1330" s="45">
        <v>478</v>
      </c>
      <c r="U1330" s="45">
        <v>478</v>
      </c>
      <c r="V1330" s="46"/>
    </row>
    <row r="1331" spans="2:22" ht="30" x14ac:dyDescent="0.25">
      <c r="B1331" s="47" t="s">
        <v>1297</v>
      </c>
      <c r="C1331" s="47" t="s">
        <v>1063</v>
      </c>
      <c r="D1331" s="47" t="s">
        <v>381</v>
      </c>
      <c r="E1331" s="47" t="s">
        <v>27</v>
      </c>
      <c r="F1331" s="47" t="s">
        <v>1066</v>
      </c>
      <c r="G1331" s="47" t="s">
        <v>27</v>
      </c>
      <c r="H1331" s="47">
        <v>70447</v>
      </c>
      <c r="I1331" s="47">
        <v>70543</v>
      </c>
      <c r="J1331" s="47" t="s">
        <v>28</v>
      </c>
      <c r="K1331" s="47" t="s">
        <v>1297</v>
      </c>
      <c r="L1331" s="47" t="s">
        <v>30</v>
      </c>
      <c r="M1331" s="47" t="s">
        <v>1063</v>
      </c>
      <c r="N1331" s="48">
        <v>1199</v>
      </c>
      <c r="O1331" s="48">
        <v>1199</v>
      </c>
      <c r="P1331" s="47">
        <v>1386</v>
      </c>
      <c r="Q1331" s="47">
        <v>1386</v>
      </c>
      <c r="R1331" s="48">
        <v>478</v>
      </c>
      <c r="S1331" s="48">
        <v>478</v>
      </c>
      <c r="T1331" s="47">
        <v>552</v>
      </c>
      <c r="U1331" s="47">
        <v>552</v>
      </c>
      <c r="V1331" s="47"/>
    </row>
    <row r="1332" spans="2:22" ht="30" x14ac:dyDescent="0.25">
      <c r="B1332" s="47" t="s">
        <v>1297</v>
      </c>
      <c r="C1332" s="47" t="s">
        <v>1063</v>
      </c>
      <c r="D1332" s="47" t="s">
        <v>381</v>
      </c>
      <c r="E1332" s="47" t="s">
        <v>27</v>
      </c>
      <c r="F1332" s="47" t="s">
        <v>1066</v>
      </c>
      <c r="G1332" s="47" t="s">
        <v>27</v>
      </c>
      <c r="H1332" s="47">
        <v>70447</v>
      </c>
      <c r="I1332" s="47">
        <v>70543</v>
      </c>
      <c r="J1332" s="47" t="s">
        <v>28</v>
      </c>
      <c r="K1332" s="47" t="s">
        <v>2519</v>
      </c>
      <c r="L1332" s="47" t="s">
        <v>36</v>
      </c>
      <c r="M1332" s="47" t="s">
        <v>382</v>
      </c>
      <c r="N1332" s="47">
        <v>1200</v>
      </c>
      <c r="O1332" s="47">
        <v>1200</v>
      </c>
      <c r="P1332" s="48">
        <v>1200</v>
      </c>
      <c r="Q1332" s="48">
        <v>1200</v>
      </c>
      <c r="R1332" s="48">
        <v>478</v>
      </c>
      <c r="S1332" s="48">
        <v>478</v>
      </c>
      <c r="T1332" s="48">
        <v>478</v>
      </c>
      <c r="U1332" s="48">
        <v>478</v>
      </c>
      <c r="V1332" s="48"/>
    </row>
    <row r="1333" spans="2:22" ht="30" x14ac:dyDescent="0.25">
      <c r="B1333" s="47" t="s">
        <v>1297</v>
      </c>
      <c r="C1333" s="47" t="s">
        <v>1063</v>
      </c>
      <c r="D1333" s="47" t="s">
        <v>381</v>
      </c>
      <c r="E1333" s="47" t="s">
        <v>27</v>
      </c>
      <c r="F1333" s="47" t="s">
        <v>1066</v>
      </c>
      <c r="G1333" s="47" t="s">
        <v>27</v>
      </c>
      <c r="H1333" s="47">
        <v>70447</v>
      </c>
      <c r="I1333" s="47">
        <v>70543</v>
      </c>
      <c r="J1333" s="47" t="s">
        <v>28</v>
      </c>
      <c r="K1333" s="47" t="s">
        <v>2520</v>
      </c>
      <c r="L1333" s="47" t="s">
        <v>36</v>
      </c>
      <c r="M1333" s="47" t="s">
        <v>382</v>
      </c>
      <c r="N1333" s="47">
        <v>1200</v>
      </c>
      <c r="O1333" s="47">
        <v>1200</v>
      </c>
      <c r="P1333" s="48">
        <v>1200</v>
      </c>
      <c r="Q1333" s="48">
        <v>1200</v>
      </c>
      <c r="R1333" s="48">
        <v>478</v>
      </c>
      <c r="S1333" s="48">
        <v>478</v>
      </c>
      <c r="T1333" s="48">
        <v>478</v>
      </c>
      <c r="U1333" s="48">
        <v>478</v>
      </c>
      <c r="V1333" s="48"/>
    </row>
    <row r="1334" spans="2:22" ht="34.5" x14ac:dyDescent="0.25">
      <c r="B1334" s="44" t="s">
        <v>1298</v>
      </c>
      <c r="C1334" s="44" t="s">
        <v>1299</v>
      </c>
      <c r="D1334" s="44" t="s">
        <v>381</v>
      </c>
      <c r="E1334" s="44" t="s">
        <v>27</v>
      </c>
      <c r="F1334" s="44" t="s">
        <v>814</v>
      </c>
      <c r="G1334" s="44" t="s">
        <v>27</v>
      </c>
      <c r="H1334" s="44">
        <v>70447</v>
      </c>
      <c r="I1334" s="44">
        <v>70592</v>
      </c>
      <c r="J1334" s="44" t="s">
        <v>28</v>
      </c>
      <c r="K1334" s="44" t="s">
        <v>1298</v>
      </c>
      <c r="L1334" s="44" t="s">
        <v>29</v>
      </c>
      <c r="M1334" s="44"/>
      <c r="N1334" s="45">
        <v>1200</v>
      </c>
      <c r="O1334" s="45">
        <v>1200</v>
      </c>
      <c r="P1334" s="45">
        <v>1200</v>
      </c>
      <c r="Q1334" s="45">
        <v>1200</v>
      </c>
      <c r="R1334" s="45">
        <v>478</v>
      </c>
      <c r="S1334" s="45">
        <v>478</v>
      </c>
      <c r="T1334" s="45">
        <v>478</v>
      </c>
      <c r="U1334" s="45">
        <v>478</v>
      </c>
      <c r="V1334" s="46"/>
    </row>
    <row r="1335" spans="2:22" ht="30" x14ac:dyDescent="0.25">
      <c r="B1335" s="47" t="s">
        <v>1298</v>
      </c>
      <c r="C1335" s="47" t="s">
        <v>1299</v>
      </c>
      <c r="D1335" s="47" t="s">
        <v>381</v>
      </c>
      <c r="E1335" s="47" t="s">
        <v>27</v>
      </c>
      <c r="F1335" s="47" t="s">
        <v>814</v>
      </c>
      <c r="G1335" s="47" t="s">
        <v>27</v>
      </c>
      <c r="H1335" s="47">
        <v>70447</v>
      </c>
      <c r="I1335" s="47">
        <v>70592</v>
      </c>
      <c r="J1335" s="47" t="s">
        <v>28</v>
      </c>
      <c r="K1335" s="47" t="s">
        <v>2521</v>
      </c>
      <c r="L1335" s="47" t="s">
        <v>36</v>
      </c>
      <c r="M1335" s="47" t="s">
        <v>382</v>
      </c>
      <c r="N1335" s="48">
        <v>1200</v>
      </c>
      <c r="O1335" s="48">
        <v>1200</v>
      </c>
      <c r="P1335" s="48">
        <v>1200</v>
      </c>
      <c r="Q1335" s="48">
        <v>1200</v>
      </c>
      <c r="R1335" s="48">
        <v>478</v>
      </c>
      <c r="S1335" s="48">
        <v>478</v>
      </c>
      <c r="T1335" s="48">
        <v>478</v>
      </c>
      <c r="U1335" s="48">
        <v>478</v>
      </c>
      <c r="V1335" s="48"/>
    </row>
    <row r="1336" spans="2:22" ht="30" x14ac:dyDescent="0.25">
      <c r="B1336" s="47" t="s">
        <v>1298</v>
      </c>
      <c r="C1336" s="47" t="s">
        <v>1299</v>
      </c>
      <c r="D1336" s="47" t="s">
        <v>381</v>
      </c>
      <c r="E1336" s="47" t="s">
        <v>27</v>
      </c>
      <c r="F1336" s="47" t="s">
        <v>814</v>
      </c>
      <c r="G1336" s="47" t="s">
        <v>27</v>
      </c>
      <c r="H1336" s="47">
        <v>70447</v>
      </c>
      <c r="I1336" s="47">
        <v>70592</v>
      </c>
      <c r="J1336" s="47" t="s">
        <v>28</v>
      </c>
      <c r="K1336" s="47" t="s">
        <v>2519</v>
      </c>
      <c r="L1336" s="47" t="s">
        <v>36</v>
      </c>
      <c r="M1336" s="47" t="s">
        <v>382</v>
      </c>
      <c r="N1336" s="48">
        <v>1200</v>
      </c>
      <c r="O1336" s="48">
        <v>1200</v>
      </c>
      <c r="P1336" s="48">
        <v>1200</v>
      </c>
      <c r="Q1336" s="48">
        <v>1200</v>
      </c>
      <c r="R1336" s="48">
        <v>478</v>
      </c>
      <c r="S1336" s="48">
        <v>478</v>
      </c>
      <c r="T1336" s="48">
        <v>478</v>
      </c>
      <c r="U1336" s="48">
        <v>478</v>
      </c>
      <c r="V1336" s="48"/>
    </row>
    <row r="1337" spans="2:22" ht="23" x14ac:dyDescent="0.25">
      <c r="B1337" s="44" t="s">
        <v>119</v>
      </c>
      <c r="C1337" s="44" t="s">
        <v>120</v>
      </c>
      <c r="D1337" s="44" t="s">
        <v>840</v>
      </c>
      <c r="E1337" s="44" t="s">
        <v>27</v>
      </c>
      <c r="F1337" s="44" t="s">
        <v>779</v>
      </c>
      <c r="G1337" s="44" t="s">
        <v>40</v>
      </c>
      <c r="H1337" s="44">
        <v>70461</v>
      </c>
      <c r="I1337" s="44">
        <v>70529</v>
      </c>
      <c r="J1337" s="44" t="s">
        <v>28</v>
      </c>
      <c r="K1337" s="44" t="s">
        <v>119</v>
      </c>
      <c r="L1337" s="44" t="s">
        <v>29</v>
      </c>
      <c r="M1337" s="44"/>
      <c r="N1337" s="45">
        <v>1427</v>
      </c>
      <c r="O1337" s="45">
        <v>1570</v>
      </c>
      <c r="P1337" s="45">
        <v>1599</v>
      </c>
      <c r="Q1337" s="45">
        <v>1600</v>
      </c>
      <c r="R1337" s="45">
        <v>569</v>
      </c>
      <c r="S1337" s="45">
        <v>625</v>
      </c>
      <c r="T1337" s="45">
        <v>637</v>
      </c>
      <c r="U1337" s="45">
        <v>637</v>
      </c>
      <c r="V1337" s="46"/>
    </row>
    <row r="1338" spans="2:22" ht="20" x14ac:dyDescent="0.25">
      <c r="B1338" s="47" t="s">
        <v>119</v>
      </c>
      <c r="C1338" s="47" t="s">
        <v>120</v>
      </c>
      <c r="D1338" s="47" t="s">
        <v>840</v>
      </c>
      <c r="E1338" s="47" t="s">
        <v>27</v>
      </c>
      <c r="F1338" s="47" t="s">
        <v>779</v>
      </c>
      <c r="G1338" s="47" t="s">
        <v>40</v>
      </c>
      <c r="H1338" s="47">
        <v>70461</v>
      </c>
      <c r="I1338" s="47">
        <v>70529</v>
      </c>
      <c r="J1338" s="47" t="s">
        <v>28</v>
      </c>
      <c r="K1338" s="47" t="s">
        <v>388</v>
      </c>
      <c r="L1338" s="47" t="s">
        <v>31</v>
      </c>
      <c r="M1338" s="47" t="s">
        <v>841</v>
      </c>
      <c r="N1338" s="48">
        <v>1427</v>
      </c>
      <c r="O1338" s="48">
        <v>1570</v>
      </c>
      <c r="P1338" s="47">
        <v>1626</v>
      </c>
      <c r="Q1338" s="47">
        <v>1789</v>
      </c>
      <c r="R1338" s="48">
        <v>569</v>
      </c>
      <c r="S1338" s="48">
        <v>625</v>
      </c>
      <c r="T1338" s="47">
        <v>648</v>
      </c>
      <c r="U1338" s="47">
        <v>713</v>
      </c>
      <c r="V1338" s="47"/>
    </row>
    <row r="1339" spans="2:22" ht="20" x14ac:dyDescent="0.25">
      <c r="B1339" s="47" t="s">
        <v>119</v>
      </c>
      <c r="C1339" s="47" t="s">
        <v>120</v>
      </c>
      <c r="D1339" s="47" t="s">
        <v>840</v>
      </c>
      <c r="E1339" s="47" t="s">
        <v>27</v>
      </c>
      <c r="F1339" s="47" t="s">
        <v>779</v>
      </c>
      <c r="G1339" s="47" t="s">
        <v>40</v>
      </c>
      <c r="H1339" s="47">
        <v>70461</v>
      </c>
      <c r="I1339" s="47">
        <v>70529</v>
      </c>
      <c r="J1339" s="47" t="s">
        <v>28</v>
      </c>
      <c r="K1339" s="47" t="s">
        <v>213</v>
      </c>
      <c r="L1339" s="47" t="s">
        <v>213</v>
      </c>
      <c r="M1339" s="47" t="s">
        <v>780</v>
      </c>
      <c r="N1339" s="47">
        <v>1599</v>
      </c>
      <c r="O1339" s="47">
        <v>1627</v>
      </c>
      <c r="P1339" s="48">
        <v>1599</v>
      </c>
      <c r="Q1339" s="47">
        <v>1627</v>
      </c>
      <c r="R1339" s="47">
        <v>637</v>
      </c>
      <c r="S1339" s="47">
        <v>648</v>
      </c>
      <c r="T1339" s="48">
        <v>637</v>
      </c>
      <c r="U1339" s="47">
        <v>648</v>
      </c>
      <c r="V1339" s="47"/>
    </row>
    <row r="1340" spans="2:22" ht="20" x14ac:dyDescent="0.25">
      <c r="B1340" s="47" t="s">
        <v>119</v>
      </c>
      <c r="C1340" s="47" t="s">
        <v>120</v>
      </c>
      <c r="D1340" s="47" t="s">
        <v>840</v>
      </c>
      <c r="E1340" s="47" t="s">
        <v>27</v>
      </c>
      <c r="F1340" s="47" t="s">
        <v>779</v>
      </c>
      <c r="G1340" s="47" t="s">
        <v>40</v>
      </c>
      <c r="H1340" s="47">
        <v>70461</v>
      </c>
      <c r="I1340" s="47">
        <v>70529</v>
      </c>
      <c r="J1340" s="47" t="s">
        <v>28</v>
      </c>
      <c r="K1340" s="47" t="s">
        <v>183</v>
      </c>
      <c r="L1340" s="47" t="s">
        <v>1315</v>
      </c>
      <c r="M1340" s="47" t="s">
        <v>841</v>
      </c>
      <c r="N1340" s="47">
        <v>1600</v>
      </c>
      <c r="O1340" s="47">
        <v>1600</v>
      </c>
      <c r="P1340" s="47">
        <v>1600</v>
      </c>
      <c r="Q1340" s="48">
        <v>1600</v>
      </c>
      <c r="R1340" s="47">
        <v>637</v>
      </c>
      <c r="S1340" s="47">
        <v>637</v>
      </c>
      <c r="T1340" s="48">
        <v>637</v>
      </c>
      <c r="U1340" s="48">
        <v>637</v>
      </c>
      <c r="V1340" s="48"/>
    </row>
    <row r="1341" spans="2:22" ht="23" x14ac:dyDescent="0.25">
      <c r="B1341" s="44" t="s">
        <v>1300</v>
      </c>
      <c r="C1341" s="44" t="s">
        <v>658</v>
      </c>
      <c r="D1341" s="44" t="s">
        <v>490</v>
      </c>
      <c r="E1341" s="44" t="s">
        <v>27</v>
      </c>
      <c r="F1341" s="44" t="s">
        <v>660</v>
      </c>
      <c r="G1341" s="44" t="s">
        <v>27</v>
      </c>
      <c r="H1341" s="44">
        <v>70463</v>
      </c>
      <c r="I1341" s="44">
        <v>70484</v>
      </c>
      <c r="J1341" s="44" t="s">
        <v>28</v>
      </c>
      <c r="K1341" s="44" t="s">
        <v>1300</v>
      </c>
      <c r="L1341" s="44" t="s">
        <v>29</v>
      </c>
      <c r="M1341" s="44"/>
      <c r="N1341" s="45">
        <v>1200</v>
      </c>
      <c r="O1341" s="45">
        <v>1200</v>
      </c>
      <c r="P1341" s="45">
        <v>1200</v>
      </c>
      <c r="Q1341" s="45">
        <v>1200</v>
      </c>
      <c r="R1341" s="45">
        <v>239</v>
      </c>
      <c r="S1341" s="45">
        <v>239</v>
      </c>
      <c r="T1341" s="45">
        <v>239</v>
      </c>
      <c r="U1341" s="45">
        <v>239</v>
      </c>
      <c r="V1341" s="46"/>
    </row>
    <row r="1342" spans="2:22" ht="30" x14ac:dyDescent="0.25">
      <c r="B1342" s="47" t="s">
        <v>1300</v>
      </c>
      <c r="C1342" s="47" t="s">
        <v>658</v>
      </c>
      <c r="D1342" s="47" t="s">
        <v>490</v>
      </c>
      <c r="E1342" s="47" t="s">
        <v>27</v>
      </c>
      <c r="F1342" s="47" t="s">
        <v>660</v>
      </c>
      <c r="G1342" s="47" t="s">
        <v>27</v>
      </c>
      <c r="H1342" s="47">
        <v>70463</v>
      </c>
      <c r="I1342" s="47">
        <v>70484</v>
      </c>
      <c r="J1342" s="47" t="s">
        <v>28</v>
      </c>
      <c r="K1342" s="47" t="s">
        <v>2340</v>
      </c>
      <c r="L1342" s="47" t="s">
        <v>36</v>
      </c>
      <c r="M1342" s="47" t="s">
        <v>1057</v>
      </c>
      <c r="N1342" s="48">
        <v>1200</v>
      </c>
      <c r="O1342" s="48">
        <v>1200</v>
      </c>
      <c r="P1342" s="48">
        <v>1200</v>
      </c>
      <c r="Q1342" s="48">
        <v>1200</v>
      </c>
      <c r="R1342" s="48">
        <v>239</v>
      </c>
      <c r="S1342" s="48">
        <v>239</v>
      </c>
      <c r="T1342" s="48">
        <v>239</v>
      </c>
      <c r="U1342" s="48">
        <v>239</v>
      </c>
      <c r="V1342" s="48"/>
    </row>
    <row r="1343" spans="2:22" ht="23" x14ac:dyDescent="0.25">
      <c r="B1343" s="44" t="s">
        <v>1302</v>
      </c>
      <c r="C1343" s="44" t="s">
        <v>1203</v>
      </c>
      <c r="D1343" s="44" t="s">
        <v>817</v>
      </c>
      <c r="E1343" s="44" t="s">
        <v>27</v>
      </c>
      <c r="F1343" s="44" t="s">
        <v>1205</v>
      </c>
      <c r="G1343" s="44" t="s">
        <v>27</v>
      </c>
      <c r="H1343" s="44">
        <v>70470</v>
      </c>
      <c r="I1343" s="44">
        <v>70475</v>
      </c>
      <c r="J1343" s="44" t="s">
        <v>28</v>
      </c>
      <c r="K1343" s="44" t="s">
        <v>1302</v>
      </c>
      <c r="L1343" s="44" t="s">
        <v>29</v>
      </c>
      <c r="M1343" s="44"/>
      <c r="N1343" s="45">
        <v>800</v>
      </c>
      <c r="O1343" s="45">
        <v>880</v>
      </c>
      <c r="P1343" s="45">
        <v>910</v>
      </c>
      <c r="Q1343" s="45">
        <v>1001</v>
      </c>
      <c r="R1343" s="45">
        <v>159</v>
      </c>
      <c r="S1343" s="45">
        <v>175</v>
      </c>
      <c r="T1343" s="45">
        <v>181</v>
      </c>
      <c r="U1343" s="45">
        <v>199</v>
      </c>
      <c r="V1343" s="46"/>
    </row>
    <row r="1344" spans="2:22" ht="20" x14ac:dyDescent="0.25">
      <c r="B1344" s="47" t="s">
        <v>1302</v>
      </c>
      <c r="C1344" s="47" t="s">
        <v>1203</v>
      </c>
      <c r="D1344" s="47" t="s">
        <v>817</v>
      </c>
      <c r="E1344" s="47" t="s">
        <v>27</v>
      </c>
      <c r="F1344" s="47" t="s">
        <v>1205</v>
      </c>
      <c r="G1344" s="47" t="s">
        <v>27</v>
      </c>
      <c r="H1344" s="47">
        <v>70470</v>
      </c>
      <c r="I1344" s="47">
        <v>70475</v>
      </c>
      <c r="J1344" s="47" t="s">
        <v>28</v>
      </c>
      <c r="K1344" s="47" t="s">
        <v>1302</v>
      </c>
      <c r="L1344" s="47" t="s">
        <v>30</v>
      </c>
      <c r="M1344" s="47" t="s">
        <v>1203</v>
      </c>
      <c r="N1344" s="48">
        <v>800</v>
      </c>
      <c r="O1344" s="48">
        <v>880</v>
      </c>
      <c r="P1344" s="48">
        <v>910</v>
      </c>
      <c r="Q1344" s="48">
        <v>1001</v>
      </c>
      <c r="R1344" s="48">
        <v>159</v>
      </c>
      <c r="S1344" s="48">
        <v>175</v>
      </c>
      <c r="T1344" s="48">
        <v>181</v>
      </c>
      <c r="U1344" s="48">
        <v>199</v>
      </c>
      <c r="V1344" s="48"/>
    </row>
    <row r="1345" spans="2:22" ht="23" x14ac:dyDescent="0.25">
      <c r="B1345" s="44" t="s">
        <v>143</v>
      </c>
      <c r="C1345" s="44" t="s">
        <v>144</v>
      </c>
      <c r="D1345" s="44" t="s">
        <v>2551</v>
      </c>
      <c r="E1345" s="44" t="s">
        <v>40</v>
      </c>
      <c r="F1345" s="44" t="s">
        <v>928</v>
      </c>
      <c r="G1345" s="44" t="s">
        <v>27</v>
      </c>
      <c r="H1345" s="44">
        <v>79069</v>
      </c>
      <c r="I1345" s="44">
        <v>79091</v>
      </c>
      <c r="J1345" s="44" t="s">
        <v>42</v>
      </c>
      <c r="K1345" s="44" t="s">
        <v>143</v>
      </c>
      <c r="L1345" s="44" t="s">
        <v>29</v>
      </c>
      <c r="M1345" s="44"/>
      <c r="N1345" s="45">
        <v>1402</v>
      </c>
      <c r="O1345" s="45">
        <v>1543</v>
      </c>
      <c r="P1345" s="45">
        <v>1599</v>
      </c>
      <c r="Q1345" s="45">
        <v>1599</v>
      </c>
      <c r="R1345" s="45">
        <v>559</v>
      </c>
      <c r="S1345" s="45">
        <v>615</v>
      </c>
      <c r="T1345" s="45">
        <v>637</v>
      </c>
      <c r="U1345" s="45">
        <v>637</v>
      </c>
      <c r="V1345" s="46"/>
    </row>
    <row r="1346" spans="2:22" ht="20" x14ac:dyDescent="0.25">
      <c r="B1346" s="47" t="s">
        <v>143</v>
      </c>
      <c r="C1346" s="47" t="s">
        <v>144</v>
      </c>
      <c r="D1346" s="47" t="s">
        <v>2551</v>
      </c>
      <c r="E1346" s="47" t="s">
        <v>40</v>
      </c>
      <c r="F1346" s="47" t="s">
        <v>928</v>
      </c>
      <c r="G1346" s="47" t="s">
        <v>27</v>
      </c>
      <c r="H1346" s="47">
        <v>79069</v>
      </c>
      <c r="I1346" s="47">
        <v>79091</v>
      </c>
      <c r="J1346" s="47" t="s">
        <v>42</v>
      </c>
      <c r="K1346" s="47" t="s">
        <v>388</v>
      </c>
      <c r="L1346" s="47" t="s">
        <v>31</v>
      </c>
      <c r="M1346" s="47" t="s">
        <v>1303</v>
      </c>
      <c r="N1346" s="48">
        <v>1402</v>
      </c>
      <c r="O1346" s="48">
        <v>1543</v>
      </c>
      <c r="P1346" s="47">
        <v>1600</v>
      </c>
      <c r="Q1346" s="47">
        <v>1759</v>
      </c>
      <c r="R1346" s="48">
        <v>559</v>
      </c>
      <c r="S1346" s="48">
        <v>615</v>
      </c>
      <c r="T1346" s="48">
        <v>637</v>
      </c>
      <c r="U1346" s="47">
        <v>701</v>
      </c>
      <c r="V1346" s="47"/>
    </row>
    <row r="1347" spans="2:22" ht="20" x14ac:dyDescent="0.25">
      <c r="B1347" s="47" t="s">
        <v>143</v>
      </c>
      <c r="C1347" s="47" t="s">
        <v>144</v>
      </c>
      <c r="D1347" s="47" t="s">
        <v>2551</v>
      </c>
      <c r="E1347" s="47" t="s">
        <v>40</v>
      </c>
      <c r="F1347" s="47" t="s">
        <v>928</v>
      </c>
      <c r="G1347" s="47" t="s">
        <v>27</v>
      </c>
      <c r="H1347" s="47">
        <v>79069</v>
      </c>
      <c r="I1347" s="47">
        <v>79091</v>
      </c>
      <c r="J1347" s="47" t="s">
        <v>42</v>
      </c>
      <c r="K1347" s="47" t="s">
        <v>213</v>
      </c>
      <c r="L1347" s="47" t="s">
        <v>213</v>
      </c>
      <c r="M1347" s="47" t="s">
        <v>329</v>
      </c>
      <c r="N1347" s="47">
        <v>1461</v>
      </c>
      <c r="O1347" s="47">
        <v>1599</v>
      </c>
      <c r="P1347" s="48">
        <v>1599</v>
      </c>
      <c r="Q1347" s="48">
        <v>1599</v>
      </c>
      <c r="R1347" s="47">
        <v>582</v>
      </c>
      <c r="S1347" s="47">
        <v>637</v>
      </c>
      <c r="T1347" s="48">
        <v>637</v>
      </c>
      <c r="U1347" s="48">
        <v>637</v>
      </c>
      <c r="V1347" s="48"/>
    </row>
    <row r="1348" spans="2:22" ht="23" x14ac:dyDescent="0.25">
      <c r="B1348" s="44" t="s">
        <v>1304</v>
      </c>
      <c r="C1348" s="44" t="s">
        <v>1305</v>
      </c>
      <c r="D1348" s="44" t="s">
        <v>1306</v>
      </c>
      <c r="E1348" s="44" t="s">
        <v>27</v>
      </c>
      <c r="F1348" s="44" t="s">
        <v>678</v>
      </c>
      <c r="G1348" s="44" t="s">
        <v>27</v>
      </c>
      <c r="H1348" s="44">
        <v>70476</v>
      </c>
      <c r="I1348" s="44">
        <v>70157</v>
      </c>
      <c r="J1348" s="44" t="s">
        <v>28</v>
      </c>
      <c r="K1348" s="44" t="s">
        <v>1304</v>
      </c>
      <c r="L1348" s="44" t="s">
        <v>29</v>
      </c>
      <c r="M1348" s="44"/>
      <c r="N1348" s="45">
        <v>600</v>
      </c>
      <c r="O1348" s="45">
        <v>600</v>
      </c>
      <c r="P1348" s="45">
        <v>600</v>
      </c>
      <c r="Q1348" s="45">
        <v>600</v>
      </c>
      <c r="R1348" s="45">
        <v>120</v>
      </c>
      <c r="S1348" s="45">
        <v>120</v>
      </c>
      <c r="T1348" s="45">
        <v>120</v>
      </c>
      <c r="U1348" s="45">
        <v>120</v>
      </c>
      <c r="V1348" s="46"/>
    </row>
    <row r="1349" spans="2:22" ht="20" x14ac:dyDescent="0.25">
      <c r="B1349" s="47" t="s">
        <v>1304</v>
      </c>
      <c r="C1349" s="47" t="s">
        <v>1305</v>
      </c>
      <c r="D1349" s="47" t="s">
        <v>1306</v>
      </c>
      <c r="E1349" s="47" t="s">
        <v>27</v>
      </c>
      <c r="F1349" s="47" t="s">
        <v>678</v>
      </c>
      <c r="G1349" s="47" t="s">
        <v>27</v>
      </c>
      <c r="H1349" s="47">
        <v>70476</v>
      </c>
      <c r="I1349" s="47">
        <v>70157</v>
      </c>
      <c r="J1349" s="47" t="s">
        <v>28</v>
      </c>
      <c r="K1349" s="47" t="s">
        <v>2020</v>
      </c>
      <c r="L1349" s="47" t="s">
        <v>1315</v>
      </c>
      <c r="M1349" s="47" t="s">
        <v>1308</v>
      </c>
      <c r="N1349" s="48">
        <v>600</v>
      </c>
      <c r="O1349" s="48">
        <v>600</v>
      </c>
      <c r="P1349" s="48">
        <v>600</v>
      </c>
      <c r="Q1349" s="48">
        <v>600</v>
      </c>
      <c r="R1349" s="48">
        <v>120</v>
      </c>
      <c r="S1349" s="48">
        <v>120</v>
      </c>
      <c r="T1349" s="48">
        <v>120</v>
      </c>
      <c r="U1349" s="48">
        <v>120</v>
      </c>
      <c r="V1349" s="48"/>
    </row>
    <row r="1350" spans="2:22" ht="23" x14ac:dyDescent="0.25">
      <c r="B1350" s="44" t="s">
        <v>1309</v>
      </c>
      <c r="C1350" s="44" t="s">
        <v>1305</v>
      </c>
      <c r="D1350" s="44" t="s">
        <v>1306</v>
      </c>
      <c r="E1350" s="44" t="s">
        <v>27</v>
      </c>
      <c r="F1350" s="44" t="s">
        <v>1310</v>
      </c>
      <c r="G1350" s="44" t="s">
        <v>27</v>
      </c>
      <c r="H1350" s="44">
        <v>70476</v>
      </c>
      <c r="I1350" s="44">
        <v>73476</v>
      </c>
      <c r="J1350" s="44" t="s">
        <v>28</v>
      </c>
      <c r="K1350" s="44" t="s">
        <v>1309</v>
      </c>
      <c r="L1350" s="44" t="s">
        <v>29</v>
      </c>
      <c r="M1350" s="44"/>
      <c r="N1350" s="45">
        <v>600</v>
      </c>
      <c r="O1350" s="45">
        <v>600</v>
      </c>
      <c r="P1350" s="45">
        <v>600</v>
      </c>
      <c r="Q1350" s="45">
        <v>600</v>
      </c>
      <c r="R1350" s="45">
        <v>120</v>
      </c>
      <c r="S1350" s="45">
        <v>120</v>
      </c>
      <c r="T1350" s="45">
        <v>120</v>
      </c>
      <c r="U1350" s="45">
        <v>120</v>
      </c>
      <c r="V1350" s="46"/>
    </row>
    <row r="1351" spans="2:22" ht="30" x14ac:dyDescent="0.25">
      <c r="B1351" s="47" t="s">
        <v>1309</v>
      </c>
      <c r="C1351" s="47" t="s">
        <v>1305</v>
      </c>
      <c r="D1351" s="47" t="s">
        <v>1306</v>
      </c>
      <c r="E1351" s="47" t="s">
        <v>27</v>
      </c>
      <c r="F1351" s="47" t="s">
        <v>1310</v>
      </c>
      <c r="G1351" s="47" t="s">
        <v>27</v>
      </c>
      <c r="H1351" s="47">
        <v>70476</v>
      </c>
      <c r="I1351" s="47">
        <v>73476</v>
      </c>
      <c r="J1351" s="47" t="s">
        <v>28</v>
      </c>
      <c r="K1351" s="47" t="s">
        <v>2522</v>
      </c>
      <c r="L1351" s="47" t="s">
        <v>36</v>
      </c>
      <c r="M1351" s="47" t="s">
        <v>1312</v>
      </c>
      <c r="N1351" s="48">
        <v>600</v>
      </c>
      <c r="O1351" s="48">
        <v>600</v>
      </c>
      <c r="P1351" s="48">
        <v>600</v>
      </c>
      <c r="Q1351" s="48">
        <v>600</v>
      </c>
      <c r="R1351" s="48">
        <v>120</v>
      </c>
      <c r="S1351" s="48">
        <v>120</v>
      </c>
      <c r="T1351" s="48">
        <v>120</v>
      </c>
      <c r="U1351" s="48">
        <v>120</v>
      </c>
      <c r="V1351" s="48"/>
    </row>
    <row r="1352" spans="2:22" ht="20" x14ac:dyDescent="0.25">
      <c r="B1352" s="47" t="s">
        <v>1309</v>
      </c>
      <c r="C1352" s="47" t="s">
        <v>1305</v>
      </c>
      <c r="D1352" s="47" t="s">
        <v>1306</v>
      </c>
      <c r="E1352" s="47" t="s">
        <v>27</v>
      </c>
      <c r="F1352" s="47" t="s">
        <v>1310</v>
      </c>
      <c r="G1352" s="47" t="s">
        <v>27</v>
      </c>
      <c r="H1352" s="47">
        <v>70476</v>
      </c>
      <c r="I1352" s="47">
        <v>73476</v>
      </c>
      <c r="J1352" s="47" t="s">
        <v>28</v>
      </c>
      <c r="K1352" s="47" t="s">
        <v>2021</v>
      </c>
      <c r="L1352" s="47" t="s">
        <v>1315</v>
      </c>
      <c r="M1352" s="47" t="s">
        <v>1308</v>
      </c>
      <c r="N1352" s="48">
        <v>600</v>
      </c>
      <c r="O1352" s="48">
        <v>600</v>
      </c>
      <c r="P1352" s="48">
        <v>600</v>
      </c>
      <c r="Q1352" s="48">
        <v>600</v>
      </c>
      <c r="R1352" s="48">
        <v>120</v>
      </c>
      <c r="S1352" s="48">
        <v>120</v>
      </c>
      <c r="T1352" s="48">
        <v>120</v>
      </c>
      <c r="U1352" s="48">
        <v>120</v>
      </c>
      <c r="V1352" s="48"/>
    </row>
    <row r="1353" spans="2:22" ht="12.5" hidden="1" customHeight="1" x14ac:dyDescent="0.25"/>
    <row r="1354" spans="2:22" ht="144" customHeight="1" x14ac:dyDescent="0.25"/>
  </sheetData>
  <mergeCells count="7">
    <mergeCell ref="B2:D3"/>
    <mergeCell ref="E2:G3"/>
    <mergeCell ref="I2:K2"/>
    <mergeCell ref="L2:Q2"/>
    <mergeCell ref="R2:V2"/>
    <mergeCell ref="I3:K3"/>
    <mergeCell ref="L3:Q3"/>
  </mergeCells>
  <pageMargins left="0" right="0" top="0" bottom="0.47082992125984258" header="0" footer="0"/>
  <pageSetup paperSize="4" orientation="portrait" horizontalDpi="0" verticalDpi="0"/>
  <headerFooter alignWithMargins="0">
    <oddFooter xml:space="preserve">&amp;L&amp;C&amp;"Arial"&amp;10 9/12/2025 12:17:11 PM &amp;R&amp;"Arial"&amp;10Page &amp;P of &amp;N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83502-1FD4-4A6F-81CD-0AC228D4107D}">
  <sheetPr>
    <pageSetUpPr fitToPage="1"/>
  </sheetPr>
  <dimension ref="B1:V22"/>
  <sheetViews>
    <sheetView zoomScaleNormal="100" zoomScaleSheetLayoutView="100" workbookViewId="0">
      <selection activeCell="A5" sqref="A5"/>
    </sheetView>
  </sheetViews>
  <sheetFormatPr defaultColWidth="9.1796875" defaultRowHeight="12.5" x14ac:dyDescent="0.25"/>
  <cols>
    <col min="1" max="1" width="3.453125" style="30" customWidth="1"/>
    <col min="2" max="2" width="20.7265625" style="30" customWidth="1"/>
    <col min="3" max="3" width="6.81640625" style="30" customWidth="1"/>
    <col min="4" max="4" width="16.453125" style="30" customWidth="1"/>
    <col min="5" max="5" width="9.54296875" style="30" customWidth="1"/>
    <col min="6" max="6" width="16.453125" style="30" customWidth="1"/>
    <col min="7" max="7" width="9.54296875" style="30" customWidth="1"/>
    <col min="8" max="9" width="6.81640625" style="30" customWidth="1"/>
    <col min="10" max="10" width="10.81640625" style="30" customWidth="1"/>
    <col min="11" max="11" width="19.1796875" style="30" customWidth="1"/>
    <col min="12" max="12" width="13.7265625" style="30" customWidth="1"/>
    <col min="13" max="13" width="9.54296875" style="30" customWidth="1"/>
    <col min="14" max="21" width="6.81640625" style="30" customWidth="1"/>
    <col min="22" max="22" width="13.7265625" style="30" customWidth="1"/>
    <col min="23" max="23" width="5.453125" style="30" customWidth="1"/>
    <col min="24" max="16384" width="9.1796875" style="30"/>
  </cols>
  <sheetData>
    <row r="1" spans="2:22" ht="18" customHeight="1" x14ac:dyDescent="0.25"/>
    <row r="2" spans="2:22" ht="21.65" customHeight="1" x14ac:dyDescent="0.25">
      <c r="B2" s="371"/>
      <c r="C2" s="371"/>
      <c r="D2" s="371"/>
      <c r="E2" s="372" t="s">
        <v>2130</v>
      </c>
      <c r="F2" s="371"/>
      <c r="G2" s="371"/>
      <c r="I2" s="373" t="s">
        <v>0</v>
      </c>
      <c r="J2" s="371"/>
      <c r="K2" s="371"/>
      <c r="L2" s="373" t="s">
        <v>1</v>
      </c>
      <c r="M2" s="371"/>
      <c r="N2" s="371"/>
      <c r="O2" s="371"/>
      <c r="P2" s="371"/>
      <c r="Q2" s="371"/>
      <c r="R2" s="373" t="s">
        <v>2</v>
      </c>
      <c r="S2" s="371"/>
      <c r="T2" s="371"/>
      <c r="U2" s="371"/>
      <c r="V2" s="371"/>
    </row>
    <row r="3" spans="2:22" ht="21.65" customHeight="1" x14ac:dyDescent="0.25">
      <c r="B3" s="371"/>
      <c r="C3" s="371"/>
      <c r="D3" s="371"/>
      <c r="E3" s="371"/>
      <c r="F3" s="371"/>
      <c r="G3" s="371"/>
      <c r="I3" s="373" t="s">
        <v>3</v>
      </c>
      <c r="J3" s="371"/>
      <c r="K3" s="371"/>
      <c r="L3" s="373" t="s">
        <v>4</v>
      </c>
      <c r="M3" s="371"/>
      <c r="N3" s="371"/>
      <c r="O3" s="371"/>
      <c r="P3" s="371"/>
      <c r="Q3" s="371"/>
    </row>
    <row r="4" spans="2:22" ht="18" customHeight="1" x14ac:dyDescent="0.25"/>
    <row r="5" spans="2:22" ht="21" x14ac:dyDescent="0.25">
      <c r="B5" s="1" t="s">
        <v>14</v>
      </c>
      <c r="C5" s="1" t="s">
        <v>15</v>
      </c>
      <c r="D5" s="1" t="s">
        <v>16</v>
      </c>
      <c r="E5" s="1" t="s">
        <v>17</v>
      </c>
      <c r="F5" s="1" t="s">
        <v>18</v>
      </c>
      <c r="G5" s="1" t="s">
        <v>19</v>
      </c>
      <c r="H5" s="1" t="s">
        <v>20</v>
      </c>
      <c r="I5" s="1" t="s">
        <v>21</v>
      </c>
      <c r="J5" s="1" t="s">
        <v>22</v>
      </c>
      <c r="K5" s="1" t="s">
        <v>23</v>
      </c>
      <c r="L5" s="1" t="s">
        <v>24</v>
      </c>
      <c r="M5" s="1" t="s">
        <v>25</v>
      </c>
      <c r="N5" s="1" t="s">
        <v>5</v>
      </c>
      <c r="O5" s="1" t="s">
        <v>6</v>
      </c>
      <c r="P5" s="1" t="s">
        <v>7</v>
      </c>
      <c r="Q5" s="1" t="s">
        <v>8</v>
      </c>
      <c r="R5" s="1" t="s">
        <v>9</v>
      </c>
      <c r="S5" s="1" t="s">
        <v>10</v>
      </c>
      <c r="T5" s="1" t="s">
        <v>11</v>
      </c>
      <c r="U5" s="1" t="s">
        <v>12</v>
      </c>
      <c r="V5" s="1" t="s">
        <v>26</v>
      </c>
    </row>
    <row r="6" spans="2:22" ht="34.5" x14ac:dyDescent="0.25">
      <c r="B6" s="53" t="s">
        <v>1815</v>
      </c>
      <c r="C6" s="54" t="s">
        <v>1814</v>
      </c>
      <c r="D6" s="53" t="s">
        <v>43</v>
      </c>
      <c r="E6" s="53" t="s">
        <v>27</v>
      </c>
      <c r="F6" s="53" t="s">
        <v>1813</v>
      </c>
      <c r="G6" s="53" t="s">
        <v>40</v>
      </c>
      <c r="H6" s="53"/>
      <c r="I6" s="53"/>
      <c r="J6" s="53" t="s">
        <v>42</v>
      </c>
      <c r="K6" s="53" t="s">
        <v>1815</v>
      </c>
      <c r="L6" s="53" t="s">
        <v>29</v>
      </c>
      <c r="M6" s="53"/>
      <c r="N6" s="31">
        <v>1889</v>
      </c>
      <c r="O6" s="31">
        <v>1920</v>
      </c>
      <c r="P6" s="31">
        <v>1920</v>
      </c>
      <c r="Q6" s="31">
        <v>1920</v>
      </c>
      <c r="R6" s="31">
        <v>376</v>
      </c>
      <c r="S6" s="31">
        <v>382</v>
      </c>
      <c r="T6" s="31">
        <v>382</v>
      </c>
      <c r="U6" s="31">
        <v>382</v>
      </c>
      <c r="V6" s="32" t="s">
        <v>2637</v>
      </c>
    </row>
    <row r="7" spans="2:22" ht="20" x14ac:dyDescent="0.25">
      <c r="B7" s="2" t="s">
        <v>1815</v>
      </c>
      <c r="C7" s="52" t="s">
        <v>1814</v>
      </c>
      <c r="D7" s="2" t="s">
        <v>43</v>
      </c>
      <c r="E7" s="2" t="s">
        <v>27</v>
      </c>
      <c r="F7" s="2" t="s">
        <v>1813</v>
      </c>
      <c r="G7" s="2" t="s">
        <v>40</v>
      </c>
      <c r="H7" s="2"/>
      <c r="I7" s="2"/>
      <c r="J7" s="2" t="s">
        <v>42</v>
      </c>
      <c r="K7" s="2" t="s">
        <v>2636</v>
      </c>
      <c r="L7" s="2" t="s">
        <v>31</v>
      </c>
      <c r="M7" s="2" t="s">
        <v>47</v>
      </c>
      <c r="N7" s="28">
        <v>1889</v>
      </c>
      <c r="O7" s="27">
        <v>2202</v>
      </c>
      <c r="P7" s="27">
        <v>2250</v>
      </c>
      <c r="Q7" s="27">
        <v>2505</v>
      </c>
      <c r="R7" s="28">
        <v>376</v>
      </c>
      <c r="S7" s="27">
        <v>439</v>
      </c>
      <c r="T7" s="27">
        <v>439</v>
      </c>
      <c r="U7" s="27">
        <v>439</v>
      </c>
      <c r="V7" s="32"/>
    </row>
    <row r="8" spans="2:22" ht="20" x14ac:dyDescent="0.25">
      <c r="B8" s="2" t="s">
        <v>1815</v>
      </c>
      <c r="C8" s="52" t="s">
        <v>1814</v>
      </c>
      <c r="D8" s="2" t="s">
        <v>43</v>
      </c>
      <c r="E8" s="2" t="s">
        <v>27</v>
      </c>
      <c r="F8" s="2" t="s">
        <v>1813</v>
      </c>
      <c r="G8" s="2" t="s">
        <v>40</v>
      </c>
      <c r="H8" s="2"/>
      <c r="I8" s="2"/>
      <c r="J8" s="2" t="s">
        <v>42</v>
      </c>
      <c r="K8" s="2" t="s">
        <v>2636</v>
      </c>
      <c r="L8" s="2" t="s">
        <v>31</v>
      </c>
      <c r="M8" s="2" t="s">
        <v>2635</v>
      </c>
      <c r="N8" s="28">
        <v>1889</v>
      </c>
      <c r="O8" s="27">
        <v>2202</v>
      </c>
      <c r="P8" s="27">
        <v>2250</v>
      </c>
      <c r="Q8" s="27">
        <v>2505</v>
      </c>
      <c r="R8" s="28">
        <v>376</v>
      </c>
      <c r="S8" s="27">
        <v>439</v>
      </c>
      <c r="T8" s="27">
        <v>439</v>
      </c>
      <c r="U8" s="27">
        <v>439</v>
      </c>
      <c r="V8" s="32"/>
    </row>
    <row r="9" spans="2:22" ht="30" x14ac:dyDescent="0.25">
      <c r="B9" s="2" t="s">
        <v>1815</v>
      </c>
      <c r="C9" s="52" t="s">
        <v>1814</v>
      </c>
      <c r="D9" s="2" t="s">
        <v>43</v>
      </c>
      <c r="E9" s="2" t="s">
        <v>27</v>
      </c>
      <c r="F9" s="2" t="s">
        <v>1813</v>
      </c>
      <c r="G9" s="2" t="s">
        <v>40</v>
      </c>
      <c r="H9" s="2"/>
      <c r="I9" s="2"/>
      <c r="J9" s="2" t="s">
        <v>42</v>
      </c>
      <c r="K9" s="2" t="s">
        <v>2634</v>
      </c>
      <c r="L9" s="2" t="s">
        <v>36</v>
      </c>
      <c r="M9" s="2" t="s">
        <v>47</v>
      </c>
      <c r="N9" s="27">
        <v>1920</v>
      </c>
      <c r="O9" s="28">
        <v>1920</v>
      </c>
      <c r="P9" s="28">
        <v>1920</v>
      </c>
      <c r="Q9" s="28">
        <v>1920</v>
      </c>
      <c r="R9" s="27">
        <v>382</v>
      </c>
      <c r="S9" s="28">
        <v>382</v>
      </c>
      <c r="T9" s="28">
        <v>382</v>
      </c>
      <c r="U9" s="28">
        <v>382</v>
      </c>
      <c r="V9" s="32"/>
    </row>
    <row r="10" spans="2:22" x14ac:dyDescent="0.25">
      <c r="B10" s="53" t="s">
        <v>1820</v>
      </c>
      <c r="C10" s="54" t="s">
        <v>1819</v>
      </c>
      <c r="D10" s="53" t="s">
        <v>1818</v>
      </c>
      <c r="E10" s="53" t="s">
        <v>27</v>
      </c>
      <c r="F10" s="53" t="s">
        <v>1817</v>
      </c>
      <c r="G10" s="53" t="s">
        <v>27</v>
      </c>
      <c r="H10" s="53"/>
      <c r="I10" s="53"/>
      <c r="J10" s="53" t="s">
        <v>28</v>
      </c>
      <c r="K10" s="53" t="s">
        <v>1820</v>
      </c>
      <c r="L10" s="53" t="s">
        <v>29</v>
      </c>
      <c r="M10" s="53"/>
      <c r="N10" s="31">
        <v>400</v>
      </c>
      <c r="O10" s="31">
        <v>400</v>
      </c>
      <c r="P10" s="31">
        <v>400</v>
      </c>
      <c r="Q10" s="31">
        <v>400</v>
      </c>
      <c r="R10" s="31">
        <v>80</v>
      </c>
      <c r="S10" s="31">
        <v>80</v>
      </c>
      <c r="T10" s="31">
        <v>80</v>
      </c>
      <c r="U10" s="31">
        <v>80</v>
      </c>
      <c r="V10" s="32"/>
    </row>
    <row r="11" spans="2:22" ht="30" x14ac:dyDescent="0.25">
      <c r="B11" s="2" t="s">
        <v>1820</v>
      </c>
      <c r="C11" s="52" t="s">
        <v>1819</v>
      </c>
      <c r="D11" s="2" t="s">
        <v>1818</v>
      </c>
      <c r="E11" s="2" t="s">
        <v>27</v>
      </c>
      <c r="F11" s="2" t="s">
        <v>1817</v>
      </c>
      <c r="G11" s="2" t="s">
        <v>27</v>
      </c>
      <c r="H11" s="2"/>
      <c r="I11" s="2"/>
      <c r="J11" s="2" t="s">
        <v>28</v>
      </c>
      <c r="K11" s="2" t="s">
        <v>1816</v>
      </c>
      <c r="L11" s="2" t="s">
        <v>36</v>
      </c>
      <c r="M11" s="2" t="s">
        <v>46</v>
      </c>
      <c r="N11" s="28">
        <v>400</v>
      </c>
      <c r="O11" s="28">
        <v>400</v>
      </c>
      <c r="P11" s="28">
        <v>400</v>
      </c>
      <c r="Q11" s="28">
        <v>400</v>
      </c>
      <c r="R11" s="28">
        <v>80</v>
      </c>
      <c r="S11" s="28">
        <v>80</v>
      </c>
      <c r="T11" s="28">
        <v>80</v>
      </c>
      <c r="U11" s="28">
        <v>80</v>
      </c>
      <c r="V11" s="5"/>
    </row>
    <row r="12" spans="2:22" ht="23" x14ac:dyDescent="0.25">
      <c r="B12" s="53" t="s">
        <v>1860</v>
      </c>
      <c r="C12" s="54" t="s">
        <v>1802</v>
      </c>
      <c r="D12" s="53" t="s">
        <v>53</v>
      </c>
      <c r="E12" s="53" t="s">
        <v>27</v>
      </c>
      <c r="F12" s="53" t="s">
        <v>1801</v>
      </c>
      <c r="G12" s="53" t="s">
        <v>40</v>
      </c>
      <c r="H12" s="53"/>
      <c r="I12" s="53"/>
      <c r="J12" s="53" t="s">
        <v>42</v>
      </c>
      <c r="K12" s="53" t="s">
        <v>1803</v>
      </c>
      <c r="L12" s="53" t="s">
        <v>29</v>
      </c>
      <c r="M12" s="53"/>
      <c r="N12" s="31">
        <v>2157</v>
      </c>
      <c r="O12" s="31">
        <v>2400</v>
      </c>
      <c r="P12" s="31">
        <v>2400</v>
      </c>
      <c r="Q12" s="31">
        <v>2400</v>
      </c>
      <c r="R12" s="31">
        <v>859</v>
      </c>
      <c r="S12" s="31">
        <v>956</v>
      </c>
      <c r="T12" s="31">
        <v>956</v>
      </c>
      <c r="U12" s="31">
        <v>956</v>
      </c>
      <c r="V12" s="32"/>
    </row>
    <row r="13" spans="2:22" x14ac:dyDescent="0.25">
      <c r="B13" s="2" t="s">
        <v>1860</v>
      </c>
      <c r="C13" s="52" t="s">
        <v>1802</v>
      </c>
      <c r="D13" s="2" t="s">
        <v>53</v>
      </c>
      <c r="E13" s="2" t="s">
        <v>27</v>
      </c>
      <c r="F13" s="2" t="s">
        <v>1801</v>
      </c>
      <c r="G13" s="2" t="s">
        <v>40</v>
      </c>
      <c r="H13" s="2"/>
      <c r="I13" s="2"/>
      <c r="J13" s="2" t="s">
        <v>42</v>
      </c>
      <c r="K13" s="29">
        <v>5220</v>
      </c>
      <c r="L13" s="2" t="s">
        <v>34</v>
      </c>
      <c r="M13" s="2" t="s">
        <v>53</v>
      </c>
      <c r="N13" s="28">
        <v>2157</v>
      </c>
      <c r="O13" s="27">
        <v>2533</v>
      </c>
      <c r="P13" s="27">
        <v>2472</v>
      </c>
      <c r="Q13" s="27">
        <v>2761</v>
      </c>
      <c r="R13" s="28">
        <v>859</v>
      </c>
      <c r="S13" s="27">
        <v>1009.0754799815522</v>
      </c>
      <c r="T13" s="27">
        <v>984.77480715136085</v>
      </c>
      <c r="U13" s="27">
        <v>1099.9042243304639</v>
      </c>
      <c r="V13" s="5"/>
    </row>
    <row r="14" spans="2:22" ht="20" x14ac:dyDescent="0.25">
      <c r="B14" s="2" t="s">
        <v>1860</v>
      </c>
      <c r="C14" s="52" t="s">
        <v>1802</v>
      </c>
      <c r="D14" s="2" t="s">
        <v>53</v>
      </c>
      <c r="E14" s="2" t="s">
        <v>27</v>
      </c>
      <c r="F14" s="2" t="s">
        <v>1801</v>
      </c>
      <c r="G14" s="2" t="s">
        <v>40</v>
      </c>
      <c r="H14" s="2"/>
      <c r="I14" s="2"/>
      <c r="J14" s="2" t="s">
        <v>42</v>
      </c>
      <c r="K14" s="2" t="s">
        <v>1811</v>
      </c>
      <c r="L14" s="2" t="s">
        <v>39</v>
      </c>
      <c r="M14" s="2" t="s">
        <v>53</v>
      </c>
      <c r="N14" s="27">
        <v>2400</v>
      </c>
      <c r="O14" s="26">
        <v>2400</v>
      </c>
      <c r="P14" s="26">
        <v>2400</v>
      </c>
      <c r="Q14" s="26">
        <v>2400</v>
      </c>
      <c r="R14" s="27">
        <v>956</v>
      </c>
      <c r="S14" s="26">
        <v>956</v>
      </c>
      <c r="T14" s="26">
        <v>956</v>
      </c>
      <c r="U14" s="26">
        <v>956</v>
      </c>
      <c r="V14" s="5"/>
    </row>
    <row r="15" spans="2:22" ht="20" x14ac:dyDescent="0.25">
      <c r="B15" s="2" t="s">
        <v>1860</v>
      </c>
      <c r="C15" s="52" t="s">
        <v>1802</v>
      </c>
      <c r="D15" s="2" t="s">
        <v>53</v>
      </c>
      <c r="E15" s="2" t="s">
        <v>27</v>
      </c>
      <c r="F15" s="2" t="s">
        <v>1801</v>
      </c>
      <c r="G15" s="2" t="s">
        <v>40</v>
      </c>
      <c r="H15" s="2"/>
      <c r="I15" s="2"/>
      <c r="J15" s="2" t="s">
        <v>42</v>
      </c>
      <c r="K15" s="2" t="s">
        <v>1810</v>
      </c>
      <c r="L15" s="2" t="s">
        <v>39</v>
      </c>
      <c r="M15" s="2" t="s">
        <v>53</v>
      </c>
      <c r="N15" s="27">
        <v>2400</v>
      </c>
      <c r="O15" s="26">
        <v>2400</v>
      </c>
      <c r="P15" s="26">
        <v>2400</v>
      </c>
      <c r="Q15" s="26">
        <v>2400</v>
      </c>
      <c r="R15" s="27">
        <v>956</v>
      </c>
      <c r="S15" s="26">
        <v>956</v>
      </c>
      <c r="T15" s="26">
        <v>956</v>
      </c>
      <c r="U15" s="26">
        <v>956</v>
      </c>
      <c r="V15" s="5"/>
    </row>
    <row r="16" spans="2:22" ht="20" x14ac:dyDescent="0.25">
      <c r="B16" s="2" t="s">
        <v>1860</v>
      </c>
      <c r="C16" s="52" t="s">
        <v>1802</v>
      </c>
      <c r="D16" s="2" t="s">
        <v>53</v>
      </c>
      <c r="E16" s="2" t="s">
        <v>27</v>
      </c>
      <c r="F16" s="2" t="s">
        <v>1801</v>
      </c>
      <c r="G16" s="2" t="s">
        <v>40</v>
      </c>
      <c r="H16" s="2"/>
      <c r="I16" s="2"/>
      <c r="J16" s="2" t="s">
        <v>42</v>
      </c>
      <c r="K16" s="2" t="s">
        <v>1809</v>
      </c>
      <c r="L16" s="2" t="s">
        <v>39</v>
      </c>
      <c r="M16" s="2" t="s">
        <v>53</v>
      </c>
      <c r="N16" s="27">
        <v>2400</v>
      </c>
      <c r="O16" s="26">
        <v>2400</v>
      </c>
      <c r="P16" s="26">
        <v>2400</v>
      </c>
      <c r="Q16" s="26">
        <v>2400</v>
      </c>
      <c r="R16" s="27">
        <v>956</v>
      </c>
      <c r="S16" s="26">
        <v>956</v>
      </c>
      <c r="T16" s="26">
        <v>956</v>
      </c>
      <c r="U16" s="26">
        <v>956</v>
      </c>
      <c r="V16" s="5"/>
    </row>
    <row r="17" spans="2:22" ht="20" x14ac:dyDescent="0.25">
      <c r="B17" s="2" t="s">
        <v>1860</v>
      </c>
      <c r="C17" s="52" t="s">
        <v>1802</v>
      </c>
      <c r="D17" s="2" t="s">
        <v>53</v>
      </c>
      <c r="E17" s="2" t="s">
        <v>27</v>
      </c>
      <c r="F17" s="2" t="s">
        <v>1801</v>
      </c>
      <c r="G17" s="2" t="s">
        <v>40</v>
      </c>
      <c r="H17" s="2"/>
      <c r="I17" s="2"/>
      <c r="J17" s="2" t="s">
        <v>42</v>
      </c>
      <c r="K17" s="2" t="s">
        <v>1808</v>
      </c>
      <c r="L17" s="2" t="s">
        <v>39</v>
      </c>
      <c r="M17" s="2" t="s">
        <v>53</v>
      </c>
      <c r="N17" s="27">
        <v>2400</v>
      </c>
      <c r="O17" s="26">
        <v>2400</v>
      </c>
      <c r="P17" s="26">
        <v>2400</v>
      </c>
      <c r="Q17" s="26">
        <v>2400</v>
      </c>
      <c r="R17" s="27">
        <v>956</v>
      </c>
      <c r="S17" s="26">
        <v>956</v>
      </c>
      <c r="T17" s="26">
        <v>956</v>
      </c>
      <c r="U17" s="26">
        <v>956</v>
      </c>
      <c r="V17" s="5"/>
    </row>
    <row r="18" spans="2:22" ht="20" x14ac:dyDescent="0.25">
      <c r="B18" s="2" t="s">
        <v>1860</v>
      </c>
      <c r="C18" s="52" t="s">
        <v>1802</v>
      </c>
      <c r="D18" s="2" t="s">
        <v>53</v>
      </c>
      <c r="E18" s="2" t="s">
        <v>27</v>
      </c>
      <c r="F18" s="2" t="s">
        <v>1801</v>
      </c>
      <c r="G18" s="2" t="s">
        <v>40</v>
      </c>
      <c r="H18" s="2"/>
      <c r="I18" s="2"/>
      <c r="J18" s="2" t="s">
        <v>42</v>
      </c>
      <c r="K18" s="2" t="s">
        <v>1807</v>
      </c>
      <c r="L18" s="2" t="s">
        <v>39</v>
      </c>
      <c r="M18" s="2" t="s">
        <v>53</v>
      </c>
      <c r="N18" s="27">
        <v>2400</v>
      </c>
      <c r="O18" s="26">
        <v>2400</v>
      </c>
      <c r="P18" s="26">
        <v>2400</v>
      </c>
      <c r="Q18" s="26">
        <v>2400</v>
      </c>
      <c r="R18" s="27">
        <v>956</v>
      </c>
      <c r="S18" s="26">
        <v>956</v>
      </c>
      <c r="T18" s="26">
        <v>956</v>
      </c>
      <c r="U18" s="26">
        <v>956</v>
      </c>
      <c r="V18" s="5"/>
    </row>
    <row r="19" spans="2:22" ht="20" x14ac:dyDescent="0.25">
      <c r="B19" s="2" t="s">
        <v>1860</v>
      </c>
      <c r="C19" s="52" t="s">
        <v>1802</v>
      </c>
      <c r="D19" s="2" t="s">
        <v>53</v>
      </c>
      <c r="E19" s="2" t="s">
        <v>27</v>
      </c>
      <c r="F19" s="2" t="s">
        <v>1801</v>
      </c>
      <c r="G19" s="2" t="s">
        <v>40</v>
      </c>
      <c r="H19" s="2"/>
      <c r="I19" s="2"/>
      <c r="J19" s="2" t="s">
        <v>42</v>
      </c>
      <c r="K19" s="2" t="s">
        <v>1806</v>
      </c>
      <c r="L19" s="2" t="s">
        <v>39</v>
      </c>
      <c r="M19" s="2" t="s">
        <v>53</v>
      </c>
      <c r="N19" s="27">
        <v>2400</v>
      </c>
      <c r="O19" s="26">
        <v>2400</v>
      </c>
      <c r="P19" s="26">
        <v>2400</v>
      </c>
      <c r="Q19" s="26">
        <v>2400</v>
      </c>
      <c r="R19" s="27">
        <v>956</v>
      </c>
      <c r="S19" s="26">
        <v>956</v>
      </c>
      <c r="T19" s="26">
        <v>956</v>
      </c>
      <c r="U19" s="26">
        <v>956</v>
      </c>
      <c r="V19" s="5"/>
    </row>
    <row r="20" spans="2:22" ht="20" x14ac:dyDescent="0.25">
      <c r="B20" s="2" t="s">
        <v>1860</v>
      </c>
      <c r="C20" s="52" t="s">
        <v>1802</v>
      </c>
      <c r="D20" s="2" t="s">
        <v>53</v>
      </c>
      <c r="E20" s="2" t="s">
        <v>27</v>
      </c>
      <c r="F20" s="2" t="s">
        <v>1801</v>
      </c>
      <c r="G20" s="2" t="s">
        <v>40</v>
      </c>
      <c r="H20" s="2"/>
      <c r="I20" s="2"/>
      <c r="J20" s="2" t="s">
        <v>42</v>
      </c>
      <c r="K20" s="2" t="s">
        <v>1805</v>
      </c>
      <c r="L20" s="2" t="s">
        <v>39</v>
      </c>
      <c r="M20" s="2" t="s">
        <v>53</v>
      </c>
      <c r="N20" s="27">
        <v>2400</v>
      </c>
      <c r="O20" s="26">
        <v>2400</v>
      </c>
      <c r="P20" s="26">
        <v>2400</v>
      </c>
      <c r="Q20" s="26">
        <v>2400</v>
      </c>
      <c r="R20" s="27">
        <v>956</v>
      </c>
      <c r="S20" s="26">
        <v>956</v>
      </c>
      <c r="T20" s="26">
        <v>956</v>
      </c>
      <c r="U20" s="26">
        <v>956</v>
      </c>
      <c r="V20" s="5"/>
    </row>
    <row r="21" spans="2:22" ht="20" x14ac:dyDescent="0.25">
      <c r="B21" s="2" t="s">
        <v>1860</v>
      </c>
      <c r="C21" s="52" t="s">
        <v>1802</v>
      </c>
      <c r="D21" s="2" t="s">
        <v>53</v>
      </c>
      <c r="E21" s="2" t="s">
        <v>27</v>
      </c>
      <c r="F21" s="2" t="s">
        <v>1801</v>
      </c>
      <c r="G21" s="2" t="s">
        <v>40</v>
      </c>
      <c r="H21" s="2"/>
      <c r="I21" s="2"/>
      <c r="J21" s="2" t="s">
        <v>42</v>
      </c>
      <c r="K21" s="2" t="s">
        <v>1804</v>
      </c>
      <c r="L21" s="2" t="s">
        <v>39</v>
      </c>
      <c r="M21" s="2" t="s">
        <v>53</v>
      </c>
      <c r="N21" s="27">
        <v>2400</v>
      </c>
      <c r="O21" s="26">
        <v>2400</v>
      </c>
      <c r="P21" s="26">
        <v>2400</v>
      </c>
      <c r="Q21" s="26">
        <v>2400</v>
      </c>
      <c r="R21" s="27">
        <v>956</v>
      </c>
      <c r="S21" s="26">
        <v>956</v>
      </c>
      <c r="T21" s="26">
        <v>956</v>
      </c>
      <c r="U21" s="26">
        <v>956</v>
      </c>
      <c r="V21" s="5"/>
    </row>
    <row r="22" spans="2:22" ht="20" x14ac:dyDescent="0.25">
      <c r="B22" s="2" t="s">
        <v>1860</v>
      </c>
      <c r="C22" s="52" t="s">
        <v>1802</v>
      </c>
      <c r="D22" s="2" t="s">
        <v>53</v>
      </c>
      <c r="E22" s="2" t="s">
        <v>27</v>
      </c>
      <c r="F22" s="2" t="s">
        <v>1801</v>
      </c>
      <c r="G22" s="2" t="s">
        <v>40</v>
      </c>
      <c r="H22" s="2"/>
      <c r="I22" s="2"/>
      <c r="J22" s="2" t="s">
        <v>42</v>
      </c>
      <c r="K22" s="2" t="s">
        <v>1800</v>
      </c>
      <c r="L22" s="2" t="s">
        <v>39</v>
      </c>
      <c r="M22" s="2" t="s">
        <v>53</v>
      </c>
      <c r="N22" s="27">
        <v>2400</v>
      </c>
      <c r="O22" s="26">
        <v>2400</v>
      </c>
      <c r="P22" s="26">
        <v>2400</v>
      </c>
      <c r="Q22" s="26">
        <v>2400</v>
      </c>
      <c r="R22" s="27">
        <v>956</v>
      </c>
      <c r="S22" s="26">
        <v>956</v>
      </c>
      <c r="T22" s="26">
        <v>956</v>
      </c>
      <c r="U22" s="26">
        <v>956</v>
      </c>
      <c r="V22" s="5"/>
    </row>
  </sheetData>
  <mergeCells count="7">
    <mergeCell ref="B2:D3"/>
    <mergeCell ref="E2:G3"/>
    <mergeCell ref="I2:K2"/>
    <mergeCell ref="L2:Q2"/>
    <mergeCell ref="R2:V2"/>
    <mergeCell ref="I3:K3"/>
    <mergeCell ref="L3:Q3"/>
  </mergeCells>
  <pageMargins left="0.7" right="0.7" top="0.75" bottom="0.75" header="0.3" footer="0.3"/>
  <pageSetup paperSize="17" scale="91" fitToHeight="0" orientation="landscape" r:id="rId1"/>
  <headerFooter alignWithMargins="0">
    <oddFooter>&amp;L&amp;F&amp;C&amp;KFF0000Ratings provided are for N-0 ONLY&amp;K000000
Emergency ratings for T-lines can be used for a duration of 30 minutes
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1A1C-EA20-4E86-AAA3-5B172B4D3823}">
  <dimension ref="B1:V69"/>
  <sheetViews>
    <sheetView showGridLines="0" workbookViewId="0">
      <pane ySplit="5" topLeftCell="A6" activePane="bottomLeft" state="frozenSplit"/>
      <selection pane="bottomLeft" activeCell="A5" sqref="A5"/>
    </sheetView>
  </sheetViews>
  <sheetFormatPr defaultRowHeight="12.5" x14ac:dyDescent="0.25"/>
  <cols>
    <col min="1" max="1" width="3.453125" style="90" customWidth="1"/>
    <col min="2" max="2" width="19.1796875" style="90" customWidth="1"/>
    <col min="3" max="3" width="6.81640625" style="90" customWidth="1"/>
    <col min="4" max="4" width="16.453125" style="90" customWidth="1"/>
    <col min="5" max="5" width="9.54296875" style="90" customWidth="1"/>
    <col min="6" max="6" width="16.453125" style="90" customWidth="1"/>
    <col min="7" max="7" width="9.54296875" style="90" customWidth="1"/>
    <col min="8" max="9" width="6.81640625" style="90" customWidth="1"/>
    <col min="10" max="10" width="10.81640625" style="90" customWidth="1"/>
    <col min="11" max="11" width="19.1796875" style="90" customWidth="1"/>
    <col min="12" max="12" width="13.7265625" style="90" customWidth="1"/>
    <col min="13" max="13" width="9.54296875" style="90" customWidth="1"/>
    <col min="14" max="21" width="6.81640625" style="90" customWidth="1"/>
    <col min="22" max="22" width="13.7265625" style="90" customWidth="1"/>
    <col min="23" max="23" width="5.453125" style="90" customWidth="1"/>
    <col min="24" max="16384" width="8.7265625" style="90"/>
  </cols>
  <sheetData>
    <row r="1" spans="2:22" ht="18" customHeight="1" x14ac:dyDescent="0.25"/>
    <row r="2" spans="2:22" ht="21.65" customHeight="1" x14ac:dyDescent="0.25">
      <c r="B2" s="376"/>
      <c r="C2" s="376"/>
      <c r="D2" s="376"/>
      <c r="E2" s="379" t="s">
        <v>2130</v>
      </c>
      <c r="F2" s="376"/>
      <c r="G2" s="376"/>
      <c r="I2" s="380" t="s">
        <v>2734</v>
      </c>
      <c r="J2" s="376"/>
      <c r="K2" s="376"/>
      <c r="L2" s="380" t="s">
        <v>2733</v>
      </c>
      <c r="M2" s="376"/>
      <c r="N2" s="376"/>
      <c r="O2" s="376"/>
      <c r="P2" s="376"/>
      <c r="Q2" s="376"/>
      <c r="R2" s="380" t="s">
        <v>2732</v>
      </c>
      <c r="S2" s="376"/>
      <c r="T2" s="376"/>
      <c r="U2" s="376"/>
      <c r="V2" s="376"/>
    </row>
    <row r="3" spans="2:22" ht="21.65" customHeight="1" x14ac:dyDescent="0.25">
      <c r="B3" s="376"/>
      <c r="C3" s="376"/>
      <c r="D3" s="376"/>
      <c r="E3" s="376"/>
      <c r="F3" s="376"/>
      <c r="G3" s="376"/>
      <c r="I3" s="380" t="s">
        <v>2731</v>
      </c>
      <c r="J3" s="376"/>
      <c r="K3" s="376"/>
      <c r="L3" s="380" t="s">
        <v>2730</v>
      </c>
      <c r="M3" s="376"/>
      <c r="N3" s="376"/>
      <c r="O3" s="376"/>
      <c r="P3" s="376"/>
      <c r="Q3" s="376"/>
    </row>
    <row r="4" spans="2:22" ht="18" customHeight="1" x14ac:dyDescent="0.25"/>
    <row r="5" spans="2:22" ht="21" x14ac:dyDescent="0.25">
      <c r="B5" s="110" t="s">
        <v>14</v>
      </c>
      <c r="C5" s="110" t="s">
        <v>15</v>
      </c>
      <c r="D5" s="110" t="s">
        <v>16</v>
      </c>
      <c r="E5" s="110" t="s">
        <v>17</v>
      </c>
      <c r="F5" s="110" t="s">
        <v>18</v>
      </c>
      <c r="G5" s="110" t="s">
        <v>19</v>
      </c>
      <c r="H5" s="110" t="s">
        <v>20</v>
      </c>
      <c r="I5" s="110" t="s">
        <v>21</v>
      </c>
      <c r="J5" s="110" t="s">
        <v>22</v>
      </c>
      <c r="K5" s="110" t="s">
        <v>23</v>
      </c>
      <c r="L5" s="110" t="s">
        <v>24</v>
      </c>
      <c r="M5" s="110" t="s">
        <v>25</v>
      </c>
      <c r="N5" s="110" t="s">
        <v>2729</v>
      </c>
      <c r="O5" s="110" t="s">
        <v>2728</v>
      </c>
      <c r="P5" s="110" t="s">
        <v>2727</v>
      </c>
      <c r="Q5" s="110" t="s">
        <v>2726</v>
      </c>
      <c r="R5" s="110" t="s">
        <v>2725</v>
      </c>
      <c r="S5" s="110" t="s">
        <v>2724</v>
      </c>
      <c r="T5" s="110" t="s">
        <v>2723</v>
      </c>
      <c r="U5" s="110" t="s">
        <v>2722</v>
      </c>
      <c r="V5" s="110" t="s">
        <v>26</v>
      </c>
    </row>
    <row r="6" spans="2:22" ht="23" x14ac:dyDescent="0.25">
      <c r="B6" s="109" t="s">
        <v>2401</v>
      </c>
      <c r="C6" s="109" t="s">
        <v>615</v>
      </c>
      <c r="D6" s="109" t="s">
        <v>350</v>
      </c>
      <c r="E6" s="109" t="s">
        <v>27</v>
      </c>
      <c r="F6" s="109" t="s">
        <v>2402</v>
      </c>
      <c r="G6" s="109" t="s">
        <v>27</v>
      </c>
      <c r="H6" s="109">
        <v>70654</v>
      </c>
      <c r="I6" s="109">
        <v>70653</v>
      </c>
      <c r="J6" s="109" t="s">
        <v>28</v>
      </c>
      <c r="K6" s="109" t="s">
        <v>2401</v>
      </c>
      <c r="L6" s="109" t="s">
        <v>29</v>
      </c>
      <c r="M6" s="109"/>
      <c r="N6" s="108">
        <v>2000</v>
      </c>
      <c r="O6" s="108">
        <v>2000</v>
      </c>
      <c r="P6" s="108">
        <v>2112</v>
      </c>
      <c r="Q6" s="108">
        <v>2112</v>
      </c>
      <c r="R6" s="108">
        <v>1195</v>
      </c>
      <c r="S6" s="108">
        <v>1195</v>
      </c>
      <c r="T6" s="108">
        <v>1262</v>
      </c>
      <c r="U6" s="108">
        <v>1262</v>
      </c>
      <c r="V6" s="107"/>
    </row>
    <row r="7" spans="2:22" ht="20" x14ac:dyDescent="0.25">
      <c r="B7" s="106" t="s">
        <v>2401</v>
      </c>
      <c r="C7" s="106" t="s">
        <v>615</v>
      </c>
      <c r="D7" s="106" t="s">
        <v>350</v>
      </c>
      <c r="E7" s="106" t="s">
        <v>27</v>
      </c>
      <c r="F7" s="106" t="s">
        <v>2402</v>
      </c>
      <c r="G7" s="106" t="s">
        <v>27</v>
      </c>
      <c r="H7" s="106">
        <v>70654</v>
      </c>
      <c r="I7" s="106">
        <v>70653</v>
      </c>
      <c r="J7" s="106" t="s">
        <v>28</v>
      </c>
      <c r="K7" s="106"/>
      <c r="L7" s="106" t="s">
        <v>301</v>
      </c>
      <c r="M7" s="106" t="s">
        <v>588</v>
      </c>
      <c r="N7" s="105">
        <v>2000</v>
      </c>
      <c r="O7" s="105">
        <v>2000</v>
      </c>
      <c r="P7" s="105">
        <v>2112</v>
      </c>
      <c r="Q7" s="105">
        <v>2112</v>
      </c>
      <c r="R7" s="105">
        <v>1195</v>
      </c>
      <c r="S7" s="105">
        <v>1195</v>
      </c>
      <c r="T7" s="105">
        <v>1262</v>
      </c>
      <c r="U7" s="105">
        <v>1262</v>
      </c>
      <c r="V7" s="105"/>
    </row>
    <row r="8" spans="2:22" ht="34.5" x14ac:dyDescent="0.25">
      <c r="B8" s="109" t="s">
        <v>613</v>
      </c>
      <c r="C8" s="109" t="s">
        <v>256</v>
      </c>
      <c r="D8" s="109" t="s">
        <v>257</v>
      </c>
      <c r="E8" s="109" t="s">
        <v>27</v>
      </c>
      <c r="F8" s="109" t="s">
        <v>277</v>
      </c>
      <c r="G8" s="109" t="s">
        <v>27</v>
      </c>
      <c r="H8" s="109">
        <v>70141</v>
      </c>
      <c r="I8" s="109">
        <v>70149</v>
      </c>
      <c r="J8" s="109" t="s">
        <v>28</v>
      </c>
      <c r="K8" s="109" t="s">
        <v>613</v>
      </c>
      <c r="L8" s="109" t="s">
        <v>29</v>
      </c>
      <c r="M8" s="109"/>
      <c r="N8" s="108">
        <v>1220</v>
      </c>
      <c r="O8" s="108">
        <v>1427</v>
      </c>
      <c r="P8" s="108">
        <v>1457</v>
      </c>
      <c r="Q8" s="108">
        <v>1600</v>
      </c>
      <c r="R8" s="108">
        <v>486</v>
      </c>
      <c r="S8" s="108">
        <v>568</v>
      </c>
      <c r="T8" s="108">
        <v>580</v>
      </c>
      <c r="U8" s="108">
        <v>637</v>
      </c>
      <c r="V8" s="107"/>
    </row>
    <row r="9" spans="2:22" ht="20" x14ac:dyDescent="0.25">
      <c r="B9" s="106" t="s">
        <v>613</v>
      </c>
      <c r="C9" s="106" t="s">
        <v>256</v>
      </c>
      <c r="D9" s="106" t="s">
        <v>257</v>
      </c>
      <c r="E9" s="106" t="s">
        <v>27</v>
      </c>
      <c r="F9" s="106" t="s">
        <v>277</v>
      </c>
      <c r="G9" s="106" t="s">
        <v>27</v>
      </c>
      <c r="H9" s="106">
        <v>70141</v>
      </c>
      <c r="I9" s="106">
        <v>70149</v>
      </c>
      <c r="J9" s="106" t="s">
        <v>28</v>
      </c>
      <c r="K9" s="106" t="s">
        <v>388</v>
      </c>
      <c r="L9" s="106" t="s">
        <v>31</v>
      </c>
      <c r="M9" s="106" t="s">
        <v>279</v>
      </c>
      <c r="N9" s="105">
        <v>1220</v>
      </c>
      <c r="O9" s="105">
        <v>1427</v>
      </c>
      <c r="P9" s="105">
        <v>1457</v>
      </c>
      <c r="Q9" s="106">
        <v>1626</v>
      </c>
      <c r="R9" s="105">
        <v>486</v>
      </c>
      <c r="S9" s="105">
        <v>568</v>
      </c>
      <c r="T9" s="105">
        <v>580</v>
      </c>
      <c r="U9" s="106">
        <v>648</v>
      </c>
      <c r="V9" s="106"/>
    </row>
    <row r="10" spans="2:22" ht="20" x14ac:dyDescent="0.25">
      <c r="B10" s="106" t="s">
        <v>613</v>
      </c>
      <c r="C10" s="106" t="s">
        <v>256</v>
      </c>
      <c r="D10" s="106" t="s">
        <v>257</v>
      </c>
      <c r="E10" s="106" t="s">
        <v>27</v>
      </c>
      <c r="F10" s="106" t="s">
        <v>277</v>
      </c>
      <c r="G10" s="106" t="s">
        <v>27</v>
      </c>
      <c r="H10" s="106">
        <v>70141</v>
      </c>
      <c r="I10" s="106">
        <v>70149</v>
      </c>
      <c r="J10" s="106" t="s">
        <v>28</v>
      </c>
      <c r="K10" s="106" t="s">
        <v>2553</v>
      </c>
      <c r="L10" s="106" t="s">
        <v>49</v>
      </c>
      <c r="M10" s="106" t="s">
        <v>2548</v>
      </c>
      <c r="N10" s="106">
        <v>1600</v>
      </c>
      <c r="O10" s="106">
        <v>1600</v>
      </c>
      <c r="P10" s="106">
        <v>1600</v>
      </c>
      <c r="Q10" s="105">
        <v>1600</v>
      </c>
      <c r="R10" s="106">
        <v>637</v>
      </c>
      <c r="S10" s="106">
        <v>637</v>
      </c>
      <c r="T10" s="106">
        <v>637</v>
      </c>
      <c r="U10" s="105">
        <v>637</v>
      </c>
      <c r="V10" s="105"/>
    </row>
    <row r="11" spans="2:22" ht="34.5" x14ac:dyDescent="0.25">
      <c r="B11" s="109" t="s">
        <v>199</v>
      </c>
      <c r="C11" s="109" t="s">
        <v>200</v>
      </c>
      <c r="D11" s="109" t="s">
        <v>616</v>
      </c>
      <c r="E11" s="109" t="s">
        <v>27</v>
      </c>
      <c r="F11" s="109" t="s">
        <v>643</v>
      </c>
      <c r="G11" s="109" t="s">
        <v>27</v>
      </c>
      <c r="H11" s="109">
        <v>70139</v>
      </c>
      <c r="I11" s="109">
        <v>70331</v>
      </c>
      <c r="J11" s="109" t="s">
        <v>28</v>
      </c>
      <c r="K11" s="109" t="s">
        <v>199</v>
      </c>
      <c r="L11" s="109" t="s">
        <v>29</v>
      </c>
      <c r="M11" s="109"/>
      <c r="N11" s="108">
        <v>1445</v>
      </c>
      <c r="O11" s="108">
        <v>1590</v>
      </c>
      <c r="P11" s="108">
        <v>1600</v>
      </c>
      <c r="Q11" s="108">
        <v>1600</v>
      </c>
      <c r="R11" s="108">
        <v>576</v>
      </c>
      <c r="S11" s="108">
        <v>633</v>
      </c>
      <c r="T11" s="108">
        <v>637</v>
      </c>
      <c r="U11" s="108">
        <v>637</v>
      </c>
      <c r="V11" s="107"/>
    </row>
    <row r="12" spans="2:22" ht="20" x14ac:dyDescent="0.25">
      <c r="B12" s="106" t="s">
        <v>199</v>
      </c>
      <c r="C12" s="106" t="s">
        <v>200</v>
      </c>
      <c r="D12" s="106" t="s">
        <v>616</v>
      </c>
      <c r="E12" s="106" t="s">
        <v>27</v>
      </c>
      <c r="F12" s="106" t="s">
        <v>643</v>
      </c>
      <c r="G12" s="106" t="s">
        <v>27</v>
      </c>
      <c r="H12" s="106">
        <v>70139</v>
      </c>
      <c r="I12" s="106">
        <v>70331</v>
      </c>
      <c r="J12" s="106" t="s">
        <v>28</v>
      </c>
      <c r="K12" s="106" t="s">
        <v>199</v>
      </c>
      <c r="L12" s="106" t="s">
        <v>30</v>
      </c>
      <c r="M12" s="106" t="s">
        <v>200</v>
      </c>
      <c r="N12" s="105">
        <v>1445</v>
      </c>
      <c r="O12" s="105">
        <v>1590</v>
      </c>
      <c r="P12" s="106">
        <v>1648</v>
      </c>
      <c r="Q12" s="106">
        <v>1813</v>
      </c>
      <c r="R12" s="105">
        <v>576</v>
      </c>
      <c r="S12" s="105">
        <v>633</v>
      </c>
      <c r="T12" s="106">
        <v>657</v>
      </c>
      <c r="U12" s="106">
        <v>722</v>
      </c>
      <c r="V12" s="106"/>
    </row>
    <row r="13" spans="2:22" ht="20" x14ac:dyDescent="0.25">
      <c r="B13" s="106" t="s">
        <v>199</v>
      </c>
      <c r="C13" s="106" t="s">
        <v>200</v>
      </c>
      <c r="D13" s="106" t="s">
        <v>616</v>
      </c>
      <c r="E13" s="106" t="s">
        <v>27</v>
      </c>
      <c r="F13" s="106" t="s">
        <v>643</v>
      </c>
      <c r="G13" s="106" t="s">
        <v>27</v>
      </c>
      <c r="H13" s="106">
        <v>70139</v>
      </c>
      <c r="I13" s="106">
        <v>70331</v>
      </c>
      <c r="J13" s="106" t="s">
        <v>28</v>
      </c>
      <c r="K13" s="106" t="s">
        <v>201</v>
      </c>
      <c r="L13" s="106" t="s">
        <v>49</v>
      </c>
      <c r="M13" s="106" t="s">
        <v>644</v>
      </c>
      <c r="N13" s="106">
        <v>1600</v>
      </c>
      <c r="O13" s="106">
        <v>1600</v>
      </c>
      <c r="P13" s="105">
        <v>1600</v>
      </c>
      <c r="Q13" s="105">
        <v>1600</v>
      </c>
      <c r="R13" s="106">
        <v>637</v>
      </c>
      <c r="S13" s="106">
        <v>637</v>
      </c>
      <c r="T13" s="105">
        <v>637</v>
      </c>
      <c r="U13" s="105">
        <v>637</v>
      </c>
      <c r="V13" s="105"/>
    </row>
    <row r="14" spans="2:22" ht="34.5" x14ac:dyDescent="0.25">
      <c r="B14" s="109" t="s">
        <v>698</v>
      </c>
      <c r="C14" s="109" t="s">
        <v>699</v>
      </c>
      <c r="D14" s="109" t="s">
        <v>277</v>
      </c>
      <c r="E14" s="109" t="s">
        <v>27</v>
      </c>
      <c r="F14" s="109" t="s">
        <v>700</v>
      </c>
      <c r="G14" s="109" t="s">
        <v>27</v>
      </c>
      <c r="H14" s="109">
        <v>70144</v>
      </c>
      <c r="I14" s="109">
        <v>70173</v>
      </c>
      <c r="J14" s="109" t="s">
        <v>28</v>
      </c>
      <c r="K14" s="109" t="s">
        <v>698</v>
      </c>
      <c r="L14" s="109" t="s">
        <v>29</v>
      </c>
      <c r="M14" s="109"/>
      <c r="N14" s="108">
        <v>1200</v>
      </c>
      <c r="O14" s="108">
        <v>1200</v>
      </c>
      <c r="P14" s="108">
        <v>1200</v>
      </c>
      <c r="Q14" s="108">
        <v>1200</v>
      </c>
      <c r="R14" s="108">
        <v>239</v>
      </c>
      <c r="S14" s="108">
        <v>239</v>
      </c>
      <c r="T14" s="108">
        <v>239</v>
      </c>
      <c r="U14" s="108">
        <v>239</v>
      </c>
      <c r="V14" s="107"/>
    </row>
    <row r="15" spans="2:22" ht="30" x14ac:dyDescent="0.25">
      <c r="B15" s="106" t="s">
        <v>698</v>
      </c>
      <c r="C15" s="106" t="s">
        <v>699</v>
      </c>
      <c r="D15" s="106" t="s">
        <v>277</v>
      </c>
      <c r="E15" s="106" t="s">
        <v>27</v>
      </c>
      <c r="F15" s="106" t="s">
        <v>700</v>
      </c>
      <c r="G15" s="106" t="s">
        <v>27</v>
      </c>
      <c r="H15" s="106">
        <v>70144</v>
      </c>
      <c r="I15" s="106">
        <v>70173</v>
      </c>
      <c r="J15" s="106" t="s">
        <v>28</v>
      </c>
      <c r="K15" s="106" t="s">
        <v>705</v>
      </c>
      <c r="L15" s="106" t="s">
        <v>36</v>
      </c>
      <c r="M15" s="106" t="s">
        <v>279</v>
      </c>
      <c r="N15" s="105">
        <v>1200</v>
      </c>
      <c r="O15" s="105">
        <v>1200</v>
      </c>
      <c r="P15" s="105">
        <v>1200</v>
      </c>
      <c r="Q15" s="105">
        <v>1200</v>
      </c>
      <c r="R15" s="105">
        <v>239</v>
      </c>
      <c r="S15" s="105">
        <v>239</v>
      </c>
      <c r="T15" s="105">
        <v>239</v>
      </c>
      <c r="U15" s="105">
        <v>239</v>
      </c>
      <c r="V15" s="105"/>
    </row>
    <row r="16" spans="2:22" ht="30" x14ac:dyDescent="0.25">
      <c r="B16" s="106" t="s">
        <v>698</v>
      </c>
      <c r="C16" s="106" t="s">
        <v>699</v>
      </c>
      <c r="D16" s="106" t="s">
        <v>277</v>
      </c>
      <c r="E16" s="106" t="s">
        <v>27</v>
      </c>
      <c r="F16" s="106" t="s">
        <v>700</v>
      </c>
      <c r="G16" s="106" t="s">
        <v>27</v>
      </c>
      <c r="H16" s="106">
        <v>70144</v>
      </c>
      <c r="I16" s="106">
        <v>70173</v>
      </c>
      <c r="J16" s="106" t="s">
        <v>28</v>
      </c>
      <c r="K16" s="106" t="s">
        <v>703</v>
      </c>
      <c r="L16" s="106" t="s">
        <v>36</v>
      </c>
      <c r="M16" s="106" t="s">
        <v>279</v>
      </c>
      <c r="N16" s="105">
        <v>1200</v>
      </c>
      <c r="O16" s="105">
        <v>1200</v>
      </c>
      <c r="P16" s="105">
        <v>1200</v>
      </c>
      <c r="Q16" s="105">
        <v>1200</v>
      </c>
      <c r="R16" s="105">
        <v>239</v>
      </c>
      <c r="S16" s="105">
        <v>239</v>
      </c>
      <c r="T16" s="105">
        <v>239</v>
      </c>
      <c r="U16" s="105">
        <v>239</v>
      </c>
      <c r="V16" s="105"/>
    </row>
    <row r="17" spans="2:22" ht="30" x14ac:dyDescent="0.25">
      <c r="B17" s="106" t="s">
        <v>698</v>
      </c>
      <c r="C17" s="106" t="s">
        <v>699</v>
      </c>
      <c r="D17" s="106" t="s">
        <v>277</v>
      </c>
      <c r="E17" s="106" t="s">
        <v>27</v>
      </c>
      <c r="F17" s="106" t="s">
        <v>700</v>
      </c>
      <c r="G17" s="106" t="s">
        <v>27</v>
      </c>
      <c r="H17" s="106">
        <v>70144</v>
      </c>
      <c r="I17" s="106">
        <v>70173</v>
      </c>
      <c r="J17" s="106" t="s">
        <v>28</v>
      </c>
      <c r="K17" s="106" t="s">
        <v>701</v>
      </c>
      <c r="L17" s="106" t="s">
        <v>36</v>
      </c>
      <c r="M17" s="106" t="s">
        <v>279</v>
      </c>
      <c r="N17" s="105">
        <v>1200</v>
      </c>
      <c r="O17" s="105">
        <v>1200</v>
      </c>
      <c r="P17" s="105">
        <v>1200</v>
      </c>
      <c r="Q17" s="105">
        <v>1200</v>
      </c>
      <c r="R17" s="105">
        <v>239</v>
      </c>
      <c r="S17" s="105">
        <v>239</v>
      </c>
      <c r="T17" s="105">
        <v>239</v>
      </c>
      <c r="U17" s="105">
        <v>239</v>
      </c>
      <c r="V17" s="105"/>
    </row>
    <row r="18" spans="2:22" ht="30" x14ac:dyDescent="0.25">
      <c r="B18" s="106" t="s">
        <v>698</v>
      </c>
      <c r="C18" s="106" t="s">
        <v>699</v>
      </c>
      <c r="D18" s="106" t="s">
        <v>277</v>
      </c>
      <c r="E18" s="106" t="s">
        <v>27</v>
      </c>
      <c r="F18" s="106" t="s">
        <v>700</v>
      </c>
      <c r="G18" s="106" t="s">
        <v>27</v>
      </c>
      <c r="H18" s="106">
        <v>70144</v>
      </c>
      <c r="I18" s="106">
        <v>70173</v>
      </c>
      <c r="J18" s="106" t="s">
        <v>28</v>
      </c>
      <c r="K18" s="106" t="s">
        <v>704</v>
      </c>
      <c r="L18" s="106" t="s">
        <v>36</v>
      </c>
      <c r="M18" s="106" t="s">
        <v>279</v>
      </c>
      <c r="N18" s="105">
        <v>1200</v>
      </c>
      <c r="O18" s="105">
        <v>1200</v>
      </c>
      <c r="P18" s="105">
        <v>1200</v>
      </c>
      <c r="Q18" s="105">
        <v>1200</v>
      </c>
      <c r="R18" s="105">
        <v>239</v>
      </c>
      <c r="S18" s="105">
        <v>239</v>
      </c>
      <c r="T18" s="105">
        <v>239</v>
      </c>
      <c r="U18" s="105">
        <v>239</v>
      </c>
      <c r="V18" s="105"/>
    </row>
    <row r="19" spans="2:22" ht="20" x14ac:dyDescent="0.25">
      <c r="B19" s="106" t="s">
        <v>698</v>
      </c>
      <c r="C19" s="106" t="s">
        <v>699</v>
      </c>
      <c r="D19" s="106" t="s">
        <v>277</v>
      </c>
      <c r="E19" s="106" t="s">
        <v>27</v>
      </c>
      <c r="F19" s="106" t="s">
        <v>700</v>
      </c>
      <c r="G19" s="106" t="s">
        <v>27</v>
      </c>
      <c r="H19" s="106">
        <v>70144</v>
      </c>
      <c r="I19" s="106">
        <v>70173</v>
      </c>
      <c r="J19" s="106" t="s">
        <v>28</v>
      </c>
      <c r="K19" s="106" t="s">
        <v>249</v>
      </c>
      <c r="L19" s="106" t="s">
        <v>31</v>
      </c>
      <c r="M19" s="106" t="s">
        <v>279</v>
      </c>
      <c r="N19" s="105">
        <v>1200</v>
      </c>
      <c r="O19" s="106">
        <v>1392</v>
      </c>
      <c r="P19" s="106">
        <v>1442</v>
      </c>
      <c r="Q19" s="106">
        <v>1586</v>
      </c>
      <c r="R19" s="105">
        <v>239</v>
      </c>
      <c r="S19" s="106">
        <v>277</v>
      </c>
      <c r="T19" s="106">
        <v>287</v>
      </c>
      <c r="U19" s="106">
        <v>316</v>
      </c>
      <c r="V19" s="106"/>
    </row>
    <row r="20" spans="2:22" ht="20" x14ac:dyDescent="0.25">
      <c r="B20" s="106" t="s">
        <v>698</v>
      </c>
      <c r="C20" s="106" t="s">
        <v>699</v>
      </c>
      <c r="D20" s="106" t="s">
        <v>277</v>
      </c>
      <c r="E20" s="106" t="s">
        <v>27</v>
      </c>
      <c r="F20" s="106" t="s">
        <v>700</v>
      </c>
      <c r="G20" s="106" t="s">
        <v>27</v>
      </c>
      <c r="H20" s="106">
        <v>70144</v>
      </c>
      <c r="I20" s="106">
        <v>70173</v>
      </c>
      <c r="J20" s="106" t="s">
        <v>28</v>
      </c>
      <c r="K20" s="106" t="s">
        <v>698</v>
      </c>
      <c r="L20" s="106" t="s">
        <v>30</v>
      </c>
      <c r="M20" s="106" t="s">
        <v>699</v>
      </c>
      <c r="N20" s="105">
        <v>1200</v>
      </c>
      <c r="O20" s="106">
        <v>1392</v>
      </c>
      <c r="P20" s="106">
        <v>1442</v>
      </c>
      <c r="Q20" s="106">
        <v>1586</v>
      </c>
      <c r="R20" s="105">
        <v>239</v>
      </c>
      <c r="S20" s="106">
        <v>277</v>
      </c>
      <c r="T20" s="106">
        <v>287</v>
      </c>
      <c r="U20" s="106">
        <v>316</v>
      </c>
      <c r="V20" s="106"/>
    </row>
    <row r="21" spans="2:22" ht="20" x14ac:dyDescent="0.25">
      <c r="B21" s="106" t="s">
        <v>698</v>
      </c>
      <c r="C21" s="106" t="s">
        <v>699</v>
      </c>
      <c r="D21" s="106" t="s">
        <v>277</v>
      </c>
      <c r="E21" s="106" t="s">
        <v>27</v>
      </c>
      <c r="F21" s="106" t="s">
        <v>700</v>
      </c>
      <c r="G21" s="106" t="s">
        <v>27</v>
      </c>
      <c r="H21" s="106">
        <v>70144</v>
      </c>
      <c r="I21" s="106">
        <v>70173</v>
      </c>
      <c r="J21" s="106" t="s">
        <v>28</v>
      </c>
      <c r="K21" s="106" t="s">
        <v>2653</v>
      </c>
      <c r="L21" s="106" t="s">
        <v>34</v>
      </c>
      <c r="M21" s="106" t="s">
        <v>279</v>
      </c>
      <c r="N21" s="105">
        <v>1200</v>
      </c>
      <c r="O21" s="106">
        <v>1549</v>
      </c>
      <c r="P21" s="106">
        <v>1486</v>
      </c>
      <c r="Q21" s="106">
        <v>1780</v>
      </c>
      <c r="R21" s="105">
        <v>239</v>
      </c>
      <c r="S21" s="106">
        <v>309</v>
      </c>
      <c r="T21" s="106">
        <v>296</v>
      </c>
      <c r="U21" s="106">
        <v>355</v>
      </c>
      <c r="V21" s="106"/>
    </row>
    <row r="22" spans="2:22" ht="20" x14ac:dyDescent="0.25">
      <c r="B22" s="106" t="s">
        <v>698</v>
      </c>
      <c r="C22" s="106" t="s">
        <v>699</v>
      </c>
      <c r="D22" s="106" t="s">
        <v>277</v>
      </c>
      <c r="E22" s="106" t="s">
        <v>27</v>
      </c>
      <c r="F22" s="106" t="s">
        <v>700</v>
      </c>
      <c r="G22" s="106" t="s">
        <v>27</v>
      </c>
      <c r="H22" s="106">
        <v>70144</v>
      </c>
      <c r="I22" s="106">
        <v>70173</v>
      </c>
      <c r="J22" s="106" t="s">
        <v>28</v>
      </c>
      <c r="K22" s="106" t="s">
        <v>706</v>
      </c>
      <c r="L22" s="106" t="s">
        <v>34</v>
      </c>
      <c r="M22" s="106" t="s">
        <v>279</v>
      </c>
      <c r="N22" s="105">
        <v>1200</v>
      </c>
      <c r="O22" s="106">
        <v>1549</v>
      </c>
      <c r="P22" s="106">
        <v>1486</v>
      </c>
      <c r="Q22" s="106">
        <v>1780</v>
      </c>
      <c r="R22" s="105">
        <v>239</v>
      </c>
      <c r="S22" s="106">
        <v>309</v>
      </c>
      <c r="T22" s="106">
        <v>296</v>
      </c>
      <c r="U22" s="106">
        <v>355</v>
      </c>
      <c r="V22" s="106"/>
    </row>
    <row r="23" spans="2:22" ht="34.5" x14ac:dyDescent="0.25">
      <c r="B23" s="104" t="s">
        <v>707</v>
      </c>
      <c r="C23" s="104" t="s">
        <v>708</v>
      </c>
      <c r="D23" s="104" t="s">
        <v>277</v>
      </c>
      <c r="E23" s="104" t="s">
        <v>27</v>
      </c>
      <c r="F23" s="104" t="s">
        <v>305</v>
      </c>
      <c r="G23" s="104" t="s">
        <v>27</v>
      </c>
      <c r="H23" s="104">
        <v>70148</v>
      </c>
      <c r="I23" s="104">
        <v>70208</v>
      </c>
      <c r="J23" s="104" t="s">
        <v>28</v>
      </c>
      <c r="K23" s="104" t="s">
        <v>707</v>
      </c>
      <c r="L23" s="104" t="s">
        <v>29</v>
      </c>
      <c r="M23" s="104"/>
      <c r="N23" s="103">
        <v>1200</v>
      </c>
      <c r="O23" s="103">
        <v>1200</v>
      </c>
      <c r="P23" s="103">
        <v>1200</v>
      </c>
      <c r="Q23" s="103">
        <v>1200</v>
      </c>
      <c r="R23" s="103">
        <v>239</v>
      </c>
      <c r="S23" s="103">
        <v>239</v>
      </c>
      <c r="T23" s="103">
        <v>239</v>
      </c>
      <c r="U23" s="103">
        <v>239</v>
      </c>
      <c r="V23" s="102"/>
    </row>
    <row r="24" spans="2:22" ht="30" x14ac:dyDescent="0.25">
      <c r="B24" s="101" t="s">
        <v>707</v>
      </c>
      <c r="C24" s="101" t="s">
        <v>708</v>
      </c>
      <c r="D24" s="101" t="s">
        <v>277</v>
      </c>
      <c r="E24" s="101" t="s">
        <v>27</v>
      </c>
      <c r="F24" s="101" t="s">
        <v>305</v>
      </c>
      <c r="G24" s="101" t="s">
        <v>27</v>
      </c>
      <c r="H24" s="101">
        <v>70148</v>
      </c>
      <c r="I24" s="101">
        <v>70208</v>
      </c>
      <c r="J24" s="101" t="s">
        <v>28</v>
      </c>
      <c r="K24" s="101" t="s">
        <v>2414</v>
      </c>
      <c r="L24" s="101" t="s">
        <v>36</v>
      </c>
      <c r="M24" s="101" t="s">
        <v>710</v>
      </c>
      <c r="N24" s="100">
        <v>1200</v>
      </c>
      <c r="O24" s="100">
        <v>1200</v>
      </c>
      <c r="P24" s="100">
        <v>1200</v>
      </c>
      <c r="Q24" s="100">
        <v>1200</v>
      </c>
      <c r="R24" s="100">
        <v>239</v>
      </c>
      <c r="S24" s="100">
        <v>239</v>
      </c>
      <c r="T24" s="100">
        <v>239</v>
      </c>
      <c r="U24" s="100">
        <v>239</v>
      </c>
      <c r="V24" s="100"/>
    </row>
    <row r="25" spans="2:22" ht="30" x14ac:dyDescent="0.25">
      <c r="B25" s="101" t="s">
        <v>707</v>
      </c>
      <c r="C25" s="101" t="s">
        <v>708</v>
      </c>
      <c r="D25" s="101" t="s">
        <v>277</v>
      </c>
      <c r="E25" s="101" t="s">
        <v>27</v>
      </c>
      <c r="F25" s="101" t="s">
        <v>305</v>
      </c>
      <c r="G25" s="101" t="s">
        <v>27</v>
      </c>
      <c r="H25" s="101">
        <v>70148</v>
      </c>
      <c r="I25" s="101">
        <v>70208</v>
      </c>
      <c r="J25" s="101" t="s">
        <v>28</v>
      </c>
      <c r="K25" s="101" t="s">
        <v>2415</v>
      </c>
      <c r="L25" s="101" t="s">
        <v>36</v>
      </c>
      <c r="M25" s="101" t="s">
        <v>710</v>
      </c>
      <c r="N25" s="100">
        <v>1200</v>
      </c>
      <c r="O25" s="100">
        <v>1200</v>
      </c>
      <c r="P25" s="100">
        <v>1200</v>
      </c>
      <c r="Q25" s="100">
        <v>1200</v>
      </c>
      <c r="R25" s="100">
        <v>239</v>
      </c>
      <c r="S25" s="100">
        <v>239</v>
      </c>
      <c r="T25" s="100">
        <v>239</v>
      </c>
      <c r="U25" s="100">
        <v>239</v>
      </c>
      <c r="V25" s="100"/>
    </row>
    <row r="26" spans="2:22" ht="30" x14ac:dyDescent="0.25">
      <c r="B26" s="101" t="s">
        <v>707</v>
      </c>
      <c r="C26" s="101" t="s">
        <v>708</v>
      </c>
      <c r="D26" s="101" t="s">
        <v>277</v>
      </c>
      <c r="E26" s="101" t="s">
        <v>27</v>
      </c>
      <c r="F26" s="101" t="s">
        <v>305</v>
      </c>
      <c r="G26" s="101" t="s">
        <v>27</v>
      </c>
      <c r="H26" s="101">
        <v>70148</v>
      </c>
      <c r="I26" s="101">
        <v>70208</v>
      </c>
      <c r="J26" s="101" t="s">
        <v>28</v>
      </c>
      <c r="K26" s="101" t="s">
        <v>2418</v>
      </c>
      <c r="L26" s="101" t="s">
        <v>36</v>
      </c>
      <c r="M26" s="101" t="s">
        <v>710</v>
      </c>
      <c r="N26" s="100">
        <v>1200</v>
      </c>
      <c r="O26" s="100">
        <v>1200</v>
      </c>
      <c r="P26" s="100">
        <v>1200</v>
      </c>
      <c r="Q26" s="100">
        <v>1200</v>
      </c>
      <c r="R26" s="100">
        <v>239</v>
      </c>
      <c r="S26" s="100">
        <v>239</v>
      </c>
      <c r="T26" s="100">
        <v>239</v>
      </c>
      <c r="U26" s="100">
        <v>239</v>
      </c>
      <c r="V26" s="100"/>
    </row>
    <row r="27" spans="2:22" ht="30" x14ac:dyDescent="0.25">
      <c r="B27" s="101" t="s">
        <v>707</v>
      </c>
      <c r="C27" s="101" t="s">
        <v>708</v>
      </c>
      <c r="D27" s="101" t="s">
        <v>277</v>
      </c>
      <c r="E27" s="101" t="s">
        <v>27</v>
      </c>
      <c r="F27" s="101" t="s">
        <v>305</v>
      </c>
      <c r="G27" s="101" t="s">
        <v>27</v>
      </c>
      <c r="H27" s="101">
        <v>70148</v>
      </c>
      <c r="I27" s="101">
        <v>70208</v>
      </c>
      <c r="J27" s="101" t="s">
        <v>28</v>
      </c>
      <c r="K27" s="101" t="s">
        <v>2417</v>
      </c>
      <c r="L27" s="101" t="s">
        <v>36</v>
      </c>
      <c r="M27" s="101" t="s">
        <v>710</v>
      </c>
      <c r="N27" s="100">
        <v>1200</v>
      </c>
      <c r="O27" s="100">
        <v>1200</v>
      </c>
      <c r="P27" s="100">
        <v>1200</v>
      </c>
      <c r="Q27" s="100">
        <v>1200</v>
      </c>
      <c r="R27" s="100">
        <v>239</v>
      </c>
      <c r="S27" s="100">
        <v>239</v>
      </c>
      <c r="T27" s="100">
        <v>239</v>
      </c>
      <c r="U27" s="100">
        <v>239</v>
      </c>
      <c r="V27" s="100"/>
    </row>
    <row r="28" spans="2:22" ht="30" x14ac:dyDescent="0.25">
      <c r="B28" s="101" t="s">
        <v>707</v>
      </c>
      <c r="C28" s="101" t="s">
        <v>708</v>
      </c>
      <c r="D28" s="101" t="s">
        <v>277</v>
      </c>
      <c r="E28" s="101" t="s">
        <v>27</v>
      </c>
      <c r="F28" s="101" t="s">
        <v>305</v>
      </c>
      <c r="G28" s="101" t="s">
        <v>27</v>
      </c>
      <c r="H28" s="101">
        <v>70148</v>
      </c>
      <c r="I28" s="101">
        <v>70208</v>
      </c>
      <c r="J28" s="101" t="s">
        <v>28</v>
      </c>
      <c r="K28" s="101" t="s">
        <v>2421</v>
      </c>
      <c r="L28" s="101" t="s">
        <v>36</v>
      </c>
      <c r="M28" s="101" t="s">
        <v>710</v>
      </c>
      <c r="N28" s="100">
        <v>1200</v>
      </c>
      <c r="O28" s="100">
        <v>1200</v>
      </c>
      <c r="P28" s="100">
        <v>1200</v>
      </c>
      <c r="Q28" s="100">
        <v>1200</v>
      </c>
      <c r="R28" s="100">
        <v>239</v>
      </c>
      <c r="S28" s="100">
        <v>239</v>
      </c>
      <c r="T28" s="100">
        <v>239</v>
      </c>
      <c r="U28" s="100">
        <v>239</v>
      </c>
      <c r="V28" s="100"/>
    </row>
    <row r="29" spans="2:22" ht="30" x14ac:dyDescent="0.25">
      <c r="B29" s="101" t="s">
        <v>707</v>
      </c>
      <c r="C29" s="101" t="s">
        <v>708</v>
      </c>
      <c r="D29" s="101" t="s">
        <v>277</v>
      </c>
      <c r="E29" s="101" t="s">
        <v>27</v>
      </c>
      <c r="F29" s="101" t="s">
        <v>305</v>
      </c>
      <c r="G29" s="101" t="s">
        <v>27</v>
      </c>
      <c r="H29" s="101">
        <v>70148</v>
      </c>
      <c r="I29" s="101">
        <v>70208</v>
      </c>
      <c r="J29" s="101" t="s">
        <v>28</v>
      </c>
      <c r="K29" s="101" t="s">
        <v>2416</v>
      </c>
      <c r="L29" s="101" t="s">
        <v>36</v>
      </c>
      <c r="M29" s="101" t="s">
        <v>710</v>
      </c>
      <c r="N29" s="100">
        <v>1200</v>
      </c>
      <c r="O29" s="100">
        <v>1200</v>
      </c>
      <c r="P29" s="100">
        <v>1200</v>
      </c>
      <c r="Q29" s="100">
        <v>1200</v>
      </c>
      <c r="R29" s="100">
        <v>239</v>
      </c>
      <c r="S29" s="100">
        <v>239</v>
      </c>
      <c r="T29" s="100">
        <v>239</v>
      </c>
      <c r="U29" s="100">
        <v>239</v>
      </c>
      <c r="V29" s="100"/>
    </row>
    <row r="30" spans="2:22" ht="20" x14ac:dyDescent="0.25">
      <c r="B30" s="101" t="s">
        <v>707</v>
      </c>
      <c r="C30" s="101" t="s">
        <v>708</v>
      </c>
      <c r="D30" s="101" t="s">
        <v>277</v>
      </c>
      <c r="E30" s="101" t="s">
        <v>27</v>
      </c>
      <c r="F30" s="101" t="s">
        <v>305</v>
      </c>
      <c r="G30" s="101" t="s">
        <v>27</v>
      </c>
      <c r="H30" s="101">
        <v>70148</v>
      </c>
      <c r="I30" s="101">
        <v>70208</v>
      </c>
      <c r="J30" s="101" t="s">
        <v>28</v>
      </c>
      <c r="K30" s="101" t="s">
        <v>714</v>
      </c>
      <c r="L30" s="101" t="s">
        <v>34</v>
      </c>
      <c r="M30" s="101" t="s">
        <v>710</v>
      </c>
      <c r="N30" s="100">
        <v>1200</v>
      </c>
      <c r="O30" s="101">
        <v>1549</v>
      </c>
      <c r="P30" s="101">
        <v>1486</v>
      </c>
      <c r="Q30" s="101">
        <v>1780</v>
      </c>
      <c r="R30" s="100">
        <v>239</v>
      </c>
      <c r="S30" s="101">
        <v>309</v>
      </c>
      <c r="T30" s="101">
        <v>296</v>
      </c>
      <c r="U30" s="101">
        <v>355</v>
      </c>
      <c r="V30" s="101"/>
    </row>
    <row r="31" spans="2:22" ht="20" x14ac:dyDescent="0.25">
      <c r="B31" s="101" t="s">
        <v>707</v>
      </c>
      <c r="C31" s="101" t="s">
        <v>708</v>
      </c>
      <c r="D31" s="101" t="s">
        <v>277</v>
      </c>
      <c r="E31" s="101" t="s">
        <v>27</v>
      </c>
      <c r="F31" s="101" t="s">
        <v>305</v>
      </c>
      <c r="G31" s="101" t="s">
        <v>27</v>
      </c>
      <c r="H31" s="101">
        <v>70148</v>
      </c>
      <c r="I31" s="101">
        <v>70208</v>
      </c>
      <c r="J31" s="101" t="s">
        <v>28</v>
      </c>
      <c r="K31" s="101" t="s">
        <v>714</v>
      </c>
      <c r="L31" s="101" t="s">
        <v>34</v>
      </c>
      <c r="M31" s="101" t="s">
        <v>279</v>
      </c>
      <c r="N31" s="100">
        <v>1200</v>
      </c>
      <c r="O31" s="101">
        <v>1549</v>
      </c>
      <c r="P31" s="101">
        <v>1486</v>
      </c>
      <c r="Q31" s="101">
        <v>1780</v>
      </c>
      <c r="R31" s="100">
        <v>239</v>
      </c>
      <c r="S31" s="101">
        <v>309</v>
      </c>
      <c r="T31" s="101">
        <v>296</v>
      </c>
      <c r="U31" s="101">
        <v>355</v>
      </c>
      <c r="V31" s="101"/>
    </row>
    <row r="32" spans="2:22" ht="20" x14ac:dyDescent="0.25">
      <c r="B32" s="101" t="s">
        <v>707</v>
      </c>
      <c r="C32" s="101" t="s">
        <v>708</v>
      </c>
      <c r="D32" s="101" t="s">
        <v>277</v>
      </c>
      <c r="E32" s="101" t="s">
        <v>27</v>
      </c>
      <c r="F32" s="101" t="s">
        <v>305</v>
      </c>
      <c r="G32" s="101" t="s">
        <v>27</v>
      </c>
      <c r="H32" s="101">
        <v>70148</v>
      </c>
      <c r="I32" s="101">
        <v>70208</v>
      </c>
      <c r="J32" s="101" t="s">
        <v>28</v>
      </c>
      <c r="K32" s="101" t="s">
        <v>713</v>
      </c>
      <c r="L32" s="101" t="s">
        <v>34</v>
      </c>
      <c r="M32" s="101" t="s">
        <v>710</v>
      </c>
      <c r="N32" s="100">
        <v>1200</v>
      </c>
      <c r="O32" s="101">
        <v>1549</v>
      </c>
      <c r="P32" s="101">
        <v>1486</v>
      </c>
      <c r="Q32" s="101">
        <v>1780</v>
      </c>
      <c r="R32" s="100">
        <v>239</v>
      </c>
      <c r="S32" s="101">
        <v>309</v>
      </c>
      <c r="T32" s="101">
        <v>296</v>
      </c>
      <c r="U32" s="101">
        <v>355</v>
      </c>
      <c r="V32" s="101"/>
    </row>
    <row r="33" spans="2:22" ht="34.5" x14ac:dyDescent="0.25">
      <c r="B33" s="109" t="s">
        <v>191</v>
      </c>
      <c r="C33" s="109" t="s">
        <v>192</v>
      </c>
      <c r="D33" s="109" t="s">
        <v>277</v>
      </c>
      <c r="E33" s="109" t="s">
        <v>27</v>
      </c>
      <c r="F33" s="109" t="s">
        <v>718</v>
      </c>
      <c r="G33" s="109" t="s">
        <v>27</v>
      </c>
      <c r="H33" s="109">
        <v>70149</v>
      </c>
      <c r="I33" s="109">
        <v>70480</v>
      </c>
      <c r="J33" s="109" t="s">
        <v>28</v>
      </c>
      <c r="K33" s="109" t="s">
        <v>191</v>
      </c>
      <c r="L33" s="109" t="s">
        <v>29</v>
      </c>
      <c r="M33" s="109"/>
      <c r="N33" s="108">
        <v>1263</v>
      </c>
      <c r="O33" s="108">
        <v>1389</v>
      </c>
      <c r="P33" s="108">
        <v>1439</v>
      </c>
      <c r="Q33" s="108">
        <v>1583</v>
      </c>
      <c r="R33" s="108">
        <v>503</v>
      </c>
      <c r="S33" s="108">
        <v>553</v>
      </c>
      <c r="T33" s="108">
        <v>573</v>
      </c>
      <c r="U33" s="108">
        <v>631</v>
      </c>
      <c r="V33" s="107"/>
    </row>
    <row r="34" spans="2:22" ht="20" x14ac:dyDescent="0.25">
      <c r="B34" s="106" t="s">
        <v>191</v>
      </c>
      <c r="C34" s="106" t="s">
        <v>192</v>
      </c>
      <c r="D34" s="106" t="s">
        <v>277</v>
      </c>
      <c r="E34" s="106" t="s">
        <v>27</v>
      </c>
      <c r="F34" s="106" t="s">
        <v>718</v>
      </c>
      <c r="G34" s="106" t="s">
        <v>27</v>
      </c>
      <c r="H34" s="106">
        <v>70149</v>
      </c>
      <c r="I34" s="106">
        <v>70480</v>
      </c>
      <c r="J34" s="106" t="s">
        <v>28</v>
      </c>
      <c r="K34" s="106" t="s">
        <v>191</v>
      </c>
      <c r="L34" s="106" t="s">
        <v>30</v>
      </c>
      <c r="M34" s="106" t="s">
        <v>192</v>
      </c>
      <c r="N34" s="105">
        <v>1263</v>
      </c>
      <c r="O34" s="105">
        <v>1389</v>
      </c>
      <c r="P34" s="105">
        <v>1439</v>
      </c>
      <c r="Q34" s="105">
        <v>1583</v>
      </c>
      <c r="R34" s="105">
        <v>503</v>
      </c>
      <c r="S34" s="105">
        <v>553</v>
      </c>
      <c r="T34" s="105">
        <v>573</v>
      </c>
      <c r="U34" s="105">
        <v>631</v>
      </c>
      <c r="V34" s="105"/>
    </row>
    <row r="35" spans="2:22" ht="23" x14ac:dyDescent="0.25">
      <c r="B35" s="104" t="s">
        <v>720</v>
      </c>
      <c r="C35" s="104" t="s">
        <v>721</v>
      </c>
      <c r="D35" s="104" t="s">
        <v>722</v>
      </c>
      <c r="E35" s="104" t="s">
        <v>27</v>
      </c>
      <c r="F35" s="104" t="s">
        <v>723</v>
      </c>
      <c r="G35" s="104" t="s">
        <v>27</v>
      </c>
      <c r="H35" s="104">
        <v>70162</v>
      </c>
      <c r="I35" s="104">
        <v>70538</v>
      </c>
      <c r="J35" s="104" t="s">
        <v>28</v>
      </c>
      <c r="K35" s="104" t="s">
        <v>720</v>
      </c>
      <c r="L35" s="104" t="s">
        <v>29</v>
      </c>
      <c r="M35" s="104"/>
      <c r="N35" s="103">
        <v>798</v>
      </c>
      <c r="O35" s="103">
        <v>878</v>
      </c>
      <c r="P35" s="103">
        <v>908</v>
      </c>
      <c r="Q35" s="103">
        <v>998</v>
      </c>
      <c r="R35" s="103">
        <v>159</v>
      </c>
      <c r="S35" s="103">
        <v>175</v>
      </c>
      <c r="T35" s="103">
        <v>181</v>
      </c>
      <c r="U35" s="103">
        <v>199</v>
      </c>
      <c r="V35" s="102"/>
    </row>
    <row r="36" spans="2:22" ht="20" x14ac:dyDescent="0.25">
      <c r="B36" s="101" t="s">
        <v>720</v>
      </c>
      <c r="C36" s="101" t="s">
        <v>721</v>
      </c>
      <c r="D36" s="101" t="s">
        <v>722</v>
      </c>
      <c r="E36" s="101" t="s">
        <v>27</v>
      </c>
      <c r="F36" s="101" t="s">
        <v>723</v>
      </c>
      <c r="G36" s="101" t="s">
        <v>27</v>
      </c>
      <c r="H36" s="101">
        <v>70162</v>
      </c>
      <c r="I36" s="101">
        <v>70538</v>
      </c>
      <c r="J36" s="101" t="s">
        <v>28</v>
      </c>
      <c r="K36" s="101" t="s">
        <v>720</v>
      </c>
      <c r="L36" s="101" t="s">
        <v>30</v>
      </c>
      <c r="M36" s="101" t="s">
        <v>721</v>
      </c>
      <c r="N36" s="100">
        <v>798</v>
      </c>
      <c r="O36" s="100">
        <v>878</v>
      </c>
      <c r="P36" s="100">
        <v>908</v>
      </c>
      <c r="Q36" s="100">
        <v>998</v>
      </c>
      <c r="R36" s="100">
        <v>159</v>
      </c>
      <c r="S36" s="100">
        <v>175</v>
      </c>
      <c r="T36" s="100">
        <v>181</v>
      </c>
      <c r="U36" s="100">
        <v>199</v>
      </c>
      <c r="V36" s="100"/>
    </row>
    <row r="37" spans="2:22" ht="23" x14ac:dyDescent="0.25">
      <c r="B37" s="104" t="s">
        <v>724</v>
      </c>
      <c r="C37" s="104" t="s">
        <v>725</v>
      </c>
      <c r="D37" s="104" t="s">
        <v>722</v>
      </c>
      <c r="E37" s="104" t="s">
        <v>27</v>
      </c>
      <c r="F37" s="104" t="s">
        <v>726</v>
      </c>
      <c r="G37" s="104" t="s">
        <v>27</v>
      </c>
      <c r="H37" s="104">
        <v>70162</v>
      </c>
      <c r="I37" s="104">
        <v>70537</v>
      </c>
      <c r="J37" s="104" t="s">
        <v>28</v>
      </c>
      <c r="K37" s="104" t="s">
        <v>724</v>
      </c>
      <c r="L37" s="104" t="s">
        <v>29</v>
      </c>
      <c r="M37" s="104"/>
      <c r="N37" s="103">
        <v>798</v>
      </c>
      <c r="O37" s="103">
        <v>878</v>
      </c>
      <c r="P37" s="103">
        <v>908</v>
      </c>
      <c r="Q37" s="103">
        <v>998</v>
      </c>
      <c r="R37" s="103">
        <v>159</v>
      </c>
      <c r="S37" s="103">
        <v>175</v>
      </c>
      <c r="T37" s="103">
        <v>181</v>
      </c>
      <c r="U37" s="103">
        <v>199</v>
      </c>
      <c r="V37" s="102"/>
    </row>
    <row r="38" spans="2:22" ht="20" x14ac:dyDescent="0.25">
      <c r="B38" s="101" t="s">
        <v>724</v>
      </c>
      <c r="C38" s="101" t="s">
        <v>725</v>
      </c>
      <c r="D38" s="101" t="s">
        <v>722</v>
      </c>
      <c r="E38" s="101" t="s">
        <v>27</v>
      </c>
      <c r="F38" s="101" t="s">
        <v>726</v>
      </c>
      <c r="G38" s="101" t="s">
        <v>27</v>
      </c>
      <c r="H38" s="101">
        <v>70162</v>
      </c>
      <c r="I38" s="101">
        <v>70537</v>
      </c>
      <c r="J38" s="101" t="s">
        <v>28</v>
      </c>
      <c r="K38" s="101" t="s">
        <v>724</v>
      </c>
      <c r="L38" s="101" t="s">
        <v>30</v>
      </c>
      <c r="M38" s="101" t="s">
        <v>725</v>
      </c>
      <c r="N38" s="100">
        <v>798</v>
      </c>
      <c r="O38" s="100">
        <v>878</v>
      </c>
      <c r="P38" s="100">
        <v>908</v>
      </c>
      <c r="Q38" s="100">
        <v>998</v>
      </c>
      <c r="R38" s="100">
        <v>159</v>
      </c>
      <c r="S38" s="100">
        <v>175</v>
      </c>
      <c r="T38" s="100">
        <v>181</v>
      </c>
      <c r="U38" s="100">
        <v>199</v>
      </c>
      <c r="V38" s="100"/>
    </row>
    <row r="39" spans="2:22" ht="23" x14ac:dyDescent="0.25">
      <c r="B39" s="104" t="s">
        <v>733</v>
      </c>
      <c r="C39" s="104" t="s">
        <v>734</v>
      </c>
      <c r="D39" s="104" t="s">
        <v>722</v>
      </c>
      <c r="E39" s="104" t="s">
        <v>27</v>
      </c>
      <c r="F39" s="104" t="s">
        <v>422</v>
      </c>
      <c r="G39" s="104" t="s">
        <v>27</v>
      </c>
      <c r="H39" s="104">
        <v>70171</v>
      </c>
      <c r="I39" s="104">
        <v>70395</v>
      </c>
      <c r="J39" s="104" t="s">
        <v>28</v>
      </c>
      <c r="K39" s="104" t="s">
        <v>733</v>
      </c>
      <c r="L39" s="104" t="s">
        <v>29</v>
      </c>
      <c r="M39" s="104"/>
      <c r="N39" s="103">
        <v>794</v>
      </c>
      <c r="O39" s="103">
        <v>873</v>
      </c>
      <c r="P39" s="103">
        <v>903</v>
      </c>
      <c r="Q39" s="103">
        <v>993</v>
      </c>
      <c r="R39" s="103">
        <v>158</v>
      </c>
      <c r="S39" s="103">
        <v>174</v>
      </c>
      <c r="T39" s="103">
        <v>180</v>
      </c>
      <c r="U39" s="103">
        <v>198</v>
      </c>
      <c r="V39" s="102"/>
    </row>
    <row r="40" spans="2:22" ht="20" x14ac:dyDescent="0.25">
      <c r="B40" s="101" t="s">
        <v>733</v>
      </c>
      <c r="C40" s="101" t="s">
        <v>734</v>
      </c>
      <c r="D40" s="101" t="s">
        <v>722</v>
      </c>
      <c r="E40" s="101" t="s">
        <v>27</v>
      </c>
      <c r="F40" s="101" t="s">
        <v>422</v>
      </c>
      <c r="G40" s="101" t="s">
        <v>27</v>
      </c>
      <c r="H40" s="101">
        <v>70171</v>
      </c>
      <c r="I40" s="101">
        <v>70395</v>
      </c>
      <c r="J40" s="101" t="s">
        <v>28</v>
      </c>
      <c r="K40" s="101" t="s">
        <v>733</v>
      </c>
      <c r="L40" s="101" t="s">
        <v>30</v>
      </c>
      <c r="M40" s="101" t="s">
        <v>734</v>
      </c>
      <c r="N40" s="100">
        <v>794</v>
      </c>
      <c r="O40" s="100">
        <v>873</v>
      </c>
      <c r="P40" s="100">
        <v>903</v>
      </c>
      <c r="Q40" s="100">
        <v>993</v>
      </c>
      <c r="R40" s="100">
        <v>158</v>
      </c>
      <c r="S40" s="100">
        <v>174</v>
      </c>
      <c r="T40" s="100">
        <v>180</v>
      </c>
      <c r="U40" s="100">
        <v>198</v>
      </c>
      <c r="V40" s="100"/>
    </row>
    <row r="41" spans="2:22" ht="23" x14ac:dyDescent="0.25">
      <c r="B41" s="104" t="s">
        <v>145</v>
      </c>
      <c r="C41" s="104" t="s">
        <v>146</v>
      </c>
      <c r="D41" s="104" t="s">
        <v>767</v>
      </c>
      <c r="E41" s="104" t="s">
        <v>27</v>
      </c>
      <c r="F41" s="104" t="s">
        <v>788</v>
      </c>
      <c r="G41" s="104" t="s">
        <v>27</v>
      </c>
      <c r="H41" s="104">
        <v>70090</v>
      </c>
      <c r="I41" s="104">
        <v>70307</v>
      </c>
      <c r="J41" s="104" t="s">
        <v>28</v>
      </c>
      <c r="K41" s="104" t="s">
        <v>145</v>
      </c>
      <c r="L41" s="104" t="s">
        <v>29</v>
      </c>
      <c r="M41" s="104"/>
      <c r="N41" s="103">
        <v>1200</v>
      </c>
      <c r="O41" s="103">
        <v>1330</v>
      </c>
      <c r="P41" s="103">
        <v>1377</v>
      </c>
      <c r="Q41" s="103">
        <v>1515</v>
      </c>
      <c r="R41" s="103">
        <v>239</v>
      </c>
      <c r="S41" s="103">
        <v>265</v>
      </c>
      <c r="T41" s="103">
        <v>274</v>
      </c>
      <c r="U41" s="103">
        <v>302</v>
      </c>
      <c r="V41" s="102"/>
    </row>
    <row r="42" spans="2:22" ht="20" x14ac:dyDescent="0.25">
      <c r="B42" s="101" t="s">
        <v>145</v>
      </c>
      <c r="C42" s="101" t="s">
        <v>146</v>
      </c>
      <c r="D42" s="101" t="s">
        <v>767</v>
      </c>
      <c r="E42" s="101" t="s">
        <v>27</v>
      </c>
      <c r="F42" s="101" t="s">
        <v>788</v>
      </c>
      <c r="G42" s="101" t="s">
        <v>27</v>
      </c>
      <c r="H42" s="101">
        <v>70090</v>
      </c>
      <c r="I42" s="101">
        <v>70307</v>
      </c>
      <c r="J42" s="101" t="s">
        <v>28</v>
      </c>
      <c r="K42" s="101" t="s">
        <v>2437</v>
      </c>
      <c r="L42" s="101" t="s">
        <v>34</v>
      </c>
      <c r="M42" s="101" t="s">
        <v>790</v>
      </c>
      <c r="N42" s="100">
        <v>1200</v>
      </c>
      <c r="O42" s="101">
        <v>1549</v>
      </c>
      <c r="P42" s="101">
        <v>1486</v>
      </c>
      <c r="Q42" s="101">
        <v>1780</v>
      </c>
      <c r="R42" s="100">
        <v>239</v>
      </c>
      <c r="S42" s="101">
        <v>309</v>
      </c>
      <c r="T42" s="101">
        <v>296</v>
      </c>
      <c r="U42" s="101">
        <v>355</v>
      </c>
      <c r="V42" s="101"/>
    </row>
    <row r="43" spans="2:22" ht="20" x14ac:dyDescent="0.25">
      <c r="B43" s="101" t="s">
        <v>145</v>
      </c>
      <c r="C43" s="101" t="s">
        <v>146</v>
      </c>
      <c r="D43" s="101" t="s">
        <v>767</v>
      </c>
      <c r="E43" s="101" t="s">
        <v>27</v>
      </c>
      <c r="F43" s="101" t="s">
        <v>788</v>
      </c>
      <c r="G43" s="101" t="s">
        <v>27</v>
      </c>
      <c r="H43" s="101">
        <v>70090</v>
      </c>
      <c r="I43" s="101">
        <v>70307</v>
      </c>
      <c r="J43" s="101" t="s">
        <v>28</v>
      </c>
      <c r="K43" s="101" t="s">
        <v>2436</v>
      </c>
      <c r="L43" s="101" t="s">
        <v>34</v>
      </c>
      <c r="M43" s="101" t="s">
        <v>790</v>
      </c>
      <c r="N43" s="100">
        <v>1200</v>
      </c>
      <c r="O43" s="101">
        <v>1549</v>
      </c>
      <c r="P43" s="101">
        <v>1486</v>
      </c>
      <c r="Q43" s="101">
        <v>1780</v>
      </c>
      <c r="R43" s="100">
        <v>239</v>
      </c>
      <c r="S43" s="101">
        <v>309</v>
      </c>
      <c r="T43" s="101">
        <v>296</v>
      </c>
      <c r="U43" s="101">
        <v>355</v>
      </c>
      <c r="V43" s="101"/>
    </row>
    <row r="44" spans="2:22" ht="20" x14ac:dyDescent="0.25">
      <c r="B44" s="101" t="s">
        <v>145</v>
      </c>
      <c r="C44" s="101" t="s">
        <v>146</v>
      </c>
      <c r="D44" s="101" t="s">
        <v>767</v>
      </c>
      <c r="E44" s="101" t="s">
        <v>27</v>
      </c>
      <c r="F44" s="101" t="s">
        <v>788</v>
      </c>
      <c r="G44" s="101" t="s">
        <v>27</v>
      </c>
      <c r="H44" s="101">
        <v>70090</v>
      </c>
      <c r="I44" s="101">
        <v>70307</v>
      </c>
      <c r="J44" s="101" t="s">
        <v>28</v>
      </c>
      <c r="K44" s="101" t="s">
        <v>2525</v>
      </c>
      <c r="L44" s="101" t="s">
        <v>31</v>
      </c>
      <c r="M44" s="101" t="s">
        <v>790</v>
      </c>
      <c r="N44" s="101">
        <v>1209</v>
      </c>
      <c r="O44" s="100">
        <v>1330</v>
      </c>
      <c r="P44" s="100">
        <v>1377</v>
      </c>
      <c r="Q44" s="100">
        <v>1515</v>
      </c>
      <c r="R44" s="101">
        <v>241</v>
      </c>
      <c r="S44" s="100">
        <v>265</v>
      </c>
      <c r="T44" s="100">
        <v>274</v>
      </c>
      <c r="U44" s="100">
        <v>302</v>
      </c>
      <c r="V44" s="100"/>
    </row>
    <row r="45" spans="2:22" ht="20" x14ac:dyDescent="0.25">
      <c r="B45" s="101" t="s">
        <v>145</v>
      </c>
      <c r="C45" s="101" t="s">
        <v>146</v>
      </c>
      <c r="D45" s="101" t="s">
        <v>767</v>
      </c>
      <c r="E45" s="101" t="s">
        <v>27</v>
      </c>
      <c r="F45" s="101" t="s">
        <v>788</v>
      </c>
      <c r="G45" s="101" t="s">
        <v>27</v>
      </c>
      <c r="H45" s="101">
        <v>70090</v>
      </c>
      <c r="I45" s="101">
        <v>70307</v>
      </c>
      <c r="J45" s="101" t="s">
        <v>28</v>
      </c>
      <c r="K45" s="101" t="s">
        <v>2525</v>
      </c>
      <c r="L45" s="101" t="s">
        <v>31</v>
      </c>
      <c r="M45" s="101" t="s">
        <v>771</v>
      </c>
      <c r="N45" s="101">
        <v>1209</v>
      </c>
      <c r="O45" s="100">
        <v>1330</v>
      </c>
      <c r="P45" s="100">
        <v>1377</v>
      </c>
      <c r="Q45" s="100">
        <v>1515</v>
      </c>
      <c r="R45" s="101">
        <v>241</v>
      </c>
      <c r="S45" s="100">
        <v>265</v>
      </c>
      <c r="T45" s="100">
        <v>274</v>
      </c>
      <c r="U45" s="100">
        <v>302</v>
      </c>
      <c r="V45" s="100"/>
    </row>
    <row r="46" spans="2:22" ht="20" x14ac:dyDescent="0.25">
      <c r="B46" s="101" t="s">
        <v>145</v>
      </c>
      <c r="C46" s="101" t="s">
        <v>146</v>
      </c>
      <c r="D46" s="101" t="s">
        <v>767</v>
      </c>
      <c r="E46" s="101" t="s">
        <v>27</v>
      </c>
      <c r="F46" s="101" t="s">
        <v>788</v>
      </c>
      <c r="G46" s="101" t="s">
        <v>27</v>
      </c>
      <c r="H46" s="101">
        <v>70090</v>
      </c>
      <c r="I46" s="101">
        <v>70307</v>
      </c>
      <c r="J46" s="101" t="s">
        <v>28</v>
      </c>
      <c r="K46" s="101" t="s">
        <v>145</v>
      </c>
      <c r="L46" s="101" t="s">
        <v>30</v>
      </c>
      <c r="M46" s="101" t="s">
        <v>146</v>
      </c>
      <c r="N46" s="101">
        <v>1210</v>
      </c>
      <c r="O46" s="101">
        <v>1331</v>
      </c>
      <c r="P46" s="101">
        <v>1378</v>
      </c>
      <c r="Q46" s="100">
        <v>1515</v>
      </c>
      <c r="R46" s="101">
        <v>241</v>
      </c>
      <c r="S46" s="100">
        <v>265</v>
      </c>
      <c r="T46" s="100">
        <v>274</v>
      </c>
      <c r="U46" s="100">
        <v>302</v>
      </c>
      <c r="V46" s="100"/>
    </row>
    <row r="47" spans="2:22" ht="23" x14ac:dyDescent="0.25">
      <c r="B47" s="104" t="s">
        <v>797</v>
      </c>
      <c r="C47" s="104" t="s">
        <v>228</v>
      </c>
      <c r="D47" s="104" t="s">
        <v>767</v>
      </c>
      <c r="E47" s="104" t="s">
        <v>27</v>
      </c>
      <c r="F47" s="104" t="s">
        <v>232</v>
      </c>
      <c r="G47" s="104" t="s">
        <v>27</v>
      </c>
      <c r="H47" s="104">
        <v>70191</v>
      </c>
      <c r="I47" s="104">
        <v>70450</v>
      </c>
      <c r="J47" s="104" t="s">
        <v>28</v>
      </c>
      <c r="K47" s="104" t="s">
        <v>797</v>
      </c>
      <c r="L47" s="104" t="s">
        <v>29</v>
      </c>
      <c r="M47" s="104"/>
      <c r="N47" s="103">
        <v>801</v>
      </c>
      <c r="O47" s="103">
        <v>881</v>
      </c>
      <c r="P47" s="103">
        <v>911</v>
      </c>
      <c r="Q47" s="103">
        <v>1002</v>
      </c>
      <c r="R47" s="103">
        <v>160</v>
      </c>
      <c r="S47" s="103">
        <v>175</v>
      </c>
      <c r="T47" s="103">
        <v>181</v>
      </c>
      <c r="U47" s="103">
        <v>200</v>
      </c>
      <c r="V47" s="102"/>
    </row>
    <row r="48" spans="2:22" ht="20" x14ac:dyDescent="0.25">
      <c r="B48" s="101" t="s">
        <v>797</v>
      </c>
      <c r="C48" s="101" t="s">
        <v>228</v>
      </c>
      <c r="D48" s="101" t="s">
        <v>767</v>
      </c>
      <c r="E48" s="101" t="s">
        <v>27</v>
      </c>
      <c r="F48" s="101" t="s">
        <v>232</v>
      </c>
      <c r="G48" s="101" t="s">
        <v>27</v>
      </c>
      <c r="H48" s="101">
        <v>70191</v>
      </c>
      <c r="I48" s="101">
        <v>70450</v>
      </c>
      <c r="J48" s="101" t="s">
        <v>28</v>
      </c>
      <c r="K48" s="101" t="s">
        <v>797</v>
      </c>
      <c r="L48" s="101" t="s">
        <v>30</v>
      </c>
      <c r="M48" s="101" t="s">
        <v>228</v>
      </c>
      <c r="N48" s="100">
        <v>801</v>
      </c>
      <c r="O48" s="100">
        <v>881</v>
      </c>
      <c r="P48" s="100">
        <v>911</v>
      </c>
      <c r="Q48" s="100">
        <v>1002</v>
      </c>
      <c r="R48" s="100">
        <v>160</v>
      </c>
      <c r="S48" s="100">
        <v>175</v>
      </c>
      <c r="T48" s="100">
        <v>181</v>
      </c>
      <c r="U48" s="100">
        <v>200</v>
      </c>
      <c r="V48" s="100"/>
    </row>
    <row r="49" spans="2:22" ht="23" x14ac:dyDescent="0.25">
      <c r="B49" s="109" t="s">
        <v>869</v>
      </c>
      <c r="C49" s="109" t="s">
        <v>200</v>
      </c>
      <c r="D49" s="109" t="s">
        <v>548</v>
      </c>
      <c r="E49" s="109" t="s">
        <v>27</v>
      </c>
      <c r="F49" s="109" t="s">
        <v>643</v>
      </c>
      <c r="G49" s="109" t="s">
        <v>27</v>
      </c>
      <c r="H49" s="109">
        <v>70189</v>
      </c>
      <c r="I49" s="109">
        <v>70323</v>
      </c>
      <c r="J49" s="109" t="s">
        <v>28</v>
      </c>
      <c r="K49" s="109" t="s">
        <v>869</v>
      </c>
      <c r="L49" s="109" t="s">
        <v>29</v>
      </c>
      <c r="M49" s="109"/>
      <c r="N49" s="108">
        <v>1445</v>
      </c>
      <c r="O49" s="108">
        <v>1590</v>
      </c>
      <c r="P49" s="108">
        <v>1600</v>
      </c>
      <c r="Q49" s="108">
        <v>1600</v>
      </c>
      <c r="R49" s="108">
        <v>576</v>
      </c>
      <c r="S49" s="108">
        <v>633</v>
      </c>
      <c r="T49" s="108">
        <v>637</v>
      </c>
      <c r="U49" s="108">
        <v>637</v>
      </c>
      <c r="V49" s="107"/>
    </row>
    <row r="50" spans="2:22" ht="20" x14ac:dyDescent="0.25">
      <c r="B50" s="106" t="s">
        <v>869</v>
      </c>
      <c r="C50" s="106" t="s">
        <v>200</v>
      </c>
      <c r="D50" s="106" t="s">
        <v>548</v>
      </c>
      <c r="E50" s="106" t="s">
        <v>27</v>
      </c>
      <c r="F50" s="106" t="s">
        <v>643</v>
      </c>
      <c r="G50" s="106" t="s">
        <v>27</v>
      </c>
      <c r="H50" s="106">
        <v>70189</v>
      </c>
      <c r="I50" s="106">
        <v>70323</v>
      </c>
      <c r="J50" s="106" t="s">
        <v>28</v>
      </c>
      <c r="K50" s="106" t="s">
        <v>869</v>
      </c>
      <c r="L50" s="106" t="s">
        <v>30</v>
      </c>
      <c r="M50" s="106" t="s">
        <v>200</v>
      </c>
      <c r="N50" s="105">
        <v>1445</v>
      </c>
      <c r="O50" s="105">
        <v>1590</v>
      </c>
      <c r="P50" s="106">
        <v>1648</v>
      </c>
      <c r="Q50" s="106">
        <v>1813</v>
      </c>
      <c r="R50" s="105">
        <v>576</v>
      </c>
      <c r="S50" s="105">
        <v>633</v>
      </c>
      <c r="T50" s="106">
        <v>657</v>
      </c>
      <c r="U50" s="106">
        <v>722</v>
      </c>
      <c r="V50" s="106"/>
    </row>
    <row r="51" spans="2:22" ht="20" x14ac:dyDescent="0.25">
      <c r="B51" s="106" t="s">
        <v>869</v>
      </c>
      <c r="C51" s="106" t="s">
        <v>200</v>
      </c>
      <c r="D51" s="106" t="s">
        <v>548</v>
      </c>
      <c r="E51" s="106" t="s">
        <v>27</v>
      </c>
      <c r="F51" s="106" t="s">
        <v>643</v>
      </c>
      <c r="G51" s="106" t="s">
        <v>27</v>
      </c>
      <c r="H51" s="106">
        <v>70189</v>
      </c>
      <c r="I51" s="106">
        <v>70323</v>
      </c>
      <c r="J51" s="106" t="s">
        <v>28</v>
      </c>
      <c r="K51" s="106" t="s">
        <v>2037</v>
      </c>
      <c r="L51" s="106" t="s">
        <v>49</v>
      </c>
      <c r="M51" s="106" t="s">
        <v>644</v>
      </c>
      <c r="N51" s="106">
        <v>1600</v>
      </c>
      <c r="O51" s="106">
        <v>1600</v>
      </c>
      <c r="P51" s="105">
        <v>1600</v>
      </c>
      <c r="Q51" s="105">
        <v>1600</v>
      </c>
      <c r="R51" s="106">
        <v>637</v>
      </c>
      <c r="S51" s="106">
        <v>637</v>
      </c>
      <c r="T51" s="105">
        <v>637</v>
      </c>
      <c r="U51" s="105">
        <v>637</v>
      </c>
      <c r="V51" s="105"/>
    </row>
    <row r="52" spans="2:22" ht="23" x14ac:dyDescent="0.25">
      <c r="B52" s="109" t="s">
        <v>906</v>
      </c>
      <c r="C52" s="109" t="s">
        <v>907</v>
      </c>
      <c r="D52" s="109" t="s">
        <v>312</v>
      </c>
      <c r="E52" s="109" t="s">
        <v>27</v>
      </c>
      <c r="F52" s="109" t="s">
        <v>908</v>
      </c>
      <c r="G52" s="109" t="s">
        <v>27</v>
      </c>
      <c r="H52" s="109">
        <v>70048</v>
      </c>
      <c r="I52" s="109">
        <v>70528</v>
      </c>
      <c r="J52" s="109" t="s">
        <v>28</v>
      </c>
      <c r="K52" s="109" t="s">
        <v>906</v>
      </c>
      <c r="L52" s="109" t="s">
        <v>29</v>
      </c>
      <c r="M52" s="109"/>
      <c r="N52" s="108">
        <v>1800</v>
      </c>
      <c r="O52" s="108">
        <v>1800</v>
      </c>
      <c r="P52" s="108">
        <v>1800</v>
      </c>
      <c r="Q52" s="108">
        <v>1800</v>
      </c>
      <c r="R52" s="108">
        <v>717</v>
      </c>
      <c r="S52" s="108">
        <v>717</v>
      </c>
      <c r="T52" s="108">
        <v>717</v>
      </c>
      <c r="U52" s="108">
        <v>717</v>
      </c>
      <c r="V52" s="107"/>
    </row>
    <row r="53" spans="2:22" ht="30" x14ac:dyDescent="0.25">
      <c r="B53" s="106" t="s">
        <v>906</v>
      </c>
      <c r="C53" s="106" t="s">
        <v>907</v>
      </c>
      <c r="D53" s="106" t="s">
        <v>312</v>
      </c>
      <c r="E53" s="106" t="s">
        <v>27</v>
      </c>
      <c r="F53" s="106" t="s">
        <v>908</v>
      </c>
      <c r="G53" s="106" t="s">
        <v>27</v>
      </c>
      <c r="H53" s="106">
        <v>70048</v>
      </c>
      <c r="I53" s="106">
        <v>70528</v>
      </c>
      <c r="J53" s="106" t="s">
        <v>28</v>
      </c>
      <c r="K53" s="106" t="s">
        <v>2109</v>
      </c>
      <c r="L53" s="106" t="s">
        <v>36</v>
      </c>
      <c r="M53" s="106" t="s">
        <v>894</v>
      </c>
      <c r="N53" s="105">
        <v>1800</v>
      </c>
      <c r="O53" s="105">
        <v>1800</v>
      </c>
      <c r="P53" s="105">
        <v>1800</v>
      </c>
      <c r="Q53" s="105">
        <v>1800</v>
      </c>
      <c r="R53" s="105">
        <v>717</v>
      </c>
      <c r="S53" s="105">
        <v>717</v>
      </c>
      <c r="T53" s="105">
        <v>717</v>
      </c>
      <c r="U53" s="105">
        <v>717</v>
      </c>
      <c r="V53" s="105"/>
    </row>
    <row r="54" spans="2:22" ht="23" x14ac:dyDescent="0.25">
      <c r="B54" s="109" t="s">
        <v>2721</v>
      </c>
      <c r="C54" s="109" t="s">
        <v>1263</v>
      </c>
      <c r="D54" s="109" t="s">
        <v>1045</v>
      </c>
      <c r="E54" s="109" t="s">
        <v>27</v>
      </c>
      <c r="F54" s="109" t="s">
        <v>1015</v>
      </c>
      <c r="G54" s="109" t="s">
        <v>27</v>
      </c>
      <c r="H54" s="109">
        <v>70927</v>
      </c>
      <c r="I54" s="109">
        <v>70427</v>
      </c>
      <c r="J54" s="109" t="s">
        <v>28</v>
      </c>
      <c r="K54" s="109" t="s">
        <v>2721</v>
      </c>
      <c r="L54" s="109" t="s">
        <v>29</v>
      </c>
      <c r="M54" s="109"/>
      <c r="N54" s="108">
        <v>1175</v>
      </c>
      <c r="O54" s="108">
        <v>1188</v>
      </c>
      <c r="P54" s="108">
        <v>1255</v>
      </c>
      <c r="Q54" s="108">
        <v>1255</v>
      </c>
      <c r="R54" s="108">
        <v>468</v>
      </c>
      <c r="S54" s="108">
        <v>473</v>
      </c>
      <c r="T54" s="108">
        <v>500</v>
      </c>
      <c r="U54" s="108">
        <v>500</v>
      </c>
      <c r="V54" s="107"/>
    </row>
    <row r="55" spans="2:22" ht="20" x14ac:dyDescent="0.25">
      <c r="B55" s="106" t="s">
        <v>2721</v>
      </c>
      <c r="C55" s="106" t="s">
        <v>1263</v>
      </c>
      <c r="D55" s="106" t="s">
        <v>1045</v>
      </c>
      <c r="E55" s="106" t="s">
        <v>27</v>
      </c>
      <c r="F55" s="106" t="s">
        <v>1015</v>
      </c>
      <c r="G55" s="106" t="s">
        <v>27</v>
      </c>
      <c r="H55" s="106">
        <v>70927</v>
      </c>
      <c r="I55" s="106">
        <v>70427</v>
      </c>
      <c r="J55" s="106" t="s">
        <v>28</v>
      </c>
      <c r="K55" s="106" t="s">
        <v>388</v>
      </c>
      <c r="L55" s="106" t="s">
        <v>31</v>
      </c>
      <c r="M55" s="106" t="s">
        <v>1017</v>
      </c>
      <c r="N55" s="105">
        <v>1175</v>
      </c>
      <c r="O55" s="106">
        <v>1380</v>
      </c>
      <c r="P55" s="106">
        <v>1408</v>
      </c>
      <c r="Q55" s="106">
        <v>1575</v>
      </c>
      <c r="R55" s="105">
        <v>468</v>
      </c>
      <c r="S55" s="106">
        <v>550</v>
      </c>
      <c r="T55" s="106">
        <v>561</v>
      </c>
      <c r="U55" s="106">
        <v>628</v>
      </c>
      <c r="V55" s="106"/>
    </row>
    <row r="56" spans="2:22" ht="20" x14ac:dyDescent="0.25">
      <c r="B56" s="106" t="s">
        <v>2721</v>
      </c>
      <c r="C56" s="106" t="s">
        <v>1263</v>
      </c>
      <c r="D56" s="106" t="s">
        <v>1045</v>
      </c>
      <c r="E56" s="106" t="s">
        <v>27</v>
      </c>
      <c r="F56" s="106" t="s">
        <v>1015</v>
      </c>
      <c r="G56" s="106" t="s">
        <v>27</v>
      </c>
      <c r="H56" s="106">
        <v>70927</v>
      </c>
      <c r="I56" s="106">
        <v>70427</v>
      </c>
      <c r="J56" s="106" t="s">
        <v>28</v>
      </c>
      <c r="K56" s="106"/>
      <c r="L56" s="106" t="s">
        <v>301</v>
      </c>
      <c r="M56" s="106" t="s">
        <v>1017</v>
      </c>
      <c r="N56" s="106">
        <v>1188</v>
      </c>
      <c r="O56" s="105">
        <v>1188</v>
      </c>
      <c r="P56" s="105">
        <v>1255</v>
      </c>
      <c r="Q56" s="105">
        <v>1255</v>
      </c>
      <c r="R56" s="106">
        <v>473</v>
      </c>
      <c r="S56" s="105">
        <v>473</v>
      </c>
      <c r="T56" s="105">
        <v>500</v>
      </c>
      <c r="U56" s="105">
        <v>500</v>
      </c>
      <c r="V56" s="105"/>
    </row>
    <row r="57" spans="2:22" ht="23" x14ac:dyDescent="0.25">
      <c r="B57" s="109" t="s">
        <v>967</v>
      </c>
      <c r="C57" s="109" t="s">
        <v>421</v>
      </c>
      <c r="D57" s="109" t="s">
        <v>418</v>
      </c>
      <c r="E57" s="109" t="s">
        <v>27</v>
      </c>
      <c r="F57" s="109" t="s">
        <v>923</v>
      </c>
      <c r="G57" s="109" t="s">
        <v>27</v>
      </c>
      <c r="H57" s="109">
        <v>70239</v>
      </c>
      <c r="I57" s="109">
        <v>70260</v>
      </c>
      <c r="J57" s="109" t="s">
        <v>28</v>
      </c>
      <c r="K57" s="109" t="s">
        <v>967</v>
      </c>
      <c r="L57" s="109" t="s">
        <v>29</v>
      </c>
      <c r="M57" s="109"/>
      <c r="N57" s="108">
        <v>1217</v>
      </c>
      <c r="O57" s="108">
        <v>1393</v>
      </c>
      <c r="P57" s="108">
        <v>1443</v>
      </c>
      <c r="Q57" s="108">
        <v>1587</v>
      </c>
      <c r="R57" s="108">
        <v>485</v>
      </c>
      <c r="S57" s="108">
        <v>555</v>
      </c>
      <c r="T57" s="108">
        <v>575</v>
      </c>
      <c r="U57" s="108">
        <v>632</v>
      </c>
      <c r="V57" s="107"/>
    </row>
    <row r="58" spans="2:22" ht="20" x14ac:dyDescent="0.25">
      <c r="B58" s="106" t="s">
        <v>967</v>
      </c>
      <c r="C58" s="106" t="s">
        <v>421</v>
      </c>
      <c r="D58" s="106" t="s">
        <v>418</v>
      </c>
      <c r="E58" s="106" t="s">
        <v>27</v>
      </c>
      <c r="F58" s="106" t="s">
        <v>923</v>
      </c>
      <c r="G58" s="106" t="s">
        <v>27</v>
      </c>
      <c r="H58" s="106">
        <v>70239</v>
      </c>
      <c r="I58" s="106">
        <v>70260</v>
      </c>
      <c r="J58" s="106" t="s">
        <v>28</v>
      </c>
      <c r="K58" s="106" t="s">
        <v>388</v>
      </c>
      <c r="L58" s="106" t="s">
        <v>31</v>
      </c>
      <c r="M58" s="106" t="s">
        <v>969</v>
      </c>
      <c r="N58" s="105">
        <v>1217</v>
      </c>
      <c r="O58" s="106">
        <v>1424</v>
      </c>
      <c r="P58" s="106">
        <v>1454</v>
      </c>
      <c r="Q58" s="106">
        <v>1622</v>
      </c>
      <c r="R58" s="105">
        <v>485</v>
      </c>
      <c r="S58" s="106">
        <v>567</v>
      </c>
      <c r="T58" s="106">
        <v>579</v>
      </c>
      <c r="U58" s="106">
        <v>646</v>
      </c>
      <c r="V58" s="106"/>
    </row>
    <row r="59" spans="2:22" ht="20" x14ac:dyDescent="0.25">
      <c r="B59" s="106" t="s">
        <v>967</v>
      </c>
      <c r="C59" s="106" t="s">
        <v>421</v>
      </c>
      <c r="D59" s="106" t="s">
        <v>418</v>
      </c>
      <c r="E59" s="106" t="s">
        <v>27</v>
      </c>
      <c r="F59" s="106" t="s">
        <v>923</v>
      </c>
      <c r="G59" s="106" t="s">
        <v>27</v>
      </c>
      <c r="H59" s="106">
        <v>70239</v>
      </c>
      <c r="I59" s="106">
        <v>70260</v>
      </c>
      <c r="J59" s="106" t="s">
        <v>28</v>
      </c>
      <c r="K59" s="106" t="s">
        <v>967</v>
      </c>
      <c r="L59" s="106" t="s">
        <v>30</v>
      </c>
      <c r="M59" s="106" t="s">
        <v>421</v>
      </c>
      <c r="N59" s="106">
        <v>1266</v>
      </c>
      <c r="O59" s="105">
        <v>1393</v>
      </c>
      <c r="P59" s="105">
        <v>1443</v>
      </c>
      <c r="Q59" s="105">
        <v>1587</v>
      </c>
      <c r="R59" s="106">
        <v>504</v>
      </c>
      <c r="S59" s="105">
        <v>555</v>
      </c>
      <c r="T59" s="105">
        <v>575</v>
      </c>
      <c r="U59" s="105">
        <v>632</v>
      </c>
      <c r="V59" s="105"/>
    </row>
    <row r="60" spans="2:22" ht="34.5" x14ac:dyDescent="0.25">
      <c r="B60" s="104" t="s">
        <v>2688</v>
      </c>
      <c r="C60" s="104" t="s">
        <v>1240</v>
      </c>
      <c r="D60" s="104" t="s">
        <v>2689</v>
      </c>
      <c r="E60" s="104" t="s">
        <v>27</v>
      </c>
      <c r="F60" s="104" t="s">
        <v>908</v>
      </c>
      <c r="G60" s="104" t="s">
        <v>27</v>
      </c>
      <c r="H60" s="104">
        <v>70536</v>
      </c>
      <c r="I60" s="104">
        <v>70528</v>
      </c>
      <c r="J60" s="104" t="s">
        <v>28</v>
      </c>
      <c r="K60" s="104" t="s">
        <v>2688</v>
      </c>
      <c r="L60" s="104" t="s">
        <v>29</v>
      </c>
      <c r="M60" s="104"/>
      <c r="N60" s="103">
        <v>1894</v>
      </c>
      <c r="O60" s="103">
        <v>2101</v>
      </c>
      <c r="P60" s="103">
        <v>2173</v>
      </c>
      <c r="Q60" s="103">
        <v>2391</v>
      </c>
      <c r="R60" s="103">
        <v>755</v>
      </c>
      <c r="S60" s="103">
        <v>837</v>
      </c>
      <c r="T60" s="103">
        <v>866</v>
      </c>
      <c r="U60" s="103">
        <v>953</v>
      </c>
      <c r="V60" s="102"/>
    </row>
    <row r="61" spans="2:22" ht="20" x14ac:dyDescent="0.25">
      <c r="B61" s="101" t="s">
        <v>2688</v>
      </c>
      <c r="C61" s="101" t="s">
        <v>1240</v>
      </c>
      <c r="D61" s="101" t="s">
        <v>2689</v>
      </c>
      <c r="E61" s="101" t="s">
        <v>27</v>
      </c>
      <c r="F61" s="101" t="s">
        <v>908</v>
      </c>
      <c r="G61" s="101" t="s">
        <v>27</v>
      </c>
      <c r="H61" s="101">
        <v>70536</v>
      </c>
      <c r="I61" s="101">
        <v>70528</v>
      </c>
      <c r="J61" s="101" t="s">
        <v>28</v>
      </c>
      <c r="K61" s="101" t="s">
        <v>246</v>
      </c>
      <c r="L61" s="101" t="s">
        <v>31</v>
      </c>
      <c r="M61" s="101" t="s">
        <v>911</v>
      </c>
      <c r="N61" s="100">
        <v>1894</v>
      </c>
      <c r="O61" s="101">
        <v>2252</v>
      </c>
      <c r="P61" s="101">
        <v>2290</v>
      </c>
      <c r="Q61" s="101">
        <v>2581</v>
      </c>
      <c r="R61" s="100">
        <v>755</v>
      </c>
      <c r="S61" s="101">
        <v>897</v>
      </c>
      <c r="T61" s="101">
        <v>912</v>
      </c>
      <c r="U61" s="101">
        <v>1028</v>
      </c>
      <c r="V61" s="101"/>
    </row>
    <row r="62" spans="2:22" ht="20" x14ac:dyDescent="0.25">
      <c r="B62" s="101" t="s">
        <v>2688</v>
      </c>
      <c r="C62" s="101" t="s">
        <v>1240</v>
      </c>
      <c r="D62" s="101" t="s">
        <v>2689</v>
      </c>
      <c r="E62" s="101" t="s">
        <v>27</v>
      </c>
      <c r="F62" s="101" t="s">
        <v>908</v>
      </c>
      <c r="G62" s="101" t="s">
        <v>27</v>
      </c>
      <c r="H62" s="101">
        <v>70536</v>
      </c>
      <c r="I62" s="101">
        <v>70528</v>
      </c>
      <c r="J62" s="101" t="s">
        <v>28</v>
      </c>
      <c r="K62" s="101" t="s">
        <v>2688</v>
      </c>
      <c r="L62" s="101" t="s">
        <v>30</v>
      </c>
      <c r="M62" s="101" t="s">
        <v>1240</v>
      </c>
      <c r="N62" s="101">
        <v>1910</v>
      </c>
      <c r="O62" s="100">
        <v>2101</v>
      </c>
      <c r="P62" s="100">
        <v>2173</v>
      </c>
      <c r="Q62" s="100">
        <v>2391</v>
      </c>
      <c r="R62" s="101">
        <v>761</v>
      </c>
      <c r="S62" s="100">
        <v>837</v>
      </c>
      <c r="T62" s="100">
        <v>866</v>
      </c>
      <c r="U62" s="100">
        <v>953</v>
      </c>
      <c r="V62" s="100"/>
    </row>
    <row r="63" spans="2:22" ht="23" x14ac:dyDescent="0.25">
      <c r="B63" s="109" t="s">
        <v>1048</v>
      </c>
      <c r="C63" s="109" t="s">
        <v>629</v>
      </c>
      <c r="D63" s="109" t="s">
        <v>630</v>
      </c>
      <c r="E63" s="109" t="s">
        <v>27</v>
      </c>
      <c r="F63" s="109" t="s">
        <v>490</v>
      </c>
      <c r="G63" s="109" t="s">
        <v>27</v>
      </c>
      <c r="H63" s="109">
        <v>70278</v>
      </c>
      <c r="I63" s="109">
        <v>70959</v>
      </c>
      <c r="J63" s="109" t="s">
        <v>28</v>
      </c>
      <c r="K63" s="109" t="s">
        <v>1048</v>
      </c>
      <c r="L63" s="109" t="s">
        <v>29</v>
      </c>
      <c r="M63" s="109"/>
      <c r="N63" s="108">
        <v>1261</v>
      </c>
      <c r="O63" s="108">
        <v>1387</v>
      </c>
      <c r="P63" s="108">
        <v>1437</v>
      </c>
      <c r="Q63" s="108">
        <v>1580</v>
      </c>
      <c r="R63" s="108">
        <v>502</v>
      </c>
      <c r="S63" s="108">
        <v>553</v>
      </c>
      <c r="T63" s="108">
        <v>572</v>
      </c>
      <c r="U63" s="108">
        <v>629</v>
      </c>
      <c r="V63" s="107"/>
    </row>
    <row r="64" spans="2:22" ht="20" x14ac:dyDescent="0.25">
      <c r="B64" s="106" t="s">
        <v>1048</v>
      </c>
      <c r="C64" s="106" t="s">
        <v>629</v>
      </c>
      <c r="D64" s="106" t="s">
        <v>630</v>
      </c>
      <c r="E64" s="106" t="s">
        <v>27</v>
      </c>
      <c r="F64" s="106" t="s">
        <v>490</v>
      </c>
      <c r="G64" s="106" t="s">
        <v>27</v>
      </c>
      <c r="H64" s="106">
        <v>70278</v>
      </c>
      <c r="I64" s="106">
        <v>70959</v>
      </c>
      <c r="J64" s="106" t="s">
        <v>28</v>
      </c>
      <c r="K64" s="106" t="s">
        <v>1048</v>
      </c>
      <c r="L64" s="106" t="s">
        <v>30</v>
      </c>
      <c r="M64" s="106" t="s">
        <v>629</v>
      </c>
      <c r="N64" s="105">
        <v>1261</v>
      </c>
      <c r="O64" s="105">
        <v>1387</v>
      </c>
      <c r="P64" s="105">
        <v>1437</v>
      </c>
      <c r="Q64" s="105">
        <v>1580</v>
      </c>
      <c r="R64" s="105">
        <v>502</v>
      </c>
      <c r="S64" s="105">
        <v>553</v>
      </c>
      <c r="T64" s="105">
        <v>572</v>
      </c>
      <c r="U64" s="105">
        <v>629</v>
      </c>
      <c r="V64" s="105"/>
    </row>
    <row r="65" spans="2:22" ht="23" x14ac:dyDescent="0.25">
      <c r="B65" s="104" t="s">
        <v>1179</v>
      </c>
      <c r="C65" s="104" t="s">
        <v>206</v>
      </c>
      <c r="D65" s="104" t="s">
        <v>1180</v>
      </c>
      <c r="E65" s="104" t="s">
        <v>27</v>
      </c>
      <c r="F65" s="104" t="s">
        <v>767</v>
      </c>
      <c r="G65" s="104" t="s">
        <v>27</v>
      </c>
      <c r="H65" s="104">
        <v>70127</v>
      </c>
      <c r="I65" s="104">
        <v>70191</v>
      </c>
      <c r="J65" s="104" t="s">
        <v>28</v>
      </c>
      <c r="K65" s="104" t="s">
        <v>1179</v>
      </c>
      <c r="L65" s="104" t="s">
        <v>29</v>
      </c>
      <c r="M65" s="104"/>
      <c r="N65" s="103">
        <v>1200</v>
      </c>
      <c r="O65" s="103">
        <v>1520</v>
      </c>
      <c r="P65" s="103">
        <v>1483</v>
      </c>
      <c r="Q65" s="103">
        <v>1657</v>
      </c>
      <c r="R65" s="103">
        <v>239</v>
      </c>
      <c r="S65" s="103">
        <v>303</v>
      </c>
      <c r="T65" s="103">
        <v>295</v>
      </c>
      <c r="U65" s="103">
        <v>330</v>
      </c>
      <c r="V65" s="102"/>
    </row>
    <row r="66" spans="2:22" ht="20" x14ac:dyDescent="0.25">
      <c r="B66" s="101" t="s">
        <v>1179</v>
      </c>
      <c r="C66" s="101" t="s">
        <v>206</v>
      </c>
      <c r="D66" s="101" t="s">
        <v>1180</v>
      </c>
      <c r="E66" s="101" t="s">
        <v>27</v>
      </c>
      <c r="F66" s="101" t="s">
        <v>767</v>
      </c>
      <c r="G66" s="101" t="s">
        <v>27</v>
      </c>
      <c r="H66" s="101">
        <v>70127</v>
      </c>
      <c r="I66" s="101">
        <v>70191</v>
      </c>
      <c r="J66" s="101" t="s">
        <v>28</v>
      </c>
      <c r="K66" s="101" t="s">
        <v>1186</v>
      </c>
      <c r="L66" s="101" t="s">
        <v>34</v>
      </c>
      <c r="M66" s="101" t="s">
        <v>1187</v>
      </c>
      <c r="N66" s="100">
        <v>1200</v>
      </c>
      <c r="O66" s="101">
        <v>1549</v>
      </c>
      <c r="P66" s="101">
        <v>1486</v>
      </c>
      <c r="Q66" s="101">
        <v>1780</v>
      </c>
      <c r="R66" s="100">
        <v>239</v>
      </c>
      <c r="S66" s="101">
        <v>309</v>
      </c>
      <c r="T66" s="101">
        <v>296</v>
      </c>
      <c r="U66" s="101">
        <v>355</v>
      </c>
      <c r="V66" s="101"/>
    </row>
    <row r="67" spans="2:22" ht="20" x14ac:dyDescent="0.25">
      <c r="B67" s="101" t="s">
        <v>1179</v>
      </c>
      <c r="C67" s="101" t="s">
        <v>206</v>
      </c>
      <c r="D67" s="101" t="s">
        <v>1180</v>
      </c>
      <c r="E67" s="101" t="s">
        <v>27</v>
      </c>
      <c r="F67" s="101" t="s">
        <v>767</v>
      </c>
      <c r="G67" s="101" t="s">
        <v>27</v>
      </c>
      <c r="H67" s="101">
        <v>70127</v>
      </c>
      <c r="I67" s="101">
        <v>70191</v>
      </c>
      <c r="J67" s="101" t="s">
        <v>28</v>
      </c>
      <c r="K67" s="101" t="s">
        <v>1185</v>
      </c>
      <c r="L67" s="101" t="s">
        <v>34</v>
      </c>
      <c r="M67" s="101" t="s">
        <v>771</v>
      </c>
      <c r="N67" s="100">
        <v>1200</v>
      </c>
      <c r="O67" s="101">
        <v>1549</v>
      </c>
      <c r="P67" s="101">
        <v>1486</v>
      </c>
      <c r="Q67" s="101">
        <v>1780</v>
      </c>
      <c r="R67" s="100">
        <v>239</v>
      </c>
      <c r="S67" s="101">
        <v>309</v>
      </c>
      <c r="T67" s="101">
        <v>296</v>
      </c>
      <c r="U67" s="101">
        <v>355</v>
      </c>
      <c r="V67" s="101"/>
    </row>
    <row r="68" spans="2:22" ht="20" x14ac:dyDescent="0.25">
      <c r="B68" s="101" t="s">
        <v>1179</v>
      </c>
      <c r="C68" s="101" t="s">
        <v>206</v>
      </c>
      <c r="D68" s="101" t="s">
        <v>1180</v>
      </c>
      <c r="E68" s="101" t="s">
        <v>27</v>
      </c>
      <c r="F68" s="101" t="s">
        <v>767</v>
      </c>
      <c r="G68" s="101" t="s">
        <v>27</v>
      </c>
      <c r="H68" s="101">
        <v>70127</v>
      </c>
      <c r="I68" s="101">
        <v>70191</v>
      </c>
      <c r="J68" s="101" t="s">
        <v>28</v>
      </c>
      <c r="K68" s="101" t="s">
        <v>2657</v>
      </c>
      <c r="L68" s="101" t="s">
        <v>34</v>
      </c>
      <c r="M68" s="101" t="s">
        <v>771</v>
      </c>
      <c r="N68" s="101">
        <v>1294</v>
      </c>
      <c r="O68" s="100">
        <v>1520</v>
      </c>
      <c r="P68" s="100">
        <v>1483</v>
      </c>
      <c r="Q68" s="100">
        <v>1657</v>
      </c>
      <c r="R68" s="101">
        <v>258</v>
      </c>
      <c r="S68" s="100">
        <v>303</v>
      </c>
      <c r="T68" s="100">
        <v>295</v>
      </c>
      <c r="U68" s="100">
        <v>330</v>
      </c>
      <c r="V68" s="100"/>
    </row>
    <row r="69" spans="2:22" ht="144" customHeight="1" x14ac:dyDescent="0.25"/>
  </sheetData>
  <mergeCells count="7">
    <mergeCell ref="B2:D3"/>
    <mergeCell ref="E2:G3"/>
    <mergeCell ref="I2:K2"/>
    <mergeCell ref="L2:Q2"/>
    <mergeCell ref="R2:V2"/>
    <mergeCell ref="I3:K3"/>
    <mergeCell ref="L3:Q3"/>
  </mergeCells>
  <pageMargins left="0" right="0" top="0" bottom="0.47082992125984258" header="0" footer="0"/>
  <pageSetup paperSize="4" orientation="portrait" horizontalDpi="0" verticalDpi="0"/>
  <headerFooter alignWithMargins="0">
    <oddFooter xml:space="preserve">&amp;L&amp;C&amp;"Arial"&amp;10 9/15/2025 2:02:04 PM &amp;R&amp;"Arial"&amp;10Page &amp;P of &amp;N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B271D-7237-4959-AE5F-27B0A4EAD5F3}">
  <sheetPr>
    <pageSetUpPr fitToPage="1"/>
  </sheetPr>
  <dimension ref="B1:V9"/>
  <sheetViews>
    <sheetView showGridLines="0" zoomScaleNormal="100" zoomScaleSheetLayoutView="85" workbookViewId="0">
      <selection activeCell="A5" sqref="A5"/>
    </sheetView>
  </sheetViews>
  <sheetFormatPr defaultColWidth="9.1796875" defaultRowHeight="12.5" x14ac:dyDescent="0.25"/>
  <cols>
    <col min="1" max="1" width="3.453125" style="30" customWidth="1"/>
    <col min="2" max="2" width="25.7265625" style="30" customWidth="1"/>
    <col min="3" max="3" width="12.453125" style="30" customWidth="1"/>
    <col min="4" max="4" width="16.453125" style="30" customWidth="1"/>
    <col min="5" max="5" width="24.26953125" style="30" customWidth="1"/>
    <col min="6" max="6" width="16.453125" style="30" customWidth="1"/>
    <col min="7" max="7" width="9.54296875" style="30" customWidth="1"/>
    <col min="8" max="9" width="6.81640625" style="30" customWidth="1"/>
    <col min="10" max="10" width="10.81640625" style="30" customWidth="1"/>
    <col min="11" max="11" width="19.1796875" style="30" customWidth="1"/>
    <col min="12" max="12" width="13.7265625" style="30" customWidth="1"/>
    <col min="13" max="13" width="9.54296875" style="30" customWidth="1"/>
    <col min="14" max="21" width="6.81640625" style="30" customWidth="1"/>
    <col min="22" max="22" width="25.7265625" style="30" customWidth="1"/>
    <col min="23" max="23" width="5.453125" style="30" customWidth="1"/>
    <col min="24" max="16384" width="9.1796875" style="30"/>
  </cols>
  <sheetData>
    <row r="1" spans="2:22" ht="18" customHeight="1" x14ac:dyDescent="0.25"/>
    <row r="2" spans="2:22" ht="21.65" customHeight="1" x14ac:dyDescent="0.25">
      <c r="B2" s="371"/>
      <c r="C2" s="371"/>
      <c r="D2" s="371"/>
      <c r="E2" s="372" t="s">
        <v>2130</v>
      </c>
      <c r="F2" s="371"/>
      <c r="G2" s="371"/>
      <c r="I2" s="373" t="s">
        <v>0</v>
      </c>
      <c r="J2" s="371"/>
      <c r="K2" s="371"/>
      <c r="L2" s="373" t="s">
        <v>1</v>
      </c>
      <c r="M2" s="371"/>
      <c r="N2" s="371"/>
      <c r="O2" s="371"/>
      <c r="P2" s="371"/>
      <c r="Q2" s="371"/>
      <c r="R2" s="373" t="s">
        <v>2</v>
      </c>
      <c r="S2" s="371"/>
      <c r="T2" s="371"/>
      <c r="U2" s="371"/>
      <c r="V2" s="371"/>
    </row>
    <row r="3" spans="2:22" ht="21.65" customHeight="1" x14ac:dyDescent="0.25">
      <c r="B3" s="371"/>
      <c r="C3" s="371"/>
      <c r="D3" s="371"/>
      <c r="E3" s="371"/>
      <c r="F3" s="371"/>
      <c r="G3" s="371"/>
      <c r="I3" s="373" t="s">
        <v>3</v>
      </c>
      <c r="J3" s="371"/>
      <c r="K3" s="371"/>
      <c r="L3" s="384" t="s">
        <v>2094</v>
      </c>
      <c r="M3" s="385"/>
      <c r="N3" s="385"/>
      <c r="O3" s="385"/>
      <c r="P3" s="385"/>
      <c r="Q3" s="385"/>
    </row>
    <row r="4" spans="2:22" ht="18" customHeight="1" x14ac:dyDescent="0.25"/>
    <row r="5" spans="2:22" x14ac:dyDescent="0.25">
      <c r="B5" s="1" t="s">
        <v>14</v>
      </c>
      <c r="C5" s="1" t="s">
        <v>15</v>
      </c>
      <c r="D5" s="1" t="s">
        <v>2209</v>
      </c>
      <c r="E5" s="386" t="s">
        <v>26</v>
      </c>
      <c r="F5" s="386"/>
      <c r="G5" s="386"/>
      <c r="H5" s="386"/>
      <c r="I5" s="386"/>
      <c r="J5" s="386"/>
      <c r="K5" s="55"/>
      <c r="L5" s="55"/>
      <c r="M5" s="55"/>
      <c r="N5" s="55"/>
      <c r="O5" s="55"/>
      <c r="P5" s="55"/>
      <c r="Q5" s="55"/>
      <c r="R5" s="55"/>
      <c r="S5" s="55"/>
      <c r="T5" s="55"/>
      <c r="U5" s="55"/>
      <c r="V5" s="55"/>
    </row>
    <row r="6" spans="2:22" ht="24.5" customHeight="1" x14ac:dyDescent="0.25">
      <c r="B6" s="44" t="s">
        <v>535</v>
      </c>
      <c r="C6" s="49">
        <v>9548</v>
      </c>
      <c r="D6" s="112">
        <v>45890</v>
      </c>
      <c r="E6" s="381" t="s">
        <v>2743</v>
      </c>
      <c r="F6" s="382"/>
      <c r="G6" s="382"/>
      <c r="H6" s="382"/>
      <c r="I6" s="382"/>
      <c r="J6" s="383"/>
    </row>
    <row r="7" spans="2:22" ht="24.5" customHeight="1" x14ac:dyDescent="0.25">
      <c r="B7" s="44" t="s">
        <v>2237</v>
      </c>
      <c r="C7" s="49">
        <v>7199</v>
      </c>
      <c r="D7" s="112">
        <v>45779</v>
      </c>
      <c r="E7" s="381" t="s">
        <v>2744</v>
      </c>
      <c r="F7" s="382"/>
      <c r="G7" s="382"/>
      <c r="H7" s="382"/>
      <c r="I7" s="382"/>
      <c r="J7" s="383"/>
    </row>
    <row r="8" spans="2:22" x14ac:dyDescent="0.25">
      <c r="B8" s="44" t="s">
        <v>2386</v>
      </c>
      <c r="C8" s="49">
        <v>9188</v>
      </c>
      <c r="D8" s="112">
        <v>45691</v>
      </c>
      <c r="E8" s="381" t="s">
        <v>2745</v>
      </c>
      <c r="F8" s="382"/>
      <c r="G8" s="382"/>
      <c r="H8" s="382"/>
      <c r="I8" s="382"/>
      <c r="J8" s="383"/>
    </row>
    <row r="9" spans="2:22" x14ac:dyDescent="0.25">
      <c r="B9" s="44" t="s">
        <v>1215</v>
      </c>
      <c r="C9" s="49">
        <v>5107</v>
      </c>
      <c r="D9" s="112">
        <v>45691</v>
      </c>
      <c r="E9" s="381" t="s">
        <v>2746</v>
      </c>
      <c r="F9" s="382"/>
      <c r="G9" s="382"/>
      <c r="H9" s="382"/>
      <c r="I9" s="382"/>
      <c r="J9" s="383"/>
    </row>
  </sheetData>
  <mergeCells count="12">
    <mergeCell ref="R2:V2"/>
    <mergeCell ref="I3:K3"/>
    <mergeCell ref="L3:Q3"/>
    <mergeCell ref="E5:J5"/>
    <mergeCell ref="B2:D3"/>
    <mergeCell ref="E2:G3"/>
    <mergeCell ref="I2:K2"/>
    <mergeCell ref="L2:Q2"/>
    <mergeCell ref="E9:J9"/>
    <mergeCell ref="E6:J6"/>
    <mergeCell ref="E7:J7"/>
    <mergeCell ref="E8:J8"/>
  </mergeCells>
  <pageMargins left="0.7" right="0.7" top="0.75" bottom="0.75" header="0.3" footer="0.3"/>
  <pageSetup paperSize="17" scale="78" fitToHeight="0" orientation="landscape" r:id="rId1"/>
  <headerFooter alignWithMargins="0">
    <oddFooter xml:space="preserve">&amp;L&amp;F&amp;C&amp;KFF0000Ratings provided are for N-0 ONLY&amp;K000000
Emergency ratings for T-lines can be used for a duration of 30 minutes
Page &amp;P of &amp;N&amp;RPage &amp;P of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CB69E-F542-4545-AF31-81E755F33C6A}">
  <dimension ref="B1:S264"/>
  <sheetViews>
    <sheetView showGridLines="0" workbookViewId="0">
      <pane ySplit="5" topLeftCell="A6" activePane="bottomLeft" state="frozenSplit"/>
      <selection pane="bottomLeft" activeCell="A5" sqref="A5"/>
    </sheetView>
  </sheetViews>
  <sheetFormatPr defaultRowHeight="12.5" x14ac:dyDescent="0.25"/>
  <cols>
    <col min="1" max="1" width="3.453125" style="90" customWidth="1"/>
    <col min="2" max="2" width="27.453125" style="90" customWidth="1"/>
    <col min="3" max="3" width="19.1796875" style="90" customWidth="1"/>
    <col min="4" max="5" width="9.54296875" style="90" customWidth="1"/>
    <col min="6" max="7" width="13.7265625" style="90" customWidth="1"/>
    <col min="8" max="8" width="8.81640625" style="90" customWidth="1"/>
    <col min="9" max="18" width="8.1796875" style="90" customWidth="1"/>
    <col min="19" max="19" width="19.1796875" style="90" customWidth="1"/>
    <col min="20" max="20" width="15.7265625" style="90" customWidth="1"/>
    <col min="21" max="16384" width="8.7265625" style="90"/>
  </cols>
  <sheetData>
    <row r="1" spans="2:19" ht="18" customHeight="1" x14ac:dyDescent="0.25"/>
    <row r="2" spans="2:19" ht="21.65" customHeight="1" x14ac:dyDescent="0.25">
      <c r="B2" s="376"/>
      <c r="C2" s="376"/>
      <c r="D2" s="387" t="s">
        <v>2205</v>
      </c>
      <c r="E2" s="376"/>
      <c r="F2" s="376"/>
      <c r="H2" s="378" t="s">
        <v>0</v>
      </c>
      <c r="I2" s="376"/>
      <c r="J2" s="376"/>
      <c r="K2" s="376"/>
      <c r="M2" s="378" t="s">
        <v>1</v>
      </c>
      <c r="N2" s="376"/>
      <c r="O2" s="376"/>
      <c r="P2" s="376"/>
      <c r="Q2" s="376"/>
      <c r="R2" s="376"/>
    </row>
    <row r="3" spans="2:19" ht="21.65" customHeight="1" x14ac:dyDescent="0.25">
      <c r="B3" s="376"/>
      <c r="C3" s="376"/>
      <c r="D3" s="376"/>
      <c r="E3" s="376"/>
      <c r="F3" s="376"/>
      <c r="H3" s="378" t="s">
        <v>3</v>
      </c>
      <c r="I3" s="376"/>
      <c r="J3" s="376"/>
      <c r="K3" s="376"/>
      <c r="M3" s="378" t="s">
        <v>4</v>
      </c>
      <c r="N3" s="376"/>
      <c r="O3" s="376"/>
      <c r="P3" s="376"/>
      <c r="Q3" s="376"/>
      <c r="R3" s="376"/>
    </row>
    <row r="4" spans="2:19" ht="18" customHeight="1" x14ac:dyDescent="0.25"/>
    <row r="5" spans="2:19" ht="21" x14ac:dyDescent="0.25">
      <c r="B5" s="99" t="s">
        <v>14</v>
      </c>
      <c r="C5" s="99" t="s">
        <v>1317</v>
      </c>
      <c r="D5" s="99" t="s">
        <v>1318</v>
      </c>
      <c r="E5" s="99" t="s">
        <v>1319</v>
      </c>
      <c r="F5" s="99" t="s">
        <v>1320</v>
      </c>
      <c r="G5" s="99" t="s">
        <v>1321</v>
      </c>
      <c r="H5" s="99" t="s">
        <v>1322</v>
      </c>
      <c r="I5" s="99" t="s">
        <v>9</v>
      </c>
      <c r="J5" s="99" t="s">
        <v>2671</v>
      </c>
      <c r="K5" s="99" t="s">
        <v>2670</v>
      </c>
      <c r="L5" s="99" t="s">
        <v>2669</v>
      </c>
      <c r="M5" s="99" t="s">
        <v>2668</v>
      </c>
      <c r="N5" s="99" t="s">
        <v>11</v>
      </c>
      <c r="O5" s="99" t="s">
        <v>2667</v>
      </c>
      <c r="P5" s="99" t="s">
        <v>2666</v>
      </c>
      <c r="Q5" s="99" t="s">
        <v>2665</v>
      </c>
      <c r="R5" s="99" t="s">
        <v>2664</v>
      </c>
      <c r="S5" s="99" t="s">
        <v>26</v>
      </c>
    </row>
    <row r="6" spans="2:19" ht="34.5" x14ac:dyDescent="0.25">
      <c r="B6" s="44" t="s">
        <v>1323</v>
      </c>
      <c r="C6" s="44" t="s">
        <v>33</v>
      </c>
      <c r="D6" s="44">
        <v>70038</v>
      </c>
      <c r="E6" s="44">
        <v>70036</v>
      </c>
      <c r="F6" s="44" t="s">
        <v>1323</v>
      </c>
      <c r="G6" s="44" t="s">
        <v>29</v>
      </c>
      <c r="H6" s="44"/>
      <c r="I6" s="45">
        <v>272</v>
      </c>
      <c r="J6" s="45">
        <v>272</v>
      </c>
      <c r="K6" s="45">
        <v>312</v>
      </c>
      <c r="L6" s="45">
        <v>319</v>
      </c>
      <c r="M6" s="45">
        <v>319</v>
      </c>
      <c r="N6" s="45">
        <v>299</v>
      </c>
      <c r="O6" s="45">
        <v>299</v>
      </c>
      <c r="P6" s="45">
        <v>319</v>
      </c>
      <c r="Q6" s="45">
        <v>319</v>
      </c>
      <c r="R6" s="45">
        <v>319</v>
      </c>
      <c r="S6" s="46"/>
    </row>
    <row r="7" spans="2:19" x14ac:dyDescent="0.25">
      <c r="B7" s="47" t="s">
        <v>1323</v>
      </c>
      <c r="C7" s="47" t="s">
        <v>33</v>
      </c>
      <c r="D7" s="47">
        <v>70038</v>
      </c>
      <c r="E7" s="47">
        <v>70036</v>
      </c>
      <c r="F7" s="47" t="s">
        <v>1324</v>
      </c>
      <c r="G7" s="47" t="s">
        <v>1325</v>
      </c>
      <c r="H7" s="47">
        <v>115</v>
      </c>
      <c r="I7" s="47">
        <v>271</v>
      </c>
      <c r="J7" s="47">
        <v>271</v>
      </c>
      <c r="K7" s="48">
        <v>312</v>
      </c>
      <c r="L7" s="48">
        <v>319</v>
      </c>
      <c r="M7" s="48">
        <v>319</v>
      </c>
      <c r="N7" s="48">
        <v>299</v>
      </c>
      <c r="O7" s="48">
        <v>299</v>
      </c>
      <c r="P7" s="48">
        <v>319</v>
      </c>
      <c r="Q7" s="48">
        <v>319</v>
      </c>
      <c r="R7" s="48">
        <v>319</v>
      </c>
      <c r="S7" s="48"/>
    </row>
    <row r="8" spans="2:19" x14ac:dyDescent="0.25">
      <c r="B8" s="47" t="s">
        <v>1323</v>
      </c>
      <c r="C8" s="47" t="s">
        <v>33</v>
      </c>
      <c r="D8" s="47">
        <v>70038</v>
      </c>
      <c r="E8" s="47">
        <v>70036</v>
      </c>
      <c r="F8" s="47" t="s">
        <v>1324</v>
      </c>
      <c r="G8" s="47" t="s">
        <v>1325</v>
      </c>
      <c r="H8" s="47">
        <v>230</v>
      </c>
      <c r="I8" s="48">
        <v>272</v>
      </c>
      <c r="J8" s="48">
        <v>272</v>
      </c>
      <c r="K8" s="48">
        <v>312</v>
      </c>
      <c r="L8" s="47">
        <v>326</v>
      </c>
      <c r="M8" s="47">
        <v>339</v>
      </c>
      <c r="N8" s="48">
        <v>299</v>
      </c>
      <c r="O8" s="48">
        <v>299</v>
      </c>
      <c r="P8" s="47">
        <v>339</v>
      </c>
      <c r="Q8" s="47">
        <v>353</v>
      </c>
      <c r="R8" s="47">
        <v>367</v>
      </c>
      <c r="S8" s="47"/>
    </row>
    <row r="9" spans="2:19" ht="30" x14ac:dyDescent="0.25">
      <c r="B9" s="47" t="s">
        <v>1323</v>
      </c>
      <c r="C9" s="47" t="s">
        <v>33</v>
      </c>
      <c r="D9" s="47">
        <v>70038</v>
      </c>
      <c r="E9" s="47">
        <v>70036</v>
      </c>
      <c r="F9" s="47" t="s">
        <v>2586</v>
      </c>
      <c r="G9" s="47" t="s">
        <v>36</v>
      </c>
      <c r="H9" s="47">
        <v>230</v>
      </c>
      <c r="I9" s="47">
        <v>319</v>
      </c>
      <c r="J9" s="47">
        <v>319</v>
      </c>
      <c r="K9" s="47">
        <v>319</v>
      </c>
      <c r="L9" s="48">
        <v>319</v>
      </c>
      <c r="M9" s="48">
        <v>319</v>
      </c>
      <c r="N9" s="47">
        <v>319</v>
      </c>
      <c r="O9" s="47">
        <v>319</v>
      </c>
      <c r="P9" s="48">
        <v>319</v>
      </c>
      <c r="Q9" s="48">
        <v>319</v>
      </c>
      <c r="R9" s="48">
        <v>319</v>
      </c>
      <c r="S9" s="48"/>
    </row>
    <row r="10" spans="2:19" ht="30" x14ac:dyDescent="0.25">
      <c r="B10" s="47" t="s">
        <v>1323</v>
      </c>
      <c r="C10" s="47" t="s">
        <v>33</v>
      </c>
      <c r="D10" s="47">
        <v>70038</v>
      </c>
      <c r="E10" s="47">
        <v>70036</v>
      </c>
      <c r="F10" s="47" t="s">
        <v>2587</v>
      </c>
      <c r="G10" s="47" t="s">
        <v>36</v>
      </c>
      <c r="H10" s="47">
        <v>230</v>
      </c>
      <c r="I10" s="47">
        <v>319</v>
      </c>
      <c r="J10" s="47">
        <v>319</v>
      </c>
      <c r="K10" s="47">
        <v>319</v>
      </c>
      <c r="L10" s="48">
        <v>319</v>
      </c>
      <c r="M10" s="48">
        <v>319</v>
      </c>
      <c r="N10" s="47">
        <v>319</v>
      </c>
      <c r="O10" s="47">
        <v>319</v>
      </c>
      <c r="P10" s="48">
        <v>319</v>
      </c>
      <c r="Q10" s="48">
        <v>319</v>
      </c>
      <c r="R10" s="48">
        <v>319</v>
      </c>
      <c r="S10" s="48"/>
    </row>
    <row r="11" spans="2:19" ht="30" x14ac:dyDescent="0.25">
      <c r="B11" s="47" t="s">
        <v>1323</v>
      </c>
      <c r="C11" s="47" t="s">
        <v>33</v>
      </c>
      <c r="D11" s="47">
        <v>70038</v>
      </c>
      <c r="E11" s="47">
        <v>70036</v>
      </c>
      <c r="F11" s="47" t="s">
        <v>2585</v>
      </c>
      <c r="G11" s="47" t="s">
        <v>36</v>
      </c>
      <c r="H11" s="47">
        <v>230</v>
      </c>
      <c r="I11" s="47">
        <v>319</v>
      </c>
      <c r="J11" s="47">
        <v>319</v>
      </c>
      <c r="K11" s="47">
        <v>319</v>
      </c>
      <c r="L11" s="48">
        <v>319</v>
      </c>
      <c r="M11" s="48">
        <v>319</v>
      </c>
      <c r="N11" s="47">
        <v>319</v>
      </c>
      <c r="O11" s="47">
        <v>319</v>
      </c>
      <c r="P11" s="48">
        <v>319</v>
      </c>
      <c r="Q11" s="48">
        <v>319</v>
      </c>
      <c r="R11" s="48">
        <v>319</v>
      </c>
      <c r="S11" s="48"/>
    </row>
    <row r="12" spans="2:19" ht="20" x14ac:dyDescent="0.25">
      <c r="B12" s="47" t="s">
        <v>1323</v>
      </c>
      <c r="C12" s="47" t="s">
        <v>33</v>
      </c>
      <c r="D12" s="47">
        <v>70038</v>
      </c>
      <c r="E12" s="47">
        <v>70036</v>
      </c>
      <c r="F12" s="47" t="s">
        <v>1326</v>
      </c>
      <c r="G12" s="47" t="s">
        <v>39</v>
      </c>
      <c r="H12" s="47">
        <v>230</v>
      </c>
      <c r="I12" s="47">
        <v>319</v>
      </c>
      <c r="J12" s="47">
        <v>319</v>
      </c>
      <c r="K12" s="47">
        <v>319</v>
      </c>
      <c r="L12" s="48">
        <v>319</v>
      </c>
      <c r="M12" s="48">
        <v>319</v>
      </c>
      <c r="N12" s="47">
        <v>319</v>
      </c>
      <c r="O12" s="47">
        <v>319</v>
      </c>
      <c r="P12" s="48">
        <v>319</v>
      </c>
      <c r="Q12" s="48">
        <v>319</v>
      </c>
      <c r="R12" s="48">
        <v>319</v>
      </c>
      <c r="S12" s="48"/>
    </row>
    <row r="13" spans="2:19" ht="34.5" x14ac:dyDescent="0.25">
      <c r="B13" s="44" t="s">
        <v>1327</v>
      </c>
      <c r="C13" s="44" t="s">
        <v>603</v>
      </c>
      <c r="D13" s="44">
        <v>79004</v>
      </c>
      <c r="E13" s="44">
        <v>79003</v>
      </c>
      <c r="F13" s="44" t="s">
        <v>1327</v>
      </c>
      <c r="G13" s="44" t="s">
        <v>29</v>
      </c>
      <c r="H13" s="44"/>
      <c r="I13" s="45">
        <v>114</v>
      </c>
      <c r="J13" s="45">
        <v>114</v>
      </c>
      <c r="K13" s="45">
        <v>120</v>
      </c>
      <c r="L13" s="45">
        <v>120</v>
      </c>
      <c r="M13" s="45">
        <v>120</v>
      </c>
      <c r="N13" s="45">
        <v>120</v>
      </c>
      <c r="O13" s="45">
        <v>120</v>
      </c>
      <c r="P13" s="45">
        <v>120</v>
      </c>
      <c r="Q13" s="45">
        <v>120</v>
      </c>
      <c r="R13" s="45">
        <v>120</v>
      </c>
      <c r="S13" s="46"/>
    </row>
    <row r="14" spans="2:19" x14ac:dyDescent="0.25">
      <c r="B14" s="47" t="s">
        <v>1327</v>
      </c>
      <c r="C14" s="47" t="s">
        <v>603</v>
      </c>
      <c r="D14" s="47">
        <v>79004</v>
      </c>
      <c r="E14" s="47">
        <v>79003</v>
      </c>
      <c r="F14" s="47" t="s">
        <v>1328</v>
      </c>
      <c r="G14" s="47" t="s">
        <v>1325</v>
      </c>
      <c r="H14" s="47">
        <v>230</v>
      </c>
      <c r="I14" s="48">
        <v>114</v>
      </c>
      <c r="J14" s="48">
        <v>114</v>
      </c>
      <c r="K14" s="48">
        <v>120</v>
      </c>
      <c r="L14" s="48">
        <v>120</v>
      </c>
      <c r="M14" s="48">
        <v>120</v>
      </c>
      <c r="N14" s="48">
        <v>120</v>
      </c>
      <c r="O14" s="48">
        <v>120</v>
      </c>
      <c r="P14" s="48">
        <v>120</v>
      </c>
      <c r="Q14" s="48">
        <v>120</v>
      </c>
      <c r="R14" s="48">
        <v>120</v>
      </c>
      <c r="S14" s="48"/>
    </row>
    <row r="15" spans="2:19" x14ac:dyDescent="0.25">
      <c r="B15" s="47" t="s">
        <v>1327</v>
      </c>
      <c r="C15" s="47" t="s">
        <v>603</v>
      </c>
      <c r="D15" s="47">
        <v>79004</v>
      </c>
      <c r="E15" s="47">
        <v>79003</v>
      </c>
      <c r="F15" s="47" t="s">
        <v>1328</v>
      </c>
      <c r="G15" s="47" t="s">
        <v>1325</v>
      </c>
      <c r="H15" s="47">
        <v>115</v>
      </c>
      <c r="I15" s="48">
        <v>114</v>
      </c>
      <c r="J15" s="48">
        <v>114</v>
      </c>
      <c r="K15" s="48">
        <v>120</v>
      </c>
      <c r="L15" s="48">
        <v>120</v>
      </c>
      <c r="M15" s="48">
        <v>120</v>
      </c>
      <c r="N15" s="48">
        <v>120</v>
      </c>
      <c r="O15" s="48">
        <v>120</v>
      </c>
      <c r="P15" s="48">
        <v>120</v>
      </c>
      <c r="Q15" s="48">
        <v>120</v>
      </c>
      <c r="R15" s="48">
        <v>120</v>
      </c>
      <c r="S15" s="48"/>
    </row>
    <row r="16" spans="2:19" ht="20" x14ac:dyDescent="0.25">
      <c r="B16" s="47" t="s">
        <v>1327</v>
      </c>
      <c r="C16" s="47" t="s">
        <v>603</v>
      </c>
      <c r="D16" s="47">
        <v>79004</v>
      </c>
      <c r="E16" s="47">
        <v>79003</v>
      </c>
      <c r="F16" s="47" t="s">
        <v>1329</v>
      </c>
      <c r="G16" s="47" t="s">
        <v>39</v>
      </c>
      <c r="H16" s="47">
        <v>115</v>
      </c>
      <c r="I16" s="47">
        <v>120</v>
      </c>
      <c r="J16" s="47">
        <v>120</v>
      </c>
      <c r="K16" s="48">
        <v>120</v>
      </c>
      <c r="L16" s="48">
        <v>120</v>
      </c>
      <c r="M16" s="48">
        <v>120</v>
      </c>
      <c r="N16" s="48">
        <v>120</v>
      </c>
      <c r="O16" s="48">
        <v>120</v>
      </c>
      <c r="P16" s="48">
        <v>120</v>
      </c>
      <c r="Q16" s="48">
        <v>120</v>
      </c>
      <c r="R16" s="48">
        <v>120</v>
      </c>
      <c r="S16" s="48"/>
    </row>
    <row r="17" spans="2:19" ht="34.5" x14ac:dyDescent="0.25">
      <c r="B17" s="44" t="s">
        <v>1330</v>
      </c>
      <c r="C17" s="44" t="s">
        <v>603</v>
      </c>
      <c r="D17" s="44">
        <v>79004</v>
      </c>
      <c r="E17" s="44">
        <v>79003</v>
      </c>
      <c r="F17" s="44" t="s">
        <v>1330</v>
      </c>
      <c r="G17" s="44" t="s">
        <v>29</v>
      </c>
      <c r="H17" s="44"/>
      <c r="I17" s="45">
        <v>168</v>
      </c>
      <c r="J17" s="45">
        <v>168</v>
      </c>
      <c r="K17" s="45">
        <v>190</v>
      </c>
      <c r="L17" s="45">
        <v>190</v>
      </c>
      <c r="M17" s="45">
        <v>190</v>
      </c>
      <c r="N17" s="45">
        <v>185</v>
      </c>
      <c r="O17" s="45">
        <v>185</v>
      </c>
      <c r="P17" s="45">
        <v>190</v>
      </c>
      <c r="Q17" s="45">
        <v>190</v>
      </c>
      <c r="R17" s="45">
        <v>190</v>
      </c>
      <c r="S17" s="46"/>
    </row>
    <row r="18" spans="2:19" x14ac:dyDescent="0.25">
      <c r="B18" s="47" t="s">
        <v>1330</v>
      </c>
      <c r="C18" s="47" t="s">
        <v>603</v>
      </c>
      <c r="D18" s="47">
        <v>79004</v>
      </c>
      <c r="E18" s="47">
        <v>79003</v>
      </c>
      <c r="F18" s="47" t="s">
        <v>1331</v>
      </c>
      <c r="G18" s="47" t="s">
        <v>1325</v>
      </c>
      <c r="H18" s="47">
        <v>115</v>
      </c>
      <c r="I18" s="48">
        <v>168</v>
      </c>
      <c r="J18" s="48">
        <v>168</v>
      </c>
      <c r="K18" s="47">
        <v>193</v>
      </c>
      <c r="L18" s="47">
        <v>202</v>
      </c>
      <c r="M18" s="47">
        <v>210</v>
      </c>
      <c r="N18" s="48">
        <v>185</v>
      </c>
      <c r="O18" s="48">
        <v>185</v>
      </c>
      <c r="P18" s="47">
        <v>210</v>
      </c>
      <c r="Q18" s="47">
        <v>218</v>
      </c>
      <c r="R18" s="47">
        <v>227</v>
      </c>
      <c r="S18" s="47"/>
    </row>
    <row r="19" spans="2:19" x14ac:dyDescent="0.25">
      <c r="B19" s="47" t="s">
        <v>1330</v>
      </c>
      <c r="C19" s="47" t="s">
        <v>603</v>
      </c>
      <c r="D19" s="47">
        <v>79004</v>
      </c>
      <c r="E19" s="47">
        <v>79003</v>
      </c>
      <c r="F19" s="47" t="s">
        <v>1331</v>
      </c>
      <c r="G19" s="47" t="s">
        <v>1325</v>
      </c>
      <c r="H19" s="47">
        <v>230</v>
      </c>
      <c r="I19" s="48">
        <v>168</v>
      </c>
      <c r="J19" s="48">
        <v>168</v>
      </c>
      <c r="K19" s="47">
        <v>193</v>
      </c>
      <c r="L19" s="47">
        <v>202</v>
      </c>
      <c r="M19" s="47">
        <v>210</v>
      </c>
      <c r="N19" s="48">
        <v>185</v>
      </c>
      <c r="O19" s="48">
        <v>185</v>
      </c>
      <c r="P19" s="47">
        <v>210</v>
      </c>
      <c r="Q19" s="47">
        <v>218</v>
      </c>
      <c r="R19" s="47">
        <v>227</v>
      </c>
      <c r="S19" s="47"/>
    </row>
    <row r="20" spans="2:19" ht="20" x14ac:dyDescent="0.25">
      <c r="B20" s="47" t="s">
        <v>1330</v>
      </c>
      <c r="C20" s="47" t="s">
        <v>603</v>
      </c>
      <c r="D20" s="47">
        <v>79004</v>
      </c>
      <c r="E20" s="47">
        <v>79003</v>
      </c>
      <c r="F20" s="47"/>
      <c r="G20" s="47" t="s">
        <v>1332</v>
      </c>
      <c r="H20" s="47">
        <v>115</v>
      </c>
      <c r="I20" s="47">
        <v>190</v>
      </c>
      <c r="J20" s="47">
        <v>190</v>
      </c>
      <c r="K20" s="48">
        <v>190</v>
      </c>
      <c r="L20" s="48">
        <v>190</v>
      </c>
      <c r="M20" s="48">
        <v>190</v>
      </c>
      <c r="N20" s="47">
        <v>190</v>
      </c>
      <c r="O20" s="47">
        <v>190</v>
      </c>
      <c r="P20" s="48">
        <v>190</v>
      </c>
      <c r="Q20" s="48">
        <v>190</v>
      </c>
      <c r="R20" s="48">
        <v>190</v>
      </c>
      <c r="S20" s="48"/>
    </row>
    <row r="21" spans="2:19" ht="20" x14ac:dyDescent="0.25">
      <c r="B21" s="47" t="s">
        <v>1330</v>
      </c>
      <c r="C21" s="47" t="s">
        <v>603</v>
      </c>
      <c r="D21" s="47">
        <v>79004</v>
      </c>
      <c r="E21" s="47">
        <v>79003</v>
      </c>
      <c r="F21" s="47" t="s">
        <v>1333</v>
      </c>
      <c r="G21" s="47" t="s">
        <v>31</v>
      </c>
      <c r="H21" s="47">
        <v>115</v>
      </c>
      <c r="I21" s="47">
        <v>190</v>
      </c>
      <c r="J21" s="47">
        <v>190</v>
      </c>
      <c r="K21" s="48">
        <v>190</v>
      </c>
      <c r="L21" s="48">
        <v>190</v>
      </c>
      <c r="M21" s="48">
        <v>190</v>
      </c>
      <c r="N21" s="47">
        <v>190</v>
      </c>
      <c r="O21" s="47">
        <v>190</v>
      </c>
      <c r="P21" s="48">
        <v>190</v>
      </c>
      <c r="Q21" s="48">
        <v>190</v>
      </c>
      <c r="R21" s="48">
        <v>190</v>
      </c>
      <c r="S21" s="48"/>
    </row>
    <row r="22" spans="2:19" ht="34.5" x14ac:dyDescent="0.25">
      <c r="B22" s="44" t="s">
        <v>1334</v>
      </c>
      <c r="C22" s="44" t="s">
        <v>43</v>
      </c>
      <c r="D22" s="44">
        <v>70399</v>
      </c>
      <c r="E22" s="44">
        <v>70397</v>
      </c>
      <c r="F22" s="44" t="s">
        <v>1334</v>
      </c>
      <c r="G22" s="44" t="s">
        <v>29</v>
      </c>
      <c r="H22" s="44"/>
      <c r="I22" s="45">
        <v>209</v>
      </c>
      <c r="J22" s="45">
        <v>209</v>
      </c>
      <c r="K22" s="45">
        <v>239</v>
      </c>
      <c r="L22" s="45">
        <v>239</v>
      </c>
      <c r="M22" s="45">
        <v>239</v>
      </c>
      <c r="N22" s="45">
        <v>239</v>
      </c>
      <c r="O22" s="45">
        <v>239</v>
      </c>
      <c r="P22" s="45">
        <v>239</v>
      </c>
      <c r="Q22" s="45">
        <v>239</v>
      </c>
      <c r="R22" s="45">
        <v>239</v>
      </c>
      <c r="S22" s="46"/>
    </row>
    <row r="23" spans="2:19" ht="20" x14ac:dyDescent="0.25">
      <c r="B23" s="47" t="s">
        <v>1334</v>
      </c>
      <c r="C23" s="47" t="s">
        <v>43</v>
      </c>
      <c r="D23" s="47">
        <v>70399</v>
      </c>
      <c r="E23" s="47">
        <v>70397</v>
      </c>
      <c r="F23" s="47" t="s">
        <v>2525</v>
      </c>
      <c r="G23" s="47" t="s">
        <v>31</v>
      </c>
      <c r="H23" s="47">
        <v>115</v>
      </c>
      <c r="I23" s="48">
        <v>209</v>
      </c>
      <c r="J23" s="48">
        <v>209</v>
      </c>
      <c r="K23" s="47">
        <v>243</v>
      </c>
      <c r="L23" s="47">
        <v>243</v>
      </c>
      <c r="M23" s="47">
        <v>243</v>
      </c>
      <c r="N23" s="47">
        <v>249</v>
      </c>
      <c r="O23" s="47">
        <v>249</v>
      </c>
      <c r="P23" s="47">
        <v>276</v>
      </c>
      <c r="Q23" s="47">
        <v>276</v>
      </c>
      <c r="R23" s="47">
        <v>276</v>
      </c>
      <c r="S23" s="47"/>
    </row>
    <row r="24" spans="2:19" ht="20" x14ac:dyDescent="0.25">
      <c r="B24" s="47" t="s">
        <v>1334</v>
      </c>
      <c r="C24" s="47" t="s">
        <v>43</v>
      </c>
      <c r="D24" s="47">
        <v>70399</v>
      </c>
      <c r="E24" s="47">
        <v>70397</v>
      </c>
      <c r="F24" s="47" t="s">
        <v>1328</v>
      </c>
      <c r="G24" s="47" t="s">
        <v>1325</v>
      </c>
      <c r="H24" s="47">
        <v>115</v>
      </c>
      <c r="I24" s="47">
        <v>221</v>
      </c>
      <c r="J24" s="47">
        <v>254</v>
      </c>
      <c r="K24" s="47">
        <v>265</v>
      </c>
      <c r="L24" s="47">
        <v>276</v>
      </c>
      <c r="M24" s="47">
        <v>298</v>
      </c>
      <c r="N24" s="47">
        <v>243</v>
      </c>
      <c r="O24" s="47">
        <v>276</v>
      </c>
      <c r="P24" s="47">
        <v>287</v>
      </c>
      <c r="Q24" s="47">
        <v>298</v>
      </c>
      <c r="R24" s="47">
        <v>319</v>
      </c>
      <c r="S24" s="47"/>
    </row>
    <row r="25" spans="2:19" ht="20" x14ac:dyDescent="0.25">
      <c r="B25" s="47" t="s">
        <v>1334</v>
      </c>
      <c r="C25" s="47" t="s">
        <v>43</v>
      </c>
      <c r="D25" s="47">
        <v>70399</v>
      </c>
      <c r="E25" s="47">
        <v>70397</v>
      </c>
      <c r="F25" s="47" t="s">
        <v>1328</v>
      </c>
      <c r="G25" s="47" t="s">
        <v>1325</v>
      </c>
      <c r="H25" s="47">
        <v>230</v>
      </c>
      <c r="I25" s="47">
        <v>221</v>
      </c>
      <c r="J25" s="47">
        <v>254</v>
      </c>
      <c r="K25" s="47">
        <v>265</v>
      </c>
      <c r="L25" s="47">
        <v>276</v>
      </c>
      <c r="M25" s="47">
        <v>298</v>
      </c>
      <c r="N25" s="47">
        <v>243</v>
      </c>
      <c r="O25" s="47">
        <v>276</v>
      </c>
      <c r="P25" s="47">
        <v>287</v>
      </c>
      <c r="Q25" s="47">
        <v>298</v>
      </c>
      <c r="R25" s="47">
        <v>319</v>
      </c>
      <c r="S25" s="47"/>
    </row>
    <row r="26" spans="2:19" ht="20" x14ac:dyDescent="0.25">
      <c r="B26" s="47" t="s">
        <v>1334</v>
      </c>
      <c r="C26" s="47" t="s">
        <v>43</v>
      </c>
      <c r="D26" s="47">
        <v>70399</v>
      </c>
      <c r="E26" s="47">
        <v>70397</v>
      </c>
      <c r="F26" s="47" t="s">
        <v>1336</v>
      </c>
      <c r="G26" s="47" t="s">
        <v>39</v>
      </c>
      <c r="H26" s="47">
        <v>115</v>
      </c>
      <c r="I26" s="47">
        <v>239</v>
      </c>
      <c r="J26" s="47">
        <v>239</v>
      </c>
      <c r="K26" s="48">
        <v>239</v>
      </c>
      <c r="L26" s="48">
        <v>239</v>
      </c>
      <c r="M26" s="48">
        <v>239</v>
      </c>
      <c r="N26" s="48">
        <v>239</v>
      </c>
      <c r="O26" s="48">
        <v>239</v>
      </c>
      <c r="P26" s="48">
        <v>239</v>
      </c>
      <c r="Q26" s="48">
        <v>239</v>
      </c>
      <c r="R26" s="48">
        <v>239</v>
      </c>
      <c r="S26" s="48"/>
    </row>
    <row r="27" spans="2:19" ht="30" x14ac:dyDescent="0.25">
      <c r="B27" s="47" t="s">
        <v>1334</v>
      </c>
      <c r="C27" s="47" t="s">
        <v>43</v>
      </c>
      <c r="D27" s="47">
        <v>70399</v>
      </c>
      <c r="E27" s="47">
        <v>70397</v>
      </c>
      <c r="F27" s="47" t="s">
        <v>1335</v>
      </c>
      <c r="G27" s="47" t="s">
        <v>36</v>
      </c>
      <c r="H27" s="47">
        <v>115</v>
      </c>
      <c r="I27" s="47">
        <v>239</v>
      </c>
      <c r="J27" s="47">
        <v>239</v>
      </c>
      <c r="K27" s="48">
        <v>239</v>
      </c>
      <c r="L27" s="48">
        <v>239</v>
      </c>
      <c r="M27" s="48">
        <v>239</v>
      </c>
      <c r="N27" s="48">
        <v>239</v>
      </c>
      <c r="O27" s="48">
        <v>239</v>
      </c>
      <c r="P27" s="48">
        <v>239</v>
      </c>
      <c r="Q27" s="48">
        <v>239</v>
      </c>
      <c r="R27" s="48">
        <v>239</v>
      </c>
      <c r="S27" s="48"/>
    </row>
    <row r="28" spans="2:19" ht="30" x14ac:dyDescent="0.25">
      <c r="B28" s="47" t="s">
        <v>1334</v>
      </c>
      <c r="C28" s="47" t="s">
        <v>43</v>
      </c>
      <c r="D28" s="47">
        <v>70399</v>
      </c>
      <c r="E28" s="47">
        <v>70397</v>
      </c>
      <c r="F28" s="47" t="s">
        <v>2526</v>
      </c>
      <c r="G28" s="47" t="s">
        <v>36</v>
      </c>
      <c r="H28" s="47">
        <v>115</v>
      </c>
      <c r="I28" s="47">
        <v>239</v>
      </c>
      <c r="J28" s="47">
        <v>239</v>
      </c>
      <c r="K28" s="48">
        <v>239</v>
      </c>
      <c r="L28" s="48">
        <v>239</v>
      </c>
      <c r="M28" s="48">
        <v>239</v>
      </c>
      <c r="N28" s="48">
        <v>239</v>
      </c>
      <c r="O28" s="48">
        <v>239</v>
      </c>
      <c r="P28" s="48">
        <v>239</v>
      </c>
      <c r="Q28" s="48">
        <v>239</v>
      </c>
      <c r="R28" s="48">
        <v>239</v>
      </c>
      <c r="S28" s="48"/>
    </row>
    <row r="29" spans="2:19" ht="20" x14ac:dyDescent="0.25">
      <c r="B29" s="47" t="s">
        <v>1334</v>
      </c>
      <c r="C29" s="47" t="s">
        <v>43</v>
      </c>
      <c r="D29" s="47">
        <v>70399</v>
      </c>
      <c r="E29" s="47">
        <v>70397</v>
      </c>
      <c r="F29" s="47" t="s">
        <v>1337</v>
      </c>
      <c r="G29" s="47" t="s">
        <v>39</v>
      </c>
      <c r="H29" s="47">
        <v>115</v>
      </c>
      <c r="I29" s="47">
        <v>239</v>
      </c>
      <c r="J29" s="47">
        <v>239</v>
      </c>
      <c r="K29" s="48">
        <v>239</v>
      </c>
      <c r="L29" s="48">
        <v>239</v>
      </c>
      <c r="M29" s="48">
        <v>239</v>
      </c>
      <c r="N29" s="48">
        <v>239</v>
      </c>
      <c r="O29" s="48">
        <v>239</v>
      </c>
      <c r="P29" s="48">
        <v>239</v>
      </c>
      <c r="Q29" s="48">
        <v>239</v>
      </c>
      <c r="R29" s="48">
        <v>239</v>
      </c>
      <c r="S29" s="48"/>
    </row>
    <row r="30" spans="2:19" ht="34.5" x14ac:dyDescent="0.25">
      <c r="B30" s="44" t="s">
        <v>1338</v>
      </c>
      <c r="C30" s="44" t="s">
        <v>343</v>
      </c>
      <c r="D30" s="44">
        <v>70053</v>
      </c>
      <c r="E30" s="44">
        <v>70052</v>
      </c>
      <c r="F30" s="44" t="s">
        <v>1338</v>
      </c>
      <c r="G30" s="44" t="s">
        <v>29</v>
      </c>
      <c r="H30" s="44"/>
      <c r="I30" s="45">
        <v>163</v>
      </c>
      <c r="J30" s="45">
        <v>176</v>
      </c>
      <c r="K30" s="45">
        <v>196</v>
      </c>
      <c r="L30" s="45">
        <v>204</v>
      </c>
      <c r="M30" s="45">
        <v>206</v>
      </c>
      <c r="N30" s="45">
        <v>180</v>
      </c>
      <c r="O30" s="45">
        <v>204</v>
      </c>
      <c r="P30" s="45">
        <v>212</v>
      </c>
      <c r="Q30" s="45">
        <v>220</v>
      </c>
      <c r="R30" s="45">
        <v>235</v>
      </c>
      <c r="S30" s="46"/>
    </row>
    <row r="31" spans="2:19" x14ac:dyDescent="0.25">
      <c r="B31" s="47" t="s">
        <v>1338</v>
      </c>
      <c r="C31" s="47" t="s">
        <v>343</v>
      </c>
      <c r="D31" s="47">
        <v>70053</v>
      </c>
      <c r="E31" s="47">
        <v>70052</v>
      </c>
      <c r="F31" s="47" t="s">
        <v>1328</v>
      </c>
      <c r="G31" s="47" t="s">
        <v>1325</v>
      </c>
      <c r="H31" s="47">
        <v>230</v>
      </c>
      <c r="I31" s="48">
        <v>163</v>
      </c>
      <c r="J31" s="47">
        <v>188</v>
      </c>
      <c r="K31" s="48">
        <v>196</v>
      </c>
      <c r="L31" s="48">
        <v>204</v>
      </c>
      <c r="M31" s="47">
        <v>220</v>
      </c>
      <c r="N31" s="48">
        <v>180</v>
      </c>
      <c r="O31" s="48">
        <v>204</v>
      </c>
      <c r="P31" s="48">
        <v>212</v>
      </c>
      <c r="Q31" s="48">
        <v>220</v>
      </c>
      <c r="R31" s="47">
        <v>245</v>
      </c>
      <c r="S31" s="47"/>
    </row>
    <row r="32" spans="2:19" x14ac:dyDescent="0.25">
      <c r="B32" s="47" t="s">
        <v>1338</v>
      </c>
      <c r="C32" s="47" t="s">
        <v>343</v>
      </c>
      <c r="D32" s="47">
        <v>70053</v>
      </c>
      <c r="E32" s="47">
        <v>70052</v>
      </c>
      <c r="F32" s="47" t="s">
        <v>1328</v>
      </c>
      <c r="G32" s="47" t="s">
        <v>1325</v>
      </c>
      <c r="H32" s="47">
        <v>115</v>
      </c>
      <c r="I32" s="48">
        <v>163</v>
      </c>
      <c r="J32" s="47">
        <v>188</v>
      </c>
      <c r="K32" s="48">
        <v>196</v>
      </c>
      <c r="L32" s="48">
        <v>204</v>
      </c>
      <c r="M32" s="47">
        <v>220</v>
      </c>
      <c r="N32" s="48">
        <v>180</v>
      </c>
      <c r="O32" s="48">
        <v>204</v>
      </c>
      <c r="P32" s="48">
        <v>212</v>
      </c>
      <c r="Q32" s="48">
        <v>220</v>
      </c>
      <c r="R32" s="47">
        <v>245</v>
      </c>
      <c r="S32" s="47"/>
    </row>
    <row r="33" spans="2:19" ht="20" x14ac:dyDescent="0.25">
      <c r="B33" s="47" t="s">
        <v>1338</v>
      </c>
      <c r="C33" s="47" t="s">
        <v>343</v>
      </c>
      <c r="D33" s="47">
        <v>70053</v>
      </c>
      <c r="E33" s="47">
        <v>70052</v>
      </c>
      <c r="F33" s="47" t="s">
        <v>239</v>
      </c>
      <c r="G33" s="47" t="s">
        <v>31</v>
      </c>
      <c r="H33" s="47">
        <v>115</v>
      </c>
      <c r="I33" s="47">
        <v>176</v>
      </c>
      <c r="J33" s="48">
        <v>176</v>
      </c>
      <c r="K33" s="47">
        <v>206</v>
      </c>
      <c r="L33" s="47">
        <v>206</v>
      </c>
      <c r="M33" s="48">
        <v>206</v>
      </c>
      <c r="N33" s="47">
        <v>210</v>
      </c>
      <c r="O33" s="47">
        <v>210</v>
      </c>
      <c r="P33" s="47">
        <v>235</v>
      </c>
      <c r="Q33" s="47">
        <v>235</v>
      </c>
      <c r="R33" s="48">
        <v>235</v>
      </c>
      <c r="S33" s="48"/>
    </row>
    <row r="34" spans="2:19" ht="34.5" x14ac:dyDescent="0.25">
      <c r="B34" s="44" t="s">
        <v>1339</v>
      </c>
      <c r="C34" s="44" t="s">
        <v>349</v>
      </c>
      <c r="D34" s="44">
        <v>70061</v>
      </c>
      <c r="E34" s="44">
        <v>70060</v>
      </c>
      <c r="F34" s="44" t="s">
        <v>1339</v>
      </c>
      <c r="G34" s="44" t="s">
        <v>29</v>
      </c>
      <c r="H34" s="44"/>
      <c r="I34" s="45">
        <v>147</v>
      </c>
      <c r="J34" s="45">
        <v>147</v>
      </c>
      <c r="K34" s="45">
        <v>159</v>
      </c>
      <c r="L34" s="45">
        <v>159</v>
      </c>
      <c r="M34" s="45">
        <v>159</v>
      </c>
      <c r="N34" s="45">
        <v>159</v>
      </c>
      <c r="O34" s="45">
        <v>159</v>
      </c>
      <c r="P34" s="45">
        <v>159</v>
      </c>
      <c r="Q34" s="45">
        <v>159</v>
      </c>
      <c r="R34" s="45">
        <v>159</v>
      </c>
      <c r="S34" s="46"/>
    </row>
    <row r="35" spans="2:19" x14ac:dyDescent="0.25">
      <c r="B35" s="47" t="s">
        <v>1339</v>
      </c>
      <c r="C35" s="47" t="s">
        <v>349</v>
      </c>
      <c r="D35" s="47">
        <v>70061</v>
      </c>
      <c r="E35" s="47">
        <v>70060</v>
      </c>
      <c r="F35" s="47" t="s">
        <v>1328</v>
      </c>
      <c r="G35" s="47" t="s">
        <v>1325</v>
      </c>
      <c r="H35" s="47">
        <v>115</v>
      </c>
      <c r="I35" s="48">
        <v>147</v>
      </c>
      <c r="J35" s="48">
        <v>147</v>
      </c>
      <c r="K35" s="48">
        <v>159</v>
      </c>
      <c r="L35" s="48">
        <v>159</v>
      </c>
      <c r="M35" s="48">
        <v>159</v>
      </c>
      <c r="N35" s="48">
        <v>159</v>
      </c>
      <c r="O35" s="48">
        <v>159</v>
      </c>
      <c r="P35" s="48">
        <v>159</v>
      </c>
      <c r="Q35" s="48">
        <v>159</v>
      </c>
      <c r="R35" s="48">
        <v>159</v>
      </c>
      <c r="S35" s="48"/>
    </row>
    <row r="36" spans="2:19" x14ac:dyDescent="0.25">
      <c r="B36" s="47" t="s">
        <v>1339</v>
      </c>
      <c r="C36" s="47" t="s">
        <v>349</v>
      </c>
      <c r="D36" s="47">
        <v>70061</v>
      </c>
      <c r="E36" s="47">
        <v>70060</v>
      </c>
      <c r="F36" s="47" t="s">
        <v>1328</v>
      </c>
      <c r="G36" s="47" t="s">
        <v>1325</v>
      </c>
      <c r="H36" s="47">
        <v>230</v>
      </c>
      <c r="I36" s="48">
        <v>147</v>
      </c>
      <c r="J36" s="48">
        <v>147</v>
      </c>
      <c r="K36" s="47">
        <v>169</v>
      </c>
      <c r="L36" s="47">
        <v>184</v>
      </c>
      <c r="M36" s="47">
        <v>191</v>
      </c>
      <c r="N36" s="47">
        <v>176</v>
      </c>
      <c r="O36" s="47">
        <v>176</v>
      </c>
      <c r="P36" s="47">
        <v>191</v>
      </c>
      <c r="Q36" s="47">
        <v>206</v>
      </c>
      <c r="R36" s="47">
        <v>214</v>
      </c>
      <c r="S36" s="47"/>
    </row>
    <row r="37" spans="2:19" ht="34.5" x14ac:dyDescent="0.25">
      <c r="B37" s="44" t="s">
        <v>1340</v>
      </c>
      <c r="C37" s="44" t="s">
        <v>1120</v>
      </c>
      <c r="D37" s="44">
        <v>70545</v>
      </c>
      <c r="E37" s="44">
        <v>70546</v>
      </c>
      <c r="F37" s="44" t="s">
        <v>1340</v>
      </c>
      <c r="G37" s="44" t="s">
        <v>29</v>
      </c>
      <c r="H37" s="44"/>
      <c r="I37" s="45">
        <v>226</v>
      </c>
      <c r="J37" s="45">
        <v>239</v>
      </c>
      <c r="K37" s="45">
        <v>239</v>
      </c>
      <c r="L37" s="45">
        <v>239</v>
      </c>
      <c r="M37" s="45">
        <v>239</v>
      </c>
      <c r="N37" s="45">
        <v>239</v>
      </c>
      <c r="O37" s="45">
        <v>239</v>
      </c>
      <c r="P37" s="45">
        <v>239</v>
      </c>
      <c r="Q37" s="45">
        <v>239</v>
      </c>
      <c r="R37" s="45">
        <v>239</v>
      </c>
      <c r="S37" s="46"/>
    </row>
    <row r="38" spans="2:19" x14ac:dyDescent="0.25">
      <c r="B38" s="47" t="s">
        <v>1340</v>
      </c>
      <c r="C38" s="47" t="s">
        <v>1120</v>
      </c>
      <c r="D38" s="47">
        <v>70545</v>
      </c>
      <c r="E38" s="47">
        <v>70546</v>
      </c>
      <c r="F38" s="47" t="s">
        <v>1328</v>
      </c>
      <c r="G38" s="47" t="s">
        <v>1325</v>
      </c>
      <c r="H38" s="47">
        <v>115</v>
      </c>
      <c r="I38" s="48">
        <v>226</v>
      </c>
      <c r="J38" s="47">
        <v>260</v>
      </c>
      <c r="K38" s="47">
        <v>271</v>
      </c>
      <c r="L38" s="47">
        <v>282</v>
      </c>
      <c r="M38" s="47">
        <v>305</v>
      </c>
      <c r="N38" s="47">
        <v>249</v>
      </c>
      <c r="O38" s="47">
        <v>282</v>
      </c>
      <c r="P38" s="47">
        <v>294</v>
      </c>
      <c r="Q38" s="47">
        <v>305</v>
      </c>
      <c r="R38" s="47">
        <v>339</v>
      </c>
      <c r="S38" s="47"/>
    </row>
    <row r="39" spans="2:19" x14ac:dyDescent="0.25">
      <c r="B39" s="47" t="s">
        <v>1340</v>
      </c>
      <c r="C39" s="47" t="s">
        <v>1120</v>
      </c>
      <c r="D39" s="47">
        <v>70545</v>
      </c>
      <c r="E39" s="47">
        <v>70546</v>
      </c>
      <c r="F39" s="47" t="s">
        <v>1328</v>
      </c>
      <c r="G39" s="47" t="s">
        <v>1325</v>
      </c>
      <c r="H39" s="47">
        <v>230</v>
      </c>
      <c r="I39" s="48">
        <v>226</v>
      </c>
      <c r="J39" s="47">
        <v>260</v>
      </c>
      <c r="K39" s="47">
        <v>271</v>
      </c>
      <c r="L39" s="47">
        <v>283</v>
      </c>
      <c r="M39" s="47">
        <v>305</v>
      </c>
      <c r="N39" s="47">
        <v>249</v>
      </c>
      <c r="O39" s="47">
        <v>283</v>
      </c>
      <c r="P39" s="47">
        <v>294</v>
      </c>
      <c r="Q39" s="47">
        <v>305</v>
      </c>
      <c r="R39" s="47">
        <v>339</v>
      </c>
      <c r="S39" s="47"/>
    </row>
    <row r="40" spans="2:19" ht="20" x14ac:dyDescent="0.25">
      <c r="B40" s="47" t="s">
        <v>1340</v>
      </c>
      <c r="C40" s="47" t="s">
        <v>1120</v>
      </c>
      <c r="D40" s="47">
        <v>70545</v>
      </c>
      <c r="E40" s="47">
        <v>70546</v>
      </c>
      <c r="F40" s="47" t="s">
        <v>2024</v>
      </c>
      <c r="G40" s="47" t="s">
        <v>39</v>
      </c>
      <c r="H40" s="47">
        <v>115</v>
      </c>
      <c r="I40" s="47">
        <v>239</v>
      </c>
      <c r="J40" s="48">
        <v>239</v>
      </c>
      <c r="K40" s="48">
        <v>239</v>
      </c>
      <c r="L40" s="48">
        <v>239</v>
      </c>
      <c r="M40" s="48">
        <v>239</v>
      </c>
      <c r="N40" s="48">
        <v>239</v>
      </c>
      <c r="O40" s="48">
        <v>239</v>
      </c>
      <c r="P40" s="48">
        <v>239</v>
      </c>
      <c r="Q40" s="48">
        <v>239</v>
      </c>
      <c r="R40" s="48">
        <v>239</v>
      </c>
      <c r="S40" s="48"/>
    </row>
    <row r="41" spans="2:19" ht="20" x14ac:dyDescent="0.25">
      <c r="B41" s="47" t="s">
        <v>1340</v>
      </c>
      <c r="C41" s="47" t="s">
        <v>1120</v>
      </c>
      <c r="D41" s="47">
        <v>70545</v>
      </c>
      <c r="E41" s="47">
        <v>70546</v>
      </c>
      <c r="F41" s="47" t="s">
        <v>2023</v>
      </c>
      <c r="G41" s="47" t="s">
        <v>39</v>
      </c>
      <c r="H41" s="47">
        <v>115</v>
      </c>
      <c r="I41" s="47">
        <v>239</v>
      </c>
      <c r="J41" s="48">
        <v>239</v>
      </c>
      <c r="K41" s="48">
        <v>239</v>
      </c>
      <c r="L41" s="48">
        <v>239</v>
      </c>
      <c r="M41" s="48">
        <v>239</v>
      </c>
      <c r="N41" s="48">
        <v>239</v>
      </c>
      <c r="O41" s="48">
        <v>239</v>
      </c>
      <c r="P41" s="48">
        <v>239</v>
      </c>
      <c r="Q41" s="48">
        <v>239</v>
      </c>
      <c r="R41" s="48">
        <v>239</v>
      </c>
      <c r="S41" s="48"/>
    </row>
    <row r="42" spans="2:19" x14ac:dyDescent="0.25">
      <c r="B42" s="47" t="s">
        <v>1340</v>
      </c>
      <c r="C42" s="47" t="s">
        <v>1120</v>
      </c>
      <c r="D42" s="47">
        <v>70545</v>
      </c>
      <c r="E42" s="47">
        <v>70546</v>
      </c>
      <c r="F42" s="47" t="s">
        <v>1341</v>
      </c>
      <c r="G42" s="47" t="s">
        <v>49</v>
      </c>
      <c r="H42" s="47">
        <v>115</v>
      </c>
      <c r="I42" s="47">
        <v>239</v>
      </c>
      <c r="J42" s="48">
        <v>239</v>
      </c>
      <c r="K42" s="48">
        <v>239</v>
      </c>
      <c r="L42" s="48">
        <v>239</v>
      </c>
      <c r="M42" s="48">
        <v>239</v>
      </c>
      <c r="N42" s="48">
        <v>239</v>
      </c>
      <c r="O42" s="48">
        <v>239</v>
      </c>
      <c r="P42" s="48">
        <v>239</v>
      </c>
      <c r="Q42" s="48">
        <v>239</v>
      </c>
      <c r="R42" s="48">
        <v>239</v>
      </c>
      <c r="S42" s="48"/>
    </row>
    <row r="43" spans="2:19" ht="20" x14ac:dyDescent="0.25">
      <c r="B43" s="47" t="s">
        <v>1340</v>
      </c>
      <c r="C43" s="47" t="s">
        <v>1120</v>
      </c>
      <c r="D43" s="47">
        <v>70545</v>
      </c>
      <c r="E43" s="47">
        <v>70546</v>
      </c>
      <c r="F43" s="47" t="s">
        <v>2022</v>
      </c>
      <c r="G43" s="47" t="s">
        <v>39</v>
      </c>
      <c r="H43" s="47">
        <v>115</v>
      </c>
      <c r="I43" s="47">
        <v>239</v>
      </c>
      <c r="J43" s="48">
        <v>239</v>
      </c>
      <c r="K43" s="48">
        <v>239</v>
      </c>
      <c r="L43" s="48">
        <v>239</v>
      </c>
      <c r="M43" s="48">
        <v>239</v>
      </c>
      <c r="N43" s="48">
        <v>239</v>
      </c>
      <c r="O43" s="48">
        <v>239</v>
      </c>
      <c r="P43" s="48">
        <v>239</v>
      </c>
      <c r="Q43" s="48">
        <v>239</v>
      </c>
      <c r="R43" s="48">
        <v>239</v>
      </c>
      <c r="S43" s="48"/>
    </row>
    <row r="44" spans="2:19" ht="34.5" x14ac:dyDescent="0.25">
      <c r="B44" s="44" t="s">
        <v>1342</v>
      </c>
      <c r="C44" s="44" t="s">
        <v>431</v>
      </c>
      <c r="D44" s="44">
        <v>70072</v>
      </c>
      <c r="E44" s="44">
        <v>70071</v>
      </c>
      <c r="F44" s="44" t="s">
        <v>1342</v>
      </c>
      <c r="G44" s="44" t="s">
        <v>29</v>
      </c>
      <c r="H44" s="44"/>
      <c r="I44" s="45">
        <v>54</v>
      </c>
      <c r="J44" s="45">
        <v>54</v>
      </c>
      <c r="K44" s="45">
        <v>62</v>
      </c>
      <c r="L44" s="45">
        <v>65</v>
      </c>
      <c r="M44" s="45">
        <v>68</v>
      </c>
      <c r="N44" s="45">
        <v>60</v>
      </c>
      <c r="O44" s="45">
        <v>60</v>
      </c>
      <c r="P44" s="45">
        <v>68</v>
      </c>
      <c r="Q44" s="45">
        <v>71</v>
      </c>
      <c r="R44" s="45">
        <v>73</v>
      </c>
      <c r="S44" s="46"/>
    </row>
    <row r="45" spans="2:19" ht="20" x14ac:dyDescent="0.25">
      <c r="B45" s="47" t="s">
        <v>1342</v>
      </c>
      <c r="C45" s="47" t="s">
        <v>431</v>
      </c>
      <c r="D45" s="47">
        <v>70072</v>
      </c>
      <c r="E45" s="47">
        <v>70071</v>
      </c>
      <c r="F45" s="47" t="s">
        <v>1328</v>
      </c>
      <c r="G45" s="47" t="s">
        <v>1325</v>
      </c>
      <c r="H45" s="47">
        <v>115</v>
      </c>
      <c r="I45" s="48">
        <v>54</v>
      </c>
      <c r="J45" s="48">
        <v>54</v>
      </c>
      <c r="K45" s="48">
        <v>62</v>
      </c>
      <c r="L45" s="48">
        <v>65</v>
      </c>
      <c r="M45" s="48">
        <v>68</v>
      </c>
      <c r="N45" s="48">
        <v>60</v>
      </c>
      <c r="O45" s="48">
        <v>60</v>
      </c>
      <c r="P45" s="48">
        <v>68</v>
      </c>
      <c r="Q45" s="48">
        <v>71</v>
      </c>
      <c r="R45" s="48">
        <v>73</v>
      </c>
      <c r="S45" s="48"/>
    </row>
    <row r="46" spans="2:19" ht="20" x14ac:dyDescent="0.25">
      <c r="B46" s="47" t="s">
        <v>1342</v>
      </c>
      <c r="C46" s="47" t="s">
        <v>431</v>
      </c>
      <c r="D46" s="47">
        <v>70072</v>
      </c>
      <c r="E46" s="47">
        <v>70071</v>
      </c>
      <c r="F46" s="47" t="s">
        <v>1328</v>
      </c>
      <c r="G46" s="47" t="s">
        <v>1325</v>
      </c>
      <c r="H46" s="47">
        <v>230</v>
      </c>
      <c r="I46" s="48">
        <v>54</v>
      </c>
      <c r="J46" s="48">
        <v>54</v>
      </c>
      <c r="K46" s="48">
        <v>62</v>
      </c>
      <c r="L46" s="48">
        <v>65</v>
      </c>
      <c r="M46" s="48">
        <v>68</v>
      </c>
      <c r="N46" s="48">
        <v>60</v>
      </c>
      <c r="O46" s="48">
        <v>60</v>
      </c>
      <c r="P46" s="48">
        <v>68</v>
      </c>
      <c r="Q46" s="48">
        <v>71</v>
      </c>
      <c r="R46" s="48">
        <v>73</v>
      </c>
      <c r="S46" s="48"/>
    </row>
    <row r="47" spans="2:19" ht="34.5" x14ac:dyDescent="0.25">
      <c r="B47" s="44" t="s">
        <v>1343</v>
      </c>
      <c r="C47" s="44" t="s">
        <v>431</v>
      </c>
      <c r="D47" s="44">
        <v>70072</v>
      </c>
      <c r="E47" s="44">
        <v>70071</v>
      </c>
      <c r="F47" s="44" t="s">
        <v>1343</v>
      </c>
      <c r="G47" s="44" t="s">
        <v>29</v>
      </c>
      <c r="H47" s="44"/>
      <c r="I47" s="45">
        <v>60</v>
      </c>
      <c r="J47" s="45">
        <v>60</v>
      </c>
      <c r="K47" s="45">
        <v>69</v>
      </c>
      <c r="L47" s="45">
        <v>72</v>
      </c>
      <c r="M47" s="45">
        <v>75</v>
      </c>
      <c r="N47" s="45">
        <v>66</v>
      </c>
      <c r="O47" s="45">
        <v>66</v>
      </c>
      <c r="P47" s="45">
        <v>75</v>
      </c>
      <c r="Q47" s="45">
        <v>78</v>
      </c>
      <c r="R47" s="45">
        <v>81</v>
      </c>
      <c r="S47" s="46"/>
    </row>
    <row r="48" spans="2:19" ht="20" x14ac:dyDescent="0.25">
      <c r="B48" s="47" t="s">
        <v>1343</v>
      </c>
      <c r="C48" s="47" t="s">
        <v>431</v>
      </c>
      <c r="D48" s="47">
        <v>70072</v>
      </c>
      <c r="E48" s="47">
        <v>70071</v>
      </c>
      <c r="F48" s="47" t="s">
        <v>1331</v>
      </c>
      <c r="G48" s="47" t="s">
        <v>1325</v>
      </c>
      <c r="H48" s="47">
        <v>230</v>
      </c>
      <c r="I48" s="48">
        <v>60</v>
      </c>
      <c r="J48" s="48">
        <v>60</v>
      </c>
      <c r="K48" s="48">
        <v>69</v>
      </c>
      <c r="L48" s="48">
        <v>72</v>
      </c>
      <c r="M48" s="48">
        <v>75</v>
      </c>
      <c r="N48" s="48">
        <v>66</v>
      </c>
      <c r="O48" s="48">
        <v>66</v>
      </c>
      <c r="P48" s="48">
        <v>75</v>
      </c>
      <c r="Q48" s="48">
        <v>78</v>
      </c>
      <c r="R48" s="48">
        <v>81</v>
      </c>
      <c r="S48" s="48"/>
    </row>
    <row r="49" spans="2:19" ht="20" x14ac:dyDescent="0.25">
      <c r="B49" s="47" t="s">
        <v>1343</v>
      </c>
      <c r="C49" s="47" t="s">
        <v>431</v>
      </c>
      <c r="D49" s="47">
        <v>70072</v>
      </c>
      <c r="E49" s="47">
        <v>70071</v>
      </c>
      <c r="F49" s="47" t="s">
        <v>1331</v>
      </c>
      <c r="G49" s="47" t="s">
        <v>1325</v>
      </c>
      <c r="H49" s="47">
        <v>115</v>
      </c>
      <c r="I49" s="48">
        <v>60</v>
      </c>
      <c r="J49" s="48">
        <v>60</v>
      </c>
      <c r="K49" s="48">
        <v>69</v>
      </c>
      <c r="L49" s="48">
        <v>72</v>
      </c>
      <c r="M49" s="48">
        <v>75</v>
      </c>
      <c r="N49" s="48">
        <v>66</v>
      </c>
      <c r="O49" s="48">
        <v>66</v>
      </c>
      <c r="P49" s="48">
        <v>75</v>
      </c>
      <c r="Q49" s="48">
        <v>78</v>
      </c>
      <c r="R49" s="48">
        <v>81</v>
      </c>
      <c r="S49" s="48"/>
    </row>
    <row r="50" spans="2:19" ht="34.5" x14ac:dyDescent="0.25">
      <c r="B50" s="44" t="s">
        <v>1344</v>
      </c>
      <c r="C50" s="44" t="s">
        <v>723</v>
      </c>
      <c r="D50" s="44">
        <v>70539</v>
      </c>
      <c r="E50" s="44">
        <v>70538</v>
      </c>
      <c r="F50" s="44" t="s">
        <v>1344</v>
      </c>
      <c r="G50" s="44" t="s">
        <v>29</v>
      </c>
      <c r="H50" s="44"/>
      <c r="I50" s="45">
        <v>280</v>
      </c>
      <c r="J50" s="45">
        <v>319</v>
      </c>
      <c r="K50" s="45">
        <v>319</v>
      </c>
      <c r="L50" s="45">
        <v>319</v>
      </c>
      <c r="M50" s="45">
        <v>319</v>
      </c>
      <c r="N50" s="45">
        <v>308</v>
      </c>
      <c r="O50" s="45">
        <v>319</v>
      </c>
      <c r="P50" s="45">
        <v>319</v>
      </c>
      <c r="Q50" s="45">
        <v>319</v>
      </c>
      <c r="R50" s="45">
        <v>319</v>
      </c>
      <c r="S50" s="46"/>
    </row>
    <row r="51" spans="2:19" x14ac:dyDescent="0.25">
      <c r="B51" s="47" t="s">
        <v>1344</v>
      </c>
      <c r="C51" s="47" t="s">
        <v>723</v>
      </c>
      <c r="D51" s="47">
        <v>70539</v>
      </c>
      <c r="E51" s="47">
        <v>70538</v>
      </c>
      <c r="F51" s="47" t="s">
        <v>1328</v>
      </c>
      <c r="G51" s="47" t="s">
        <v>1325</v>
      </c>
      <c r="H51" s="47">
        <v>115</v>
      </c>
      <c r="I51" s="48">
        <v>280</v>
      </c>
      <c r="J51" s="47">
        <v>322</v>
      </c>
      <c r="K51" s="47">
        <v>336</v>
      </c>
      <c r="L51" s="47">
        <v>350</v>
      </c>
      <c r="M51" s="47">
        <v>378</v>
      </c>
      <c r="N51" s="48">
        <v>308</v>
      </c>
      <c r="O51" s="47">
        <v>350</v>
      </c>
      <c r="P51" s="47">
        <v>364</v>
      </c>
      <c r="Q51" s="47">
        <v>378</v>
      </c>
      <c r="R51" s="47">
        <v>420</v>
      </c>
      <c r="S51" s="47"/>
    </row>
    <row r="52" spans="2:19" x14ac:dyDescent="0.25">
      <c r="B52" s="47" t="s">
        <v>1344</v>
      </c>
      <c r="C52" s="47" t="s">
        <v>723</v>
      </c>
      <c r="D52" s="47">
        <v>70539</v>
      </c>
      <c r="E52" s="47">
        <v>70538</v>
      </c>
      <c r="F52" s="47" t="s">
        <v>1328</v>
      </c>
      <c r="G52" s="47" t="s">
        <v>1325</v>
      </c>
      <c r="H52" s="47">
        <v>230</v>
      </c>
      <c r="I52" s="48">
        <v>280</v>
      </c>
      <c r="J52" s="47">
        <v>322</v>
      </c>
      <c r="K52" s="47">
        <v>336</v>
      </c>
      <c r="L52" s="47">
        <v>350</v>
      </c>
      <c r="M52" s="47">
        <v>378</v>
      </c>
      <c r="N52" s="48">
        <v>308</v>
      </c>
      <c r="O52" s="47">
        <v>350</v>
      </c>
      <c r="P52" s="47">
        <v>364</v>
      </c>
      <c r="Q52" s="47">
        <v>378</v>
      </c>
      <c r="R52" s="47">
        <v>420</v>
      </c>
      <c r="S52" s="47"/>
    </row>
    <row r="53" spans="2:19" ht="30" x14ac:dyDescent="0.25">
      <c r="B53" s="47" t="s">
        <v>1344</v>
      </c>
      <c r="C53" s="47" t="s">
        <v>723</v>
      </c>
      <c r="D53" s="47">
        <v>70539</v>
      </c>
      <c r="E53" s="47">
        <v>70538</v>
      </c>
      <c r="F53" s="47" t="s">
        <v>2112</v>
      </c>
      <c r="G53" s="47" t="s">
        <v>36</v>
      </c>
      <c r="H53" s="47">
        <v>115</v>
      </c>
      <c r="I53" s="47">
        <v>319</v>
      </c>
      <c r="J53" s="48">
        <v>319</v>
      </c>
      <c r="K53" s="48">
        <v>319</v>
      </c>
      <c r="L53" s="48">
        <v>319</v>
      </c>
      <c r="M53" s="48">
        <v>319</v>
      </c>
      <c r="N53" s="47">
        <v>319</v>
      </c>
      <c r="O53" s="48">
        <v>319</v>
      </c>
      <c r="P53" s="48">
        <v>319</v>
      </c>
      <c r="Q53" s="48">
        <v>319</v>
      </c>
      <c r="R53" s="48">
        <v>319</v>
      </c>
      <c r="S53" s="48"/>
    </row>
    <row r="54" spans="2:19" ht="20" x14ac:dyDescent="0.25">
      <c r="B54" s="47" t="s">
        <v>1344</v>
      </c>
      <c r="C54" s="47" t="s">
        <v>723</v>
      </c>
      <c r="D54" s="47">
        <v>70539</v>
      </c>
      <c r="E54" s="47">
        <v>70538</v>
      </c>
      <c r="F54" s="47" t="s">
        <v>2026</v>
      </c>
      <c r="G54" s="47" t="s">
        <v>39</v>
      </c>
      <c r="H54" s="47">
        <v>115</v>
      </c>
      <c r="I54" s="47">
        <v>319</v>
      </c>
      <c r="J54" s="48">
        <v>319</v>
      </c>
      <c r="K54" s="48">
        <v>319</v>
      </c>
      <c r="L54" s="48">
        <v>319</v>
      </c>
      <c r="M54" s="48">
        <v>319</v>
      </c>
      <c r="N54" s="47">
        <v>319</v>
      </c>
      <c r="O54" s="48">
        <v>319</v>
      </c>
      <c r="P54" s="48">
        <v>319</v>
      </c>
      <c r="Q54" s="48">
        <v>319</v>
      </c>
      <c r="R54" s="48">
        <v>319</v>
      </c>
      <c r="S54" s="48"/>
    </row>
    <row r="55" spans="2:19" ht="30" x14ac:dyDescent="0.25">
      <c r="B55" s="47" t="s">
        <v>1344</v>
      </c>
      <c r="C55" s="47" t="s">
        <v>723</v>
      </c>
      <c r="D55" s="47">
        <v>70539</v>
      </c>
      <c r="E55" s="47">
        <v>70538</v>
      </c>
      <c r="F55" s="47" t="s">
        <v>2113</v>
      </c>
      <c r="G55" s="47" t="s">
        <v>36</v>
      </c>
      <c r="H55" s="47">
        <v>115</v>
      </c>
      <c r="I55" s="47">
        <v>319</v>
      </c>
      <c r="J55" s="48">
        <v>319</v>
      </c>
      <c r="K55" s="48">
        <v>319</v>
      </c>
      <c r="L55" s="48">
        <v>319</v>
      </c>
      <c r="M55" s="48">
        <v>319</v>
      </c>
      <c r="N55" s="47">
        <v>319</v>
      </c>
      <c r="O55" s="48">
        <v>319</v>
      </c>
      <c r="P55" s="48">
        <v>319</v>
      </c>
      <c r="Q55" s="48">
        <v>319</v>
      </c>
      <c r="R55" s="48">
        <v>319</v>
      </c>
      <c r="S55" s="48"/>
    </row>
    <row r="56" spans="2:19" ht="20" x14ac:dyDescent="0.25">
      <c r="B56" s="47" t="s">
        <v>1344</v>
      </c>
      <c r="C56" s="47" t="s">
        <v>723</v>
      </c>
      <c r="D56" s="47">
        <v>70539</v>
      </c>
      <c r="E56" s="47">
        <v>70538</v>
      </c>
      <c r="F56" s="47" t="s">
        <v>2025</v>
      </c>
      <c r="G56" s="47" t="s">
        <v>39</v>
      </c>
      <c r="H56" s="47">
        <v>115</v>
      </c>
      <c r="I56" s="47">
        <v>319</v>
      </c>
      <c r="J56" s="48">
        <v>319</v>
      </c>
      <c r="K56" s="48">
        <v>319</v>
      </c>
      <c r="L56" s="48">
        <v>319</v>
      </c>
      <c r="M56" s="48">
        <v>319</v>
      </c>
      <c r="N56" s="47">
        <v>319</v>
      </c>
      <c r="O56" s="48">
        <v>319</v>
      </c>
      <c r="P56" s="48">
        <v>319</v>
      </c>
      <c r="Q56" s="48">
        <v>319</v>
      </c>
      <c r="R56" s="48">
        <v>319</v>
      </c>
      <c r="S56" s="48"/>
    </row>
    <row r="57" spans="2:19" ht="30" x14ac:dyDescent="0.25">
      <c r="B57" s="47" t="s">
        <v>1344</v>
      </c>
      <c r="C57" s="47" t="s">
        <v>723</v>
      </c>
      <c r="D57" s="47">
        <v>70539</v>
      </c>
      <c r="E57" s="47">
        <v>70538</v>
      </c>
      <c r="F57" s="47" t="s">
        <v>2115</v>
      </c>
      <c r="G57" s="47" t="s">
        <v>36</v>
      </c>
      <c r="H57" s="47">
        <v>115</v>
      </c>
      <c r="I57" s="47">
        <v>319</v>
      </c>
      <c r="J57" s="48">
        <v>319</v>
      </c>
      <c r="K57" s="48">
        <v>319</v>
      </c>
      <c r="L57" s="48">
        <v>319</v>
      </c>
      <c r="M57" s="48">
        <v>319</v>
      </c>
      <c r="N57" s="47">
        <v>319</v>
      </c>
      <c r="O57" s="48">
        <v>319</v>
      </c>
      <c r="P57" s="48">
        <v>319</v>
      </c>
      <c r="Q57" s="48">
        <v>319</v>
      </c>
      <c r="R57" s="48">
        <v>319</v>
      </c>
      <c r="S57" s="48"/>
    </row>
    <row r="58" spans="2:19" ht="20" x14ac:dyDescent="0.25">
      <c r="B58" s="47" t="s">
        <v>1344</v>
      </c>
      <c r="C58" s="47" t="s">
        <v>723</v>
      </c>
      <c r="D58" s="47">
        <v>70539</v>
      </c>
      <c r="E58" s="47">
        <v>70538</v>
      </c>
      <c r="F58" s="47" t="s">
        <v>2027</v>
      </c>
      <c r="G58" s="47" t="s">
        <v>39</v>
      </c>
      <c r="H58" s="47">
        <v>115</v>
      </c>
      <c r="I58" s="47">
        <v>319</v>
      </c>
      <c r="J58" s="48">
        <v>319</v>
      </c>
      <c r="K58" s="48">
        <v>319</v>
      </c>
      <c r="L58" s="48">
        <v>319</v>
      </c>
      <c r="M58" s="48">
        <v>319</v>
      </c>
      <c r="N58" s="47">
        <v>319</v>
      </c>
      <c r="O58" s="48">
        <v>319</v>
      </c>
      <c r="P58" s="48">
        <v>319</v>
      </c>
      <c r="Q58" s="48">
        <v>319</v>
      </c>
      <c r="R58" s="48">
        <v>319</v>
      </c>
      <c r="S58" s="48"/>
    </row>
    <row r="59" spans="2:19" ht="30" x14ac:dyDescent="0.25">
      <c r="B59" s="47" t="s">
        <v>1344</v>
      </c>
      <c r="C59" s="47" t="s">
        <v>723</v>
      </c>
      <c r="D59" s="47">
        <v>70539</v>
      </c>
      <c r="E59" s="47">
        <v>70538</v>
      </c>
      <c r="F59" s="47" t="s">
        <v>2114</v>
      </c>
      <c r="G59" s="47" t="s">
        <v>36</v>
      </c>
      <c r="H59" s="47">
        <v>115</v>
      </c>
      <c r="I59" s="47">
        <v>319</v>
      </c>
      <c r="J59" s="48">
        <v>319</v>
      </c>
      <c r="K59" s="48">
        <v>319</v>
      </c>
      <c r="L59" s="48">
        <v>319</v>
      </c>
      <c r="M59" s="48">
        <v>319</v>
      </c>
      <c r="N59" s="47">
        <v>319</v>
      </c>
      <c r="O59" s="48">
        <v>319</v>
      </c>
      <c r="P59" s="48">
        <v>319</v>
      </c>
      <c r="Q59" s="48">
        <v>319</v>
      </c>
      <c r="R59" s="48">
        <v>319</v>
      </c>
      <c r="S59" s="48"/>
    </row>
    <row r="60" spans="2:19" ht="20" x14ac:dyDescent="0.25">
      <c r="B60" s="47" t="s">
        <v>1344</v>
      </c>
      <c r="C60" s="47" t="s">
        <v>723</v>
      </c>
      <c r="D60" s="47">
        <v>70539</v>
      </c>
      <c r="E60" s="47">
        <v>70538</v>
      </c>
      <c r="F60" s="47" t="s">
        <v>2028</v>
      </c>
      <c r="G60" s="47" t="s">
        <v>39</v>
      </c>
      <c r="H60" s="47">
        <v>115</v>
      </c>
      <c r="I60" s="47">
        <v>319</v>
      </c>
      <c r="J60" s="48">
        <v>319</v>
      </c>
      <c r="K60" s="48">
        <v>319</v>
      </c>
      <c r="L60" s="48">
        <v>319</v>
      </c>
      <c r="M60" s="48">
        <v>319</v>
      </c>
      <c r="N60" s="47">
        <v>319</v>
      </c>
      <c r="O60" s="48">
        <v>319</v>
      </c>
      <c r="P60" s="48">
        <v>319</v>
      </c>
      <c r="Q60" s="48">
        <v>319</v>
      </c>
      <c r="R60" s="48">
        <v>319</v>
      </c>
      <c r="S60" s="48"/>
    </row>
    <row r="61" spans="2:19" ht="34.5" x14ac:dyDescent="0.25">
      <c r="B61" s="44" t="s">
        <v>1345</v>
      </c>
      <c r="C61" s="44" t="s">
        <v>723</v>
      </c>
      <c r="D61" s="44">
        <v>70539</v>
      </c>
      <c r="E61" s="44">
        <v>70538</v>
      </c>
      <c r="F61" s="44" t="s">
        <v>1345</v>
      </c>
      <c r="G61" s="44" t="s">
        <v>29</v>
      </c>
      <c r="H61" s="44"/>
      <c r="I61" s="45">
        <v>280</v>
      </c>
      <c r="J61" s="45">
        <v>319</v>
      </c>
      <c r="K61" s="45">
        <v>319</v>
      </c>
      <c r="L61" s="45">
        <v>319</v>
      </c>
      <c r="M61" s="45">
        <v>319</v>
      </c>
      <c r="N61" s="45">
        <v>308</v>
      </c>
      <c r="O61" s="45">
        <v>319</v>
      </c>
      <c r="P61" s="45">
        <v>319</v>
      </c>
      <c r="Q61" s="45">
        <v>319</v>
      </c>
      <c r="R61" s="45">
        <v>319</v>
      </c>
      <c r="S61" s="46"/>
    </row>
    <row r="62" spans="2:19" x14ac:dyDescent="0.25">
      <c r="B62" s="47" t="s">
        <v>1345</v>
      </c>
      <c r="C62" s="47" t="s">
        <v>723</v>
      </c>
      <c r="D62" s="47">
        <v>70539</v>
      </c>
      <c r="E62" s="47">
        <v>70538</v>
      </c>
      <c r="F62" s="47" t="s">
        <v>1331</v>
      </c>
      <c r="G62" s="47" t="s">
        <v>1325</v>
      </c>
      <c r="H62" s="47">
        <v>230</v>
      </c>
      <c r="I62" s="48">
        <v>280</v>
      </c>
      <c r="J62" s="47">
        <v>322</v>
      </c>
      <c r="K62" s="47">
        <v>336</v>
      </c>
      <c r="L62" s="47">
        <v>350</v>
      </c>
      <c r="M62" s="47">
        <v>378</v>
      </c>
      <c r="N62" s="48">
        <v>308</v>
      </c>
      <c r="O62" s="47">
        <v>350</v>
      </c>
      <c r="P62" s="47">
        <v>364</v>
      </c>
      <c r="Q62" s="47">
        <v>378</v>
      </c>
      <c r="R62" s="47">
        <v>420</v>
      </c>
      <c r="S62" s="47"/>
    </row>
    <row r="63" spans="2:19" x14ac:dyDescent="0.25">
      <c r="B63" s="47" t="s">
        <v>1345</v>
      </c>
      <c r="C63" s="47" t="s">
        <v>723</v>
      </c>
      <c r="D63" s="47">
        <v>70539</v>
      </c>
      <c r="E63" s="47">
        <v>70538</v>
      </c>
      <c r="F63" s="47" t="s">
        <v>1331</v>
      </c>
      <c r="G63" s="47" t="s">
        <v>1325</v>
      </c>
      <c r="H63" s="47">
        <v>115</v>
      </c>
      <c r="I63" s="48">
        <v>280</v>
      </c>
      <c r="J63" s="47">
        <v>322</v>
      </c>
      <c r="K63" s="47">
        <v>336</v>
      </c>
      <c r="L63" s="47">
        <v>350</v>
      </c>
      <c r="M63" s="47">
        <v>378</v>
      </c>
      <c r="N63" s="48">
        <v>308</v>
      </c>
      <c r="O63" s="47">
        <v>350</v>
      </c>
      <c r="P63" s="47">
        <v>364</v>
      </c>
      <c r="Q63" s="47">
        <v>378</v>
      </c>
      <c r="R63" s="47">
        <v>420</v>
      </c>
      <c r="S63" s="47"/>
    </row>
    <row r="64" spans="2:19" ht="20" x14ac:dyDescent="0.25">
      <c r="B64" s="47" t="s">
        <v>1345</v>
      </c>
      <c r="C64" s="47" t="s">
        <v>723</v>
      </c>
      <c r="D64" s="47">
        <v>70539</v>
      </c>
      <c r="E64" s="47">
        <v>70538</v>
      </c>
      <c r="F64" s="47" t="s">
        <v>2030</v>
      </c>
      <c r="G64" s="47" t="s">
        <v>39</v>
      </c>
      <c r="H64" s="47">
        <v>115</v>
      </c>
      <c r="I64" s="47">
        <v>319</v>
      </c>
      <c r="J64" s="48">
        <v>319</v>
      </c>
      <c r="K64" s="48">
        <v>319</v>
      </c>
      <c r="L64" s="48">
        <v>319</v>
      </c>
      <c r="M64" s="48">
        <v>319</v>
      </c>
      <c r="N64" s="47">
        <v>319</v>
      </c>
      <c r="O64" s="48">
        <v>319</v>
      </c>
      <c r="P64" s="48">
        <v>319</v>
      </c>
      <c r="Q64" s="48">
        <v>319</v>
      </c>
      <c r="R64" s="48">
        <v>319</v>
      </c>
      <c r="S64" s="48"/>
    </row>
    <row r="65" spans="2:19" ht="30" x14ac:dyDescent="0.25">
      <c r="B65" s="47" t="s">
        <v>1345</v>
      </c>
      <c r="C65" s="47" t="s">
        <v>723</v>
      </c>
      <c r="D65" s="47">
        <v>70539</v>
      </c>
      <c r="E65" s="47">
        <v>70538</v>
      </c>
      <c r="F65" s="47" t="s">
        <v>2118</v>
      </c>
      <c r="G65" s="47" t="s">
        <v>36</v>
      </c>
      <c r="H65" s="47">
        <v>115</v>
      </c>
      <c r="I65" s="47">
        <v>319</v>
      </c>
      <c r="J65" s="48">
        <v>319</v>
      </c>
      <c r="K65" s="48">
        <v>319</v>
      </c>
      <c r="L65" s="48">
        <v>319</v>
      </c>
      <c r="M65" s="48">
        <v>319</v>
      </c>
      <c r="N65" s="47">
        <v>319</v>
      </c>
      <c r="O65" s="48">
        <v>319</v>
      </c>
      <c r="P65" s="48">
        <v>319</v>
      </c>
      <c r="Q65" s="48">
        <v>319</v>
      </c>
      <c r="R65" s="48">
        <v>319</v>
      </c>
      <c r="S65" s="48"/>
    </row>
    <row r="66" spans="2:19" ht="30" x14ac:dyDescent="0.25">
      <c r="B66" s="47" t="s">
        <v>1345</v>
      </c>
      <c r="C66" s="47" t="s">
        <v>723</v>
      </c>
      <c r="D66" s="47">
        <v>70539</v>
      </c>
      <c r="E66" s="47">
        <v>70538</v>
      </c>
      <c r="F66" s="47" t="s">
        <v>2116</v>
      </c>
      <c r="G66" s="47" t="s">
        <v>36</v>
      </c>
      <c r="H66" s="47">
        <v>115</v>
      </c>
      <c r="I66" s="47">
        <v>319</v>
      </c>
      <c r="J66" s="48">
        <v>319</v>
      </c>
      <c r="K66" s="48">
        <v>319</v>
      </c>
      <c r="L66" s="48">
        <v>319</v>
      </c>
      <c r="M66" s="48">
        <v>319</v>
      </c>
      <c r="N66" s="47">
        <v>319</v>
      </c>
      <c r="O66" s="48">
        <v>319</v>
      </c>
      <c r="P66" s="48">
        <v>319</v>
      </c>
      <c r="Q66" s="48">
        <v>319</v>
      </c>
      <c r="R66" s="48">
        <v>319</v>
      </c>
      <c r="S66" s="48"/>
    </row>
    <row r="67" spans="2:19" ht="30" x14ac:dyDescent="0.25">
      <c r="B67" s="47" t="s">
        <v>1345</v>
      </c>
      <c r="C67" s="47" t="s">
        <v>723</v>
      </c>
      <c r="D67" s="47">
        <v>70539</v>
      </c>
      <c r="E67" s="47">
        <v>70538</v>
      </c>
      <c r="F67" s="47" t="s">
        <v>2117</v>
      </c>
      <c r="G67" s="47" t="s">
        <v>36</v>
      </c>
      <c r="H67" s="47">
        <v>115</v>
      </c>
      <c r="I67" s="47">
        <v>319</v>
      </c>
      <c r="J67" s="48">
        <v>319</v>
      </c>
      <c r="K67" s="48">
        <v>319</v>
      </c>
      <c r="L67" s="48">
        <v>319</v>
      </c>
      <c r="M67" s="48">
        <v>319</v>
      </c>
      <c r="N67" s="47">
        <v>319</v>
      </c>
      <c r="O67" s="48">
        <v>319</v>
      </c>
      <c r="P67" s="48">
        <v>319</v>
      </c>
      <c r="Q67" s="48">
        <v>319</v>
      </c>
      <c r="R67" s="48">
        <v>319</v>
      </c>
      <c r="S67" s="48"/>
    </row>
    <row r="68" spans="2:19" ht="20" x14ac:dyDescent="0.25">
      <c r="B68" s="47" t="s">
        <v>1345</v>
      </c>
      <c r="C68" s="47" t="s">
        <v>723</v>
      </c>
      <c r="D68" s="47">
        <v>70539</v>
      </c>
      <c r="E68" s="47">
        <v>70538</v>
      </c>
      <c r="F68" s="47" t="s">
        <v>2032</v>
      </c>
      <c r="G68" s="47" t="s">
        <v>39</v>
      </c>
      <c r="H68" s="47">
        <v>115</v>
      </c>
      <c r="I68" s="47">
        <v>319</v>
      </c>
      <c r="J68" s="48">
        <v>319</v>
      </c>
      <c r="K68" s="48">
        <v>319</v>
      </c>
      <c r="L68" s="48">
        <v>319</v>
      </c>
      <c r="M68" s="48">
        <v>319</v>
      </c>
      <c r="N68" s="47">
        <v>319</v>
      </c>
      <c r="O68" s="48">
        <v>319</v>
      </c>
      <c r="P68" s="48">
        <v>319</v>
      </c>
      <c r="Q68" s="48">
        <v>319</v>
      </c>
      <c r="R68" s="48">
        <v>319</v>
      </c>
      <c r="S68" s="48"/>
    </row>
    <row r="69" spans="2:19" ht="20" x14ac:dyDescent="0.25">
      <c r="B69" s="47" t="s">
        <v>1345</v>
      </c>
      <c r="C69" s="47" t="s">
        <v>723</v>
      </c>
      <c r="D69" s="47">
        <v>70539</v>
      </c>
      <c r="E69" s="47">
        <v>70538</v>
      </c>
      <c r="F69" s="47" t="s">
        <v>2029</v>
      </c>
      <c r="G69" s="47" t="s">
        <v>39</v>
      </c>
      <c r="H69" s="47">
        <v>115</v>
      </c>
      <c r="I69" s="47">
        <v>319</v>
      </c>
      <c r="J69" s="48">
        <v>319</v>
      </c>
      <c r="K69" s="48">
        <v>319</v>
      </c>
      <c r="L69" s="48">
        <v>319</v>
      </c>
      <c r="M69" s="48">
        <v>319</v>
      </c>
      <c r="N69" s="47">
        <v>319</v>
      </c>
      <c r="O69" s="48">
        <v>319</v>
      </c>
      <c r="P69" s="48">
        <v>319</v>
      </c>
      <c r="Q69" s="48">
        <v>319</v>
      </c>
      <c r="R69" s="48">
        <v>319</v>
      </c>
      <c r="S69" s="48"/>
    </row>
    <row r="70" spans="2:19" ht="20" x14ac:dyDescent="0.25">
      <c r="B70" s="47" t="s">
        <v>1345</v>
      </c>
      <c r="C70" s="47" t="s">
        <v>723</v>
      </c>
      <c r="D70" s="47">
        <v>70539</v>
      </c>
      <c r="E70" s="47">
        <v>70538</v>
      </c>
      <c r="F70" s="47" t="s">
        <v>2031</v>
      </c>
      <c r="G70" s="47" t="s">
        <v>39</v>
      </c>
      <c r="H70" s="47">
        <v>115</v>
      </c>
      <c r="I70" s="47">
        <v>319</v>
      </c>
      <c r="J70" s="48">
        <v>319</v>
      </c>
      <c r="K70" s="48">
        <v>319</v>
      </c>
      <c r="L70" s="48">
        <v>319</v>
      </c>
      <c r="M70" s="48">
        <v>319</v>
      </c>
      <c r="N70" s="47">
        <v>319</v>
      </c>
      <c r="O70" s="48">
        <v>319</v>
      </c>
      <c r="P70" s="48">
        <v>319</v>
      </c>
      <c r="Q70" s="48">
        <v>319</v>
      </c>
      <c r="R70" s="48">
        <v>319</v>
      </c>
      <c r="S70" s="48"/>
    </row>
    <row r="71" spans="2:19" ht="30" x14ac:dyDescent="0.25">
      <c r="B71" s="47" t="s">
        <v>1345</v>
      </c>
      <c r="C71" s="47" t="s">
        <v>723</v>
      </c>
      <c r="D71" s="47">
        <v>70539</v>
      </c>
      <c r="E71" s="47">
        <v>70538</v>
      </c>
      <c r="F71" s="47" t="s">
        <v>2119</v>
      </c>
      <c r="G71" s="47" t="s">
        <v>36</v>
      </c>
      <c r="H71" s="47">
        <v>115</v>
      </c>
      <c r="I71" s="47">
        <v>319</v>
      </c>
      <c r="J71" s="48">
        <v>319</v>
      </c>
      <c r="K71" s="48">
        <v>319</v>
      </c>
      <c r="L71" s="48">
        <v>319</v>
      </c>
      <c r="M71" s="48">
        <v>319</v>
      </c>
      <c r="N71" s="47">
        <v>319</v>
      </c>
      <c r="O71" s="48">
        <v>319</v>
      </c>
      <c r="P71" s="48">
        <v>319</v>
      </c>
      <c r="Q71" s="48">
        <v>319</v>
      </c>
      <c r="R71" s="48">
        <v>319</v>
      </c>
      <c r="S71" s="48"/>
    </row>
    <row r="72" spans="2:19" ht="34.5" x14ac:dyDescent="0.25">
      <c r="B72" s="44" t="s">
        <v>1346</v>
      </c>
      <c r="C72" s="44" t="s">
        <v>294</v>
      </c>
      <c r="D72" s="44">
        <v>70107</v>
      </c>
      <c r="E72" s="44">
        <v>70108</v>
      </c>
      <c r="F72" s="44" t="s">
        <v>1346</v>
      </c>
      <c r="G72" s="44" t="s">
        <v>29</v>
      </c>
      <c r="H72" s="44"/>
      <c r="I72" s="45">
        <v>280</v>
      </c>
      <c r="J72" s="45">
        <v>280</v>
      </c>
      <c r="K72" s="45">
        <v>317</v>
      </c>
      <c r="L72" s="45">
        <v>317</v>
      </c>
      <c r="M72" s="45">
        <v>317</v>
      </c>
      <c r="N72" s="45">
        <v>308</v>
      </c>
      <c r="O72" s="45">
        <v>308</v>
      </c>
      <c r="P72" s="45">
        <v>350</v>
      </c>
      <c r="Q72" s="45">
        <v>361</v>
      </c>
      <c r="R72" s="45">
        <v>361</v>
      </c>
      <c r="S72" s="46"/>
    </row>
    <row r="73" spans="2:19" ht="30" x14ac:dyDescent="0.25">
      <c r="B73" s="47" t="s">
        <v>1346</v>
      </c>
      <c r="C73" s="47" t="s">
        <v>294</v>
      </c>
      <c r="D73" s="47">
        <v>70107</v>
      </c>
      <c r="E73" s="47">
        <v>70108</v>
      </c>
      <c r="F73" s="47" t="s">
        <v>1328</v>
      </c>
      <c r="G73" s="47" t="s">
        <v>1325</v>
      </c>
      <c r="H73" s="47">
        <v>230</v>
      </c>
      <c r="I73" s="48">
        <v>280</v>
      </c>
      <c r="J73" s="48">
        <v>280</v>
      </c>
      <c r="K73" s="47">
        <v>322</v>
      </c>
      <c r="L73" s="47">
        <v>336</v>
      </c>
      <c r="M73" s="47">
        <v>350</v>
      </c>
      <c r="N73" s="48">
        <v>308</v>
      </c>
      <c r="O73" s="48">
        <v>308</v>
      </c>
      <c r="P73" s="48">
        <v>350</v>
      </c>
      <c r="Q73" s="47">
        <v>364</v>
      </c>
      <c r="R73" s="47">
        <v>378</v>
      </c>
      <c r="S73" s="47"/>
    </row>
    <row r="74" spans="2:19" ht="30" x14ac:dyDescent="0.25">
      <c r="B74" s="47" t="s">
        <v>1346</v>
      </c>
      <c r="C74" s="47" t="s">
        <v>294</v>
      </c>
      <c r="D74" s="47">
        <v>70107</v>
      </c>
      <c r="E74" s="47">
        <v>70108</v>
      </c>
      <c r="F74" s="47" t="s">
        <v>1328</v>
      </c>
      <c r="G74" s="47" t="s">
        <v>1325</v>
      </c>
      <c r="H74" s="47">
        <v>115</v>
      </c>
      <c r="I74" s="48">
        <v>280</v>
      </c>
      <c r="J74" s="48">
        <v>280</v>
      </c>
      <c r="K74" s="47">
        <v>322</v>
      </c>
      <c r="L74" s="47">
        <v>336</v>
      </c>
      <c r="M74" s="47">
        <v>350</v>
      </c>
      <c r="N74" s="48">
        <v>308</v>
      </c>
      <c r="O74" s="48">
        <v>308</v>
      </c>
      <c r="P74" s="48">
        <v>350</v>
      </c>
      <c r="Q74" s="47">
        <v>364</v>
      </c>
      <c r="R74" s="47">
        <v>378</v>
      </c>
      <c r="S74" s="47"/>
    </row>
    <row r="75" spans="2:19" ht="30" x14ac:dyDescent="0.25">
      <c r="B75" s="47" t="s">
        <v>1346</v>
      </c>
      <c r="C75" s="47" t="s">
        <v>294</v>
      </c>
      <c r="D75" s="47">
        <v>70107</v>
      </c>
      <c r="E75" s="47">
        <v>70108</v>
      </c>
      <c r="F75" s="47" t="s">
        <v>604</v>
      </c>
      <c r="G75" s="47" t="s">
        <v>31</v>
      </c>
      <c r="H75" s="47">
        <v>115</v>
      </c>
      <c r="I75" s="47">
        <v>288</v>
      </c>
      <c r="J75" s="47">
        <v>288</v>
      </c>
      <c r="K75" s="48">
        <v>317</v>
      </c>
      <c r="L75" s="48">
        <v>317</v>
      </c>
      <c r="M75" s="48">
        <v>317</v>
      </c>
      <c r="N75" s="47">
        <v>328</v>
      </c>
      <c r="O75" s="47">
        <v>328</v>
      </c>
      <c r="P75" s="47">
        <v>361</v>
      </c>
      <c r="Q75" s="48">
        <v>361</v>
      </c>
      <c r="R75" s="48">
        <v>361</v>
      </c>
      <c r="S75" s="48"/>
    </row>
    <row r="76" spans="2:19" ht="34.5" x14ac:dyDescent="0.25">
      <c r="B76" s="44" t="s">
        <v>1347</v>
      </c>
      <c r="C76" s="44" t="s">
        <v>294</v>
      </c>
      <c r="D76" s="44">
        <v>70107</v>
      </c>
      <c r="E76" s="44">
        <v>70108</v>
      </c>
      <c r="F76" s="44" t="s">
        <v>1347</v>
      </c>
      <c r="G76" s="44" t="s">
        <v>29</v>
      </c>
      <c r="H76" s="44"/>
      <c r="I76" s="45">
        <v>280</v>
      </c>
      <c r="J76" s="45">
        <v>280</v>
      </c>
      <c r="K76" s="45">
        <v>322</v>
      </c>
      <c r="L76" s="45">
        <v>336</v>
      </c>
      <c r="M76" s="45">
        <v>350</v>
      </c>
      <c r="N76" s="45">
        <v>308</v>
      </c>
      <c r="O76" s="45">
        <v>308</v>
      </c>
      <c r="P76" s="45">
        <v>350</v>
      </c>
      <c r="Q76" s="45">
        <v>364</v>
      </c>
      <c r="R76" s="45">
        <v>378</v>
      </c>
      <c r="S76" s="46"/>
    </row>
    <row r="77" spans="2:19" ht="30" x14ac:dyDescent="0.25">
      <c r="B77" s="47" t="s">
        <v>1347</v>
      </c>
      <c r="C77" s="47" t="s">
        <v>294</v>
      </c>
      <c r="D77" s="47">
        <v>70107</v>
      </c>
      <c r="E77" s="47">
        <v>70108</v>
      </c>
      <c r="F77" s="47" t="s">
        <v>1331</v>
      </c>
      <c r="G77" s="47" t="s">
        <v>1325</v>
      </c>
      <c r="H77" s="47">
        <v>230</v>
      </c>
      <c r="I77" s="48">
        <v>280</v>
      </c>
      <c r="J77" s="48">
        <v>280</v>
      </c>
      <c r="K77" s="48">
        <v>322</v>
      </c>
      <c r="L77" s="48">
        <v>336</v>
      </c>
      <c r="M77" s="48">
        <v>350</v>
      </c>
      <c r="N77" s="48">
        <v>308</v>
      </c>
      <c r="O77" s="48">
        <v>308</v>
      </c>
      <c r="P77" s="48">
        <v>350</v>
      </c>
      <c r="Q77" s="48">
        <v>364</v>
      </c>
      <c r="R77" s="48">
        <v>378</v>
      </c>
      <c r="S77" s="48"/>
    </row>
    <row r="78" spans="2:19" ht="30" x14ac:dyDescent="0.25">
      <c r="B78" s="47" t="s">
        <v>1347</v>
      </c>
      <c r="C78" s="47" t="s">
        <v>294</v>
      </c>
      <c r="D78" s="47">
        <v>70107</v>
      </c>
      <c r="E78" s="47">
        <v>70108</v>
      </c>
      <c r="F78" s="47" t="s">
        <v>1331</v>
      </c>
      <c r="G78" s="47" t="s">
        <v>1325</v>
      </c>
      <c r="H78" s="47">
        <v>115</v>
      </c>
      <c r="I78" s="48">
        <v>280</v>
      </c>
      <c r="J78" s="48">
        <v>280</v>
      </c>
      <c r="K78" s="48">
        <v>322</v>
      </c>
      <c r="L78" s="48">
        <v>336</v>
      </c>
      <c r="M78" s="48">
        <v>350</v>
      </c>
      <c r="N78" s="48">
        <v>308</v>
      </c>
      <c r="O78" s="48">
        <v>308</v>
      </c>
      <c r="P78" s="48">
        <v>350</v>
      </c>
      <c r="Q78" s="48">
        <v>364</v>
      </c>
      <c r="R78" s="48">
        <v>378</v>
      </c>
      <c r="S78" s="48"/>
    </row>
    <row r="79" spans="2:19" ht="34.5" x14ac:dyDescent="0.25">
      <c r="B79" s="44" t="s">
        <v>1348</v>
      </c>
      <c r="C79" s="44" t="s">
        <v>350</v>
      </c>
      <c r="D79" s="44">
        <v>70122</v>
      </c>
      <c r="E79" s="44">
        <v>70121</v>
      </c>
      <c r="F79" s="44" t="s">
        <v>1348</v>
      </c>
      <c r="G79" s="44" t="s">
        <v>29</v>
      </c>
      <c r="H79" s="44"/>
      <c r="I79" s="45">
        <v>280</v>
      </c>
      <c r="J79" s="45">
        <v>319</v>
      </c>
      <c r="K79" s="45">
        <v>319</v>
      </c>
      <c r="L79" s="45">
        <v>319</v>
      </c>
      <c r="M79" s="45">
        <v>319</v>
      </c>
      <c r="N79" s="45">
        <v>308</v>
      </c>
      <c r="O79" s="45">
        <v>319</v>
      </c>
      <c r="P79" s="45">
        <v>319</v>
      </c>
      <c r="Q79" s="45">
        <v>319</v>
      </c>
      <c r="R79" s="45">
        <v>319</v>
      </c>
      <c r="S79" s="46"/>
    </row>
    <row r="80" spans="2:19" x14ac:dyDescent="0.25">
      <c r="B80" s="47" t="s">
        <v>1348</v>
      </c>
      <c r="C80" s="47" t="s">
        <v>350</v>
      </c>
      <c r="D80" s="47">
        <v>70122</v>
      </c>
      <c r="E80" s="47">
        <v>70121</v>
      </c>
      <c r="F80" s="47" t="s">
        <v>1328</v>
      </c>
      <c r="G80" s="47" t="s">
        <v>1325</v>
      </c>
      <c r="H80" s="47">
        <v>230</v>
      </c>
      <c r="I80" s="48">
        <v>280</v>
      </c>
      <c r="J80" s="47">
        <v>322</v>
      </c>
      <c r="K80" s="47">
        <v>336</v>
      </c>
      <c r="L80" s="47">
        <v>350</v>
      </c>
      <c r="M80" s="47">
        <v>378</v>
      </c>
      <c r="N80" s="48">
        <v>308</v>
      </c>
      <c r="O80" s="47">
        <v>350</v>
      </c>
      <c r="P80" s="47">
        <v>364</v>
      </c>
      <c r="Q80" s="47">
        <v>378</v>
      </c>
      <c r="R80" s="47">
        <v>420</v>
      </c>
      <c r="S80" s="47"/>
    </row>
    <row r="81" spans="2:19" x14ac:dyDescent="0.25">
      <c r="B81" s="47" t="s">
        <v>1348</v>
      </c>
      <c r="C81" s="47" t="s">
        <v>350</v>
      </c>
      <c r="D81" s="47">
        <v>70122</v>
      </c>
      <c r="E81" s="47">
        <v>70121</v>
      </c>
      <c r="F81" s="47" t="s">
        <v>1328</v>
      </c>
      <c r="G81" s="47" t="s">
        <v>1325</v>
      </c>
      <c r="H81" s="47">
        <v>115</v>
      </c>
      <c r="I81" s="48">
        <v>280</v>
      </c>
      <c r="J81" s="47">
        <v>322</v>
      </c>
      <c r="K81" s="47">
        <v>336</v>
      </c>
      <c r="L81" s="47">
        <v>350</v>
      </c>
      <c r="M81" s="47">
        <v>378</v>
      </c>
      <c r="N81" s="48">
        <v>308</v>
      </c>
      <c r="O81" s="47">
        <v>350</v>
      </c>
      <c r="P81" s="47">
        <v>364</v>
      </c>
      <c r="Q81" s="47">
        <v>378</v>
      </c>
      <c r="R81" s="47">
        <v>420</v>
      </c>
      <c r="S81" s="47"/>
    </row>
    <row r="82" spans="2:19" ht="30" x14ac:dyDescent="0.25">
      <c r="B82" s="47" t="s">
        <v>1348</v>
      </c>
      <c r="C82" s="47" t="s">
        <v>350</v>
      </c>
      <c r="D82" s="47">
        <v>70122</v>
      </c>
      <c r="E82" s="47">
        <v>70121</v>
      </c>
      <c r="F82" s="47" t="s">
        <v>2528</v>
      </c>
      <c r="G82" s="47" t="s">
        <v>36</v>
      </c>
      <c r="H82" s="47">
        <v>230</v>
      </c>
      <c r="I82" s="47">
        <v>319</v>
      </c>
      <c r="J82" s="48">
        <v>319</v>
      </c>
      <c r="K82" s="48">
        <v>319</v>
      </c>
      <c r="L82" s="48">
        <v>319</v>
      </c>
      <c r="M82" s="48">
        <v>319</v>
      </c>
      <c r="N82" s="47">
        <v>319</v>
      </c>
      <c r="O82" s="48">
        <v>319</v>
      </c>
      <c r="P82" s="48">
        <v>319</v>
      </c>
      <c r="Q82" s="48">
        <v>319</v>
      </c>
      <c r="R82" s="48">
        <v>319</v>
      </c>
      <c r="S82" s="48"/>
    </row>
    <row r="83" spans="2:19" ht="30" x14ac:dyDescent="0.25">
      <c r="B83" s="47" t="s">
        <v>1348</v>
      </c>
      <c r="C83" s="47" t="s">
        <v>350</v>
      </c>
      <c r="D83" s="47">
        <v>70122</v>
      </c>
      <c r="E83" s="47">
        <v>70121</v>
      </c>
      <c r="F83" s="47" t="s">
        <v>2527</v>
      </c>
      <c r="G83" s="47" t="s">
        <v>36</v>
      </c>
      <c r="H83" s="47">
        <v>230</v>
      </c>
      <c r="I83" s="47">
        <v>319</v>
      </c>
      <c r="J83" s="48">
        <v>319</v>
      </c>
      <c r="K83" s="48">
        <v>319</v>
      </c>
      <c r="L83" s="48">
        <v>319</v>
      </c>
      <c r="M83" s="48">
        <v>319</v>
      </c>
      <c r="N83" s="47">
        <v>319</v>
      </c>
      <c r="O83" s="48">
        <v>319</v>
      </c>
      <c r="P83" s="48">
        <v>319</v>
      </c>
      <c r="Q83" s="48">
        <v>319</v>
      </c>
      <c r="R83" s="48">
        <v>319</v>
      </c>
      <c r="S83" s="48"/>
    </row>
    <row r="84" spans="2:19" ht="34.5" x14ac:dyDescent="0.25">
      <c r="B84" s="44" t="s">
        <v>1349</v>
      </c>
      <c r="C84" s="44" t="s">
        <v>350</v>
      </c>
      <c r="D84" s="44">
        <v>70122</v>
      </c>
      <c r="E84" s="44">
        <v>70121</v>
      </c>
      <c r="F84" s="44" t="s">
        <v>1349</v>
      </c>
      <c r="G84" s="44" t="s">
        <v>29</v>
      </c>
      <c r="H84" s="44"/>
      <c r="I84" s="45">
        <v>280</v>
      </c>
      <c r="J84" s="45">
        <v>322</v>
      </c>
      <c r="K84" s="45">
        <v>336</v>
      </c>
      <c r="L84" s="45">
        <v>350</v>
      </c>
      <c r="M84" s="45">
        <v>378</v>
      </c>
      <c r="N84" s="45">
        <v>308</v>
      </c>
      <c r="O84" s="45">
        <v>350</v>
      </c>
      <c r="P84" s="45">
        <v>364</v>
      </c>
      <c r="Q84" s="45">
        <v>378</v>
      </c>
      <c r="R84" s="45">
        <v>420</v>
      </c>
      <c r="S84" s="46"/>
    </row>
    <row r="85" spans="2:19" x14ac:dyDescent="0.25">
      <c r="B85" s="47" t="s">
        <v>1349</v>
      </c>
      <c r="C85" s="47" t="s">
        <v>350</v>
      </c>
      <c r="D85" s="47">
        <v>70122</v>
      </c>
      <c r="E85" s="47">
        <v>70121</v>
      </c>
      <c r="F85" s="47" t="s">
        <v>1331</v>
      </c>
      <c r="G85" s="47" t="s">
        <v>1325</v>
      </c>
      <c r="H85" s="47">
        <v>115</v>
      </c>
      <c r="I85" s="48">
        <v>280</v>
      </c>
      <c r="J85" s="48">
        <v>322</v>
      </c>
      <c r="K85" s="48">
        <v>336</v>
      </c>
      <c r="L85" s="48">
        <v>350</v>
      </c>
      <c r="M85" s="48">
        <v>378</v>
      </c>
      <c r="N85" s="48">
        <v>308</v>
      </c>
      <c r="O85" s="48">
        <v>350</v>
      </c>
      <c r="P85" s="48">
        <v>364</v>
      </c>
      <c r="Q85" s="48">
        <v>378</v>
      </c>
      <c r="R85" s="48">
        <v>420</v>
      </c>
      <c r="S85" s="48"/>
    </row>
    <row r="86" spans="2:19" x14ac:dyDescent="0.25">
      <c r="B86" s="47" t="s">
        <v>1349</v>
      </c>
      <c r="C86" s="47" t="s">
        <v>350</v>
      </c>
      <c r="D86" s="47">
        <v>70122</v>
      </c>
      <c r="E86" s="47">
        <v>70121</v>
      </c>
      <c r="F86" s="47" t="s">
        <v>1331</v>
      </c>
      <c r="G86" s="47" t="s">
        <v>1325</v>
      </c>
      <c r="H86" s="47">
        <v>230</v>
      </c>
      <c r="I86" s="48">
        <v>280</v>
      </c>
      <c r="J86" s="48">
        <v>322</v>
      </c>
      <c r="K86" s="48">
        <v>336</v>
      </c>
      <c r="L86" s="48">
        <v>350</v>
      </c>
      <c r="M86" s="48">
        <v>378</v>
      </c>
      <c r="N86" s="48">
        <v>308</v>
      </c>
      <c r="O86" s="48">
        <v>350</v>
      </c>
      <c r="P86" s="48">
        <v>364</v>
      </c>
      <c r="Q86" s="48">
        <v>378</v>
      </c>
      <c r="R86" s="48">
        <v>420</v>
      </c>
      <c r="S86" s="48"/>
    </row>
    <row r="87" spans="2:19" ht="34.5" x14ac:dyDescent="0.25">
      <c r="B87" s="44" t="s">
        <v>1350</v>
      </c>
      <c r="C87" s="44" t="s">
        <v>350</v>
      </c>
      <c r="D87" s="44">
        <v>70654</v>
      </c>
      <c r="E87" s="44">
        <v>70122</v>
      </c>
      <c r="F87" s="44" t="s">
        <v>1350</v>
      </c>
      <c r="G87" s="44" t="s">
        <v>29</v>
      </c>
      <c r="H87" s="44"/>
      <c r="I87" s="45">
        <v>560</v>
      </c>
      <c r="J87" s="45">
        <v>644</v>
      </c>
      <c r="K87" s="45">
        <v>672</v>
      </c>
      <c r="L87" s="45">
        <v>700</v>
      </c>
      <c r="M87" s="45">
        <v>756</v>
      </c>
      <c r="N87" s="45">
        <v>616</v>
      </c>
      <c r="O87" s="45">
        <v>700</v>
      </c>
      <c r="P87" s="45">
        <v>728</v>
      </c>
      <c r="Q87" s="45">
        <v>756</v>
      </c>
      <c r="R87" s="45">
        <v>840</v>
      </c>
      <c r="S87" s="46"/>
    </row>
    <row r="88" spans="2:19" x14ac:dyDescent="0.25">
      <c r="B88" s="47" t="s">
        <v>1350</v>
      </c>
      <c r="C88" s="47" t="s">
        <v>350</v>
      </c>
      <c r="D88" s="47">
        <v>70654</v>
      </c>
      <c r="E88" s="47">
        <v>70122</v>
      </c>
      <c r="F88" s="47" t="s">
        <v>1351</v>
      </c>
      <c r="G88" s="47" t="s">
        <v>1325</v>
      </c>
      <c r="H88" s="47">
        <v>345</v>
      </c>
      <c r="I88" s="48">
        <v>560</v>
      </c>
      <c r="J88" s="48">
        <v>644</v>
      </c>
      <c r="K88" s="48">
        <v>672</v>
      </c>
      <c r="L88" s="48">
        <v>700</v>
      </c>
      <c r="M88" s="48">
        <v>756</v>
      </c>
      <c r="N88" s="48">
        <v>616</v>
      </c>
      <c r="O88" s="48">
        <v>700</v>
      </c>
      <c r="P88" s="48">
        <v>728</v>
      </c>
      <c r="Q88" s="48">
        <v>756</v>
      </c>
      <c r="R88" s="48">
        <v>840</v>
      </c>
      <c r="S88" s="48"/>
    </row>
    <row r="89" spans="2:19" x14ac:dyDescent="0.25">
      <c r="B89" s="47" t="s">
        <v>1350</v>
      </c>
      <c r="C89" s="47" t="s">
        <v>350</v>
      </c>
      <c r="D89" s="47">
        <v>70654</v>
      </c>
      <c r="E89" s="47">
        <v>70122</v>
      </c>
      <c r="F89" s="47" t="s">
        <v>1351</v>
      </c>
      <c r="G89" s="47" t="s">
        <v>1325</v>
      </c>
      <c r="H89" s="47">
        <v>230</v>
      </c>
      <c r="I89" s="48">
        <v>560</v>
      </c>
      <c r="J89" s="48">
        <v>644</v>
      </c>
      <c r="K89" s="48">
        <v>672</v>
      </c>
      <c r="L89" s="48">
        <v>700</v>
      </c>
      <c r="M89" s="48">
        <v>756</v>
      </c>
      <c r="N89" s="48">
        <v>616</v>
      </c>
      <c r="O89" s="48">
        <v>700</v>
      </c>
      <c r="P89" s="48">
        <v>728</v>
      </c>
      <c r="Q89" s="48">
        <v>756</v>
      </c>
      <c r="R89" s="48">
        <v>840</v>
      </c>
      <c r="S89" s="48"/>
    </row>
    <row r="90" spans="2:19" ht="34.5" x14ac:dyDescent="0.25">
      <c r="B90" s="44" t="s">
        <v>1352</v>
      </c>
      <c r="C90" s="44" t="s">
        <v>350</v>
      </c>
      <c r="D90" s="44">
        <v>70654</v>
      </c>
      <c r="E90" s="44">
        <v>70122</v>
      </c>
      <c r="F90" s="44" t="s">
        <v>1352</v>
      </c>
      <c r="G90" s="44" t="s">
        <v>29</v>
      </c>
      <c r="H90" s="44"/>
      <c r="I90" s="45">
        <v>560</v>
      </c>
      <c r="J90" s="45">
        <v>644</v>
      </c>
      <c r="K90" s="45">
        <v>672</v>
      </c>
      <c r="L90" s="45">
        <v>700</v>
      </c>
      <c r="M90" s="45">
        <v>756</v>
      </c>
      <c r="N90" s="45">
        <v>616</v>
      </c>
      <c r="O90" s="45">
        <v>700</v>
      </c>
      <c r="P90" s="45">
        <v>728</v>
      </c>
      <c r="Q90" s="45">
        <v>756</v>
      </c>
      <c r="R90" s="45">
        <v>765</v>
      </c>
      <c r="S90" s="46"/>
    </row>
    <row r="91" spans="2:19" x14ac:dyDescent="0.25">
      <c r="B91" s="47" t="s">
        <v>1352</v>
      </c>
      <c r="C91" s="47" t="s">
        <v>350</v>
      </c>
      <c r="D91" s="47">
        <v>70654</v>
      </c>
      <c r="E91" s="47">
        <v>70122</v>
      </c>
      <c r="F91" s="47" t="s">
        <v>1353</v>
      </c>
      <c r="G91" s="47" t="s">
        <v>1325</v>
      </c>
      <c r="H91" s="47">
        <v>345</v>
      </c>
      <c r="I91" s="48">
        <v>560</v>
      </c>
      <c r="J91" s="48">
        <v>644</v>
      </c>
      <c r="K91" s="48">
        <v>672</v>
      </c>
      <c r="L91" s="48">
        <v>700</v>
      </c>
      <c r="M91" s="48">
        <v>756</v>
      </c>
      <c r="N91" s="48">
        <v>616</v>
      </c>
      <c r="O91" s="48">
        <v>700</v>
      </c>
      <c r="P91" s="48">
        <v>728</v>
      </c>
      <c r="Q91" s="48">
        <v>756</v>
      </c>
      <c r="R91" s="47">
        <v>840</v>
      </c>
      <c r="S91" s="47"/>
    </row>
    <row r="92" spans="2:19" x14ac:dyDescent="0.25">
      <c r="B92" s="47" t="s">
        <v>1352</v>
      </c>
      <c r="C92" s="47" t="s">
        <v>350</v>
      </c>
      <c r="D92" s="47">
        <v>70654</v>
      </c>
      <c r="E92" s="47">
        <v>70122</v>
      </c>
      <c r="F92" s="47" t="s">
        <v>1353</v>
      </c>
      <c r="G92" s="47" t="s">
        <v>1325</v>
      </c>
      <c r="H92" s="47">
        <v>230</v>
      </c>
      <c r="I92" s="48">
        <v>560</v>
      </c>
      <c r="J92" s="48">
        <v>644</v>
      </c>
      <c r="K92" s="48">
        <v>672</v>
      </c>
      <c r="L92" s="48">
        <v>700</v>
      </c>
      <c r="M92" s="48">
        <v>756</v>
      </c>
      <c r="N92" s="48">
        <v>616</v>
      </c>
      <c r="O92" s="48">
        <v>700</v>
      </c>
      <c r="P92" s="48">
        <v>728</v>
      </c>
      <c r="Q92" s="48">
        <v>756</v>
      </c>
      <c r="R92" s="47">
        <v>840</v>
      </c>
      <c r="S92" s="47"/>
    </row>
    <row r="93" spans="2:19" ht="30" x14ac:dyDescent="0.25">
      <c r="B93" s="47" t="s">
        <v>1352</v>
      </c>
      <c r="C93" s="47" t="s">
        <v>350</v>
      </c>
      <c r="D93" s="47">
        <v>70654</v>
      </c>
      <c r="E93" s="47">
        <v>70122</v>
      </c>
      <c r="F93" s="47" t="s">
        <v>2120</v>
      </c>
      <c r="G93" s="47" t="s">
        <v>36</v>
      </c>
      <c r="H93" s="47">
        <v>230</v>
      </c>
      <c r="I93" s="47">
        <v>765</v>
      </c>
      <c r="J93" s="47">
        <v>765</v>
      </c>
      <c r="K93" s="47">
        <v>765</v>
      </c>
      <c r="L93" s="47">
        <v>765</v>
      </c>
      <c r="M93" s="47">
        <v>765</v>
      </c>
      <c r="N93" s="47">
        <v>765</v>
      </c>
      <c r="O93" s="47">
        <v>765</v>
      </c>
      <c r="P93" s="47">
        <v>765</v>
      </c>
      <c r="Q93" s="47">
        <v>765</v>
      </c>
      <c r="R93" s="48">
        <v>765</v>
      </c>
      <c r="S93" s="48"/>
    </row>
    <row r="94" spans="2:19" ht="34.5" x14ac:dyDescent="0.25">
      <c r="B94" s="44" t="s">
        <v>2609</v>
      </c>
      <c r="C94" s="44" t="s">
        <v>2602</v>
      </c>
      <c r="D94" s="44">
        <v>-1</v>
      </c>
      <c r="E94" s="44">
        <v>70009</v>
      </c>
      <c r="F94" s="44" t="s">
        <v>2609</v>
      </c>
      <c r="G94" s="44" t="s">
        <v>29</v>
      </c>
      <c r="H94" s="44"/>
      <c r="I94" s="45">
        <v>535</v>
      </c>
      <c r="J94" s="45">
        <v>610</v>
      </c>
      <c r="K94" s="45">
        <v>615</v>
      </c>
      <c r="L94" s="45">
        <v>637</v>
      </c>
      <c r="M94" s="45">
        <v>637</v>
      </c>
      <c r="N94" s="45">
        <v>589</v>
      </c>
      <c r="O94" s="45">
        <v>637</v>
      </c>
      <c r="P94" s="45">
        <v>637</v>
      </c>
      <c r="Q94" s="45">
        <v>637</v>
      </c>
      <c r="R94" s="45">
        <v>637</v>
      </c>
      <c r="S94" s="46"/>
    </row>
    <row r="95" spans="2:19" x14ac:dyDescent="0.25">
      <c r="B95" s="47" t="s">
        <v>2609</v>
      </c>
      <c r="C95" s="47" t="s">
        <v>2602</v>
      </c>
      <c r="D95" s="47">
        <v>-1</v>
      </c>
      <c r="E95" s="47">
        <v>70009</v>
      </c>
      <c r="F95" s="47" t="s">
        <v>1331</v>
      </c>
      <c r="G95" s="47" t="s">
        <v>1325</v>
      </c>
      <c r="H95" s="47">
        <v>345</v>
      </c>
      <c r="I95" s="48">
        <v>535</v>
      </c>
      <c r="J95" s="48">
        <v>610</v>
      </c>
      <c r="K95" s="48">
        <v>615</v>
      </c>
      <c r="L95" s="48">
        <v>637</v>
      </c>
      <c r="M95" s="48">
        <v>637</v>
      </c>
      <c r="N95" s="48">
        <v>589</v>
      </c>
      <c r="O95" s="48">
        <v>637</v>
      </c>
      <c r="P95" s="48">
        <v>637</v>
      </c>
      <c r="Q95" s="48">
        <v>637</v>
      </c>
      <c r="R95" s="48">
        <v>637</v>
      </c>
      <c r="S95" s="48"/>
    </row>
    <row r="96" spans="2:19" x14ac:dyDescent="0.25">
      <c r="B96" s="47" t="s">
        <v>2609</v>
      </c>
      <c r="C96" s="47" t="s">
        <v>2602</v>
      </c>
      <c r="D96" s="47">
        <v>-1</v>
      </c>
      <c r="E96" s="47">
        <v>70009</v>
      </c>
      <c r="F96" s="47" t="s">
        <v>1331</v>
      </c>
      <c r="G96" s="47" t="s">
        <v>1325</v>
      </c>
      <c r="H96" s="47">
        <v>230</v>
      </c>
      <c r="I96" s="48">
        <v>535</v>
      </c>
      <c r="J96" s="48">
        <v>610</v>
      </c>
      <c r="K96" s="48">
        <v>615</v>
      </c>
      <c r="L96" s="48">
        <v>637</v>
      </c>
      <c r="M96" s="48">
        <v>637</v>
      </c>
      <c r="N96" s="48">
        <v>589</v>
      </c>
      <c r="O96" s="48">
        <v>637</v>
      </c>
      <c r="P96" s="48">
        <v>637</v>
      </c>
      <c r="Q96" s="48">
        <v>637</v>
      </c>
      <c r="R96" s="48">
        <v>637</v>
      </c>
      <c r="S96" s="48"/>
    </row>
    <row r="97" spans="2:19" ht="20" x14ac:dyDescent="0.25">
      <c r="B97" s="47" t="s">
        <v>2609</v>
      </c>
      <c r="C97" s="47" t="s">
        <v>2602</v>
      </c>
      <c r="D97" s="47">
        <v>-1</v>
      </c>
      <c r="E97" s="47">
        <v>70009</v>
      </c>
      <c r="F97" s="47" t="s">
        <v>2610</v>
      </c>
      <c r="G97" s="47" t="s">
        <v>39</v>
      </c>
      <c r="H97" s="47">
        <v>230</v>
      </c>
      <c r="I97" s="47">
        <v>637</v>
      </c>
      <c r="J97" s="47">
        <v>637</v>
      </c>
      <c r="K97" s="47">
        <v>637</v>
      </c>
      <c r="L97" s="48">
        <v>637</v>
      </c>
      <c r="M97" s="48">
        <v>637</v>
      </c>
      <c r="N97" s="47">
        <v>637</v>
      </c>
      <c r="O97" s="48">
        <v>637</v>
      </c>
      <c r="P97" s="48">
        <v>637</v>
      </c>
      <c r="Q97" s="48">
        <v>637</v>
      </c>
      <c r="R97" s="48">
        <v>637</v>
      </c>
      <c r="S97" s="48"/>
    </row>
    <row r="98" spans="2:19" ht="34.5" x14ac:dyDescent="0.25">
      <c r="B98" s="44" t="s">
        <v>1354</v>
      </c>
      <c r="C98" s="44" t="s">
        <v>616</v>
      </c>
      <c r="D98" s="44">
        <v>70139</v>
      </c>
      <c r="E98" s="44">
        <v>70138</v>
      </c>
      <c r="F98" s="44" t="s">
        <v>1354</v>
      </c>
      <c r="G98" s="44" t="s">
        <v>29</v>
      </c>
      <c r="H98" s="44"/>
      <c r="I98" s="45">
        <v>280</v>
      </c>
      <c r="J98" s="45">
        <v>322</v>
      </c>
      <c r="K98" s="45">
        <v>336</v>
      </c>
      <c r="L98" s="45">
        <v>350</v>
      </c>
      <c r="M98" s="45">
        <v>378</v>
      </c>
      <c r="N98" s="45">
        <v>308</v>
      </c>
      <c r="O98" s="45">
        <v>350</v>
      </c>
      <c r="P98" s="45">
        <v>364</v>
      </c>
      <c r="Q98" s="45">
        <v>378</v>
      </c>
      <c r="R98" s="45">
        <v>420</v>
      </c>
      <c r="S98" s="46"/>
    </row>
    <row r="99" spans="2:19" ht="20" x14ac:dyDescent="0.25">
      <c r="B99" s="47" t="s">
        <v>1354</v>
      </c>
      <c r="C99" s="47" t="s">
        <v>616</v>
      </c>
      <c r="D99" s="47">
        <v>70139</v>
      </c>
      <c r="E99" s="47">
        <v>70138</v>
      </c>
      <c r="F99" s="47" t="s">
        <v>1328</v>
      </c>
      <c r="G99" s="47" t="s">
        <v>1325</v>
      </c>
      <c r="H99" s="47">
        <v>230</v>
      </c>
      <c r="I99" s="48">
        <v>280</v>
      </c>
      <c r="J99" s="48">
        <v>322</v>
      </c>
      <c r="K99" s="48">
        <v>336</v>
      </c>
      <c r="L99" s="48">
        <v>350</v>
      </c>
      <c r="M99" s="48">
        <v>378</v>
      </c>
      <c r="N99" s="48">
        <v>308</v>
      </c>
      <c r="O99" s="48">
        <v>350</v>
      </c>
      <c r="P99" s="48">
        <v>364</v>
      </c>
      <c r="Q99" s="48">
        <v>378</v>
      </c>
      <c r="R99" s="48">
        <v>420</v>
      </c>
      <c r="S99" s="48"/>
    </row>
    <row r="100" spans="2:19" ht="20" x14ac:dyDescent="0.25">
      <c r="B100" s="47" t="s">
        <v>1354</v>
      </c>
      <c r="C100" s="47" t="s">
        <v>616</v>
      </c>
      <c r="D100" s="47">
        <v>70139</v>
      </c>
      <c r="E100" s="47">
        <v>70138</v>
      </c>
      <c r="F100" s="47" t="s">
        <v>1328</v>
      </c>
      <c r="G100" s="47" t="s">
        <v>1325</v>
      </c>
      <c r="H100" s="47">
        <v>115</v>
      </c>
      <c r="I100" s="48">
        <v>280</v>
      </c>
      <c r="J100" s="48">
        <v>322</v>
      </c>
      <c r="K100" s="48">
        <v>336</v>
      </c>
      <c r="L100" s="48">
        <v>350</v>
      </c>
      <c r="M100" s="48">
        <v>378</v>
      </c>
      <c r="N100" s="48">
        <v>308</v>
      </c>
      <c r="O100" s="48">
        <v>350</v>
      </c>
      <c r="P100" s="48">
        <v>364</v>
      </c>
      <c r="Q100" s="48">
        <v>378</v>
      </c>
      <c r="R100" s="48">
        <v>420</v>
      </c>
      <c r="S100" s="48"/>
    </row>
    <row r="101" spans="2:19" ht="34.5" x14ac:dyDescent="0.25">
      <c r="B101" s="44" t="s">
        <v>1355</v>
      </c>
      <c r="C101" s="44" t="s">
        <v>616</v>
      </c>
      <c r="D101" s="44">
        <v>70601</v>
      </c>
      <c r="E101" s="44">
        <v>70139</v>
      </c>
      <c r="F101" s="44" t="s">
        <v>1355</v>
      </c>
      <c r="G101" s="44" t="s">
        <v>29</v>
      </c>
      <c r="H101" s="44"/>
      <c r="I101" s="45">
        <v>560</v>
      </c>
      <c r="J101" s="45">
        <v>644</v>
      </c>
      <c r="K101" s="45">
        <v>672</v>
      </c>
      <c r="L101" s="45">
        <v>700</v>
      </c>
      <c r="M101" s="45">
        <v>756</v>
      </c>
      <c r="N101" s="45">
        <v>616</v>
      </c>
      <c r="O101" s="45">
        <v>700</v>
      </c>
      <c r="P101" s="45">
        <v>728</v>
      </c>
      <c r="Q101" s="45">
        <v>756</v>
      </c>
      <c r="R101" s="45">
        <v>797</v>
      </c>
      <c r="S101" s="46"/>
    </row>
    <row r="102" spans="2:19" ht="20" x14ac:dyDescent="0.25">
      <c r="B102" s="47" t="s">
        <v>1355</v>
      </c>
      <c r="C102" s="47" t="s">
        <v>616</v>
      </c>
      <c r="D102" s="47">
        <v>70601</v>
      </c>
      <c r="E102" s="47">
        <v>70139</v>
      </c>
      <c r="F102" s="47" t="s">
        <v>1351</v>
      </c>
      <c r="G102" s="47" t="s">
        <v>1325</v>
      </c>
      <c r="H102" s="47">
        <v>230</v>
      </c>
      <c r="I102" s="48">
        <v>560</v>
      </c>
      <c r="J102" s="48">
        <v>644</v>
      </c>
      <c r="K102" s="48">
        <v>672</v>
      </c>
      <c r="L102" s="48">
        <v>700</v>
      </c>
      <c r="M102" s="48">
        <v>756</v>
      </c>
      <c r="N102" s="48">
        <v>616</v>
      </c>
      <c r="O102" s="48">
        <v>700</v>
      </c>
      <c r="P102" s="48">
        <v>728</v>
      </c>
      <c r="Q102" s="48">
        <v>756</v>
      </c>
      <c r="R102" s="47">
        <v>840</v>
      </c>
      <c r="S102" s="47"/>
    </row>
    <row r="103" spans="2:19" ht="20" x14ac:dyDescent="0.25">
      <c r="B103" s="47" t="s">
        <v>1355</v>
      </c>
      <c r="C103" s="47" t="s">
        <v>616</v>
      </c>
      <c r="D103" s="47">
        <v>70601</v>
      </c>
      <c r="E103" s="47">
        <v>70139</v>
      </c>
      <c r="F103" s="47" t="s">
        <v>1351</v>
      </c>
      <c r="G103" s="47" t="s">
        <v>1325</v>
      </c>
      <c r="H103" s="47">
        <v>345</v>
      </c>
      <c r="I103" s="48">
        <v>560</v>
      </c>
      <c r="J103" s="48">
        <v>644</v>
      </c>
      <c r="K103" s="48">
        <v>672</v>
      </c>
      <c r="L103" s="48">
        <v>700</v>
      </c>
      <c r="M103" s="48">
        <v>756</v>
      </c>
      <c r="N103" s="48">
        <v>616</v>
      </c>
      <c r="O103" s="48">
        <v>700</v>
      </c>
      <c r="P103" s="48">
        <v>728</v>
      </c>
      <c r="Q103" s="48">
        <v>756</v>
      </c>
      <c r="R103" s="47">
        <v>840</v>
      </c>
      <c r="S103" s="47"/>
    </row>
    <row r="104" spans="2:19" ht="20" x14ac:dyDescent="0.25">
      <c r="B104" s="47" t="s">
        <v>1355</v>
      </c>
      <c r="C104" s="47" t="s">
        <v>616</v>
      </c>
      <c r="D104" s="47">
        <v>70601</v>
      </c>
      <c r="E104" s="47">
        <v>70139</v>
      </c>
      <c r="F104" s="47" t="s">
        <v>2206</v>
      </c>
      <c r="G104" s="47" t="s">
        <v>49</v>
      </c>
      <c r="H104" s="47">
        <v>230</v>
      </c>
      <c r="I104" s="47">
        <v>797</v>
      </c>
      <c r="J104" s="47">
        <v>797</v>
      </c>
      <c r="K104" s="47">
        <v>797</v>
      </c>
      <c r="L104" s="47">
        <v>797</v>
      </c>
      <c r="M104" s="47">
        <v>797</v>
      </c>
      <c r="N104" s="47">
        <v>797</v>
      </c>
      <c r="O104" s="47">
        <v>797</v>
      </c>
      <c r="P104" s="47">
        <v>797</v>
      </c>
      <c r="Q104" s="47">
        <v>797</v>
      </c>
      <c r="R104" s="48">
        <v>797</v>
      </c>
      <c r="S104" s="48"/>
    </row>
    <row r="105" spans="2:19" ht="34.5" x14ac:dyDescent="0.25">
      <c r="B105" s="44" t="s">
        <v>1356</v>
      </c>
      <c r="C105" s="44" t="s">
        <v>616</v>
      </c>
      <c r="D105" s="44">
        <v>70601</v>
      </c>
      <c r="E105" s="44">
        <v>70139</v>
      </c>
      <c r="F105" s="44" t="s">
        <v>1356</v>
      </c>
      <c r="G105" s="44" t="s">
        <v>29</v>
      </c>
      <c r="H105" s="44"/>
      <c r="I105" s="45">
        <v>560</v>
      </c>
      <c r="J105" s="45">
        <v>644</v>
      </c>
      <c r="K105" s="45">
        <v>672</v>
      </c>
      <c r="L105" s="45">
        <v>700</v>
      </c>
      <c r="M105" s="45">
        <v>754</v>
      </c>
      <c r="N105" s="45">
        <v>616</v>
      </c>
      <c r="O105" s="45">
        <v>685</v>
      </c>
      <c r="P105" s="45">
        <v>728</v>
      </c>
      <c r="Q105" s="45">
        <v>754</v>
      </c>
      <c r="R105" s="45">
        <v>754</v>
      </c>
      <c r="S105" s="46"/>
    </row>
    <row r="106" spans="2:19" ht="20" x14ac:dyDescent="0.25">
      <c r="B106" s="47" t="s">
        <v>1356</v>
      </c>
      <c r="C106" s="47" t="s">
        <v>616</v>
      </c>
      <c r="D106" s="47">
        <v>70601</v>
      </c>
      <c r="E106" s="47">
        <v>70139</v>
      </c>
      <c r="F106" s="47" t="s">
        <v>1353</v>
      </c>
      <c r="G106" s="47" t="s">
        <v>1325</v>
      </c>
      <c r="H106" s="47">
        <v>345</v>
      </c>
      <c r="I106" s="48">
        <v>560</v>
      </c>
      <c r="J106" s="48">
        <v>644</v>
      </c>
      <c r="K106" s="48">
        <v>672</v>
      </c>
      <c r="L106" s="48">
        <v>700</v>
      </c>
      <c r="M106" s="47">
        <v>756</v>
      </c>
      <c r="N106" s="48">
        <v>616</v>
      </c>
      <c r="O106" s="47">
        <v>700</v>
      </c>
      <c r="P106" s="48">
        <v>728</v>
      </c>
      <c r="Q106" s="47">
        <v>756</v>
      </c>
      <c r="R106" s="47">
        <v>840</v>
      </c>
      <c r="S106" s="47"/>
    </row>
    <row r="107" spans="2:19" ht="20" x14ac:dyDescent="0.25">
      <c r="B107" s="47" t="s">
        <v>1356</v>
      </c>
      <c r="C107" s="47" t="s">
        <v>616</v>
      </c>
      <c r="D107" s="47">
        <v>70601</v>
      </c>
      <c r="E107" s="47">
        <v>70139</v>
      </c>
      <c r="F107" s="47" t="s">
        <v>1353</v>
      </c>
      <c r="G107" s="47" t="s">
        <v>1325</v>
      </c>
      <c r="H107" s="47">
        <v>230</v>
      </c>
      <c r="I107" s="48">
        <v>560</v>
      </c>
      <c r="J107" s="48">
        <v>644</v>
      </c>
      <c r="K107" s="48">
        <v>672</v>
      </c>
      <c r="L107" s="48">
        <v>700</v>
      </c>
      <c r="M107" s="47">
        <v>756</v>
      </c>
      <c r="N107" s="48">
        <v>616</v>
      </c>
      <c r="O107" s="47">
        <v>700</v>
      </c>
      <c r="P107" s="48">
        <v>728</v>
      </c>
      <c r="Q107" s="47">
        <v>756</v>
      </c>
      <c r="R107" s="47">
        <v>840</v>
      </c>
      <c r="S107" s="47"/>
    </row>
    <row r="108" spans="2:19" ht="20" x14ac:dyDescent="0.25">
      <c r="B108" s="47" t="s">
        <v>1356</v>
      </c>
      <c r="C108" s="47" t="s">
        <v>616</v>
      </c>
      <c r="D108" s="47">
        <v>70601</v>
      </c>
      <c r="E108" s="47">
        <v>70139</v>
      </c>
      <c r="F108" s="47"/>
      <c r="G108" s="47" t="s">
        <v>1332</v>
      </c>
      <c r="H108" s="47">
        <v>230</v>
      </c>
      <c r="I108" s="47">
        <v>685</v>
      </c>
      <c r="J108" s="47">
        <v>685</v>
      </c>
      <c r="K108" s="47">
        <v>754</v>
      </c>
      <c r="L108" s="47">
        <v>754</v>
      </c>
      <c r="M108" s="48">
        <v>754</v>
      </c>
      <c r="N108" s="47">
        <v>685</v>
      </c>
      <c r="O108" s="48">
        <v>685</v>
      </c>
      <c r="P108" s="47">
        <v>754</v>
      </c>
      <c r="Q108" s="48">
        <v>754</v>
      </c>
      <c r="R108" s="48">
        <v>754</v>
      </c>
      <c r="S108" s="48"/>
    </row>
    <row r="109" spans="2:19" ht="20" x14ac:dyDescent="0.25">
      <c r="B109" s="47" t="s">
        <v>1356</v>
      </c>
      <c r="C109" s="47" t="s">
        <v>616</v>
      </c>
      <c r="D109" s="47">
        <v>70601</v>
      </c>
      <c r="E109" s="47">
        <v>70139</v>
      </c>
      <c r="F109" s="47"/>
      <c r="G109" s="47" t="s">
        <v>1357</v>
      </c>
      <c r="H109" s="47">
        <v>230</v>
      </c>
      <c r="I109" s="47">
        <v>685</v>
      </c>
      <c r="J109" s="47">
        <v>685</v>
      </c>
      <c r="K109" s="47">
        <v>754</v>
      </c>
      <c r="L109" s="47">
        <v>754</v>
      </c>
      <c r="M109" s="48">
        <v>754</v>
      </c>
      <c r="N109" s="47">
        <v>685</v>
      </c>
      <c r="O109" s="48">
        <v>685</v>
      </c>
      <c r="P109" s="47">
        <v>754</v>
      </c>
      <c r="Q109" s="48">
        <v>754</v>
      </c>
      <c r="R109" s="48">
        <v>754</v>
      </c>
      <c r="S109" s="48"/>
    </row>
    <row r="110" spans="2:19" ht="34.5" x14ac:dyDescent="0.25">
      <c r="B110" s="44" t="s">
        <v>1358</v>
      </c>
      <c r="C110" s="44" t="s">
        <v>616</v>
      </c>
      <c r="D110" s="44">
        <v>70601</v>
      </c>
      <c r="E110" s="44">
        <v>70139</v>
      </c>
      <c r="F110" s="44" t="s">
        <v>1358</v>
      </c>
      <c r="G110" s="44" t="s">
        <v>29</v>
      </c>
      <c r="H110" s="44"/>
      <c r="I110" s="45">
        <v>560</v>
      </c>
      <c r="J110" s="45">
        <v>644</v>
      </c>
      <c r="K110" s="45">
        <v>672</v>
      </c>
      <c r="L110" s="45">
        <v>700</v>
      </c>
      <c r="M110" s="45">
        <v>754</v>
      </c>
      <c r="N110" s="45">
        <v>616</v>
      </c>
      <c r="O110" s="45">
        <v>685</v>
      </c>
      <c r="P110" s="45">
        <v>728</v>
      </c>
      <c r="Q110" s="45">
        <v>754</v>
      </c>
      <c r="R110" s="45">
        <v>754</v>
      </c>
      <c r="S110" s="46"/>
    </row>
    <row r="111" spans="2:19" ht="20" x14ac:dyDescent="0.25">
      <c r="B111" s="47" t="s">
        <v>1358</v>
      </c>
      <c r="C111" s="47" t="s">
        <v>616</v>
      </c>
      <c r="D111" s="47">
        <v>70601</v>
      </c>
      <c r="E111" s="47">
        <v>70139</v>
      </c>
      <c r="F111" s="47" t="s">
        <v>1324</v>
      </c>
      <c r="G111" s="47" t="s">
        <v>1325</v>
      </c>
      <c r="H111" s="47">
        <v>345</v>
      </c>
      <c r="I111" s="48">
        <v>560</v>
      </c>
      <c r="J111" s="48">
        <v>644</v>
      </c>
      <c r="K111" s="48">
        <v>672</v>
      </c>
      <c r="L111" s="48">
        <v>700</v>
      </c>
      <c r="M111" s="47">
        <v>756</v>
      </c>
      <c r="N111" s="48">
        <v>616</v>
      </c>
      <c r="O111" s="47">
        <v>700</v>
      </c>
      <c r="P111" s="48">
        <v>728</v>
      </c>
      <c r="Q111" s="47">
        <v>756</v>
      </c>
      <c r="R111" s="47">
        <v>840</v>
      </c>
      <c r="S111" s="47"/>
    </row>
    <row r="112" spans="2:19" ht="20" x14ac:dyDescent="0.25">
      <c r="B112" s="47" t="s">
        <v>1358</v>
      </c>
      <c r="C112" s="47" t="s">
        <v>616</v>
      </c>
      <c r="D112" s="47">
        <v>70601</v>
      </c>
      <c r="E112" s="47">
        <v>70139</v>
      </c>
      <c r="F112" s="47" t="s">
        <v>1324</v>
      </c>
      <c r="G112" s="47" t="s">
        <v>1325</v>
      </c>
      <c r="H112" s="47">
        <v>230</v>
      </c>
      <c r="I112" s="48">
        <v>560</v>
      </c>
      <c r="J112" s="48">
        <v>644</v>
      </c>
      <c r="K112" s="48">
        <v>672</v>
      </c>
      <c r="L112" s="48">
        <v>700</v>
      </c>
      <c r="M112" s="47">
        <v>756</v>
      </c>
      <c r="N112" s="48">
        <v>616</v>
      </c>
      <c r="O112" s="47">
        <v>700</v>
      </c>
      <c r="P112" s="48">
        <v>728</v>
      </c>
      <c r="Q112" s="47">
        <v>756</v>
      </c>
      <c r="R112" s="47">
        <v>840</v>
      </c>
      <c r="S112" s="47"/>
    </row>
    <row r="113" spans="2:19" ht="20" x14ac:dyDescent="0.25">
      <c r="B113" s="47" t="s">
        <v>1358</v>
      </c>
      <c r="C113" s="47" t="s">
        <v>616</v>
      </c>
      <c r="D113" s="47">
        <v>70601</v>
      </c>
      <c r="E113" s="47">
        <v>70139</v>
      </c>
      <c r="F113" s="47"/>
      <c r="G113" s="47" t="s">
        <v>1357</v>
      </c>
      <c r="H113" s="47">
        <v>230</v>
      </c>
      <c r="I113" s="47">
        <v>685</v>
      </c>
      <c r="J113" s="47">
        <v>685</v>
      </c>
      <c r="K113" s="47">
        <v>754</v>
      </c>
      <c r="L113" s="47">
        <v>754</v>
      </c>
      <c r="M113" s="48">
        <v>754</v>
      </c>
      <c r="N113" s="47">
        <v>685</v>
      </c>
      <c r="O113" s="48">
        <v>685</v>
      </c>
      <c r="P113" s="47">
        <v>754</v>
      </c>
      <c r="Q113" s="48">
        <v>754</v>
      </c>
      <c r="R113" s="48">
        <v>754</v>
      </c>
      <c r="S113" s="48"/>
    </row>
    <row r="114" spans="2:19" ht="20" x14ac:dyDescent="0.25">
      <c r="B114" s="47" t="s">
        <v>1358</v>
      </c>
      <c r="C114" s="47" t="s">
        <v>616</v>
      </c>
      <c r="D114" s="47">
        <v>70601</v>
      </c>
      <c r="E114" s="47">
        <v>70139</v>
      </c>
      <c r="F114" s="47"/>
      <c r="G114" s="47" t="s">
        <v>1332</v>
      </c>
      <c r="H114" s="47">
        <v>230</v>
      </c>
      <c r="I114" s="47">
        <v>685</v>
      </c>
      <c r="J114" s="47">
        <v>685</v>
      </c>
      <c r="K114" s="47">
        <v>754</v>
      </c>
      <c r="L114" s="47">
        <v>754</v>
      </c>
      <c r="M114" s="48">
        <v>754</v>
      </c>
      <c r="N114" s="47">
        <v>685</v>
      </c>
      <c r="O114" s="48">
        <v>685</v>
      </c>
      <c r="P114" s="47">
        <v>754</v>
      </c>
      <c r="Q114" s="48">
        <v>754</v>
      </c>
      <c r="R114" s="48">
        <v>754</v>
      </c>
      <c r="S114" s="48"/>
    </row>
    <row r="115" spans="2:19" ht="34.5" x14ac:dyDescent="0.25">
      <c r="B115" s="44" t="s">
        <v>1359</v>
      </c>
      <c r="C115" s="44" t="s">
        <v>365</v>
      </c>
      <c r="D115" s="44">
        <v>70156</v>
      </c>
      <c r="E115" s="44">
        <v>70155</v>
      </c>
      <c r="F115" s="44" t="s">
        <v>1359</v>
      </c>
      <c r="G115" s="44" t="s">
        <v>29</v>
      </c>
      <c r="H115" s="44"/>
      <c r="I115" s="45">
        <v>91</v>
      </c>
      <c r="J115" s="45">
        <v>91</v>
      </c>
      <c r="K115" s="45">
        <v>104</v>
      </c>
      <c r="L115" s="45">
        <v>113</v>
      </c>
      <c r="M115" s="45">
        <v>118</v>
      </c>
      <c r="N115" s="45">
        <v>109</v>
      </c>
      <c r="O115" s="45">
        <v>109</v>
      </c>
      <c r="P115" s="45">
        <v>118</v>
      </c>
      <c r="Q115" s="45">
        <v>120</v>
      </c>
      <c r="R115" s="45">
        <v>120</v>
      </c>
      <c r="S115" s="46"/>
    </row>
    <row r="116" spans="2:19" x14ac:dyDescent="0.25">
      <c r="B116" s="47" t="s">
        <v>1359</v>
      </c>
      <c r="C116" s="47" t="s">
        <v>365</v>
      </c>
      <c r="D116" s="47">
        <v>70156</v>
      </c>
      <c r="E116" s="47">
        <v>70155</v>
      </c>
      <c r="F116" s="47" t="s">
        <v>1331</v>
      </c>
      <c r="G116" s="47" t="s">
        <v>1325</v>
      </c>
      <c r="H116" s="47">
        <v>115</v>
      </c>
      <c r="I116" s="48">
        <v>91</v>
      </c>
      <c r="J116" s="48">
        <v>91</v>
      </c>
      <c r="K116" s="48">
        <v>104</v>
      </c>
      <c r="L116" s="48">
        <v>113</v>
      </c>
      <c r="M116" s="48">
        <v>118</v>
      </c>
      <c r="N116" s="48">
        <v>109</v>
      </c>
      <c r="O116" s="48">
        <v>109</v>
      </c>
      <c r="P116" s="48">
        <v>118</v>
      </c>
      <c r="Q116" s="47">
        <v>127</v>
      </c>
      <c r="R116" s="47">
        <v>131</v>
      </c>
      <c r="S116" s="47"/>
    </row>
    <row r="117" spans="2:19" x14ac:dyDescent="0.25">
      <c r="B117" s="47" t="s">
        <v>1359</v>
      </c>
      <c r="C117" s="47" t="s">
        <v>365</v>
      </c>
      <c r="D117" s="47">
        <v>70156</v>
      </c>
      <c r="E117" s="47">
        <v>70155</v>
      </c>
      <c r="F117" s="47" t="s">
        <v>1331</v>
      </c>
      <c r="G117" s="47" t="s">
        <v>1325</v>
      </c>
      <c r="H117" s="47">
        <v>230</v>
      </c>
      <c r="I117" s="48">
        <v>91</v>
      </c>
      <c r="J117" s="48">
        <v>91</v>
      </c>
      <c r="K117" s="48">
        <v>104</v>
      </c>
      <c r="L117" s="47">
        <v>114</v>
      </c>
      <c r="M117" s="48">
        <v>118</v>
      </c>
      <c r="N117" s="48">
        <v>109</v>
      </c>
      <c r="O117" s="48">
        <v>109</v>
      </c>
      <c r="P117" s="48">
        <v>118</v>
      </c>
      <c r="Q117" s="47">
        <v>127</v>
      </c>
      <c r="R117" s="47">
        <v>131</v>
      </c>
      <c r="S117" s="47"/>
    </row>
    <row r="118" spans="2:19" ht="20" x14ac:dyDescent="0.25">
      <c r="B118" s="47" t="s">
        <v>1359</v>
      </c>
      <c r="C118" s="47" t="s">
        <v>365</v>
      </c>
      <c r="D118" s="47">
        <v>70156</v>
      </c>
      <c r="E118" s="47">
        <v>70155</v>
      </c>
      <c r="F118" s="47" t="s">
        <v>1360</v>
      </c>
      <c r="G118" s="47" t="s">
        <v>39</v>
      </c>
      <c r="H118" s="47">
        <v>115</v>
      </c>
      <c r="I118" s="47">
        <v>120</v>
      </c>
      <c r="J118" s="47">
        <v>120</v>
      </c>
      <c r="K118" s="47">
        <v>120</v>
      </c>
      <c r="L118" s="47">
        <v>120</v>
      </c>
      <c r="M118" s="47">
        <v>120</v>
      </c>
      <c r="N118" s="47">
        <v>120</v>
      </c>
      <c r="O118" s="47">
        <v>120</v>
      </c>
      <c r="P118" s="47">
        <v>120</v>
      </c>
      <c r="Q118" s="48">
        <v>120</v>
      </c>
      <c r="R118" s="48">
        <v>120</v>
      </c>
      <c r="S118" s="48"/>
    </row>
    <row r="119" spans="2:19" ht="30" x14ac:dyDescent="0.25">
      <c r="B119" s="47" t="s">
        <v>1359</v>
      </c>
      <c r="C119" s="47" t="s">
        <v>365</v>
      </c>
      <c r="D119" s="47">
        <v>70156</v>
      </c>
      <c r="E119" s="47">
        <v>70155</v>
      </c>
      <c r="F119" s="47" t="s">
        <v>2611</v>
      </c>
      <c r="G119" s="47" t="s">
        <v>36</v>
      </c>
      <c r="H119" s="47">
        <v>115</v>
      </c>
      <c r="I119" s="47">
        <v>120</v>
      </c>
      <c r="J119" s="47">
        <v>120</v>
      </c>
      <c r="K119" s="47">
        <v>120</v>
      </c>
      <c r="L119" s="47">
        <v>120</v>
      </c>
      <c r="M119" s="47">
        <v>120</v>
      </c>
      <c r="N119" s="47">
        <v>120</v>
      </c>
      <c r="O119" s="47">
        <v>120</v>
      </c>
      <c r="P119" s="47">
        <v>120</v>
      </c>
      <c r="Q119" s="48">
        <v>120</v>
      </c>
      <c r="R119" s="48">
        <v>120</v>
      </c>
      <c r="S119" s="48"/>
    </row>
    <row r="120" spans="2:19" ht="30" x14ac:dyDescent="0.25">
      <c r="B120" s="47" t="s">
        <v>1359</v>
      </c>
      <c r="C120" s="47" t="s">
        <v>365</v>
      </c>
      <c r="D120" s="47">
        <v>70156</v>
      </c>
      <c r="E120" s="47">
        <v>70155</v>
      </c>
      <c r="F120" s="47" t="s">
        <v>2612</v>
      </c>
      <c r="G120" s="47" t="s">
        <v>36</v>
      </c>
      <c r="H120" s="47">
        <v>115</v>
      </c>
      <c r="I120" s="47">
        <v>120</v>
      </c>
      <c r="J120" s="47">
        <v>120</v>
      </c>
      <c r="K120" s="47">
        <v>120</v>
      </c>
      <c r="L120" s="47">
        <v>120</v>
      </c>
      <c r="M120" s="47">
        <v>120</v>
      </c>
      <c r="N120" s="47">
        <v>120</v>
      </c>
      <c r="O120" s="47">
        <v>120</v>
      </c>
      <c r="P120" s="47">
        <v>120</v>
      </c>
      <c r="Q120" s="48">
        <v>120</v>
      </c>
      <c r="R120" s="48">
        <v>120</v>
      </c>
      <c r="S120" s="48"/>
    </row>
    <row r="121" spans="2:19" ht="20" x14ac:dyDescent="0.25">
      <c r="B121" s="47" t="s">
        <v>1359</v>
      </c>
      <c r="C121" s="47" t="s">
        <v>365</v>
      </c>
      <c r="D121" s="47">
        <v>70156</v>
      </c>
      <c r="E121" s="47">
        <v>70155</v>
      </c>
      <c r="F121" s="47" t="s">
        <v>1361</v>
      </c>
      <c r="G121" s="47" t="s">
        <v>39</v>
      </c>
      <c r="H121" s="47">
        <v>115</v>
      </c>
      <c r="I121" s="47">
        <v>120</v>
      </c>
      <c r="J121" s="47">
        <v>120</v>
      </c>
      <c r="K121" s="47">
        <v>120</v>
      </c>
      <c r="L121" s="47">
        <v>120</v>
      </c>
      <c r="M121" s="47">
        <v>120</v>
      </c>
      <c r="N121" s="47">
        <v>120</v>
      </c>
      <c r="O121" s="47">
        <v>120</v>
      </c>
      <c r="P121" s="47">
        <v>120</v>
      </c>
      <c r="Q121" s="48">
        <v>120</v>
      </c>
      <c r="R121" s="48">
        <v>120</v>
      </c>
      <c r="S121" s="48"/>
    </row>
    <row r="122" spans="2:19" ht="34.5" x14ac:dyDescent="0.25">
      <c r="B122" s="44" t="s">
        <v>1362</v>
      </c>
      <c r="C122" s="44" t="s">
        <v>277</v>
      </c>
      <c r="D122" s="44">
        <v>70149</v>
      </c>
      <c r="E122" s="44">
        <v>70148</v>
      </c>
      <c r="F122" s="44" t="s">
        <v>1362</v>
      </c>
      <c r="G122" s="44" t="s">
        <v>29</v>
      </c>
      <c r="H122" s="44"/>
      <c r="I122" s="45">
        <v>272</v>
      </c>
      <c r="J122" s="45">
        <v>272</v>
      </c>
      <c r="K122" s="45">
        <v>313</v>
      </c>
      <c r="L122" s="45">
        <v>326</v>
      </c>
      <c r="M122" s="45">
        <v>340</v>
      </c>
      <c r="N122" s="45">
        <v>299</v>
      </c>
      <c r="O122" s="45">
        <v>299</v>
      </c>
      <c r="P122" s="45">
        <v>340</v>
      </c>
      <c r="Q122" s="45">
        <v>353</v>
      </c>
      <c r="R122" s="45">
        <v>367</v>
      </c>
      <c r="S122" s="46"/>
    </row>
    <row r="123" spans="2:19" ht="20" x14ac:dyDescent="0.25">
      <c r="B123" s="47" t="s">
        <v>1362</v>
      </c>
      <c r="C123" s="47" t="s">
        <v>277</v>
      </c>
      <c r="D123" s="47">
        <v>70149</v>
      </c>
      <c r="E123" s="47">
        <v>70148</v>
      </c>
      <c r="F123" s="47" t="s">
        <v>1331</v>
      </c>
      <c r="G123" s="47" t="s">
        <v>1325</v>
      </c>
      <c r="H123" s="47">
        <v>115</v>
      </c>
      <c r="I123" s="48">
        <v>272</v>
      </c>
      <c r="J123" s="48">
        <v>272</v>
      </c>
      <c r="K123" s="48">
        <v>313</v>
      </c>
      <c r="L123" s="48">
        <v>326</v>
      </c>
      <c r="M123" s="48">
        <v>340</v>
      </c>
      <c r="N123" s="48">
        <v>299</v>
      </c>
      <c r="O123" s="48">
        <v>299</v>
      </c>
      <c r="P123" s="48">
        <v>340</v>
      </c>
      <c r="Q123" s="48">
        <v>353</v>
      </c>
      <c r="R123" s="48">
        <v>367</v>
      </c>
      <c r="S123" s="48"/>
    </row>
    <row r="124" spans="2:19" ht="20" x14ac:dyDescent="0.25">
      <c r="B124" s="47" t="s">
        <v>1362</v>
      </c>
      <c r="C124" s="47" t="s">
        <v>277</v>
      </c>
      <c r="D124" s="47">
        <v>70149</v>
      </c>
      <c r="E124" s="47">
        <v>70148</v>
      </c>
      <c r="F124" s="47" t="s">
        <v>1331</v>
      </c>
      <c r="G124" s="47" t="s">
        <v>1325</v>
      </c>
      <c r="H124" s="47">
        <v>230</v>
      </c>
      <c r="I124" s="48">
        <v>272</v>
      </c>
      <c r="J124" s="48">
        <v>272</v>
      </c>
      <c r="K124" s="48">
        <v>313</v>
      </c>
      <c r="L124" s="48">
        <v>326</v>
      </c>
      <c r="M124" s="48">
        <v>340</v>
      </c>
      <c r="N124" s="48">
        <v>299</v>
      </c>
      <c r="O124" s="48">
        <v>299</v>
      </c>
      <c r="P124" s="48">
        <v>340</v>
      </c>
      <c r="Q124" s="48">
        <v>353</v>
      </c>
      <c r="R124" s="48">
        <v>367</v>
      </c>
      <c r="S124" s="48"/>
    </row>
    <row r="125" spans="2:19" ht="34.5" x14ac:dyDescent="0.25">
      <c r="B125" s="44" t="s">
        <v>1363</v>
      </c>
      <c r="C125" s="44" t="s">
        <v>767</v>
      </c>
      <c r="D125" s="44">
        <v>70192</v>
      </c>
      <c r="E125" s="44">
        <v>70191</v>
      </c>
      <c r="F125" s="44" t="s">
        <v>1363</v>
      </c>
      <c r="G125" s="44" t="s">
        <v>29</v>
      </c>
      <c r="H125" s="44"/>
      <c r="I125" s="45">
        <v>273</v>
      </c>
      <c r="J125" s="45">
        <v>273</v>
      </c>
      <c r="K125" s="45">
        <v>314</v>
      </c>
      <c r="L125" s="45">
        <v>319</v>
      </c>
      <c r="M125" s="45">
        <v>319</v>
      </c>
      <c r="N125" s="45">
        <v>300</v>
      </c>
      <c r="O125" s="45">
        <v>300</v>
      </c>
      <c r="P125" s="45">
        <v>319</v>
      </c>
      <c r="Q125" s="45">
        <v>319</v>
      </c>
      <c r="R125" s="45">
        <v>319</v>
      </c>
      <c r="S125" s="46"/>
    </row>
    <row r="126" spans="2:19" ht="20" x14ac:dyDescent="0.25">
      <c r="B126" s="47" t="s">
        <v>1363</v>
      </c>
      <c r="C126" s="47" t="s">
        <v>767</v>
      </c>
      <c r="D126" s="47">
        <v>70192</v>
      </c>
      <c r="E126" s="47">
        <v>70191</v>
      </c>
      <c r="F126" s="47" t="s">
        <v>1351</v>
      </c>
      <c r="G126" s="47" t="s">
        <v>1325</v>
      </c>
      <c r="H126" s="47">
        <v>115</v>
      </c>
      <c r="I126" s="48">
        <v>273</v>
      </c>
      <c r="J126" s="48">
        <v>273</v>
      </c>
      <c r="K126" s="48">
        <v>314</v>
      </c>
      <c r="L126" s="48">
        <v>319</v>
      </c>
      <c r="M126" s="48">
        <v>319</v>
      </c>
      <c r="N126" s="48">
        <v>300</v>
      </c>
      <c r="O126" s="48">
        <v>300</v>
      </c>
      <c r="P126" s="48">
        <v>319</v>
      </c>
      <c r="Q126" s="48">
        <v>319</v>
      </c>
      <c r="R126" s="48">
        <v>319</v>
      </c>
      <c r="S126" s="48"/>
    </row>
    <row r="127" spans="2:19" ht="20" x14ac:dyDescent="0.25">
      <c r="B127" s="47" t="s">
        <v>1363</v>
      </c>
      <c r="C127" s="47" t="s">
        <v>767</v>
      </c>
      <c r="D127" s="47">
        <v>70192</v>
      </c>
      <c r="E127" s="47">
        <v>70191</v>
      </c>
      <c r="F127" s="47" t="s">
        <v>1351</v>
      </c>
      <c r="G127" s="47" t="s">
        <v>1325</v>
      </c>
      <c r="H127" s="47">
        <v>230</v>
      </c>
      <c r="I127" s="48">
        <v>273</v>
      </c>
      <c r="J127" s="48">
        <v>273</v>
      </c>
      <c r="K127" s="48">
        <v>314</v>
      </c>
      <c r="L127" s="47">
        <v>327</v>
      </c>
      <c r="M127" s="47">
        <v>341</v>
      </c>
      <c r="N127" s="48">
        <v>300</v>
      </c>
      <c r="O127" s="48">
        <v>300</v>
      </c>
      <c r="P127" s="47">
        <v>341</v>
      </c>
      <c r="Q127" s="47">
        <v>355</v>
      </c>
      <c r="R127" s="47">
        <v>368</v>
      </c>
      <c r="S127" s="47"/>
    </row>
    <row r="128" spans="2:19" ht="20" x14ac:dyDescent="0.25">
      <c r="B128" s="47" t="s">
        <v>1363</v>
      </c>
      <c r="C128" s="47" t="s">
        <v>767</v>
      </c>
      <c r="D128" s="47">
        <v>70192</v>
      </c>
      <c r="E128" s="47">
        <v>70191</v>
      </c>
      <c r="F128" s="47" t="s">
        <v>2529</v>
      </c>
      <c r="G128" s="47" t="s">
        <v>39</v>
      </c>
      <c r="H128" s="47">
        <v>115</v>
      </c>
      <c r="I128" s="47">
        <v>319</v>
      </c>
      <c r="J128" s="47">
        <v>319</v>
      </c>
      <c r="K128" s="47">
        <v>319</v>
      </c>
      <c r="L128" s="48">
        <v>319</v>
      </c>
      <c r="M128" s="48">
        <v>319</v>
      </c>
      <c r="N128" s="47">
        <v>319</v>
      </c>
      <c r="O128" s="47">
        <v>319</v>
      </c>
      <c r="P128" s="48">
        <v>319</v>
      </c>
      <c r="Q128" s="48">
        <v>319</v>
      </c>
      <c r="R128" s="48">
        <v>319</v>
      </c>
      <c r="S128" s="48"/>
    </row>
    <row r="129" spans="2:19" ht="34.5" x14ac:dyDescent="0.25">
      <c r="B129" s="44" t="s">
        <v>1364</v>
      </c>
      <c r="C129" s="44" t="s">
        <v>938</v>
      </c>
      <c r="D129" s="44">
        <v>70597</v>
      </c>
      <c r="E129" s="44">
        <v>70596</v>
      </c>
      <c r="F129" s="44" t="s">
        <v>1364</v>
      </c>
      <c r="G129" s="44" t="s">
        <v>29</v>
      </c>
      <c r="H129" s="44"/>
      <c r="I129" s="45">
        <v>560</v>
      </c>
      <c r="J129" s="45">
        <v>644</v>
      </c>
      <c r="K129" s="45">
        <v>672</v>
      </c>
      <c r="L129" s="45">
        <v>700</v>
      </c>
      <c r="M129" s="45">
        <v>756</v>
      </c>
      <c r="N129" s="45">
        <v>616</v>
      </c>
      <c r="O129" s="45">
        <v>700</v>
      </c>
      <c r="P129" s="45">
        <v>728</v>
      </c>
      <c r="Q129" s="45">
        <v>756</v>
      </c>
      <c r="R129" s="45">
        <v>840</v>
      </c>
      <c r="S129" s="46"/>
    </row>
    <row r="130" spans="2:19" x14ac:dyDescent="0.25">
      <c r="B130" s="47" t="s">
        <v>1364</v>
      </c>
      <c r="C130" s="47" t="s">
        <v>938</v>
      </c>
      <c r="D130" s="47">
        <v>70597</v>
      </c>
      <c r="E130" s="47">
        <v>70596</v>
      </c>
      <c r="F130" s="47" t="s">
        <v>1328</v>
      </c>
      <c r="G130" s="47" t="s">
        <v>1325</v>
      </c>
      <c r="H130" s="47">
        <v>230</v>
      </c>
      <c r="I130" s="48">
        <v>560</v>
      </c>
      <c r="J130" s="48">
        <v>644</v>
      </c>
      <c r="K130" s="48">
        <v>672</v>
      </c>
      <c r="L130" s="48">
        <v>700</v>
      </c>
      <c r="M130" s="48">
        <v>756</v>
      </c>
      <c r="N130" s="48">
        <v>616</v>
      </c>
      <c r="O130" s="48">
        <v>700</v>
      </c>
      <c r="P130" s="48">
        <v>728</v>
      </c>
      <c r="Q130" s="48">
        <v>756</v>
      </c>
      <c r="R130" s="48">
        <v>840</v>
      </c>
      <c r="S130" s="48"/>
    </row>
    <row r="131" spans="2:19" x14ac:dyDescent="0.25">
      <c r="B131" s="47" t="s">
        <v>1364</v>
      </c>
      <c r="C131" s="47" t="s">
        <v>938</v>
      </c>
      <c r="D131" s="47">
        <v>70597</v>
      </c>
      <c r="E131" s="47">
        <v>70596</v>
      </c>
      <c r="F131" s="47" t="s">
        <v>1328</v>
      </c>
      <c r="G131" s="47" t="s">
        <v>1325</v>
      </c>
      <c r="H131" s="47">
        <v>345</v>
      </c>
      <c r="I131" s="48">
        <v>560</v>
      </c>
      <c r="J131" s="48">
        <v>644</v>
      </c>
      <c r="K131" s="48">
        <v>672</v>
      </c>
      <c r="L131" s="48">
        <v>700</v>
      </c>
      <c r="M131" s="48">
        <v>756</v>
      </c>
      <c r="N131" s="48">
        <v>616</v>
      </c>
      <c r="O131" s="48">
        <v>700</v>
      </c>
      <c r="P131" s="48">
        <v>728</v>
      </c>
      <c r="Q131" s="48">
        <v>756</v>
      </c>
      <c r="R131" s="48">
        <v>840</v>
      </c>
      <c r="S131" s="48"/>
    </row>
    <row r="132" spans="2:19" ht="34.5" x14ac:dyDescent="0.25">
      <c r="B132" s="44" t="s">
        <v>1365</v>
      </c>
      <c r="C132" s="44" t="s">
        <v>58</v>
      </c>
      <c r="D132" s="44">
        <v>70232</v>
      </c>
      <c r="E132" s="44">
        <v>70231</v>
      </c>
      <c r="F132" s="44" t="s">
        <v>1365</v>
      </c>
      <c r="G132" s="44" t="s">
        <v>29</v>
      </c>
      <c r="H132" s="44"/>
      <c r="I132" s="45">
        <v>99</v>
      </c>
      <c r="J132" s="45">
        <v>114</v>
      </c>
      <c r="K132" s="45">
        <v>118</v>
      </c>
      <c r="L132" s="45">
        <v>123</v>
      </c>
      <c r="M132" s="45">
        <v>133</v>
      </c>
      <c r="N132" s="45">
        <v>109</v>
      </c>
      <c r="O132" s="45">
        <v>123</v>
      </c>
      <c r="P132" s="45">
        <v>128</v>
      </c>
      <c r="Q132" s="45">
        <v>133</v>
      </c>
      <c r="R132" s="45">
        <v>148</v>
      </c>
      <c r="S132" s="46"/>
    </row>
    <row r="133" spans="2:19" x14ac:dyDescent="0.25">
      <c r="B133" s="47" t="s">
        <v>1365</v>
      </c>
      <c r="C133" s="47" t="s">
        <v>58</v>
      </c>
      <c r="D133" s="47">
        <v>70232</v>
      </c>
      <c r="E133" s="47">
        <v>70231</v>
      </c>
      <c r="F133" s="47" t="s">
        <v>1331</v>
      </c>
      <c r="G133" s="47" t="s">
        <v>1325</v>
      </c>
      <c r="H133" s="47">
        <v>115</v>
      </c>
      <c r="I133" s="48">
        <v>99</v>
      </c>
      <c r="J133" s="48">
        <v>114</v>
      </c>
      <c r="K133" s="48">
        <v>118</v>
      </c>
      <c r="L133" s="48">
        <v>123</v>
      </c>
      <c r="M133" s="48">
        <v>133</v>
      </c>
      <c r="N133" s="48">
        <v>109</v>
      </c>
      <c r="O133" s="48">
        <v>123</v>
      </c>
      <c r="P133" s="48">
        <v>128</v>
      </c>
      <c r="Q133" s="48">
        <v>133</v>
      </c>
      <c r="R133" s="48">
        <v>148</v>
      </c>
      <c r="S133" s="48"/>
    </row>
    <row r="134" spans="2:19" x14ac:dyDescent="0.25">
      <c r="B134" s="47" t="s">
        <v>1365</v>
      </c>
      <c r="C134" s="47" t="s">
        <v>58</v>
      </c>
      <c r="D134" s="47">
        <v>70232</v>
      </c>
      <c r="E134" s="47">
        <v>70231</v>
      </c>
      <c r="F134" s="47" t="s">
        <v>1331</v>
      </c>
      <c r="G134" s="47" t="s">
        <v>1325</v>
      </c>
      <c r="H134" s="47">
        <v>230</v>
      </c>
      <c r="I134" s="48">
        <v>99</v>
      </c>
      <c r="J134" s="48">
        <v>114</v>
      </c>
      <c r="K134" s="48">
        <v>118</v>
      </c>
      <c r="L134" s="48">
        <v>123</v>
      </c>
      <c r="M134" s="48">
        <v>133</v>
      </c>
      <c r="N134" s="48">
        <v>109</v>
      </c>
      <c r="O134" s="48">
        <v>123</v>
      </c>
      <c r="P134" s="48">
        <v>128</v>
      </c>
      <c r="Q134" s="48">
        <v>133</v>
      </c>
      <c r="R134" s="48">
        <v>148</v>
      </c>
      <c r="S134" s="48"/>
    </row>
    <row r="135" spans="2:19" ht="34.5" x14ac:dyDescent="0.25">
      <c r="B135" s="44" t="s">
        <v>1366</v>
      </c>
      <c r="C135" s="44" t="s">
        <v>58</v>
      </c>
      <c r="D135" s="44">
        <v>70232</v>
      </c>
      <c r="E135" s="44">
        <v>70231</v>
      </c>
      <c r="F135" s="44" t="s">
        <v>1366</v>
      </c>
      <c r="G135" s="44" t="s">
        <v>29</v>
      </c>
      <c r="H135" s="44"/>
      <c r="I135" s="45">
        <v>94</v>
      </c>
      <c r="J135" s="45">
        <v>94</v>
      </c>
      <c r="K135" s="45">
        <v>108</v>
      </c>
      <c r="L135" s="45">
        <v>117</v>
      </c>
      <c r="M135" s="45">
        <v>120</v>
      </c>
      <c r="N135" s="45">
        <v>112</v>
      </c>
      <c r="O135" s="45">
        <v>112</v>
      </c>
      <c r="P135" s="45">
        <v>120</v>
      </c>
      <c r="Q135" s="45">
        <v>120</v>
      </c>
      <c r="R135" s="45">
        <v>120</v>
      </c>
      <c r="S135" s="46"/>
    </row>
    <row r="136" spans="2:19" x14ac:dyDescent="0.25">
      <c r="B136" s="47" t="s">
        <v>1366</v>
      </c>
      <c r="C136" s="47" t="s">
        <v>58</v>
      </c>
      <c r="D136" s="47">
        <v>70232</v>
      </c>
      <c r="E136" s="47">
        <v>70231</v>
      </c>
      <c r="F136" s="47" t="s">
        <v>1351</v>
      </c>
      <c r="G136" s="47" t="s">
        <v>1325</v>
      </c>
      <c r="H136" s="47">
        <v>230</v>
      </c>
      <c r="I136" s="48">
        <v>94</v>
      </c>
      <c r="J136" s="48">
        <v>94</v>
      </c>
      <c r="K136" s="48">
        <v>108</v>
      </c>
      <c r="L136" s="48">
        <v>117</v>
      </c>
      <c r="M136" s="48">
        <v>120</v>
      </c>
      <c r="N136" s="48">
        <v>112</v>
      </c>
      <c r="O136" s="48">
        <v>112</v>
      </c>
      <c r="P136" s="48">
        <v>120</v>
      </c>
      <c r="Q136" s="48">
        <v>120</v>
      </c>
      <c r="R136" s="48">
        <v>120</v>
      </c>
      <c r="S136" s="48"/>
    </row>
    <row r="137" spans="2:19" x14ac:dyDescent="0.25">
      <c r="B137" s="47" t="s">
        <v>1366</v>
      </c>
      <c r="C137" s="47" t="s">
        <v>58</v>
      </c>
      <c r="D137" s="47">
        <v>70232</v>
      </c>
      <c r="E137" s="47">
        <v>70231</v>
      </c>
      <c r="F137" s="47" t="s">
        <v>1351</v>
      </c>
      <c r="G137" s="47" t="s">
        <v>1325</v>
      </c>
      <c r="H137" s="47">
        <v>115</v>
      </c>
      <c r="I137" s="48">
        <v>94</v>
      </c>
      <c r="J137" s="48">
        <v>94</v>
      </c>
      <c r="K137" s="48">
        <v>108</v>
      </c>
      <c r="L137" s="48">
        <v>117</v>
      </c>
      <c r="M137" s="48">
        <v>120</v>
      </c>
      <c r="N137" s="47">
        <v>113</v>
      </c>
      <c r="O137" s="47">
        <v>113</v>
      </c>
      <c r="P137" s="48">
        <v>120</v>
      </c>
      <c r="Q137" s="48">
        <v>120</v>
      </c>
      <c r="R137" s="48">
        <v>120</v>
      </c>
      <c r="S137" s="48"/>
    </row>
    <row r="138" spans="2:19" ht="20" x14ac:dyDescent="0.25">
      <c r="B138" s="47" t="s">
        <v>1366</v>
      </c>
      <c r="C138" s="47" t="s">
        <v>58</v>
      </c>
      <c r="D138" s="47">
        <v>70232</v>
      </c>
      <c r="E138" s="47">
        <v>70231</v>
      </c>
      <c r="F138" s="47" t="s">
        <v>1367</v>
      </c>
      <c r="G138" s="47" t="s">
        <v>39</v>
      </c>
      <c r="H138" s="47">
        <v>115</v>
      </c>
      <c r="I138" s="47">
        <v>120</v>
      </c>
      <c r="J138" s="47">
        <v>120</v>
      </c>
      <c r="K138" s="47">
        <v>120</v>
      </c>
      <c r="L138" s="47">
        <v>120</v>
      </c>
      <c r="M138" s="48">
        <v>120</v>
      </c>
      <c r="N138" s="47">
        <v>120</v>
      </c>
      <c r="O138" s="47">
        <v>120</v>
      </c>
      <c r="P138" s="48">
        <v>120</v>
      </c>
      <c r="Q138" s="48">
        <v>120</v>
      </c>
      <c r="R138" s="48">
        <v>120</v>
      </c>
      <c r="S138" s="48"/>
    </row>
    <row r="139" spans="2:19" ht="34.5" x14ac:dyDescent="0.25">
      <c r="B139" s="94" t="s">
        <v>2644</v>
      </c>
      <c r="C139" s="94" t="s">
        <v>2642</v>
      </c>
      <c r="D139" s="94">
        <v>70898</v>
      </c>
      <c r="E139" s="94">
        <v>70901</v>
      </c>
      <c r="F139" s="94" t="s">
        <v>2644</v>
      </c>
      <c r="G139" s="94" t="s">
        <v>29</v>
      </c>
      <c r="H139" s="94"/>
      <c r="I139" s="97">
        <v>280</v>
      </c>
      <c r="J139" s="97">
        <v>322</v>
      </c>
      <c r="K139" s="97">
        <v>336</v>
      </c>
      <c r="L139" s="97">
        <v>350</v>
      </c>
      <c r="M139" s="97">
        <v>378</v>
      </c>
      <c r="N139" s="97">
        <v>308</v>
      </c>
      <c r="O139" s="97">
        <v>350</v>
      </c>
      <c r="P139" s="97">
        <v>364</v>
      </c>
      <c r="Q139" s="97">
        <v>378</v>
      </c>
      <c r="R139" s="97">
        <v>420</v>
      </c>
      <c r="S139" s="98"/>
    </row>
    <row r="140" spans="2:19" x14ac:dyDescent="0.25">
      <c r="B140" s="96" t="s">
        <v>2644</v>
      </c>
      <c r="C140" s="96" t="s">
        <v>2642</v>
      </c>
      <c r="D140" s="96">
        <v>70898</v>
      </c>
      <c r="E140" s="96">
        <v>70901</v>
      </c>
      <c r="F140" s="96" t="s">
        <v>1353</v>
      </c>
      <c r="G140" s="96" t="s">
        <v>1325</v>
      </c>
      <c r="H140" s="96">
        <v>230</v>
      </c>
      <c r="I140" s="95">
        <v>280</v>
      </c>
      <c r="J140" s="95">
        <v>322</v>
      </c>
      <c r="K140" s="95">
        <v>336</v>
      </c>
      <c r="L140" s="95">
        <v>350</v>
      </c>
      <c r="M140" s="95">
        <v>378</v>
      </c>
      <c r="N140" s="95">
        <v>308</v>
      </c>
      <c r="O140" s="95">
        <v>350</v>
      </c>
      <c r="P140" s="95">
        <v>364</v>
      </c>
      <c r="Q140" s="95">
        <v>378</v>
      </c>
      <c r="R140" s="95">
        <v>420</v>
      </c>
      <c r="S140" s="95"/>
    </row>
    <row r="141" spans="2:19" x14ac:dyDescent="0.25">
      <c r="B141" s="96" t="s">
        <v>2644</v>
      </c>
      <c r="C141" s="96" t="s">
        <v>2642</v>
      </c>
      <c r="D141" s="96">
        <v>70898</v>
      </c>
      <c r="E141" s="96">
        <v>70901</v>
      </c>
      <c r="F141" s="96" t="s">
        <v>1353</v>
      </c>
      <c r="G141" s="96" t="s">
        <v>1325</v>
      </c>
      <c r="H141" s="96">
        <v>115</v>
      </c>
      <c r="I141" s="95">
        <v>280</v>
      </c>
      <c r="J141" s="95">
        <v>322</v>
      </c>
      <c r="K141" s="95">
        <v>336</v>
      </c>
      <c r="L141" s="95">
        <v>350</v>
      </c>
      <c r="M141" s="95">
        <v>378</v>
      </c>
      <c r="N141" s="95">
        <v>308</v>
      </c>
      <c r="O141" s="95">
        <v>350</v>
      </c>
      <c r="P141" s="95">
        <v>364</v>
      </c>
      <c r="Q141" s="95">
        <v>378</v>
      </c>
      <c r="R141" s="95">
        <v>420</v>
      </c>
      <c r="S141" s="95"/>
    </row>
    <row r="142" spans="2:19" ht="34.5" x14ac:dyDescent="0.25">
      <c r="B142" s="44" t="s">
        <v>1368</v>
      </c>
      <c r="C142" s="44" t="s">
        <v>923</v>
      </c>
      <c r="D142" s="44">
        <v>70260</v>
      </c>
      <c r="E142" s="44">
        <v>70259</v>
      </c>
      <c r="F142" s="44" t="s">
        <v>1368</v>
      </c>
      <c r="G142" s="44" t="s">
        <v>29</v>
      </c>
      <c r="H142" s="44"/>
      <c r="I142" s="45">
        <v>271</v>
      </c>
      <c r="J142" s="45">
        <v>271</v>
      </c>
      <c r="K142" s="45">
        <v>312</v>
      </c>
      <c r="L142" s="45">
        <v>325</v>
      </c>
      <c r="M142" s="45">
        <v>339</v>
      </c>
      <c r="N142" s="45">
        <v>298</v>
      </c>
      <c r="O142" s="45">
        <v>298</v>
      </c>
      <c r="P142" s="45">
        <v>339</v>
      </c>
      <c r="Q142" s="45">
        <v>352</v>
      </c>
      <c r="R142" s="45">
        <v>366</v>
      </c>
      <c r="S142" s="46"/>
    </row>
    <row r="143" spans="2:19" x14ac:dyDescent="0.25">
      <c r="B143" s="47" t="s">
        <v>1368</v>
      </c>
      <c r="C143" s="47" t="s">
        <v>923</v>
      </c>
      <c r="D143" s="47">
        <v>70260</v>
      </c>
      <c r="E143" s="47">
        <v>70259</v>
      </c>
      <c r="F143" s="47" t="s">
        <v>1353</v>
      </c>
      <c r="G143" s="47" t="s">
        <v>1325</v>
      </c>
      <c r="H143" s="47">
        <v>115</v>
      </c>
      <c r="I143" s="48">
        <v>271</v>
      </c>
      <c r="J143" s="48">
        <v>271</v>
      </c>
      <c r="K143" s="48">
        <v>312</v>
      </c>
      <c r="L143" s="48">
        <v>325</v>
      </c>
      <c r="M143" s="48">
        <v>339</v>
      </c>
      <c r="N143" s="48">
        <v>298</v>
      </c>
      <c r="O143" s="48">
        <v>298</v>
      </c>
      <c r="P143" s="48">
        <v>339</v>
      </c>
      <c r="Q143" s="48">
        <v>352</v>
      </c>
      <c r="R143" s="48">
        <v>366</v>
      </c>
      <c r="S143" s="48"/>
    </row>
    <row r="144" spans="2:19" x14ac:dyDescent="0.25">
      <c r="B144" s="47" t="s">
        <v>1368</v>
      </c>
      <c r="C144" s="47" t="s">
        <v>923</v>
      </c>
      <c r="D144" s="47">
        <v>70260</v>
      </c>
      <c r="E144" s="47">
        <v>70259</v>
      </c>
      <c r="F144" s="47" t="s">
        <v>1353</v>
      </c>
      <c r="G144" s="47" t="s">
        <v>1325</v>
      </c>
      <c r="H144" s="47">
        <v>230</v>
      </c>
      <c r="I144" s="48">
        <v>271</v>
      </c>
      <c r="J144" s="48">
        <v>271</v>
      </c>
      <c r="K144" s="48">
        <v>312</v>
      </c>
      <c r="L144" s="48">
        <v>325</v>
      </c>
      <c r="M144" s="48">
        <v>339</v>
      </c>
      <c r="N144" s="48">
        <v>298</v>
      </c>
      <c r="O144" s="48">
        <v>298</v>
      </c>
      <c r="P144" s="48">
        <v>339</v>
      </c>
      <c r="Q144" s="48">
        <v>352</v>
      </c>
      <c r="R144" s="48">
        <v>366</v>
      </c>
      <c r="S144" s="48"/>
    </row>
    <row r="145" spans="2:19" ht="34.5" x14ac:dyDescent="0.25">
      <c r="B145" s="44" t="s">
        <v>1369</v>
      </c>
      <c r="C145" s="44" t="s">
        <v>923</v>
      </c>
      <c r="D145" s="44">
        <v>70260</v>
      </c>
      <c r="E145" s="44">
        <v>70259</v>
      </c>
      <c r="F145" s="44" t="s">
        <v>1369</v>
      </c>
      <c r="G145" s="44" t="s">
        <v>29</v>
      </c>
      <c r="H145" s="44"/>
      <c r="I145" s="45">
        <v>280</v>
      </c>
      <c r="J145" s="45">
        <v>322</v>
      </c>
      <c r="K145" s="45">
        <v>336</v>
      </c>
      <c r="L145" s="45">
        <v>350</v>
      </c>
      <c r="M145" s="45">
        <v>378</v>
      </c>
      <c r="N145" s="45">
        <v>308</v>
      </c>
      <c r="O145" s="45">
        <v>350</v>
      </c>
      <c r="P145" s="45">
        <v>364</v>
      </c>
      <c r="Q145" s="45">
        <v>378</v>
      </c>
      <c r="R145" s="45">
        <v>420</v>
      </c>
      <c r="S145" s="46"/>
    </row>
    <row r="146" spans="2:19" x14ac:dyDescent="0.25">
      <c r="B146" s="47" t="s">
        <v>1369</v>
      </c>
      <c r="C146" s="47" t="s">
        <v>923</v>
      </c>
      <c r="D146" s="47">
        <v>70260</v>
      </c>
      <c r="E146" s="47">
        <v>70259</v>
      </c>
      <c r="F146" s="47" t="s">
        <v>1324</v>
      </c>
      <c r="G146" s="47" t="s">
        <v>1325</v>
      </c>
      <c r="H146" s="47">
        <v>230</v>
      </c>
      <c r="I146" s="48">
        <v>280</v>
      </c>
      <c r="J146" s="48">
        <v>322</v>
      </c>
      <c r="K146" s="48">
        <v>336</v>
      </c>
      <c r="L146" s="48">
        <v>350</v>
      </c>
      <c r="M146" s="48">
        <v>378</v>
      </c>
      <c r="N146" s="48">
        <v>308</v>
      </c>
      <c r="O146" s="48">
        <v>350</v>
      </c>
      <c r="P146" s="48">
        <v>364</v>
      </c>
      <c r="Q146" s="48">
        <v>378</v>
      </c>
      <c r="R146" s="48">
        <v>420</v>
      </c>
      <c r="S146" s="48"/>
    </row>
    <row r="147" spans="2:19" x14ac:dyDescent="0.25">
      <c r="B147" s="47" t="s">
        <v>1369</v>
      </c>
      <c r="C147" s="47" t="s">
        <v>923</v>
      </c>
      <c r="D147" s="47">
        <v>70260</v>
      </c>
      <c r="E147" s="47">
        <v>70259</v>
      </c>
      <c r="F147" s="47" t="s">
        <v>1324</v>
      </c>
      <c r="G147" s="47" t="s">
        <v>1325</v>
      </c>
      <c r="H147" s="47">
        <v>115</v>
      </c>
      <c r="I147" s="48">
        <v>280</v>
      </c>
      <c r="J147" s="48">
        <v>322</v>
      </c>
      <c r="K147" s="48">
        <v>336</v>
      </c>
      <c r="L147" s="48">
        <v>350</v>
      </c>
      <c r="M147" s="48">
        <v>378</v>
      </c>
      <c r="N147" s="48">
        <v>308</v>
      </c>
      <c r="O147" s="48">
        <v>350</v>
      </c>
      <c r="P147" s="48">
        <v>364</v>
      </c>
      <c r="Q147" s="48">
        <v>378</v>
      </c>
      <c r="R147" s="48">
        <v>420</v>
      </c>
      <c r="S147" s="48"/>
    </row>
    <row r="148" spans="2:19" ht="34.5" x14ac:dyDescent="0.25">
      <c r="B148" s="44" t="s">
        <v>1370</v>
      </c>
      <c r="C148" s="44" t="s">
        <v>445</v>
      </c>
      <c r="D148" s="44">
        <v>70266</v>
      </c>
      <c r="E148" s="44">
        <v>70265</v>
      </c>
      <c r="F148" s="44" t="s">
        <v>1370</v>
      </c>
      <c r="G148" s="44" t="s">
        <v>29</v>
      </c>
      <c r="H148" s="44"/>
      <c r="I148" s="45">
        <v>144</v>
      </c>
      <c r="J148" s="45">
        <v>144</v>
      </c>
      <c r="K148" s="45">
        <v>166</v>
      </c>
      <c r="L148" s="45">
        <v>180</v>
      </c>
      <c r="M148" s="45">
        <v>187</v>
      </c>
      <c r="N148" s="45">
        <v>173</v>
      </c>
      <c r="O148" s="45">
        <v>173</v>
      </c>
      <c r="P148" s="45">
        <v>187</v>
      </c>
      <c r="Q148" s="45">
        <v>191</v>
      </c>
      <c r="R148" s="45">
        <v>191</v>
      </c>
      <c r="S148" s="46"/>
    </row>
    <row r="149" spans="2:19" x14ac:dyDescent="0.25">
      <c r="B149" s="47" t="s">
        <v>1370</v>
      </c>
      <c r="C149" s="47" t="s">
        <v>445</v>
      </c>
      <c r="D149" s="47">
        <v>70266</v>
      </c>
      <c r="E149" s="47">
        <v>70265</v>
      </c>
      <c r="F149" s="47" t="s">
        <v>1328</v>
      </c>
      <c r="G149" s="47" t="s">
        <v>1325</v>
      </c>
      <c r="H149" s="47">
        <v>230</v>
      </c>
      <c r="I149" s="48">
        <v>144</v>
      </c>
      <c r="J149" s="48">
        <v>144</v>
      </c>
      <c r="K149" s="48">
        <v>166</v>
      </c>
      <c r="L149" s="48">
        <v>180</v>
      </c>
      <c r="M149" s="48">
        <v>187</v>
      </c>
      <c r="N149" s="48">
        <v>173</v>
      </c>
      <c r="O149" s="48">
        <v>173</v>
      </c>
      <c r="P149" s="48">
        <v>187</v>
      </c>
      <c r="Q149" s="47">
        <v>202</v>
      </c>
      <c r="R149" s="47">
        <v>209</v>
      </c>
      <c r="S149" s="47"/>
    </row>
    <row r="150" spans="2:19" x14ac:dyDescent="0.25">
      <c r="B150" s="47" t="s">
        <v>1370</v>
      </c>
      <c r="C150" s="47" t="s">
        <v>445</v>
      </c>
      <c r="D150" s="47">
        <v>70266</v>
      </c>
      <c r="E150" s="47">
        <v>70265</v>
      </c>
      <c r="F150" s="47" t="s">
        <v>1328</v>
      </c>
      <c r="G150" s="47" t="s">
        <v>1325</v>
      </c>
      <c r="H150" s="47">
        <v>115</v>
      </c>
      <c r="I150" s="48">
        <v>144</v>
      </c>
      <c r="J150" s="48">
        <v>144</v>
      </c>
      <c r="K150" s="48">
        <v>166</v>
      </c>
      <c r="L150" s="48">
        <v>180</v>
      </c>
      <c r="M150" s="48">
        <v>187</v>
      </c>
      <c r="N150" s="48">
        <v>173</v>
      </c>
      <c r="O150" s="48">
        <v>173</v>
      </c>
      <c r="P150" s="48">
        <v>187</v>
      </c>
      <c r="Q150" s="47">
        <v>202</v>
      </c>
      <c r="R150" s="47">
        <v>209</v>
      </c>
      <c r="S150" s="47"/>
    </row>
    <row r="151" spans="2:19" ht="30" x14ac:dyDescent="0.25">
      <c r="B151" s="47" t="s">
        <v>1370</v>
      </c>
      <c r="C151" s="47" t="s">
        <v>445</v>
      </c>
      <c r="D151" s="47">
        <v>70266</v>
      </c>
      <c r="E151" s="47">
        <v>70265</v>
      </c>
      <c r="F151" s="47" t="s">
        <v>2613</v>
      </c>
      <c r="G151" s="47" t="s">
        <v>36</v>
      </c>
      <c r="H151" s="47">
        <v>115</v>
      </c>
      <c r="I151" s="47">
        <v>191</v>
      </c>
      <c r="J151" s="47">
        <v>191</v>
      </c>
      <c r="K151" s="47">
        <v>191</v>
      </c>
      <c r="L151" s="47">
        <v>191</v>
      </c>
      <c r="M151" s="47">
        <v>191</v>
      </c>
      <c r="N151" s="47">
        <v>191</v>
      </c>
      <c r="O151" s="47">
        <v>191</v>
      </c>
      <c r="P151" s="47">
        <v>191</v>
      </c>
      <c r="Q151" s="48">
        <v>191</v>
      </c>
      <c r="R151" s="48">
        <v>191</v>
      </c>
      <c r="S151" s="48"/>
    </row>
    <row r="152" spans="2:19" ht="34.5" x14ac:dyDescent="0.25">
      <c r="B152" s="44" t="s">
        <v>1371</v>
      </c>
      <c r="C152" s="44" t="s">
        <v>445</v>
      </c>
      <c r="D152" s="44">
        <v>70266</v>
      </c>
      <c r="E152" s="44">
        <v>70265</v>
      </c>
      <c r="F152" s="44" t="s">
        <v>1371</v>
      </c>
      <c r="G152" s="44" t="s">
        <v>29</v>
      </c>
      <c r="H152" s="44"/>
      <c r="I152" s="45">
        <v>150</v>
      </c>
      <c r="J152" s="45">
        <v>159</v>
      </c>
      <c r="K152" s="45">
        <v>159</v>
      </c>
      <c r="L152" s="45">
        <v>159</v>
      </c>
      <c r="M152" s="45">
        <v>159</v>
      </c>
      <c r="N152" s="45">
        <v>159</v>
      </c>
      <c r="O152" s="45">
        <v>159</v>
      </c>
      <c r="P152" s="45">
        <v>159</v>
      </c>
      <c r="Q152" s="45">
        <v>159</v>
      </c>
      <c r="R152" s="45">
        <v>159</v>
      </c>
      <c r="S152" s="46"/>
    </row>
    <row r="153" spans="2:19" x14ac:dyDescent="0.25">
      <c r="B153" s="47" t="s">
        <v>1371</v>
      </c>
      <c r="C153" s="47" t="s">
        <v>445</v>
      </c>
      <c r="D153" s="47">
        <v>70266</v>
      </c>
      <c r="E153" s="47">
        <v>70265</v>
      </c>
      <c r="F153" s="47" t="s">
        <v>1331</v>
      </c>
      <c r="G153" s="47" t="s">
        <v>1325</v>
      </c>
      <c r="H153" s="47">
        <v>230</v>
      </c>
      <c r="I153" s="48">
        <v>150</v>
      </c>
      <c r="J153" s="47">
        <v>172</v>
      </c>
      <c r="K153" s="47">
        <v>180</v>
      </c>
      <c r="L153" s="47">
        <v>188</v>
      </c>
      <c r="M153" s="47">
        <v>203</v>
      </c>
      <c r="N153" s="47">
        <v>165</v>
      </c>
      <c r="O153" s="47">
        <v>188</v>
      </c>
      <c r="P153" s="47">
        <v>195</v>
      </c>
      <c r="Q153" s="47">
        <v>203</v>
      </c>
      <c r="R153" s="47">
        <v>225</v>
      </c>
      <c r="S153" s="47"/>
    </row>
    <row r="154" spans="2:19" x14ac:dyDescent="0.25">
      <c r="B154" s="47" t="s">
        <v>1371</v>
      </c>
      <c r="C154" s="47" t="s">
        <v>445</v>
      </c>
      <c r="D154" s="47">
        <v>70266</v>
      </c>
      <c r="E154" s="47">
        <v>70265</v>
      </c>
      <c r="F154" s="47" t="s">
        <v>1331</v>
      </c>
      <c r="G154" s="47" t="s">
        <v>1325</v>
      </c>
      <c r="H154" s="47">
        <v>115</v>
      </c>
      <c r="I154" s="48">
        <v>150</v>
      </c>
      <c r="J154" s="47">
        <v>173</v>
      </c>
      <c r="K154" s="47">
        <v>180</v>
      </c>
      <c r="L154" s="47">
        <v>187</v>
      </c>
      <c r="M154" s="47">
        <v>203</v>
      </c>
      <c r="N154" s="47">
        <v>165</v>
      </c>
      <c r="O154" s="47">
        <v>187</v>
      </c>
      <c r="P154" s="47">
        <v>195</v>
      </c>
      <c r="Q154" s="47">
        <v>203</v>
      </c>
      <c r="R154" s="47">
        <v>225</v>
      </c>
      <c r="S154" s="47"/>
    </row>
    <row r="155" spans="2:19" ht="20" x14ac:dyDescent="0.25">
      <c r="B155" s="47" t="s">
        <v>1371</v>
      </c>
      <c r="C155" s="47" t="s">
        <v>445</v>
      </c>
      <c r="D155" s="47">
        <v>70266</v>
      </c>
      <c r="E155" s="47">
        <v>70265</v>
      </c>
      <c r="F155" s="47" t="s">
        <v>1372</v>
      </c>
      <c r="G155" s="47" t="s">
        <v>39</v>
      </c>
      <c r="H155" s="47">
        <v>115</v>
      </c>
      <c r="I155" s="47">
        <v>159</v>
      </c>
      <c r="J155" s="48">
        <v>159</v>
      </c>
      <c r="K155" s="48">
        <v>159</v>
      </c>
      <c r="L155" s="48">
        <v>159</v>
      </c>
      <c r="M155" s="48">
        <v>159</v>
      </c>
      <c r="N155" s="48">
        <v>159</v>
      </c>
      <c r="O155" s="48">
        <v>159</v>
      </c>
      <c r="P155" s="48">
        <v>159</v>
      </c>
      <c r="Q155" s="48">
        <v>159</v>
      </c>
      <c r="R155" s="48">
        <v>159</v>
      </c>
      <c r="S155" s="48"/>
    </row>
    <row r="156" spans="2:19" ht="34.5" x14ac:dyDescent="0.25">
      <c r="B156" s="44" t="s">
        <v>1373</v>
      </c>
      <c r="C156" s="44" t="s">
        <v>223</v>
      </c>
      <c r="D156" s="44">
        <v>70274</v>
      </c>
      <c r="E156" s="44">
        <v>70273</v>
      </c>
      <c r="F156" s="44" t="s">
        <v>1373</v>
      </c>
      <c r="G156" s="44" t="s">
        <v>29</v>
      </c>
      <c r="H156" s="44"/>
      <c r="I156" s="45">
        <v>98</v>
      </c>
      <c r="J156" s="45">
        <v>98</v>
      </c>
      <c r="K156" s="45">
        <v>112</v>
      </c>
      <c r="L156" s="45">
        <v>122</v>
      </c>
      <c r="M156" s="45">
        <v>127</v>
      </c>
      <c r="N156" s="45">
        <v>117</v>
      </c>
      <c r="O156" s="45">
        <v>117</v>
      </c>
      <c r="P156" s="45">
        <v>127</v>
      </c>
      <c r="Q156" s="45">
        <v>137</v>
      </c>
      <c r="R156" s="45">
        <v>142</v>
      </c>
      <c r="S156" s="46"/>
    </row>
    <row r="157" spans="2:19" x14ac:dyDescent="0.25">
      <c r="B157" s="47" t="s">
        <v>1373</v>
      </c>
      <c r="C157" s="47" t="s">
        <v>223</v>
      </c>
      <c r="D157" s="47">
        <v>70274</v>
      </c>
      <c r="E157" s="47">
        <v>70273</v>
      </c>
      <c r="F157" s="47" t="s">
        <v>1328</v>
      </c>
      <c r="G157" s="47" t="s">
        <v>1325</v>
      </c>
      <c r="H157" s="47">
        <v>230</v>
      </c>
      <c r="I157" s="48">
        <v>98</v>
      </c>
      <c r="J157" s="48">
        <v>98</v>
      </c>
      <c r="K157" s="48">
        <v>112</v>
      </c>
      <c r="L157" s="48">
        <v>122</v>
      </c>
      <c r="M157" s="48">
        <v>127</v>
      </c>
      <c r="N157" s="47">
        <v>118</v>
      </c>
      <c r="O157" s="47">
        <v>118</v>
      </c>
      <c r="P157" s="48">
        <v>127</v>
      </c>
      <c r="Q157" s="48">
        <v>137</v>
      </c>
      <c r="R157" s="48">
        <v>142</v>
      </c>
      <c r="S157" s="48"/>
    </row>
    <row r="158" spans="2:19" x14ac:dyDescent="0.25">
      <c r="B158" s="47" t="s">
        <v>1373</v>
      </c>
      <c r="C158" s="47" t="s">
        <v>223</v>
      </c>
      <c r="D158" s="47">
        <v>70274</v>
      </c>
      <c r="E158" s="47">
        <v>70273</v>
      </c>
      <c r="F158" s="47" t="s">
        <v>1328</v>
      </c>
      <c r="G158" s="47" t="s">
        <v>1325</v>
      </c>
      <c r="H158" s="47">
        <v>115</v>
      </c>
      <c r="I158" s="48">
        <v>98</v>
      </c>
      <c r="J158" s="48">
        <v>98</v>
      </c>
      <c r="K158" s="47">
        <v>113</v>
      </c>
      <c r="L158" s="48">
        <v>122</v>
      </c>
      <c r="M158" s="48">
        <v>127</v>
      </c>
      <c r="N158" s="48">
        <v>117</v>
      </c>
      <c r="O158" s="48">
        <v>117</v>
      </c>
      <c r="P158" s="48">
        <v>127</v>
      </c>
      <c r="Q158" s="48">
        <v>137</v>
      </c>
      <c r="R158" s="48">
        <v>142</v>
      </c>
      <c r="S158" s="48"/>
    </row>
    <row r="159" spans="2:19" ht="34.5" x14ac:dyDescent="0.25">
      <c r="B159" s="44" t="s">
        <v>1374</v>
      </c>
      <c r="C159" s="44" t="s">
        <v>223</v>
      </c>
      <c r="D159" s="44">
        <v>70274</v>
      </c>
      <c r="E159" s="44">
        <v>70273</v>
      </c>
      <c r="F159" s="44" t="s">
        <v>1374</v>
      </c>
      <c r="G159" s="44" t="s">
        <v>29</v>
      </c>
      <c r="H159" s="44"/>
      <c r="I159" s="45">
        <v>100</v>
      </c>
      <c r="J159" s="45">
        <v>115</v>
      </c>
      <c r="K159" s="45">
        <v>120</v>
      </c>
      <c r="L159" s="45">
        <v>125</v>
      </c>
      <c r="M159" s="45">
        <v>135</v>
      </c>
      <c r="N159" s="45">
        <v>110</v>
      </c>
      <c r="O159" s="45">
        <v>125</v>
      </c>
      <c r="P159" s="45">
        <v>130</v>
      </c>
      <c r="Q159" s="45">
        <v>135</v>
      </c>
      <c r="R159" s="45">
        <v>150</v>
      </c>
      <c r="S159" s="46"/>
    </row>
    <row r="160" spans="2:19" x14ac:dyDescent="0.25">
      <c r="B160" s="47" t="s">
        <v>1374</v>
      </c>
      <c r="C160" s="47" t="s">
        <v>223</v>
      </c>
      <c r="D160" s="47">
        <v>70274</v>
      </c>
      <c r="E160" s="47">
        <v>70273</v>
      </c>
      <c r="F160" s="47" t="s">
        <v>1331</v>
      </c>
      <c r="G160" s="47" t="s">
        <v>1325</v>
      </c>
      <c r="H160" s="47">
        <v>115</v>
      </c>
      <c r="I160" s="48">
        <v>100</v>
      </c>
      <c r="J160" s="48">
        <v>115</v>
      </c>
      <c r="K160" s="48">
        <v>120</v>
      </c>
      <c r="L160" s="48">
        <v>125</v>
      </c>
      <c r="M160" s="48">
        <v>135</v>
      </c>
      <c r="N160" s="48">
        <v>110</v>
      </c>
      <c r="O160" s="48">
        <v>125</v>
      </c>
      <c r="P160" s="48">
        <v>130</v>
      </c>
      <c r="Q160" s="48">
        <v>135</v>
      </c>
      <c r="R160" s="48">
        <v>150</v>
      </c>
      <c r="S160" s="48"/>
    </row>
    <row r="161" spans="2:19" x14ac:dyDescent="0.25">
      <c r="B161" s="47" t="s">
        <v>1374</v>
      </c>
      <c r="C161" s="47" t="s">
        <v>223</v>
      </c>
      <c r="D161" s="47">
        <v>70274</v>
      </c>
      <c r="E161" s="47">
        <v>70273</v>
      </c>
      <c r="F161" s="47" t="s">
        <v>1331</v>
      </c>
      <c r="G161" s="47" t="s">
        <v>1325</v>
      </c>
      <c r="H161" s="47">
        <v>230</v>
      </c>
      <c r="I161" s="48">
        <v>100</v>
      </c>
      <c r="J161" s="48">
        <v>115</v>
      </c>
      <c r="K161" s="48">
        <v>120</v>
      </c>
      <c r="L161" s="48">
        <v>125</v>
      </c>
      <c r="M161" s="48">
        <v>135</v>
      </c>
      <c r="N161" s="48">
        <v>110</v>
      </c>
      <c r="O161" s="48">
        <v>125</v>
      </c>
      <c r="P161" s="48">
        <v>130</v>
      </c>
      <c r="Q161" s="48">
        <v>135</v>
      </c>
      <c r="R161" s="48">
        <v>150</v>
      </c>
      <c r="S161" s="48"/>
    </row>
    <row r="162" spans="2:19" ht="34.5" x14ac:dyDescent="0.25">
      <c r="B162" s="44" t="s">
        <v>1375</v>
      </c>
      <c r="C162" s="44" t="s">
        <v>45</v>
      </c>
      <c r="D162" s="44">
        <v>70286</v>
      </c>
      <c r="E162" s="44">
        <v>70285</v>
      </c>
      <c r="F162" s="44" t="s">
        <v>1375</v>
      </c>
      <c r="G162" s="44" t="s">
        <v>29</v>
      </c>
      <c r="H162" s="44"/>
      <c r="I162" s="45">
        <v>172</v>
      </c>
      <c r="J162" s="45">
        <v>172</v>
      </c>
      <c r="K162" s="45">
        <v>200</v>
      </c>
      <c r="L162" s="45">
        <v>200</v>
      </c>
      <c r="M162" s="45">
        <v>200</v>
      </c>
      <c r="N162" s="45">
        <v>204</v>
      </c>
      <c r="O162" s="45">
        <v>204</v>
      </c>
      <c r="P162" s="45">
        <v>227</v>
      </c>
      <c r="Q162" s="45">
        <v>227</v>
      </c>
      <c r="R162" s="45">
        <v>227</v>
      </c>
      <c r="S162" s="46"/>
    </row>
    <row r="163" spans="2:19" ht="20" x14ac:dyDescent="0.25">
      <c r="B163" s="47" t="s">
        <v>1375</v>
      </c>
      <c r="C163" s="47" t="s">
        <v>45</v>
      </c>
      <c r="D163" s="47">
        <v>70286</v>
      </c>
      <c r="E163" s="47">
        <v>70285</v>
      </c>
      <c r="F163" s="47" t="s">
        <v>2476</v>
      </c>
      <c r="G163" s="47" t="s">
        <v>31</v>
      </c>
      <c r="H163" s="47">
        <v>115</v>
      </c>
      <c r="I163" s="48">
        <v>172</v>
      </c>
      <c r="J163" s="48">
        <v>172</v>
      </c>
      <c r="K163" s="48">
        <v>200</v>
      </c>
      <c r="L163" s="48">
        <v>200</v>
      </c>
      <c r="M163" s="48">
        <v>200</v>
      </c>
      <c r="N163" s="48">
        <v>204</v>
      </c>
      <c r="O163" s="48">
        <v>204</v>
      </c>
      <c r="P163" s="48">
        <v>227</v>
      </c>
      <c r="Q163" s="48">
        <v>227</v>
      </c>
      <c r="R163" s="48">
        <v>227</v>
      </c>
      <c r="S163" s="48"/>
    </row>
    <row r="164" spans="2:19" x14ac:dyDescent="0.25">
      <c r="B164" s="47" t="s">
        <v>1375</v>
      </c>
      <c r="C164" s="47" t="s">
        <v>45</v>
      </c>
      <c r="D164" s="47">
        <v>70286</v>
      </c>
      <c r="E164" s="47">
        <v>70285</v>
      </c>
      <c r="F164" s="47" t="s">
        <v>1328</v>
      </c>
      <c r="G164" s="47" t="s">
        <v>1325</v>
      </c>
      <c r="H164" s="47">
        <v>115</v>
      </c>
      <c r="I164" s="47">
        <v>280</v>
      </c>
      <c r="J164" s="47">
        <v>322</v>
      </c>
      <c r="K164" s="47">
        <v>336</v>
      </c>
      <c r="L164" s="47">
        <v>350</v>
      </c>
      <c r="M164" s="47">
        <v>378</v>
      </c>
      <c r="N164" s="47">
        <v>308</v>
      </c>
      <c r="O164" s="47">
        <v>350</v>
      </c>
      <c r="P164" s="47">
        <v>364</v>
      </c>
      <c r="Q164" s="47">
        <v>378</v>
      </c>
      <c r="R164" s="47">
        <v>420</v>
      </c>
      <c r="S164" s="47"/>
    </row>
    <row r="165" spans="2:19" x14ac:dyDescent="0.25">
      <c r="B165" s="47" t="s">
        <v>1375</v>
      </c>
      <c r="C165" s="47" t="s">
        <v>45</v>
      </c>
      <c r="D165" s="47">
        <v>70286</v>
      </c>
      <c r="E165" s="47">
        <v>70285</v>
      </c>
      <c r="F165" s="47" t="s">
        <v>1328</v>
      </c>
      <c r="G165" s="47" t="s">
        <v>1325</v>
      </c>
      <c r="H165" s="47">
        <v>230</v>
      </c>
      <c r="I165" s="47">
        <v>280</v>
      </c>
      <c r="J165" s="47">
        <v>322</v>
      </c>
      <c r="K165" s="47">
        <v>336</v>
      </c>
      <c r="L165" s="47">
        <v>350</v>
      </c>
      <c r="M165" s="47">
        <v>378</v>
      </c>
      <c r="N165" s="47">
        <v>308</v>
      </c>
      <c r="O165" s="47">
        <v>350</v>
      </c>
      <c r="P165" s="47">
        <v>364</v>
      </c>
      <c r="Q165" s="47">
        <v>378</v>
      </c>
      <c r="R165" s="47">
        <v>420</v>
      </c>
      <c r="S165" s="47"/>
    </row>
    <row r="166" spans="2:19" ht="34.5" x14ac:dyDescent="0.25">
      <c r="B166" s="44" t="s">
        <v>1376</v>
      </c>
      <c r="C166" s="44" t="s">
        <v>45</v>
      </c>
      <c r="D166" s="44">
        <v>70465</v>
      </c>
      <c r="E166" s="44">
        <v>70286</v>
      </c>
      <c r="F166" s="44" t="s">
        <v>1376</v>
      </c>
      <c r="G166" s="44" t="s">
        <v>29</v>
      </c>
      <c r="H166" s="44"/>
      <c r="I166" s="45">
        <v>560</v>
      </c>
      <c r="J166" s="45">
        <v>644</v>
      </c>
      <c r="K166" s="45">
        <v>672</v>
      </c>
      <c r="L166" s="45">
        <v>700</v>
      </c>
      <c r="M166" s="45">
        <v>756</v>
      </c>
      <c r="N166" s="45">
        <v>616</v>
      </c>
      <c r="O166" s="45">
        <v>700</v>
      </c>
      <c r="P166" s="45">
        <v>728</v>
      </c>
      <c r="Q166" s="45">
        <v>756</v>
      </c>
      <c r="R166" s="45">
        <v>797</v>
      </c>
      <c r="S166" s="46"/>
    </row>
    <row r="167" spans="2:19" x14ac:dyDescent="0.25">
      <c r="B167" s="47" t="s">
        <v>1376</v>
      </c>
      <c r="C167" s="47" t="s">
        <v>45</v>
      </c>
      <c r="D167" s="47">
        <v>70465</v>
      </c>
      <c r="E167" s="47">
        <v>70286</v>
      </c>
      <c r="F167" s="47" t="s">
        <v>1351</v>
      </c>
      <c r="G167" s="47" t="s">
        <v>1325</v>
      </c>
      <c r="H167" s="47">
        <v>230</v>
      </c>
      <c r="I167" s="48">
        <v>560</v>
      </c>
      <c r="J167" s="48">
        <v>644</v>
      </c>
      <c r="K167" s="48">
        <v>672</v>
      </c>
      <c r="L167" s="48">
        <v>700</v>
      </c>
      <c r="M167" s="48">
        <v>756</v>
      </c>
      <c r="N167" s="48">
        <v>616</v>
      </c>
      <c r="O167" s="48">
        <v>700</v>
      </c>
      <c r="P167" s="48">
        <v>728</v>
      </c>
      <c r="Q167" s="48">
        <v>756</v>
      </c>
      <c r="R167" s="47">
        <v>840</v>
      </c>
      <c r="S167" s="47"/>
    </row>
    <row r="168" spans="2:19" x14ac:dyDescent="0.25">
      <c r="B168" s="47" t="s">
        <v>1376</v>
      </c>
      <c r="C168" s="47" t="s">
        <v>45</v>
      </c>
      <c r="D168" s="47">
        <v>70465</v>
      </c>
      <c r="E168" s="47">
        <v>70286</v>
      </c>
      <c r="F168" s="47" t="s">
        <v>1351</v>
      </c>
      <c r="G168" s="47" t="s">
        <v>1325</v>
      </c>
      <c r="H168" s="47">
        <v>345</v>
      </c>
      <c r="I168" s="48">
        <v>560</v>
      </c>
      <c r="J168" s="48">
        <v>644</v>
      </c>
      <c r="K168" s="48">
        <v>672</v>
      </c>
      <c r="L168" s="48">
        <v>700</v>
      </c>
      <c r="M168" s="48">
        <v>756</v>
      </c>
      <c r="N168" s="48">
        <v>616</v>
      </c>
      <c r="O168" s="48">
        <v>700</v>
      </c>
      <c r="P168" s="48">
        <v>728</v>
      </c>
      <c r="Q168" s="48">
        <v>756</v>
      </c>
      <c r="R168" s="47">
        <v>840</v>
      </c>
      <c r="S168" s="47"/>
    </row>
    <row r="169" spans="2:19" x14ac:dyDescent="0.25">
      <c r="B169" s="47" t="s">
        <v>1376</v>
      </c>
      <c r="C169" s="47" t="s">
        <v>45</v>
      </c>
      <c r="D169" s="47">
        <v>70465</v>
      </c>
      <c r="E169" s="47">
        <v>70286</v>
      </c>
      <c r="F169" s="47" t="s">
        <v>2033</v>
      </c>
      <c r="G169" s="47" t="s">
        <v>49</v>
      </c>
      <c r="H169" s="47">
        <v>230</v>
      </c>
      <c r="I169" s="47">
        <v>797</v>
      </c>
      <c r="J169" s="47">
        <v>797</v>
      </c>
      <c r="K169" s="47">
        <v>797</v>
      </c>
      <c r="L169" s="47">
        <v>797</v>
      </c>
      <c r="M169" s="47">
        <v>797</v>
      </c>
      <c r="N169" s="47">
        <v>797</v>
      </c>
      <c r="O169" s="47">
        <v>797</v>
      </c>
      <c r="P169" s="47">
        <v>797</v>
      </c>
      <c r="Q169" s="47">
        <v>797</v>
      </c>
      <c r="R169" s="48">
        <v>797</v>
      </c>
      <c r="S169" s="48"/>
    </row>
    <row r="170" spans="2:19" ht="34.5" x14ac:dyDescent="0.25">
      <c r="B170" s="44" t="s">
        <v>1377</v>
      </c>
      <c r="C170" s="44" t="s">
        <v>636</v>
      </c>
      <c r="D170" s="44">
        <v>70624</v>
      </c>
      <c r="E170" s="44">
        <v>70623</v>
      </c>
      <c r="F170" s="44" t="s">
        <v>1377</v>
      </c>
      <c r="G170" s="44" t="s">
        <v>29</v>
      </c>
      <c r="H170" s="44"/>
      <c r="I170" s="45">
        <v>560</v>
      </c>
      <c r="J170" s="45">
        <v>644</v>
      </c>
      <c r="K170" s="45">
        <v>672</v>
      </c>
      <c r="L170" s="45">
        <v>700</v>
      </c>
      <c r="M170" s="45">
        <v>756</v>
      </c>
      <c r="N170" s="45">
        <v>616</v>
      </c>
      <c r="O170" s="45">
        <v>700</v>
      </c>
      <c r="P170" s="45">
        <v>728</v>
      </c>
      <c r="Q170" s="45">
        <v>756</v>
      </c>
      <c r="R170" s="45">
        <v>840</v>
      </c>
      <c r="S170" s="46"/>
    </row>
    <row r="171" spans="2:19" x14ac:dyDescent="0.25">
      <c r="B171" s="47" t="s">
        <v>1377</v>
      </c>
      <c r="C171" s="47" t="s">
        <v>636</v>
      </c>
      <c r="D171" s="47">
        <v>70624</v>
      </c>
      <c r="E171" s="47">
        <v>70623</v>
      </c>
      <c r="F171" s="47" t="s">
        <v>1328</v>
      </c>
      <c r="G171" s="47" t="s">
        <v>1325</v>
      </c>
      <c r="H171" s="47">
        <v>230</v>
      </c>
      <c r="I171" s="48">
        <v>560</v>
      </c>
      <c r="J171" s="48">
        <v>644</v>
      </c>
      <c r="K171" s="48">
        <v>672</v>
      </c>
      <c r="L171" s="48">
        <v>700</v>
      </c>
      <c r="M171" s="48">
        <v>756</v>
      </c>
      <c r="N171" s="48">
        <v>616</v>
      </c>
      <c r="O171" s="48">
        <v>700</v>
      </c>
      <c r="P171" s="48">
        <v>728</v>
      </c>
      <c r="Q171" s="48">
        <v>756</v>
      </c>
      <c r="R171" s="48">
        <v>840</v>
      </c>
      <c r="S171" s="48"/>
    </row>
    <row r="172" spans="2:19" x14ac:dyDescent="0.25">
      <c r="B172" s="47" t="s">
        <v>1377</v>
      </c>
      <c r="C172" s="47" t="s">
        <v>636</v>
      </c>
      <c r="D172" s="47">
        <v>70624</v>
      </c>
      <c r="E172" s="47">
        <v>70623</v>
      </c>
      <c r="F172" s="47" t="s">
        <v>1328</v>
      </c>
      <c r="G172" s="47" t="s">
        <v>1325</v>
      </c>
      <c r="H172" s="47">
        <v>345</v>
      </c>
      <c r="I172" s="48">
        <v>560</v>
      </c>
      <c r="J172" s="48">
        <v>644</v>
      </c>
      <c r="K172" s="48">
        <v>672</v>
      </c>
      <c r="L172" s="48">
        <v>700</v>
      </c>
      <c r="M172" s="48">
        <v>756</v>
      </c>
      <c r="N172" s="48">
        <v>616</v>
      </c>
      <c r="O172" s="48">
        <v>700</v>
      </c>
      <c r="P172" s="48">
        <v>728</v>
      </c>
      <c r="Q172" s="48">
        <v>756</v>
      </c>
      <c r="R172" s="48">
        <v>840</v>
      </c>
      <c r="S172" s="48"/>
    </row>
    <row r="173" spans="2:19" ht="34.5" x14ac:dyDescent="0.25">
      <c r="B173" s="44" t="s">
        <v>1378</v>
      </c>
      <c r="C173" s="44" t="s">
        <v>783</v>
      </c>
      <c r="D173" s="44">
        <v>70598</v>
      </c>
      <c r="E173" s="44">
        <v>70311</v>
      </c>
      <c r="F173" s="44" t="s">
        <v>1378</v>
      </c>
      <c r="G173" s="44" t="s">
        <v>29</v>
      </c>
      <c r="H173" s="44"/>
      <c r="I173" s="45">
        <v>560</v>
      </c>
      <c r="J173" s="45">
        <v>644</v>
      </c>
      <c r="K173" s="45">
        <v>672</v>
      </c>
      <c r="L173" s="45">
        <v>700</v>
      </c>
      <c r="M173" s="45">
        <v>756</v>
      </c>
      <c r="N173" s="45">
        <v>616</v>
      </c>
      <c r="O173" s="45">
        <v>700</v>
      </c>
      <c r="P173" s="45">
        <v>728</v>
      </c>
      <c r="Q173" s="45">
        <v>756</v>
      </c>
      <c r="R173" s="45">
        <v>840</v>
      </c>
      <c r="S173" s="46"/>
    </row>
    <row r="174" spans="2:19" x14ac:dyDescent="0.25">
      <c r="B174" s="47" t="s">
        <v>1378</v>
      </c>
      <c r="C174" s="47" t="s">
        <v>783</v>
      </c>
      <c r="D174" s="47">
        <v>70598</v>
      </c>
      <c r="E174" s="47">
        <v>70311</v>
      </c>
      <c r="F174" s="47" t="s">
        <v>1331</v>
      </c>
      <c r="G174" s="47" t="s">
        <v>1325</v>
      </c>
      <c r="H174" s="47">
        <v>230</v>
      </c>
      <c r="I174" s="48">
        <v>560</v>
      </c>
      <c r="J174" s="48">
        <v>644</v>
      </c>
      <c r="K174" s="48">
        <v>672</v>
      </c>
      <c r="L174" s="48">
        <v>700</v>
      </c>
      <c r="M174" s="48">
        <v>756</v>
      </c>
      <c r="N174" s="48">
        <v>616</v>
      </c>
      <c r="O174" s="48">
        <v>700</v>
      </c>
      <c r="P174" s="48">
        <v>728</v>
      </c>
      <c r="Q174" s="48">
        <v>756</v>
      </c>
      <c r="R174" s="48">
        <v>840</v>
      </c>
      <c r="S174" s="48"/>
    </row>
    <row r="175" spans="2:19" x14ac:dyDescent="0.25">
      <c r="B175" s="47" t="s">
        <v>1378</v>
      </c>
      <c r="C175" s="47" t="s">
        <v>783</v>
      </c>
      <c r="D175" s="47">
        <v>70598</v>
      </c>
      <c r="E175" s="47">
        <v>70311</v>
      </c>
      <c r="F175" s="47" t="s">
        <v>1331</v>
      </c>
      <c r="G175" s="47" t="s">
        <v>1325</v>
      </c>
      <c r="H175" s="47">
        <v>345</v>
      </c>
      <c r="I175" s="48">
        <v>560</v>
      </c>
      <c r="J175" s="48">
        <v>644</v>
      </c>
      <c r="K175" s="48">
        <v>672</v>
      </c>
      <c r="L175" s="48">
        <v>700</v>
      </c>
      <c r="M175" s="48">
        <v>756</v>
      </c>
      <c r="N175" s="48">
        <v>616</v>
      </c>
      <c r="O175" s="48">
        <v>700</v>
      </c>
      <c r="P175" s="48">
        <v>728</v>
      </c>
      <c r="Q175" s="48">
        <v>756</v>
      </c>
      <c r="R175" s="48">
        <v>840</v>
      </c>
      <c r="S175" s="48"/>
    </row>
    <row r="176" spans="2:19" ht="34.5" x14ac:dyDescent="0.25">
      <c r="B176" s="44" t="s">
        <v>1379</v>
      </c>
      <c r="C176" s="44" t="s">
        <v>783</v>
      </c>
      <c r="D176" s="44">
        <v>70598</v>
      </c>
      <c r="E176" s="44">
        <v>70311</v>
      </c>
      <c r="F176" s="44" t="s">
        <v>1379</v>
      </c>
      <c r="G176" s="44" t="s">
        <v>29</v>
      </c>
      <c r="H176" s="44"/>
      <c r="I176" s="45">
        <v>560</v>
      </c>
      <c r="J176" s="45">
        <v>644</v>
      </c>
      <c r="K176" s="45">
        <v>672</v>
      </c>
      <c r="L176" s="45">
        <v>700</v>
      </c>
      <c r="M176" s="45">
        <v>756</v>
      </c>
      <c r="N176" s="45">
        <v>616</v>
      </c>
      <c r="O176" s="45">
        <v>700</v>
      </c>
      <c r="P176" s="45">
        <v>728</v>
      </c>
      <c r="Q176" s="45">
        <v>756</v>
      </c>
      <c r="R176" s="45">
        <v>840</v>
      </c>
      <c r="S176" s="46"/>
    </row>
    <row r="177" spans="2:19" x14ac:dyDescent="0.25">
      <c r="B177" s="47" t="s">
        <v>1379</v>
      </c>
      <c r="C177" s="47" t="s">
        <v>783</v>
      </c>
      <c r="D177" s="47">
        <v>70598</v>
      </c>
      <c r="E177" s="47">
        <v>70311</v>
      </c>
      <c r="F177" s="47" t="s">
        <v>1351</v>
      </c>
      <c r="G177" s="47" t="s">
        <v>1325</v>
      </c>
      <c r="H177" s="47">
        <v>230</v>
      </c>
      <c r="I177" s="48">
        <v>560</v>
      </c>
      <c r="J177" s="48">
        <v>644</v>
      </c>
      <c r="K177" s="48">
        <v>672</v>
      </c>
      <c r="L177" s="48">
        <v>700</v>
      </c>
      <c r="M177" s="48">
        <v>756</v>
      </c>
      <c r="N177" s="48">
        <v>616</v>
      </c>
      <c r="O177" s="48">
        <v>700</v>
      </c>
      <c r="P177" s="48">
        <v>728</v>
      </c>
      <c r="Q177" s="48">
        <v>756</v>
      </c>
      <c r="R177" s="48">
        <v>840</v>
      </c>
      <c r="S177" s="48"/>
    </row>
    <row r="178" spans="2:19" x14ac:dyDescent="0.25">
      <c r="B178" s="47" t="s">
        <v>1379</v>
      </c>
      <c r="C178" s="47" t="s">
        <v>783</v>
      </c>
      <c r="D178" s="47">
        <v>70598</v>
      </c>
      <c r="E178" s="47">
        <v>70311</v>
      </c>
      <c r="F178" s="47" t="s">
        <v>1351</v>
      </c>
      <c r="G178" s="47" t="s">
        <v>1325</v>
      </c>
      <c r="H178" s="47">
        <v>345</v>
      </c>
      <c r="I178" s="48">
        <v>560</v>
      </c>
      <c r="J178" s="48">
        <v>644</v>
      </c>
      <c r="K178" s="48">
        <v>672</v>
      </c>
      <c r="L178" s="48">
        <v>700</v>
      </c>
      <c r="M178" s="48">
        <v>756</v>
      </c>
      <c r="N178" s="48">
        <v>616</v>
      </c>
      <c r="O178" s="48">
        <v>700</v>
      </c>
      <c r="P178" s="48">
        <v>728</v>
      </c>
      <c r="Q178" s="48">
        <v>756</v>
      </c>
      <c r="R178" s="48">
        <v>840</v>
      </c>
      <c r="S178" s="48"/>
    </row>
    <row r="179" spans="2:19" ht="34.5" x14ac:dyDescent="0.25">
      <c r="B179" s="44" t="s">
        <v>1380</v>
      </c>
      <c r="C179" s="44" t="s">
        <v>226</v>
      </c>
      <c r="D179" s="44">
        <v>70393</v>
      </c>
      <c r="E179" s="44">
        <v>70327</v>
      </c>
      <c r="F179" s="44" t="s">
        <v>1380</v>
      </c>
      <c r="G179" s="44" t="s">
        <v>29</v>
      </c>
      <c r="H179" s="44"/>
      <c r="I179" s="45">
        <v>276</v>
      </c>
      <c r="J179" s="45">
        <v>317</v>
      </c>
      <c r="K179" s="45">
        <v>331</v>
      </c>
      <c r="L179" s="45">
        <v>345</v>
      </c>
      <c r="M179" s="45">
        <v>372</v>
      </c>
      <c r="N179" s="45">
        <v>303</v>
      </c>
      <c r="O179" s="45">
        <v>345</v>
      </c>
      <c r="P179" s="45">
        <v>359</v>
      </c>
      <c r="Q179" s="45">
        <v>372</v>
      </c>
      <c r="R179" s="45">
        <v>414</v>
      </c>
      <c r="S179" s="46"/>
    </row>
    <row r="180" spans="2:19" ht="20" x14ac:dyDescent="0.25">
      <c r="B180" s="47" t="s">
        <v>1380</v>
      </c>
      <c r="C180" s="47" t="s">
        <v>226</v>
      </c>
      <c r="D180" s="47">
        <v>70393</v>
      </c>
      <c r="E180" s="47">
        <v>70327</v>
      </c>
      <c r="F180" s="47" t="s">
        <v>1353</v>
      </c>
      <c r="G180" s="47" t="s">
        <v>1325</v>
      </c>
      <c r="H180" s="47">
        <v>115</v>
      </c>
      <c r="I180" s="48">
        <v>276</v>
      </c>
      <c r="J180" s="48">
        <v>317</v>
      </c>
      <c r="K180" s="48">
        <v>331</v>
      </c>
      <c r="L180" s="48">
        <v>345</v>
      </c>
      <c r="M180" s="48">
        <v>372</v>
      </c>
      <c r="N180" s="48">
        <v>303</v>
      </c>
      <c r="O180" s="48">
        <v>345</v>
      </c>
      <c r="P180" s="48">
        <v>359</v>
      </c>
      <c r="Q180" s="48">
        <v>372</v>
      </c>
      <c r="R180" s="48">
        <v>414</v>
      </c>
      <c r="S180" s="48"/>
    </row>
    <row r="181" spans="2:19" ht="20" x14ac:dyDescent="0.25">
      <c r="B181" s="47" t="s">
        <v>1380</v>
      </c>
      <c r="C181" s="47" t="s">
        <v>226</v>
      </c>
      <c r="D181" s="47">
        <v>70393</v>
      </c>
      <c r="E181" s="47">
        <v>70327</v>
      </c>
      <c r="F181" s="47" t="s">
        <v>1353</v>
      </c>
      <c r="G181" s="47" t="s">
        <v>1325</v>
      </c>
      <c r="H181" s="47">
        <v>230</v>
      </c>
      <c r="I181" s="48">
        <v>276</v>
      </c>
      <c r="J181" s="48">
        <v>317</v>
      </c>
      <c r="K181" s="48">
        <v>331</v>
      </c>
      <c r="L181" s="48">
        <v>345</v>
      </c>
      <c r="M181" s="48">
        <v>372</v>
      </c>
      <c r="N181" s="48">
        <v>303</v>
      </c>
      <c r="O181" s="48">
        <v>345</v>
      </c>
      <c r="P181" s="48">
        <v>359</v>
      </c>
      <c r="Q181" s="48">
        <v>372</v>
      </c>
      <c r="R181" s="48">
        <v>414</v>
      </c>
      <c r="S181" s="48"/>
    </row>
    <row r="182" spans="2:19" ht="34.5" x14ac:dyDescent="0.25">
      <c r="B182" s="44" t="s">
        <v>1381</v>
      </c>
      <c r="C182" s="44" t="s">
        <v>983</v>
      </c>
      <c r="D182" s="44">
        <v>70355</v>
      </c>
      <c r="E182" s="44">
        <v>70354</v>
      </c>
      <c r="F182" s="44" t="s">
        <v>1381</v>
      </c>
      <c r="G182" s="44" t="s">
        <v>29</v>
      </c>
      <c r="H182" s="44"/>
      <c r="I182" s="45">
        <v>239</v>
      </c>
      <c r="J182" s="45">
        <v>239</v>
      </c>
      <c r="K182" s="45">
        <v>305</v>
      </c>
      <c r="L182" s="45">
        <v>305</v>
      </c>
      <c r="M182" s="45">
        <v>305</v>
      </c>
      <c r="N182" s="45">
        <v>296</v>
      </c>
      <c r="O182" s="45">
        <v>296</v>
      </c>
      <c r="P182" s="45">
        <v>347</v>
      </c>
      <c r="Q182" s="45">
        <v>347</v>
      </c>
      <c r="R182" s="45">
        <v>347</v>
      </c>
      <c r="S182" s="46"/>
    </row>
    <row r="183" spans="2:19" x14ac:dyDescent="0.25">
      <c r="B183" s="47" t="s">
        <v>1381</v>
      </c>
      <c r="C183" s="47" t="s">
        <v>983</v>
      </c>
      <c r="D183" s="47">
        <v>70355</v>
      </c>
      <c r="E183" s="47">
        <v>70354</v>
      </c>
      <c r="F183" s="47" t="s">
        <v>2035</v>
      </c>
      <c r="G183" s="47" t="s">
        <v>34</v>
      </c>
      <c r="H183" s="47">
        <v>115</v>
      </c>
      <c r="I183" s="48">
        <v>239</v>
      </c>
      <c r="J183" s="48">
        <v>239</v>
      </c>
      <c r="K183" s="47">
        <v>309</v>
      </c>
      <c r="L183" s="47">
        <v>309</v>
      </c>
      <c r="M183" s="47">
        <v>309</v>
      </c>
      <c r="N183" s="48">
        <v>296</v>
      </c>
      <c r="O183" s="48">
        <v>296</v>
      </c>
      <c r="P183" s="47">
        <v>355</v>
      </c>
      <c r="Q183" s="47">
        <v>355</v>
      </c>
      <c r="R183" s="47">
        <v>355</v>
      </c>
      <c r="S183" s="47"/>
    </row>
    <row r="184" spans="2:19" x14ac:dyDescent="0.25">
      <c r="B184" s="47" t="s">
        <v>1381</v>
      </c>
      <c r="C184" s="47" t="s">
        <v>983</v>
      </c>
      <c r="D184" s="47">
        <v>70355</v>
      </c>
      <c r="E184" s="47">
        <v>70354</v>
      </c>
      <c r="F184" s="47" t="s">
        <v>2034</v>
      </c>
      <c r="G184" s="47" t="s">
        <v>34</v>
      </c>
      <c r="H184" s="47">
        <v>115</v>
      </c>
      <c r="I184" s="48">
        <v>239</v>
      </c>
      <c r="J184" s="48">
        <v>239</v>
      </c>
      <c r="K184" s="47">
        <v>309</v>
      </c>
      <c r="L184" s="47">
        <v>309</v>
      </c>
      <c r="M184" s="47">
        <v>309</v>
      </c>
      <c r="N184" s="48">
        <v>296</v>
      </c>
      <c r="O184" s="48">
        <v>296</v>
      </c>
      <c r="P184" s="47">
        <v>355</v>
      </c>
      <c r="Q184" s="47">
        <v>355</v>
      </c>
      <c r="R184" s="47">
        <v>355</v>
      </c>
      <c r="S184" s="47"/>
    </row>
    <row r="185" spans="2:19" ht="20" x14ac:dyDescent="0.25">
      <c r="B185" s="47" t="s">
        <v>1381</v>
      </c>
      <c r="C185" s="47" t="s">
        <v>983</v>
      </c>
      <c r="D185" s="47">
        <v>70355</v>
      </c>
      <c r="E185" s="47">
        <v>70354</v>
      </c>
      <c r="F185" s="47" t="s">
        <v>2036</v>
      </c>
      <c r="G185" s="47" t="s">
        <v>31</v>
      </c>
      <c r="H185" s="47">
        <v>115</v>
      </c>
      <c r="I185" s="47">
        <v>260</v>
      </c>
      <c r="J185" s="47">
        <v>260</v>
      </c>
      <c r="K185" s="48">
        <v>305</v>
      </c>
      <c r="L185" s="48">
        <v>305</v>
      </c>
      <c r="M185" s="48">
        <v>305</v>
      </c>
      <c r="N185" s="47">
        <v>311</v>
      </c>
      <c r="O185" s="47">
        <v>311</v>
      </c>
      <c r="P185" s="48">
        <v>347</v>
      </c>
      <c r="Q185" s="48">
        <v>347</v>
      </c>
      <c r="R185" s="48">
        <v>347</v>
      </c>
      <c r="S185" s="48"/>
    </row>
    <row r="186" spans="2:19" x14ac:dyDescent="0.25">
      <c r="B186" s="47" t="s">
        <v>1381</v>
      </c>
      <c r="C186" s="47" t="s">
        <v>983</v>
      </c>
      <c r="D186" s="47">
        <v>70355</v>
      </c>
      <c r="E186" s="47">
        <v>70354</v>
      </c>
      <c r="F186" s="47" t="s">
        <v>1331</v>
      </c>
      <c r="G186" s="47" t="s">
        <v>1325</v>
      </c>
      <c r="H186" s="47">
        <v>115</v>
      </c>
      <c r="I186" s="47">
        <v>285</v>
      </c>
      <c r="J186" s="47">
        <v>327</v>
      </c>
      <c r="K186" s="47">
        <v>342</v>
      </c>
      <c r="L186" s="47">
        <v>356</v>
      </c>
      <c r="M186" s="47">
        <v>384</v>
      </c>
      <c r="N186" s="47">
        <v>313</v>
      </c>
      <c r="O186" s="47">
        <v>356</v>
      </c>
      <c r="P186" s="47">
        <v>370</v>
      </c>
      <c r="Q186" s="47">
        <v>384</v>
      </c>
      <c r="R186" s="47">
        <v>427</v>
      </c>
      <c r="S186" s="47"/>
    </row>
    <row r="187" spans="2:19" x14ac:dyDescent="0.25">
      <c r="B187" s="47" t="s">
        <v>1381</v>
      </c>
      <c r="C187" s="47" t="s">
        <v>983</v>
      </c>
      <c r="D187" s="47">
        <v>70355</v>
      </c>
      <c r="E187" s="47">
        <v>70354</v>
      </c>
      <c r="F187" s="47" t="s">
        <v>1331</v>
      </c>
      <c r="G187" s="47" t="s">
        <v>1325</v>
      </c>
      <c r="H187" s="47">
        <v>230</v>
      </c>
      <c r="I187" s="47">
        <v>285</v>
      </c>
      <c r="J187" s="47">
        <v>327</v>
      </c>
      <c r="K187" s="47">
        <v>342</v>
      </c>
      <c r="L187" s="47">
        <v>356</v>
      </c>
      <c r="M187" s="47">
        <v>384</v>
      </c>
      <c r="N187" s="47">
        <v>313</v>
      </c>
      <c r="O187" s="47">
        <v>356</v>
      </c>
      <c r="P187" s="47">
        <v>370</v>
      </c>
      <c r="Q187" s="47">
        <v>384</v>
      </c>
      <c r="R187" s="47">
        <v>427</v>
      </c>
      <c r="S187" s="47"/>
    </row>
    <row r="188" spans="2:19" ht="34.5" x14ac:dyDescent="0.25">
      <c r="B188" s="44" t="s">
        <v>1382</v>
      </c>
      <c r="C188" s="44" t="s">
        <v>422</v>
      </c>
      <c r="D188" s="44">
        <v>70396</v>
      </c>
      <c r="E188" s="44">
        <v>70395</v>
      </c>
      <c r="F188" s="44" t="s">
        <v>1382</v>
      </c>
      <c r="G188" s="44" t="s">
        <v>29</v>
      </c>
      <c r="H188" s="44"/>
      <c r="I188" s="45">
        <v>144</v>
      </c>
      <c r="J188" s="45">
        <v>144</v>
      </c>
      <c r="K188" s="45">
        <v>159</v>
      </c>
      <c r="L188" s="45">
        <v>159</v>
      </c>
      <c r="M188" s="45">
        <v>159</v>
      </c>
      <c r="N188" s="45">
        <v>159</v>
      </c>
      <c r="O188" s="45">
        <v>159</v>
      </c>
      <c r="P188" s="45">
        <v>159</v>
      </c>
      <c r="Q188" s="45">
        <v>159</v>
      </c>
      <c r="R188" s="45">
        <v>159</v>
      </c>
      <c r="S188" s="46"/>
    </row>
    <row r="189" spans="2:19" x14ac:dyDescent="0.25">
      <c r="B189" s="47" t="s">
        <v>1382</v>
      </c>
      <c r="C189" s="47" t="s">
        <v>422</v>
      </c>
      <c r="D189" s="47">
        <v>70396</v>
      </c>
      <c r="E189" s="47">
        <v>70395</v>
      </c>
      <c r="F189" s="47" t="s">
        <v>1328</v>
      </c>
      <c r="G189" s="47" t="s">
        <v>1325</v>
      </c>
      <c r="H189" s="47">
        <v>115</v>
      </c>
      <c r="I189" s="48">
        <v>144</v>
      </c>
      <c r="J189" s="48">
        <v>144</v>
      </c>
      <c r="K189" s="47">
        <v>166</v>
      </c>
      <c r="L189" s="47">
        <v>180</v>
      </c>
      <c r="M189" s="47">
        <v>187</v>
      </c>
      <c r="N189" s="47">
        <v>173</v>
      </c>
      <c r="O189" s="47">
        <v>173</v>
      </c>
      <c r="P189" s="47">
        <v>187</v>
      </c>
      <c r="Q189" s="47">
        <v>202</v>
      </c>
      <c r="R189" s="47">
        <v>209</v>
      </c>
      <c r="S189" s="47"/>
    </row>
    <row r="190" spans="2:19" x14ac:dyDescent="0.25">
      <c r="B190" s="47" t="s">
        <v>1382</v>
      </c>
      <c r="C190" s="47" t="s">
        <v>422</v>
      </c>
      <c r="D190" s="47">
        <v>70396</v>
      </c>
      <c r="E190" s="47">
        <v>70395</v>
      </c>
      <c r="F190" s="47" t="s">
        <v>1328</v>
      </c>
      <c r="G190" s="47" t="s">
        <v>1325</v>
      </c>
      <c r="H190" s="47">
        <v>230</v>
      </c>
      <c r="I190" s="48">
        <v>144</v>
      </c>
      <c r="J190" s="48">
        <v>144</v>
      </c>
      <c r="K190" s="47">
        <v>166</v>
      </c>
      <c r="L190" s="47">
        <v>180</v>
      </c>
      <c r="M190" s="47">
        <v>187</v>
      </c>
      <c r="N190" s="47">
        <v>173</v>
      </c>
      <c r="O190" s="47">
        <v>173</v>
      </c>
      <c r="P190" s="47">
        <v>187</v>
      </c>
      <c r="Q190" s="47">
        <v>202</v>
      </c>
      <c r="R190" s="47">
        <v>209</v>
      </c>
      <c r="S190" s="47"/>
    </row>
    <row r="191" spans="2:19" ht="30" x14ac:dyDescent="0.25">
      <c r="B191" s="47" t="s">
        <v>1382</v>
      </c>
      <c r="C191" s="47" t="s">
        <v>422</v>
      </c>
      <c r="D191" s="47">
        <v>70396</v>
      </c>
      <c r="E191" s="47">
        <v>70395</v>
      </c>
      <c r="F191" s="47" t="s">
        <v>2531</v>
      </c>
      <c r="G191" s="47" t="s">
        <v>36</v>
      </c>
      <c r="H191" s="47">
        <v>115</v>
      </c>
      <c r="I191" s="47">
        <v>159</v>
      </c>
      <c r="J191" s="47">
        <v>159</v>
      </c>
      <c r="K191" s="48">
        <v>159</v>
      </c>
      <c r="L191" s="48">
        <v>159</v>
      </c>
      <c r="M191" s="48">
        <v>159</v>
      </c>
      <c r="N191" s="48">
        <v>159</v>
      </c>
      <c r="O191" s="48">
        <v>159</v>
      </c>
      <c r="P191" s="48">
        <v>159</v>
      </c>
      <c r="Q191" s="48">
        <v>159</v>
      </c>
      <c r="R191" s="48">
        <v>159</v>
      </c>
      <c r="S191" s="48"/>
    </row>
    <row r="192" spans="2:19" ht="30" x14ac:dyDescent="0.25">
      <c r="B192" s="47" t="s">
        <v>1382</v>
      </c>
      <c r="C192" s="47" t="s">
        <v>422</v>
      </c>
      <c r="D192" s="47">
        <v>70396</v>
      </c>
      <c r="E192" s="47">
        <v>70395</v>
      </c>
      <c r="F192" s="47" t="s">
        <v>2532</v>
      </c>
      <c r="G192" s="47" t="s">
        <v>36</v>
      </c>
      <c r="H192" s="47">
        <v>115</v>
      </c>
      <c r="I192" s="47">
        <v>159</v>
      </c>
      <c r="J192" s="47">
        <v>159</v>
      </c>
      <c r="K192" s="48">
        <v>159</v>
      </c>
      <c r="L192" s="48">
        <v>159</v>
      </c>
      <c r="M192" s="48">
        <v>159</v>
      </c>
      <c r="N192" s="48">
        <v>159</v>
      </c>
      <c r="O192" s="48">
        <v>159</v>
      </c>
      <c r="P192" s="48">
        <v>159</v>
      </c>
      <c r="Q192" s="48">
        <v>159</v>
      </c>
      <c r="R192" s="48">
        <v>159</v>
      </c>
      <c r="S192" s="48"/>
    </row>
    <row r="193" spans="2:19" ht="20" x14ac:dyDescent="0.25">
      <c r="B193" s="47" t="s">
        <v>1382</v>
      </c>
      <c r="C193" s="47" t="s">
        <v>422</v>
      </c>
      <c r="D193" s="47">
        <v>70396</v>
      </c>
      <c r="E193" s="47">
        <v>70395</v>
      </c>
      <c r="F193" s="47" t="s">
        <v>2342</v>
      </c>
      <c r="G193" s="47" t="s">
        <v>39</v>
      </c>
      <c r="H193" s="47">
        <v>115</v>
      </c>
      <c r="I193" s="47">
        <v>159</v>
      </c>
      <c r="J193" s="47">
        <v>159</v>
      </c>
      <c r="K193" s="48">
        <v>159</v>
      </c>
      <c r="L193" s="48">
        <v>159</v>
      </c>
      <c r="M193" s="48">
        <v>159</v>
      </c>
      <c r="N193" s="48">
        <v>159</v>
      </c>
      <c r="O193" s="48">
        <v>159</v>
      </c>
      <c r="P193" s="48">
        <v>159</v>
      </c>
      <c r="Q193" s="48">
        <v>159</v>
      </c>
      <c r="R193" s="48">
        <v>159</v>
      </c>
      <c r="S193" s="48"/>
    </row>
    <row r="194" spans="2:19" ht="20" x14ac:dyDescent="0.25">
      <c r="B194" s="47" t="s">
        <v>1382</v>
      </c>
      <c r="C194" s="47" t="s">
        <v>422</v>
      </c>
      <c r="D194" s="47">
        <v>70396</v>
      </c>
      <c r="E194" s="47">
        <v>70395</v>
      </c>
      <c r="F194" s="47" t="s">
        <v>2341</v>
      </c>
      <c r="G194" s="47" t="s">
        <v>39</v>
      </c>
      <c r="H194" s="47">
        <v>115</v>
      </c>
      <c r="I194" s="47">
        <v>159</v>
      </c>
      <c r="J194" s="47">
        <v>159</v>
      </c>
      <c r="K194" s="48">
        <v>159</v>
      </c>
      <c r="L194" s="48">
        <v>159</v>
      </c>
      <c r="M194" s="48">
        <v>159</v>
      </c>
      <c r="N194" s="48">
        <v>159</v>
      </c>
      <c r="O194" s="48">
        <v>159</v>
      </c>
      <c r="P194" s="48">
        <v>159</v>
      </c>
      <c r="Q194" s="48">
        <v>159</v>
      </c>
      <c r="R194" s="48">
        <v>159</v>
      </c>
      <c r="S194" s="48"/>
    </row>
    <row r="195" spans="2:19" ht="30" x14ac:dyDescent="0.25">
      <c r="B195" s="47" t="s">
        <v>1382</v>
      </c>
      <c r="C195" s="47" t="s">
        <v>422</v>
      </c>
      <c r="D195" s="47">
        <v>70396</v>
      </c>
      <c r="E195" s="47">
        <v>70395</v>
      </c>
      <c r="F195" s="47" t="s">
        <v>2530</v>
      </c>
      <c r="G195" s="47" t="s">
        <v>36</v>
      </c>
      <c r="H195" s="47">
        <v>115</v>
      </c>
      <c r="I195" s="47">
        <v>159</v>
      </c>
      <c r="J195" s="47">
        <v>159</v>
      </c>
      <c r="K195" s="48">
        <v>159</v>
      </c>
      <c r="L195" s="48">
        <v>159</v>
      </c>
      <c r="M195" s="48">
        <v>159</v>
      </c>
      <c r="N195" s="48">
        <v>159</v>
      </c>
      <c r="O195" s="48">
        <v>159</v>
      </c>
      <c r="P195" s="48">
        <v>159</v>
      </c>
      <c r="Q195" s="48">
        <v>159</v>
      </c>
      <c r="R195" s="48">
        <v>159</v>
      </c>
      <c r="S195" s="48"/>
    </row>
    <row r="196" spans="2:19" ht="34.5" x14ac:dyDescent="0.25">
      <c r="B196" s="44" t="s">
        <v>1383</v>
      </c>
      <c r="C196" s="44" t="s">
        <v>422</v>
      </c>
      <c r="D196" s="44">
        <v>70396</v>
      </c>
      <c r="E196" s="44">
        <v>70395</v>
      </c>
      <c r="F196" s="44" t="s">
        <v>1383</v>
      </c>
      <c r="G196" s="44" t="s">
        <v>29</v>
      </c>
      <c r="H196" s="44"/>
      <c r="I196" s="45">
        <v>159</v>
      </c>
      <c r="J196" s="45">
        <v>159</v>
      </c>
      <c r="K196" s="45">
        <v>159</v>
      </c>
      <c r="L196" s="45">
        <v>159</v>
      </c>
      <c r="M196" s="45">
        <v>159</v>
      </c>
      <c r="N196" s="45">
        <v>159</v>
      </c>
      <c r="O196" s="45">
        <v>159</v>
      </c>
      <c r="P196" s="45">
        <v>159</v>
      </c>
      <c r="Q196" s="45">
        <v>159</v>
      </c>
      <c r="R196" s="45">
        <v>159</v>
      </c>
      <c r="S196" s="46"/>
    </row>
    <row r="197" spans="2:19" ht="30" x14ac:dyDescent="0.25">
      <c r="B197" s="47" t="s">
        <v>1383</v>
      </c>
      <c r="C197" s="47" t="s">
        <v>422</v>
      </c>
      <c r="D197" s="47">
        <v>70396</v>
      </c>
      <c r="E197" s="47">
        <v>70395</v>
      </c>
      <c r="F197" s="47" t="s">
        <v>2532</v>
      </c>
      <c r="G197" s="47" t="s">
        <v>36</v>
      </c>
      <c r="H197" s="47">
        <v>115</v>
      </c>
      <c r="I197" s="48">
        <v>159</v>
      </c>
      <c r="J197" s="48">
        <v>159</v>
      </c>
      <c r="K197" s="48">
        <v>159</v>
      </c>
      <c r="L197" s="48">
        <v>159</v>
      </c>
      <c r="M197" s="48">
        <v>159</v>
      </c>
      <c r="N197" s="48">
        <v>159</v>
      </c>
      <c r="O197" s="48">
        <v>159</v>
      </c>
      <c r="P197" s="48">
        <v>159</v>
      </c>
      <c r="Q197" s="48">
        <v>159</v>
      </c>
      <c r="R197" s="48">
        <v>159</v>
      </c>
      <c r="S197" s="48"/>
    </row>
    <row r="198" spans="2:19" ht="30" x14ac:dyDescent="0.25">
      <c r="B198" s="47" t="s">
        <v>1383</v>
      </c>
      <c r="C198" s="47" t="s">
        <v>422</v>
      </c>
      <c r="D198" s="47">
        <v>70396</v>
      </c>
      <c r="E198" s="47">
        <v>70395</v>
      </c>
      <c r="F198" s="47" t="s">
        <v>2530</v>
      </c>
      <c r="G198" s="47" t="s">
        <v>36</v>
      </c>
      <c r="H198" s="47">
        <v>115</v>
      </c>
      <c r="I198" s="48">
        <v>159</v>
      </c>
      <c r="J198" s="48">
        <v>159</v>
      </c>
      <c r="K198" s="48">
        <v>159</v>
      </c>
      <c r="L198" s="48">
        <v>159</v>
      </c>
      <c r="M198" s="48">
        <v>159</v>
      </c>
      <c r="N198" s="48">
        <v>159</v>
      </c>
      <c r="O198" s="48">
        <v>159</v>
      </c>
      <c r="P198" s="48">
        <v>159</v>
      </c>
      <c r="Q198" s="48">
        <v>159</v>
      </c>
      <c r="R198" s="48">
        <v>159</v>
      </c>
      <c r="S198" s="48"/>
    </row>
    <row r="199" spans="2:19" ht="20" x14ac:dyDescent="0.25">
      <c r="B199" s="47" t="s">
        <v>1383</v>
      </c>
      <c r="C199" s="47" t="s">
        <v>422</v>
      </c>
      <c r="D199" s="47">
        <v>70396</v>
      </c>
      <c r="E199" s="47">
        <v>70395</v>
      </c>
      <c r="F199" s="47" t="s">
        <v>2341</v>
      </c>
      <c r="G199" s="47" t="s">
        <v>39</v>
      </c>
      <c r="H199" s="47">
        <v>115</v>
      </c>
      <c r="I199" s="48">
        <v>159</v>
      </c>
      <c r="J199" s="48">
        <v>159</v>
      </c>
      <c r="K199" s="48">
        <v>159</v>
      </c>
      <c r="L199" s="48">
        <v>159</v>
      </c>
      <c r="M199" s="48">
        <v>159</v>
      </c>
      <c r="N199" s="48">
        <v>159</v>
      </c>
      <c r="O199" s="48">
        <v>159</v>
      </c>
      <c r="P199" s="48">
        <v>159</v>
      </c>
      <c r="Q199" s="48">
        <v>159</v>
      </c>
      <c r="R199" s="48">
        <v>159</v>
      </c>
      <c r="S199" s="48"/>
    </row>
    <row r="200" spans="2:19" ht="30" x14ac:dyDescent="0.25">
      <c r="B200" s="47" t="s">
        <v>1383</v>
      </c>
      <c r="C200" s="47" t="s">
        <v>422</v>
      </c>
      <c r="D200" s="47">
        <v>70396</v>
      </c>
      <c r="E200" s="47">
        <v>70395</v>
      </c>
      <c r="F200" s="47" t="s">
        <v>2531</v>
      </c>
      <c r="G200" s="47" t="s">
        <v>36</v>
      </c>
      <c r="H200" s="47">
        <v>115</v>
      </c>
      <c r="I200" s="48">
        <v>159</v>
      </c>
      <c r="J200" s="48">
        <v>159</v>
      </c>
      <c r="K200" s="48">
        <v>159</v>
      </c>
      <c r="L200" s="48">
        <v>159</v>
      </c>
      <c r="M200" s="48">
        <v>159</v>
      </c>
      <c r="N200" s="48">
        <v>159</v>
      </c>
      <c r="O200" s="48">
        <v>159</v>
      </c>
      <c r="P200" s="48">
        <v>159</v>
      </c>
      <c r="Q200" s="48">
        <v>159</v>
      </c>
      <c r="R200" s="48">
        <v>159</v>
      </c>
      <c r="S200" s="48"/>
    </row>
    <row r="201" spans="2:19" ht="20" x14ac:dyDescent="0.25">
      <c r="B201" s="47" t="s">
        <v>1383</v>
      </c>
      <c r="C201" s="47" t="s">
        <v>422</v>
      </c>
      <c r="D201" s="47">
        <v>70396</v>
      </c>
      <c r="E201" s="47">
        <v>70395</v>
      </c>
      <c r="F201" s="47" t="s">
        <v>2342</v>
      </c>
      <c r="G201" s="47" t="s">
        <v>39</v>
      </c>
      <c r="H201" s="47">
        <v>115</v>
      </c>
      <c r="I201" s="48">
        <v>159</v>
      </c>
      <c r="J201" s="48">
        <v>159</v>
      </c>
      <c r="K201" s="48">
        <v>159</v>
      </c>
      <c r="L201" s="48">
        <v>159</v>
      </c>
      <c r="M201" s="48">
        <v>159</v>
      </c>
      <c r="N201" s="48">
        <v>159</v>
      </c>
      <c r="O201" s="48">
        <v>159</v>
      </c>
      <c r="P201" s="48">
        <v>159</v>
      </c>
      <c r="Q201" s="48">
        <v>159</v>
      </c>
      <c r="R201" s="48">
        <v>159</v>
      </c>
      <c r="S201" s="48"/>
    </row>
    <row r="202" spans="2:19" x14ac:dyDescent="0.25">
      <c r="B202" s="47" t="s">
        <v>1383</v>
      </c>
      <c r="C202" s="47" t="s">
        <v>422</v>
      </c>
      <c r="D202" s="47">
        <v>70396</v>
      </c>
      <c r="E202" s="47">
        <v>70395</v>
      </c>
      <c r="F202" s="47" t="s">
        <v>1331</v>
      </c>
      <c r="G202" s="47" t="s">
        <v>1325</v>
      </c>
      <c r="H202" s="47">
        <v>230</v>
      </c>
      <c r="I202" s="47">
        <v>168</v>
      </c>
      <c r="J202" s="47">
        <v>168</v>
      </c>
      <c r="K202" s="47">
        <v>193</v>
      </c>
      <c r="L202" s="47">
        <v>202</v>
      </c>
      <c r="M202" s="47">
        <v>210</v>
      </c>
      <c r="N202" s="47">
        <v>185</v>
      </c>
      <c r="O202" s="47">
        <v>185</v>
      </c>
      <c r="P202" s="47">
        <v>210</v>
      </c>
      <c r="Q202" s="47">
        <v>218</v>
      </c>
      <c r="R202" s="47">
        <v>227</v>
      </c>
      <c r="S202" s="47"/>
    </row>
    <row r="203" spans="2:19" x14ac:dyDescent="0.25">
      <c r="B203" s="47" t="s">
        <v>1383</v>
      </c>
      <c r="C203" s="47" t="s">
        <v>422</v>
      </c>
      <c r="D203" s="47">
        <v>70396</v>
      </c>
      <c r="E203" s="47">
        <v>70395</v>
      </c>
      <c r="F203" s="47" t="s">
        <v>1331</v>
      </c>
      <c r="G203" s="47" t="s">
        <v>1325</v>
      </c>
      <c r="H203" s="47">
        <v>115</v>
      </c>
      <c r="I203" s="47">
        <v>168</v>
      </c>
      <c r="J203" s="47">
        <v>168</v>
      </c>
      <c r="K203" s="47">
        <v>193</v>
      </c>
      <c r="L203" s="47">
        <v>202</v>
      </c>
      <c r="M203" s="47">
        <v>210</v>
      </c>
      <c r="N203" s="47">
        <v>185</v>
      </c>
      <c r="O203" s="47">
        <v>185</v>
      </c>
      <c r="P203" s="47">
        <v>210</v>
      </c>
      <c r="Q203" s="47">
        <v>218</v>
      </c>
      <c r="R203" s="47">
        <v>227</v>
      </c>
      <c r="S203" s="47"/>
    </row>
    <row r="204" spans="2:19" ht="34.5" x14ac:dyDescent="0.25">
      <c r="B204" s="44" t="s">
        <v>1384</v>
      </c>
      <c r="C204" s="44" t="s">
        <v>422</v>
      </c>
      <c r="D204" s="44">
        <v>70599</v>
      </c>
      <c r="E204" s="44">
        <v>70396</v>
      </c>
      <c r="F204" s="44" t="s">
        <v>1384</v>
      </c>
      <c r="G204" s="44" t="s">
        <v>29</v>
      </c>
      <c r="H204" s="44"/>
      <c r="I204" s="45">
        <v>560</v>
      </c>
      <c r="J204" s="45">
        <v>644</v>
      </c>
      <c r="K204" s="45">
        <v>672</v>
      </c>
      <c r="L204" s="45">
        <v>700</v>
      </c>
      <c r="M204" s="45">
        <v>756</v>
      </c>
      <c r="N204" s="45">
        <v>616</v>
      </c>
      <c r="O204" s="45">
        <v>700</v>
      </c>
      <c r="P204" s="45">
        <v>728</v>
      </c>
      <c r="Q204" s="45">
        <v>756</v>
      </c>
      <c r="R204" s="45">
        <v>840</v>
      </c>
      <c r="S204" s="46"/>
    </row>
    <row r="205" spans="2:19" x14ac:dyDescent="0.25">
      <c r="B205" s="47" t="s">
        <v>1384</v>
      </c>
      <c r="C205" s="47" t="s">
        <v>422</v>
      </c>
      <c r="D205" s="47">
        <v>70599</v>
      </c>
      <c r="E205" s="47">
        <v>70396</v>
      </c>
      <c r="F205" s="47" t="s">
        <v>1353</v>
      </c>
      <c r="G205" s="47" t="s">
        <v>1325</v>
      </c>
      <c r="H205" s="47">
        <v>230</v>
      </c>
      <c r="I205" s="48">
        <v>560</v>
      </c>
      <c r="J205" s="48">
        <v>644</v>
      </c>
      <c r="K205" s="48">
        <v>672</v>
      </c>
      <c r="L205" s="48">
        <v>700</v>
      </c>
      <c r="M205" s="48">
        <v>756</v>
      </c>
      <c r="N205" s="48">
        <v>616</v>
      </c>
      <c r="O205" s="48">
        <v>700</v>
      </c>
      <c r="P205" s="48">
        <v>728</v>
      </c>
      <c r="Q205" s="48">
        <v>756</v>
      </c>
      <c r="R205" s="48">
        <v>840</v>
      </c>
      <c r="S205" s="48"/>
    </row>
    <row r="206" spans="2:19" x14ac:dyDescent="0.25">
      <c r="B206" s="47" t="s">
        <v>1384</v>
      </c>
      <c r="C206" s="47" t="s">
        <v>422</v>
      </c>
      <c r="D206" s="47">
        <v>70599</v>
      </c>
      <c r="E206" s="47">
        <v>70396</v>
      </c>
      <c r="F206" s="47" t="s">
        <v>1353</v>
      </c>
      <c r="G206" s="47" t="s">
        <v>1325</v>
      </c>
      <c r="H206" s="47">
        <v>345</v>
      </c>
      <c r="I206" s="48">
        <v>560</v>
      </c>
      <c r="J206" s="48">
        <v>644</v>
      </c>
      <c r="K206" s="48">
        <v>672</v>
      </c>
      <c r="L206" s="48">
        <v>700</v>
      </c>
      <c r="M206" s="48">
        <v>756</v>
      </c>
      <c r="N206" s="48">
        <v>616</v>
      </c>
      <c r="O206" s="48">
        <v>700</v>
      </c>
      <c r="P206" s="48">
        <v>728</v>
      </c>
      <c r="Q206" s="48">
        <v>756</v>
      </c>
      <c r="R206" s="48">
        <v>840</v>
      </c>
      <c r="S206" s="48"/>
    </row>
    <row r="207" spans="2:19" ht="34.5" x14ac:dyDescent="0.25">
      <c r="B207" s="44" t="s">
        <v>1385</v>
      </c>
      <c r="C207" s="44" t="s">
        <v>422</v>
      </c>
      <c r="D207" s="44">
        <v>70599</v>
      </c>
      <c r="E207" s="44">
        <v>70396</v>
      </c>
      <c r="F207" s="44" t="s">
        <v>1385</v>
      </c>
      <c r="G207" s="44" t="s">
        <v>29</v>
      </c>
      <c r="H207" s="44"/>
      <c r="I207" s="45">
        <v>560</v>
      </c>
      <c r="J207" s="45">
        <v>644</v>
      </c>
      <c r="K207" s="45">
        <v>672</v>
      </c>
      <c r="L207" s="45">
        <v>700</v>
      </c>
      <c r="M207" s="45">
        <v>756</v>
      </c>
      <c r="N207" s="45">
        <v>616</v>
      </c>
      <c r="O207" s="45">
        <v>700</v>
      </c>
      <c r="P207" s="45">
        <v>728</v>
      </c>
      <c r="Q207" s="45">
        <v>756</v>
      </c>
      <c r="R207" s="45">
        <v>797</v>
      </c>
      <c r="S207" s="46"/>
    </row>
    <row r="208" spans="2:19" x14ac:dyDescent="0.25">
      <c r="B208" s="47" t="s">
        <v>1385</v>
      </c>
      <c r="C208" s="47" t="s">
        <v>422</v>
      </c>
      <c r="D208" s="47">
        <v>70599</v>
      </c>
      <c r="E208" s="47">
        <v>70396</v>
      </c>
      <c r="F208" s="47" t="s">
        <v>1324</v>
      </c>
      <c r="G208" s="47" t="s">
        <v>1325</v>
      </c>
      <c r="H208" s="47">
        <v>345</v>
      </c>
      <c r="I208" s="48">
        <v>560</v>
      </c>
      <c r="J208" s="48">
        <v>644</v>
      </c>
      <c r="K208" s="48">
        <v>672</v>
      </c>
      <c r="L208" s="48">
        <v>700</v>
      </c>
      <c r="M208" s="48">
        <v>756</v>
      </c>
      <c r="N208" s="48">
        <v>616</v>
      </c>
      <c r="O208" s="48">
        <v>700</v>
      </c>
      <c r="P208" s="48">
        <v>728</v>
      </c>
      <c r="Q208" s="48">
        <v>756</v>
      </c>
      <c r="R208" s="47">
        <v>840</v>
      </c>
      <c r="S208" s="47"/>
    </row>
    <row r="209" spans="2:19" x14ac:dyDescent="0.25">
      <c r="B209" s="47" t="s">
        <v>1385</v>
      </c>
      <c r="C209" s="47" t="s">
        <v>422</v>
      </c>
      <c r="D209" s="47">
        <v>70599</v>
      </c>
      <c r="E209" s="47">
        <v>70396</v>
      </c>
      <c r="F209" s="47" t="s">
        <v>1324</v>
      </c>
      <c r="G209" s="47" t="s">
        <v>1325</v>
      </c>
      <c r="H209" s="47">
        <v>230</v>
      </c>
      <c r="I209" s="48">
        <v>560</v>
      </c>
      <c r="J209" s="48">
        <v>644</v>
      </c>
      <c r="K209" s="48">
        <v>672</v>
      </c>
      <c r="L209" s="48">
        <v>700</v>
      </c>
      <c r="M209" s="48">
        <v>756</v>
      </c>
      <c r="N209" s="48">
        <v>616</v>
      </c>
      <c r="O209" s="48">
        <v>700</v>
      </c>
      <c r="P209" s="48">
        <v>728</v>
      </c>
      <c r="Q209" s="48">
        <v>756</v>
      </c>
      <c r="R209" s="47">
        <v>840</v>
      </c>
      <c r="S209" s="47"/>
    </row>
    <row r="210" spans="2:19" x14ac:dyDescent="0.25">
      <c r="B210" s="47" t="s">
        <v>1385</v>
      </c>
      <c r="C210" s="47" t="s">
        <v>422</v>
      </c>
      <c r="D210" s="47">
        <v>70599</v>
      </c>
      <c r="E210" s="47">
        <v>70396</v>
      </c>
      <c r="F210" s="47" t="s">
        <v>2343</v>
      </c>
      <c r="G210" s="47" t="s">
        <v>49</v>
      </c>
      <c r="H210" s="47">
        <v>230</v>
      </c>
      <c r="I210" s="47">
        <v>797</v>
      </c>
      <c r="J210" s="47">
        <v>797</v>
      </c>
      <c r="K210" s="47">
        <v>797</v>
      </c>
      <c r="L210" s="47">
        <v>797</v>
      </c>
      <c r="M210" s="47">
        <v>797</v>
      </c>
      <c r="N210" s="47">
        <v>797</v>
      </c>
      <c r="O210" s="47">
        <v>797</v>
      </c>
      <c r="P210" s="47">
        <v>797</v>
      </c>
      <c r="Q210" s="47">
        <v>797</v>
      </c>
      <c r="R210" s="48">
        <v>797</v>
      </c>
      <c r="S210" s="48"/>
    </row>
    <row r="211" spans="2:19" ht="34.5" x14ac:dyDescent="0.25">
      <c r="B211" s="44" t="s">
        <v>1386</v>
      </c>
      <c r="C211" s="44" t="s">
        <v>238</v>
      </c>
      <c r="D211" s="44">
        <v>70018</v>
      </c>
      <c r="E211" s="44">
        <v>70400</v>
      </c>
      <c r="F211" s="44" t="s">
        <v>1386</v>
      </c>
      <c r="G211" s="44" t="s">
        <v>29</v>
      </c>
      <c r="H211" s="44"/>
      <c r="I211" s="45">
        <v>283</v>
      </c>
      <c r="J211" s="45">
        <v>326</v>
      </c>
      <c r="K211" s="45">
        <v>340</v>
      </c>
      <c r="L211" s="45">
        <v>354</v>
      </c>
      <c r="M211" s="45">
        <v>383</v>
      </c>
      <c r="N211" s="45">
        <v>312</v>
      </c>
      <c r="O211" s="45">
        <v>354</v>
      </c>
      <c r="P211" s="45">
        <v>368</v>
      </c>
      <c r="Q211" s="45">
        <v>383</v>
      </c>
      <c r="R211" s="45">
        <v>425</v>
      </c>
      <c r="S211" s="46"/>
    </row>
    <row r="212" spans="2:19" ht="20" x14ac:dyDescent="0.25">
      <c r="B212" s="47" t="s">
        <v>1386</v>
      </c>
      <c r="C212" s="47" t="s">
        <v>238</v>
      </c>
      <c r="D212" s="47">
        <v>70018</v>
      </c>
      <c r="E212" s="47">
        <v>70400</v>
      </c>
      <c r="F212" s="47" t="s">
        <v>1331</v>
      </c>
      <c r="G212" s="47" t="s">
        <v>1325</v>
      </c>
      <c r="H212" s="47">
        <v>230</v>
      </c>
      <c r="I212" s="48">
        <v>283</v>
      </c>
      <c r="J212" s="48">
        <v>326</v>
      </c>
      <c r="K212" s="48">
        <v>340</v>
      </c>
      <c r="L212" s="48">
        <v>354</v>
      </c>
      <c r="M212" s="48">
        <v>383</v>
      </c>
      <c r="N212" s="48">
        <v>312</v>
      </c>
      <c r="O212" s="48">
        <v>354</v>
      </c>
      <c r="P212" s="48">
        <v>368</v>
      </c>
      <c r="Q212" s="48">
        <v>383</v>
      </c>
      <c r="R212" s="48">
        <v>425</v>
      </c>
      <c r="S212" s="48"/>
    </row>
    <row r="213" spans="2:19" ht="20" x14ac:dyDescent="0.25">
      <c r="B213" s="47" t="s">
        <v>1386</v>
      </c>
      <c r="C213" s="47" t="s">
        <v>238</v>
      </c>
      <c r="D213" s="47">
        <v>70018</v>
      </c>
      <c r="E213" s="47">
        <v>70400</v>
      </c>
      <c r="F213" s="47" t="s">
        <v>1331</v>
      </c>
      <c r="G213" s="47" t="s">
        <v>1325</v>
      </c>
      <c r="H213" s="47">
        <v>115</v>
      </c>
      <c r="I213" s="48">
        <v>283</v>
      </c>
      <c r="J213" s="48">
        <v>326</v>
      </c>
      <c r="K213" s="48">
        <v>340</v>
      </c>
      <c r="L213" s="48">
        <v>354</v>
      </c>
      <c r="M213" s="48">
        <v>383</v>
      </c>
      <c r="N213" s="48">
        <v>312</v>
      </c>
      <c r="O213" s="48">
        <v>354</v>
      </c>
      <c r="P213" s="48">
        <v>368</v>
      </c>
      <c r="Q213" s="48">
        <v>383</v>
      </c>
      <c r="R213" s="48">
        <v>425</v>
      </c>
      <c r="S213" s="48"/>
    </row>
    <row r="214" spans="2:19" ht="34.5" x14ac:dyDescent="0.25">
      <c r="B214" s="44" t="s">
        <v>1387</v>
      </c>
      <c r="C214" s="44" t="s">
        <v>962</v>
      </c>
      <c r="D214" s="44">
        <v>70524</v>
      </c>
      <c r="E214" s="44">
        <v>70523</v>
      </c>
      <c r="F214" s="44" t="s">
        <v>1387</v>
      </c>
      <c r="G214" s="44" t="s">
        <v>29</v>
      </c>
      <c r="H214" s="44"/>
      <c r="I214" s="45">
        <v>170</v>
      </c>
      <c r="J214" s="45">
        <v>170</v>
      </c>
      <c r="K214" s="45">
        <v>195</v>
      </c>
      <c r="L214" s="45">
        <v>204</v>
      </c>
      <c r="M214" s="45">
        <v>212</v>
      </c>
      <c r="N214" s="45">
        <v>187</v>
      </c>
      <c r="O214" s="45">
        <v>187</v>
      </c>
      <c r="P214" s="45">
        <v>212</v>
      </c>
      <c r="Q214" s="45">
        <v>221</v>
      </c>
      <c r="R214" s="45">
        <v>229</v>
      </c>
      <c r="S214" s="46"/>
    </row>
    <row r="215" spans="2:19" x14ac:dyDescent="0.25">
      <c r="B215" s="47" t="s">
        <v>1387</v>
      </c>
      <c r="C215" s="47" t="s">
        <v>962</v>
      </c>
      <c r="D215" s="47">
        <v>70524</v>
      </c>
      <c r="E215" s="47">
        <v>70523</v>
      </c>
      <c r="F215" s="47" t="s">
        <v>1328</v>
      </c>
      <c r="G215" s="47" t="s">
        <v>1325</v>
      </c>
      <c r="H215" s="47">
        <v>115</v>
      </c>
      <c r="I215" s="48">
        <v>170</v>
      </c>
      <c r="J215" s="48">
        <v>170</v>
      </c>
      <c r="K215" s="48">
        <v>195</v>
      </c>
      <c r="L215" s="48">
        <v>204</v>
      </c>
      <c r="M215" s="48">
        <v>212</v>
      </c>
      <c r="N215" s="48">
        <v>187</v>
      </c>
      <c r="O215" s="48">
        <v>187</v>
      </c>
      <c r="P215" s="48">
        <v>212</v>
      </c>
      <c r="Q215" s="48">
        <v>221</v>
      </c>
      <c r="R215" s="48">
        <v>229</v>
      </c>
      <c r="S215" s="48"/>
    </row>
    <row r="216" spans="2:19" x14ac:dyDescent="0.25">
      <c r="B216" s="47" t="s">
        <v>1387</v>
      </c>
      <c r="C216" s="47" t="s">
        <v>962</v>
      </c>
      <c r="D216" s="47">
        <v>70524</v>
      </c>
      <c r="E216" s="47">
        <v>70523</v>
      </c>
      <c r="F216" s="47" t="s">
        <v>1328</v>
      </c>
      <c r="G216" s="47" t="s">
        <v>1325</v>
      </c>
      <c r="H216" s="47">
        <v>230</v>
      </c>
      <c r="I216" s="48">
        <v>170</v>
      </c>
      <c r="J216" s="48">
        <v>170</v>
      </c>
      <c r="K216" s="48">
        <v>195</v>
      </c>
      <c r="L216" s="48">
        <v>204</v>
      </c>
      <c r="M216" s="48">
        <v>212</v>
      </c>
      <c r="N216" s="48">
        <v>187</v>
      </c>
      <c r="O216" s="48">
        <v>187</v>
      </c>
      <c r="P216" s="48">
        <v>212</v>
      </c>
      <c r="Q216" s="48">
        <v>221</v>
      </c>
      <c r="R216" s="48">
        <v>229</v>
      </c>
      <c r="S216" s="48"/>
    </row>
    <row r="217" spans="2:19" ht="34.5" x14ac:dyDescent="0.25">
      <c r="B217" s="44" t="s">
        <v>1388</v>
      </c>
      <c r="C217" s="44" t="s">
        <v>962</v>
      </c>
      <c r="D217" s="44">
        <v>70524</v>
      </c>
      <c r="E217" s="44">
        <v>70523</v>
      </c>
      <c r="F217" s="44" t="s">
        <v>1388</v>
      </c>
      <c r="G217" s="44" t="s">
        <v>29</v>
      </c>
      <c r="H217" s="44"/>
      <c r="I217" s="45">
        <v>165</v>
      </c>
      <c r="J217" s="45">
        <v>189</v>
      </c>
      <c r="K217" s="45">
        <v>198</v>
      </c>
      <c r="L217" s="45">
        <v>206</v>
      </c>
      <c r="M217" s="45">
        <v>222</v>
      </c>
      <c r="N217" s="45">
        <v>181</v>
      </c>
      <c r="O217" s="45">
        <v>206</v>
      </c>
      <c r="P217" s="45">
        <v>214</v>
      </c>
      <c r="Q217" s="45">
        <v>222</v>
      </c>
      <c r="R217" s="45">
        <v>247</v>
      </c>
      <c r="S217" s="46"/>
    </row>
    <row r="218" spans="2:19" x14ac:dyDescent="0.25">
      <c r="B218" s="47" t="s">
        <v>1388</v>
      </c>
      <c r="C218" s="47" t="s">
        <v>962</v>
      </c>
      <c r="D218" s="47">
        <v>70524</v>
      </c>
      <c r="E218" s="47">
        <v>70523</v>
      </c>
      <c r="F218" s="47" t="s">
        <v>1331</v>
      </c>
      <c r="G218" s="47" t="s">
        <v>1325</v>
      </c>
      <c r="H218" s="47">
        <v>230</v>
      </c>
      <c r="I218" s="48">
        <v>165</v>
      </c>
      <c r="J218" s="48">
        <v>189</v>
      </c>
      <c r="K218" s="48">
        <v>198</v>
      </c>
      <c r="L218" s="48">
        <v>206</v>
      </c>
      <c r="M218" s="48">
        <v>222</v>
      </c>
      <c r="N218" s="48">
        <v>181</v>
      </c>
      <c r="O218" s="48">
        <v>206</v>
      </c>
      <c r="P218" s="48">
        <v>214</v>
      </c>
      <c r="Q218" s="48">
        <v>222</v>
      </c>
      <c r="R218" s="48">
        <v>247</v>
      </c>
      <c r="S218" s="48"/>
    </row>
    <row r="219" spans="2:19" x14ac:dyDescent="0.25">
      <c r="B219" s="47" t="s">
        <v>1388</v>
      </c>
      <c r="C219" s="47" t="s">
        <v>962</v>
      </c>
      <c r="D219" s="47">
        <v>70524</v>
      </c>
      <c r="E219" s="47">
        <v>70523</v>
      </c>
      <c r="F219" s="47" t="s">
        <v>1331</v>
      </c>
      <c r="G219" s="47" t="s">
        <v>1325</v>
      </c>
      <c r="H219" s="47">
        <v>115</v>
      </c>
      <c r="I219" s="48">
        <v>165</v>
      </c>
      <c r="J219" s="48">
        <v>189</v>
      </c>
      <c r="K219" s="48">
        <v>198</v>
      </c>
      <c r="L219" s="48">
        <v>206</v>
      </c>
      <c r="M219" s="48">
        <v>222</v>
      </c>
      <c r="N219" s="48">
        <v>181</v>
      </c>
      <c r="O219" s="48">
        <v>206</v>
      </c>
      <c r="P219" s="48">
        <v>214</v>
      </c>
      <c r="Q219" s="48">
        <v>222</v>
      </c>
      <c r="R219" s="48">
        <v>247</v>
      </c>
      <c r="S219" s="48"/>
    </row>
    <row r="220" spans="2:19" ht="34.5" x14ac:dyDescent="0.25">
      <c r="B220" s="44" t="s">
        <v>1389</v>
      </c>
      <c r="C220" s="44" t="s">
        <v>1015</v>
      </c>
      <c r="D220" s="44">
        <v>70427</v>
      </c>
      <c r="E220" s="44">
        <v>70426</v>
      </c>
      <c r="F220" s="44" t="s">
        <v>1389</v>
      </c>
      <c r="G220" s="44" t="s">
        <v>29</v>
      </c>
      <c r="H220" s="44"/>
      <c r="I220" s="45">
        <v>100</v>
      </c>
      <c r="J220" s="45">
        <v>100</v>
      </c>
      <c r="K220" s="45">
        <v>100</v>
      </c>
      <c r="L220" s="45">
        <v>100</v>
      </c>
      <c r="M220" s="45">
        <v>100</v>
      </c>
      <c r="N220" s="45">
        <v>100</v>
      </c>
      <c r="O220" s="45">
        <v>100</v>
      </c>
      <c r="P220" s="45">
        <v>100</v>
      </c>
      <c r="Q220" s="45">
        <v>100</v>
      </c>
      <c r="R220" s="45">
        <v>100</v>
      </c>
      <c r="S220" s="46"/>
    </row>
    <row r="221" spans="2:19" ht="20" x14ac:dyDescent="0.25">
      <c r="B221" s="47" t="s">
        <v>1389</v>
      </c>
      <c r="C221" s="47" t="s">
        <v>1015</v>
      </c>
      <c r="D221" s="47">
        <v>70427</v>
      </c>
      <c r="E221" s="47">
        <v>70426</v>
      </c>
      <c r="F221" s="47" t="s">
        <v>1390</v>
      </c>
      <c r="G221" s="47" t="s">
        <v>39</v>
      </c>
      <c r="H221" s="47">
        <v>115</v>
      </c>
      <c r="I221" s="48">
        <v>100</v>
      </c>
      <c r="J221" s="48">
        <v>100</v>
      </c>
      <c r="K221" s="48">
        <v>100</v>
      </c>
      <c r="L221" s="48">
        <v>100</v>
      </c>
      <c r="M221" s="48">
        <v>100</v>
      </c>
      <c r="N221" s="48">
        <v>100</v>
      </c>
      <c r="O221" s="48">
        <v>100</v>
      </c>
      <c r="P221" s="48">
        <v>100</v>
      </c>
      <c r="Q221" s="48">
        <v>100</v>
      </c>
      <c r="R221" s="48">
        <v>100</v>
      </c>
      <c r="S221" s="48"/>
    </row>
    <row r="222" spans="2:19" x14ac:dyDescent="0.25">
      <c r="B222" s="47" t="s">
        <v>1389</v>
      </c>
      <c r="C222" s="47" t="s">
        <v>1015</v>
      </c>
      <c r="D222" s="47">
        <v>70427</v>
      </c>
      <c r="E222" s="47">
        <v>70426</v>
      </c>
      <c r="F222" s="47" t="s">
        <v>1328</v>
      </c>
      <c r="G222" s="47" t="s">
        <v>1325</v>
      </c>
      <c r="H222" s="47">
        <v>230</v>
      </c>
      <c r="I222" s="47">
        <v>172</v>
      </c>
      <c r="J222" s="47">
        <v>198</v>
      </c>
      <c r="K222" s="47">
        <v>206</v>
      </c>
      <c r="L222" s="47">
        <v>215</v>
      </c>
      <c r="M222" s="47">
        <v>232</v>
      </c>
      <c r="N222" s="47">
        <v>189</v>
      </c>
      <c r="O222" s="47">
        <v>215</v>
      </c>
      <c r="P222" s="47">
        <v>223</v>
      </c>
      <c r="Q222" s="47">
        <v>232</v>
      </c>
      <c r="R222" s="47">
        <v>258</v>
      </c>
      <c r="S222" s="47"/>
    </row>
    <row r="223" spans="2:19" x14ac:dyDescent="0.25">
      <c r="B223" s="47" t="s">
        <v>1389</v>
      </c>
      <c r="C223" s="47" t="s">
        <v>1015</v>
      </c>
      <c r="D223" s="47">
        <v>70427</v>
      </c>
      <c r="E223" s="47">
        <v>70426</v>
      </c>
      <c r="F223" s="47" t="s">
        <v>1328</v>
      </c>
      <c r="G223" s="47" t="s">
        <v>1325</v>
      </c>
      <c r="H223" s="47">
        <v>115</v>
      </c>
      <c r="I223" s="47">
        <v>172</v>
      </c>
      <c r="J223" s="47">
        <v>198</v>
      </c>
      <c r="K223" s="47">
        <v>206</v>
      </c>
      <c r="L223" s="47">
        <v>215</v>
      </c>
      <c r="M223" s="47">
        <v>232</v>
      </c>
      <c r="N223" s="47">
        <v>189</v>
      </c>
      <c r="O223" s="47">
        <v>215</v>
      </c>
      <c r="P223" s="47">
        <v>223</v>
      </c>
      <c r="Q223" s="47">
        <v>232</v>
      </c>
      <c r="R223" s="47">
        <v>258</v>
      </c>
      <c r="S223" s="47"/>
    </row>
    <row r="224" spans="2:19" ht="34.5" x14ac:dyDescent="0.25">
      <c r="B224" s="44" t="s">
        <v>1391</v>
      </c>
      <c r="C224" s="44" t="s">
        <v>560</v>
      </c>
      <c r="D224" s="44">
        <v>79036</v>
      </c>
      <c r="E224" s="44">
        <v>70205</v>
      </c>
      <c r="F224" s="44" t="s">
        <v>1391</v>
      </c>
      <c r="G224" s="44" t="s">
        <v>29</v>
      </c>
      <c r="H224" s="44"/>
      <c r="I224" s="45">
        <v>273</v>
      </c>
      <c r="J224" s="45">
        <v>273</v>
      </c>
      <c r="K224" s="45">
        <v>314</v>
      </c>
      <c r="L224" s="45">
        <v>328</v>
      </c>
      <c r="M224" s="45">
        <v>341</v>
      </c>
      <c r="N224" s="45">
        <v>300</v>
      </c>
      <c r="O224" s="45">
        <v>300</v>
      </c>
      <c r="P224" s="45">
        <v>341</v>
      </c>
      <c r="Q224" s="45">
        <v>355</v>
      </c>
      <c r="R224" s="45">
        <v>359</v>
      </c>
      <c r="S224" s="46"/>
    </row>
    <row r="225" spans="2:19" ht="20" x14ac:dyDescent="0.25">
      <c r="B225" s="47" t="s">
        <v>1391</v>
      </c>
      <c r="C225" s="47" t="s">
        <v>560</v>
      </c>
      <c r="D225" s="47">
        <v>79036</v>
      </c>
      <c r="E225" s="47">
        <v>70205</v>
      </c>
      <c r="F225" s="47" t="s">
        <v>1328</v>
      </c>
      <c r="G225" s="47" t="s">
        <v>1325</v>
      </c>
      <c r="H225" s="47">
        <v>230</v>
      </c>
      <c r="I225" s="48">
        <v>273</v>
      </c>
      <c r="J225" s="48">
        <v>273</v>
      </c>
      <c r="K225" s="48">
        <v>314</v>
      </c>
      <c r="L225" s="48">
        <v>328</v>
      </c>
      <c r="M225" s="48">
        <v>341</v>
      </c>
      <c r="N225" s="48">
        <v>300</v>
      </c>
      <c r="O225" s="48">
        <v>300</v>
      </c>
      <c r="P225" s="48">
        <v>341</v>
      </c>
      <c r="Q225" s="48">
        <v>355</v>
      </c>
      <c r="R225" s="47">
        <v>369</v>
      </c>
      <c r="S225" s="47"/>
    </row>
    <row r="226" spans="2:19" ht="20" x14ac:dyDescent="0.25">
      <c r="B226" s="47" t="s">
        <v>1391</v>
      </c>
      <c r="C226" s="47" t="s">
        <v>560</v>
      </c>
      <c r="D226" s="47">
        <v>79036</v>
      </c>
      <c r="E226" s="47">
        <v>70205</v>
      </c>
      <c r="F226" s="47" t="s">
        <v>1328</v>
      </c>
      <c r="G226" s="47" t="s">
        <v>1325</v>
      </c>
      <c r="H226" s="47">
        <v>345</v>
      </c>
      <c r="I226" s="48">
        <v>273</v>
      </c>
      <c r="J226" s="48">
        <v>273</v>
      </c>
      <c r="K226" s="48">
        <v>314</v>
      </c>
      <c r="L226" s="48">
        <v>328</v>
      </c>
      <c r="M226" s="48">
        <v>341</v>
      </c>
      <c r="N226" s="47">
        <v>301</v>
      </c>
      <c r="O226" s="47">
        <v>301</v>
      </c>
      <c r="P226" s="48">
        <v>341</v>
      </c>
      <c r="Q226" s="48">
        <v>355</v>
      </c>
      <c r="R226" s="47">
        <v>369</v>
      </c>
      <c r="S226" s="47"/>
    </row>
    <row r="227" spans="2:19" ht="20" x14ac:dyDescent="0.25">
      <c r="B227" s="47" t="s">
        <v>1391</v>
      </c>
      <c r="C227" s="47" t="s">
        <v>560</v>
      </c>
      <c r="D227" s="47">
        <v>79036</v>
      </c>
      <c r="E227" s="47">
        <v>70205</v>
      </c>
      <c r="F227" s="47" t="s">
        <v>2533</v>
      </c>
      <c r="G227" s="47" t="s">
        <v>39</v>
      </c>
      <c r="H227" s="47">
        <v>345</v>
      </c>
      <c r="I227" s="47">
        <v>359</v>
      </c>
      <c r="J227" s="47">
        <v>359</v>
      </c>
      <c r="K227" s="47">
        <v>359</v>
      </c>
      <c r="L227" s="47">
        <v>359</v>
      </c>
      <c r="M227" s="47">
        <v>359</v>
      </c>
      <c r="N227" s="47">
        <v>359</v>
      </c>
      <c r="O227" s="47">
        <v>359</v>
      </c>
      <c r="P227" s="47">
        <v>359</v>
      </c>
      <c r="Q227" s="47">
        <v>359</v>
      </c>
      <c r="R227" s="48">
        <v>359</v>
      </c>
      <c r="S227" s="48"/>
    </row>
    <row r="228" spans="2:19" ht="34.5" x14ac:dyDescent="0.25">
      <c r="B228" s="44" t="s">
        <v>1392</v>
      </c>
      <c r="C228" s="44" t="s">
        <v>560</v>
      </c>
      <c r="D228" s="44">
        <v>79035</v>
      </c>
      <c r="E228" s="44">
        <v>79034</v>
      </c>
      <c r="F228" s="44" t="s">
        <v>1392</v>
      </c>
      <c r="G228" s="44" t="s">
        <v>29</v>
      </c>
      <c r="H228" s="44"/>
      <c r="I228" s="45">
        <v>100</v>
      </c>
      <c r="J228" s="45">
        <v>115</v>
      </c>
      <c r="K228" s="45">
        <v>120</v>
      </c>
      <c r="L228" s="45">
        <v>125</v>
      </c>
      <c r="M228" s="45">
        <v>135</v>
      </c>
      <c r="N228" s="45">
        <v>110</v>
      </c>
      <c r="O228" s="45">
        <v>125</v>
      </c>
      <c r="P228" s="45">
        <v>130</v>
      </c>
      <c r="Q228" s="45">
        <v>135</v>
      </c>
      <c r="R228" s="45">
        <v>150</v>
      </c>
      <c r="S228" s="46"/>
    </row>
    <row r="229" spans="2:19" ht="20" x14ac:dyDescent="0.25">
      <c r="B229" s="47" t="s">
        <v>1392</v>
      </c>
      <c r="C229" s="47" t="s">
        <v>560</v>
      </c>
      <c r="D229" s="47">
        <v>79035</v>
      </c>
      <c r="E229" s="47">
        <v>79034</v>
      </c>
      <c r="F229" s="47" t="s">
        <v>1331</v>
      </c>
      <c r="G229" s="47" t="s">
        <v>1325</v>
      </c>
      <c r="H229" s="47">
        <v>115</v>
      </c>
      <c r="I229" s="48">
        <v>100</v>
      </c>
      <c r="J229" s="48">
        <v>115</v>
      </c>
      <c r="K229" s="48">
        <v>120</v>
      </c>
      <c r="L229" s="48">
        <v>125</v>
      </c>
      <c r="M229" s="48">
        <v>135</v>
      </c>
      <c r="N229" s="48">
        <v>110</v>
      </c>
      <c r="O229" s="48">
        <v>125</v>
      </c>
      <c r="P229" s="48">
        <v>130</v>
      </c>
      <c r="Q229" s="48">
        <v>135</v>
      </c>
      <c r="R229" s="48">
        <v>150</v>
      </c>
      <c r="S229" s="48"/>
    </row>
    <row r="230" spans="2:19" ht="20" x14ac:dyDescent="0.25">
      <c r="B230" s="47" t="s">
        <v>1392</v>
      </c>
      <c r="C230" s="47" t="s">
        <v>560</v>
      </c>
      <c r="D230" s="47">
        <v>79035</v>
      </c>
      <c r="E230" s="47">
        <v>79034</v>
      </c>
      <c r="F230" s="47" t="s">
        <v>1331</v>
      </c>
      <c r="G230" s="47" t="s">
        <v>1325</v>
      </c>
      <c r="H230" s="47">
        <v>138</v>
      </c>
      <c r="I230" s="48">
        <v>100</v>
      </c>
      <c r="J230" s="48">
        <v>115</v>
      </c>
      <c r="K230" s="48">
        <v>120</v>
      </c>
      <c r="L230" s="48">
        <v>125</v>
      </c>
      <c r="M230" s="48">
        <v>135</v>
      </c>
      <c r="N230" s="48">
        <v>110</v>
      </c>
      <c r="O230" s="48">
        <v>125</v>
      </c>
      <c r="P230" s="48">
        <v>130</v>
      </c>
      <c r="Q230" s="48">
        <v>135</v>
      </c>
      <c r="R230" s="48">
        <v>150</v>
      </c>
      <c r="S230" s="48"/>
    </row>
    <row r="231" spans="2:19" ht="34.5" x14ac:dyDescent="0.25">
      <c r="B231" s="44" t="s">
        <v>1393</v>
      </c>
      <c r="C231" s="44" t="s">
        <v>580</v>
      </c>
      <c r="D231" s="44">
        <v>79057</v>
      </c>
      <c r="E231" s="44">
        <v>79056</v>
      </c>
      <c r="F231" s="44" t="s">
        <v>1393</v>
      </c>
      <c r="G231" s="44" t="s">
        <v>29</v>
      </c>
      <c r="H231" s="44"/>
      <c r="I231" s="45">
        <v>143</v>
      </c>
      <c r="J231" s="45">
        <v>143</v>
      </c>
      <c r="K231" s="45">
        <v>143</v>
      </c>
      <c r="L231" s="45">
        <v>143</v>
      </c>
      <c r="M231" s="45">
        <v>143</v>
      </c>
      <c r="N231" s="45">
        <v>143</v>
      </c>
      <c r="O231" s="45">
        <v>143</v>
      </c>
      <c r="P231" s="45">
        <v>143</v>
      </c>
      <c r="Q231" s="45">
        <v>143</v>
      </c>
      <c r="R231" s="45">
        <v>143</v>
      </c>
      <c r="S231" s="46"/>
    </row>
    <row r="232" spans="2:19" ht="20" x14ac:dyDescent="0.25">
      <c r="B232" s="47" t="s">
        <v>1393</v>
      </c>
      <c r="C232" s="47" t="s">
        <v>580</v>
      </c>
      <c r="D232" s="47">
        <v>79057</v>
      </c>
      <c r="E232" s="47">
        <v>79056</v>
      </c>
      <c r="F232" s="47" t="s">
        <v>2534</v>
      </c>
      <c r="G232" s="47" t="s">
        <v>39</v>
      </c>
      <c r="H232" s="47">
        <v>138</v>
      </c>
      <c r="I232" s="48">
        <v>143</v>
      </c>
      <c r="J232" s="48">
        <v>143</v>
      </c>
      <c r="K232" s="48">
        <v>143</v>
      </c>
      <c r="L232" s="48">
        <v>143</v>
      </c>
      <c r="M232" s="48">
        <v>143</v>
      </c>
      <c r="N232" s="48">
        <v>143</v>
      </c>
      <c r="O232" s="48">
        <v>143</v>
      </c>
      <c r="P232" s="48">
        <v>143</v>
      </c>
      <c r="Q232" s="48">
        <v>143</v>
      </c>
      <c r="R232" s="48">
        <v>143</v>
      </c>
      <c r="S232" s="48"/>
    </row>
    <row r="233" spans="2:19" ht="20" x14ac:dyDescent="0.25">
      <c r="B233" s="47" t="s">
        <v>1393</v>
      </c>
      <c r="C233" s="47" t="s">
        <v>580</v>
      </c>
      <c r="D233" s="47">
        <v>79057</v>
      </c>
      <c r="E233" s="47">
        <v>79056</v>
      </c>
      <c r="F233" s="47" t="s">
        <v>1395</v>
      </c>
      <c r="G233" s="47" t="s">
        <v>34</v>
      </c>
      <c r="H233" s="47">
        <v>138</v>
      </c>
      <c r="I233" s="48">
        <v>143</v>
      </c>
      <c r="J233" s="48">
        <v>143</v>
      </c>
      <c r="K233" s="47">
        <v>185</v>
      </c>
      <c r="L233" s="47">
        <v>185</v>
      </c>
      <c r="M233" s="47">
        <v>185</v>
      </c>
      <c r="N233" s="47">
        <v>178</v>
      </c>
      <c r="O233" s="47">
        <v>178</v>
      </c>
      <c r="P233" s="47">
        <v>213</v>
      </c>
      <c r="Q233" s="47">
        <v>213</v>
      </c>
      <c r="R233" s="47">
        <v>213</v>
      </c>
      <c r="S233" s="47"/>
    </row>
    <row r="234" spans="2:19" ht="20" x14ac:dyDescent="0.25">
      <c r="B234" s="47" t="s">
        <v>1393</v>
      </c>
      <c r="C234" s="47" t="s">
        <v>580</v>
      </c>
      <c r="D234" s="47">
        <v>79057</v>
      </c>
      <c r="E234" s="47">
        <v>79056</v>
      </c>
      <c r="F234" s="47" t="s">
        <v>1394</v>
      </c>
      <c r="G234" s="47" t="s">
        <v>34</v>
      </c>
      <c r="H234" s="47">
        <v>138</v>
      </c>
      <c r="I234" s="48">
        <v>143</v>
      </c>
      <c r="J234" s="48">
        <v>143</v>
      </c>
      <c r="K234" s="47">
        <v>185</v>
      </c>
      <c r="L234" s="47">
        <v>185</v>
      </c>
      <c r="M234" s="47">
        <v>185</v>
      </c>
      <c r="N234" s="47">
        <v>178</v>
      </c>
      <c r="O234" s="47">
        <v>178</v>
      </c>
      <c r="P234" s="47">
        <v>213</v>
      </c>
      <c r="Q234" s="47">
        <v>213</v>
      </c>
      <c r="R234" s="47">
        <v>213</v>
      </c>
      <c r="S234" s="47"/>
    </row>
    <row r="235" spans="2:19" ht="20" x14ac:dyDescent="0.25">
      <c r="B235" s="47" t="s">
        <v>1393</v>
      </c>
      <c r="C235" s="47" t="s">
        <v>580</v>
      </c>
      <c r="D235" s="47">
        <v>79057</v>
      </c>
      <c r="E235" s="47">
        <v>79056</v>
      </c>
      <c r="F235" s="47" t="s">
        <v>1351</v>
      </c>
      <c r="G235" s="47" t="s">
        <v>1325</v>
      </c>
      <c r="H235" s="47">
        <v>230</v>
      </c>
      <c r="I235" s="47">
        <v>145</v>
      </c>
      <c r="J235" s="47">
        <v>145</v>
      </c>
      <c r="K235" s="47">
        <v>167</v>
      </c>
      <c r="L235" s="47">
        <v>174</v>
      </c>
      <c r="M235" s="47">
        <v>181</v>
      </c>
      <c r="N235" s="47">
        <v>159</v>
      </c>
      <c r="O235" s="47">
        <v>159</v>
      </c>
      <c r="P235" s="47">
        <v>181</v>
      </c>
      <c r="Q235" s="47">
        <v>188</v>
      </c>
      <c r="R235" s="47">
        <v>196</v>
      </c>
      <c r="S235" s="47"/>
    </row>
    <row r="236" spans="2:19" ht="20" x14ac:dyDescent="0.25">
      <c r="B236" s="47" t="s">
        <v>1393</v>
      </c>
      <c r="C236" s="47" t="s">
        <v>580</v>
      </c>
      <c r="D236" s="47">
        <v>79057</v>
      </c>
      <c r="E236" s="47">
        <v>79056</v>
      </c>
      <c r="F236" s="47" t="s">
        <v>1351</v>
      </c>
      <c r="G236" s="47" t="s">
        <v>1325</v>
      </c>
      <c r="H236" s="47">
        <v>138</v>
      </c>
      <c r="I236" s="47">
        <v>145</v>
      </c>
      <c r="J236" s="47">
        <v>145</v>
      </c>
      <c r="K236" s="47">
        <v>167</v>
      </c>
      <c r="L236" s="47">
        <v>174</v>
      </c>
      <c r="M236" s="47">
        <v>181</v>
      </c>
      <c r="N236" s="47">
        <v>159</v>
      </c>
      <c r="O236" s="47">
        <v>159</v>
      </c>
      <c r="P236" s="47">
        <v>181</v>
      </c>
      <c r="Q236" s="47">
        <v>189</v>
      </c>
      <c r="R236" s="47">
        <v>196</v>
      </c>
      <c r="S236" s="47"/>
    </row>
    <row r="237" spans="2:19" ht="34.5" x14ac:dyDescent="0.25">
      <c r="B237" s="44" t="s">
        <v>1396</v>
      </c>
      <c r="C237" s="44" t="s">
        <v>580</v>
      </c>
      <c r="D237" s="44">
        <v>79058</v>
      </c>
      <c r="E237" s="44">
        <v>79057</v>
      </c>
      <c r="F237" s="44" t="s">
        <v>1396</v>
      </c>
      <c r="G237" s="44" t="s">
        <v>29</v>
      </c>
      <c r="H237" s="44"/>
      <c r="I237" s="45">
        <v>478</v>
      </c>
      <c r="J237" s="45">
        <v>478</v>
      </c>
      <c r="K237" s="45">
        <v>617</v>
      </c>
      <c r="L237" s="45">
        <v>617</v>
      </c>
      <c r="M237" s="45">
        <v>617</v>
      </c>
      <c r="N237" s="45">
        <v>592</v>
      </c>
      <c r="O237" s="45">
        <v>592</v>
      </c>
      <c r="P237" s="45">
        <v>637</v>
      </c>
      <c r="Q237" s="45">
        <v>637</v>
      </c>
      <c r="R237" s="45">
        <v>637</v>
      </c>
      <c r="S237" s="46"/>
    </row>
    <row r="238" spans="2:19" ht="20" x14ac:dyDescent="0.25">
      <c r="B238" s="47" t="s">
        <v>1396</v>
      </c>
      <c r="C238" s="47" t="s">
        <v>580</v>
      </c>
      <c r="D238" s="47">
        <v>79058</v>
      </c>
      <c r="E238" s="47">
        <v>79057</v>
      </c>
      <c r="F238" s="47" t="s">
        <v>2338</v>
      </c>
      <c r="G238" s="47" t="s">
        <v>34</v>
      </c>
      <c r="H238" s="47">
        <v>230</v>
      </c>
      <c r="I238" s="48">
        <v>478</v>
      </c>
      <c r="J238" s="48">
        <v>478</v>
      </c>
      <c r="K238" s="48">
        <v>617</v>
      </c>
      <c r="L238" s="48">
        <v>617</v>
      </c>
      <c r="M238" s="48">
        <v>617</v>
      </c>
      <c r="N238" s="48">
        <v>592</v>
      </c>
      <c r="O238" s="48">
        <v>592</v>
      </c>
      <c r="P238" s="47">
        <v>709</v>
      </c>
      <c r="Q238" s="47">
        <v>709</v>
      </c>
      <c r="R238" s="47">
        <v>709</v>
      </c>
      <c r="S238" s="47"/>
    </row>
    <row r="239" spans="2:19" ht="20" x14ac:dyDescent="0.25">
      <c r="B239" s="47" t="s">
        <v>1396</v>
      </c>
      <c r="C239" s="47" t="s">
        <v>580</v>
      </c>
      <c r="D239" s="47">
        <v>79058</v>
      </c>
      <c r="E239" s="47">
        <v>79057</v>
      </c>
      <c r="F239" s="47" t="s">
        <v>2339</v>
      </c>
      <c r="G239" s="47" t="s">
        <v>34</v>
      </c>
      <c r="H239" s="47">
        <v>230</v>
      </c>
      <c r="I239" s="48">
        <v>478</v>
      </c>
      <c r="J239" s="48">
        <v>478</v>
      </c>
      <c r="K239" s="48">
        <v>617</v>
      </c>
      <c r="L239" s="48">
        <v>617</v>
      </c>
      <c r="M239" s="48">
        <v>617</v>
      </c>
      <c r="N239" s="48">
        <v>592</v>
      </c>
      <c r="O239" s="48">
        <v>592</v>
      </c>
      <c r="P239" s="47">
        <v>709</v>
      </c>
      <c r="Q239" s="47">
        <v>709</v>
      </c>
      <c r="R239" s="47">
        <v>709</v>
      </c>
      <c r="S239" s="47"/>
    </row>
    <row r="240" spans="2:19" ht="20" x14ac:dyDescent="0.25">
      <c r="B240" s="47" t="s">
        <v>1396</v>
      </c>
      <c r="C240" s="47" t="s">
        <v>580</v>
      </c>
      <c r="D240" s="47">
        <v>79058</v>
      </c>
      <c r="E240" s="47">
        <v>79057</v>
      </c>
      <c r="F240" s="47" t="s">
        <v>1397</v>
      </c>
      <c r="G240" s="47" t="s">
        <v>1325</v>
      </c>
      <c r="H240" s="47">
        <v>230</v>
      </c>
      <c r="I240" s="47">
        <v>542</v>
      </c>
      <c r="J240" s="47">
        <v>542</v>
      </c>
      <c r="K240" s="47">
        <v>624</v>
      </c>
      <c r="L240" s="47">
        <v>637</v>
      </c>
      <c r="M240" s="47">
        <v>637</v>
      </c>
      <c r="N240" s="47">
        <v>596</v>
      </c>
      <c r="O240" s="47">
        <v>596</v>
      </c>
      <c r="P240" s="48">
        <v>637</v>
      </c>
      <c r="Q240" s="48">
        <v>637</v>
      </c>
      <c r="R240" s="48">
        <v>637</v>
      </c>
      <c r="S240" s="48"/>
    </row>
    <row r="241" spans="2:19" ht="20" x14ac:dyDescent="0.25">
      <c r="B241" s="47" t="s">
        <v>1396</v>
      </c>
      <c r="C241" s="47" t="s">
        <v>580</v>
      </c>
      <c r="D241" s="47">
        <v>79058</v>
      </c>
      <c r="E241" s="47">
        <v>79057</v>
      </c>
      <c r="F241" s="47" t="s">
        <v>1397</v>
      </c>
      <c r="G241" s="47" t="s">
        <v>1325</v>
      </c>
      <c r="H241" s="47">
        <v>345</v>
      </c>
      <c r="I241" s="47">
        <v>543</v>
      </c>
      <c r="J241" s="47">
        <v>543</v>
      </c>
      <c r="K241" s="47">
        <v>624</v>
      </c>
      <c r="L241" s="47">
        <v>651</v>
      </c>
      <c r="M241" s="47">
        <v>660</v>
      </c>
      <c r="N241" s="47">
        <v>596</v>
      </c>
      <c r="O241" s="47">
        <v>596</v>
      </c>
      <c r="P241" s="47">
        <v>660</v>
      </c>
      <c r="Q241" s="47">
        <v>660</v>
      </c>
      <c r="R241" s="47">
        <v>660</v>
      </c>
      <c r="S241" s="47"/>
    </row>
    <row r="242" spans="2:19" ht="20" x14ac:dyDescent="0.25">
      <c r="B242" s="47" t="s">
        <v>1396</v>
      </c>
      <c r="C242" s="47" t="s">
        <v>580</v>
      </c>
      <c r="D242" s="47">
        <v>79058</v>
      </c>
      <c r="E242" s="47">
        <v>79057</v>
      </c>
      <c r="F242" s="47" t="s">
        <v>2588</v>
      </c>
      <c r="G242" s="47" t="s">
        <v>49</v>
      </c>
      <c r="H242" s="47">
        <v>230</v>
      </c>
      <c r="I242" s="47">
        <v>637</v>
      </c>
      <c r="J242" s="47">
        <v>637</v>
      </c>
      <c r="K242" s="47">
        <v>637</v>
      </c>
      <c r="L242" s="47">
        <v>637</v>
      </c>
      <c r="M242" s="47">
        <v>637</v>
      </c>
      <c r="N242" s="47">
        <v>637</v>
      </c>
      <c r="O242" s="47">
        <v>637</v>
      </c>
      <c r="P242" s="48">
        <v>637</v>
      </c>
      <c r="Q242" s="48">
        <v>637</v>
      </c>
      <c r="R242" s="48">
        <v>637</v>
      </c>
      <c r="S242" s="48"/>
    </row>
    <row r="243" spans="2:19" ht="34.5" x14ac:dyDescent="0.25">
      <c r="B243" s="44" t="s">
        <v>1398</v>
      </c>
      <c r="C243" s="44" t="s">
        <v>381</v>
      </c>
      <c r="D243" s="44">
        <v>70447</v>
      </c>
      <c r="E243" s="44">
        <v>70444</v>
      </c>
      <c r="F243" s="44" t="s">
        <v>1398</v>
      </c>
      <c r="G243" s="44" t="s">
        <v>29</v>
      </c>
      <c r="H243" s="44"/>
      <c r="I243" s="45">
        <v>280</v>
      </c>
      <c r="J243" s="45">
        <v>318</v>
      </c>
      <c r="K243" s="45">
        <v>318</v>
      </c>
      <c r="L243" s="45">
        <v>318</v>
      </c>
      <c r="M243" s="45">
        <v>318</v>
      </c>
      <c r="N243" s="45">
        <v>308</v>
      </c>
      <c r="O243" s="45">
        <v>318</v>
      </c>
      <c r="P243" s="45">
        <v>318</v>
      </c>
      <c r="Q243" s="45">
        <v>318</v>
      </c>
      <c r="R243" s="45">
        <v>318</v>
      </c>
      <c r="S243" s="46"/>
    </row>
    <row r="244" spans="2:19" ht="20" x14ac:dyDescent="0.25">
      <c r="B244" s="47" t="s">
        <v>1398</v>
      </c>
      <c r="C244" s="47" t="s">
        <v>381</v>
      </c>
      <c r="D244" s="47">
        <v>70447</v>
      </c>
      <c r="E244" s="47">
        <v>70444</v>
      </c>
      <c r="F244" s="47" t="s">
        <v>1399</v>
      </c>
      <c r="G244" s="47" t="s">
        <v>1325</v>
      </c>
      <c r="H244" s="47">
        <v>115</v>
      </c>
      <c r="I244" s="48">
        <v>280</v>
      </c>
      <c r="J244" s="47">
        <v>319</v>
      </c>
      <c r="K244" s="47">
        <v>319</v>
      </c>
      <c r="L244" s="47">
        <v>319</v>
      </c>
      <c r="M244" s="47">
        <v>319</v>
      </c>
      <c r="N244" s="48">
        <v>308</v>
      </c>
      <c r="O244" s="47">
        <v>319</v>
      </c>
      <c r="P244" s="47">
        <v>319</v>
      </c>
      <c r="Q244" s="47">
        <v>319</v>
      </c>
      <c r="R244" s="47">
        <v>319</v>
      </c>
      <c r="S244" s="47"/>
    </row>
    <row r="245" spans="2:19" ht="20" x14ac:dyDescent="0.25">
      <c r="B245" s="47" t="s">
        <v>1398</v>
      </c>
      <c r="C245" s="47" t="s">
        <v>381</v>
      </c>
      <c r="D245" s="47">
        <v>70447</v>
      </c>
      <c r="E245" s="47">
        <v>70444</v>
      </c>
      <c r="F245" s="47" t="s">
        <v>1399</v>
      </c>
      <c r="G245" s="47" t="s">
        <v>1325</v>
      </c>
      <c r="H245" s="47">
        <v>230</v>
      </c>
      <c r="I245" s="48">
        <v>280</v>
      </c>
      <c r="J245" s="47">
        <v>322</v>
      </c>
      <c r="K245" s="47">
        <v>336</v>
      </c>
      <c r="L245" s="47">
        <v>350</v>
      </c>
      <c r="M245" s="47">
        <v>378</v>
      </c>
      <c r="N245" s="48">
        <v>308</v>
      </c>
      <c r="O245" s="47">
        <v>350</v>
      </c>
      <c r="P245" s="47">
        <v>364</v>
      </c>
      <c r="Q245" s="47">
        <v>378</v>
      </c>
      <c r="R245" s="47">
        <v>420</v>
      </c>
      <c r="S245" s="47"/>
    </row>
    <row r="246" spans="2:19" ht="20" x14ac:dyDescent="0.25">
      <c r="B246" s="47" t="s">
        <v>1398</v>
      </c>
      <c r="C246" s="47" t="s">
        <v>381</v>
      </c>
      <c r="D246" s="47">
        <v>70447</v>
      </c>
      <c r="E246" s="47">
        <v>70444</v>
      </c>
      <c r="F246" s="47" t="s">
        <v>1400</v>
      </c>
      <c r="G246" s="47" t="s">
        <v>39</v>
      </c>
      <c r="H246" s="47">
        <v>115</v>
      </c>
      <c r="I246" s="47">
        <v>318</v>
      </c>
      <c r="J246" s="48">
        <v>318</v>
      </c>
      <c r="K246" s="48">
        <v>318</v>
      </c>
      <c r="L246" s="48">
        <v>318</v>
      </c>
      <c r="M246" s="48">
        <v>318</v>
      </c>
      <c r="N246" s="47">
        <v>318</v>
      </c>
      <c r="O246" s="48">
        <v>318</v>
      </c>
      <c r="P246" s="48">
        <v>318</v>
      </c>
      <c r="Q246" s="48">
        <v>318</v>
      </c>
      <c r="R246" s="48">
        <v>318</v>
      </c>
      <c r="S246" s="48"/>
    </row>
    <row r="247" spans="2:19" ht="34.5" x14ac:dyDescent="0.25">
      <c r="B247" s="44" t="s">
        <v>1401</v>
      </c>
      <c r="C247" s="44" t="s">
        <v>381</v>
      </c>
      <c r="D247" s="44">
        <v>70447</v>
      </c>
      <c r="E247" s="44">
        <v>70444</v>
      </c>
      <c r="F247" s="44" t="s">
        <v>1401</v>
      </c>
      <c r="G247" s="44" t="s">
        <v>29</v>
      </c>
      <c r="H247" s="44"/>
      <c r="I247" s="45">
        <v>280</v>
      </c>
      <c r="J247" s="45">
        <v>322</v>
      </c>
      <c r="K247" s="45">
        <v>336</v>
      </c>
      <c r="L247" s="45">
        <v>350</v>
      </c>
      <c r="M247" s="45">
        <v>359</v>
      </c>
      <c r="N247" s="45">
        <v>308</v>
      </c>
      <c r="O247" s="45">
        <v>350</v>
      </c>
      <c r="P247" s="45">
        <v>359</v>
      </c>
      <c r="Q247" s="45">
        <v>359</v>
      </c>
      <c r="R247" s="45">
        <v>359</v>
      </c>
      <c r="S247" s="46"/>
    </row>
    <row r="248" spans="2:19" ht="20" x14ac:dyDescent="0.25">
      <c r="B248" s="47" t="s">
        <v>1401</v>
      </c>
      <c r="C248" s="47" t="s">
        <v>381</v>
      </c>
      <c r="D248" s="47">
        <v>70447</v>
      </c>
      <c r="E248" s="47">
        <v>70444</v>
      </c>
      <c r="F248" s="47" t="s">
        <v>1402</v>
      </c>
      <c r="G248" s="47" t="s">
        <v>1325</v>
      </c>
      <c r="H248" s="47">
        <v>230</v>
      </c>
      <c r="I248" s="48">
        <v>280</v>
      </c>
      <c r="J248" s="48">
        <v>322</v>
      </c>
      <c r="K248" s="48">
        <v>336</v>
      </c>
      <c r="L248" s="48">
        <v>350</v>
      </c>
      <c r="M248" s="47">
        <v>378</v>
      </c>
      <c r="N248" s="48">
        <v>308</v>
      </c>
      <c r="O248" s="48">
        <v>350</v>
      </c>
      <c r="P248" s="47">
        <v>364</v>
      </c>
      <c r="Q248" s="47">
        <v>378</v>
      </c>
      <c r="R248" s="47">
        <v>420</v>
      </c>
      <c r="S248" s="47"/>
    </row>
    <row r="249" spans="2:19" ht="20" x14ac:dyDescent="0.25">
      <c r="B249" s="47" t="s">
        <v>1401</v>
      </c>
      <c r="C249" s="47" t="s">
        <v>381</v>
      </c>
      <c r="D249" s="47">
        <v>70447</v>
      </c>
      <c r="E249" s="47">
        <v>70444</v>
      </c>
      <c r="F249" s="47" t="s">
        <v>1402</v>
      </c>
      <c r="G249" s="47" t="s">
        <v>1325</v>
      </c>
      <c r="H249" s="47">
        <v>115</v>
      </c>
      <c r="I249" s="48">
        <v>280</v>
      </c>
      <c r="J249" s="48">
        <v>322</v>
      </c>
      <c r="K249" s="48">
        <v>336</v>
      </c>
      <c r="L249" s="48">
        <v>350</v>
      </c>
      <c r="M249" s="47">
        <v>378</v>
      </c>
      <c r="N249" s="48">
        <v>308</v>
      </c>
      <c r="O249" s="48">
        <v>350</v>
      </c>
      <c r="P249" s="47">
        <v>364</v>
      </c>
      <c r="Q249" s="47">
        <v>378</v>
      </c>
      <c r="R249" s="47">
        <v>420</v>
      </c>
      <c r="S249" s="47"/>
    </row>
    <row r="250" spans="2:19" ht="30" x14ac:dyDescent="0.25">
      <c r="B250" s="47" t="s">
        <v>1401</v>
      </c>
      <c r="C250" s="47" t="s">
        <v>381</v>
      </c>
      <c r="D250" s="47">
        <v>70447</v>
      </c>
      <c r="E250" s="47">
        <v>70444</v>
      </c>
      <c r="F250" s="47" t="s">
        <v>1404</v>
      </c>
      <c r="G250" s="47" t="s">
        <v>36</v>
      </c>
      <c r="H250" s="47">
        <v>115</v>
      </c>
      <c r="I250" s="47">
        <v>359</v>
      </c>
      <c r="J250" s="47">
        <v>359</v>
      </c>
      <c r="K250" s="47">
        <v>359</v>
      </c>
      <c r="L250" s="47">
        <v>359</v>
      </c>
      <c r="M250" s="48">
        <v>359</v>
      </c>
      <c r="N250" s="47">
        <v>359</v>
      </c>
      <c r="O250" s="47">
        <v>359</v>
      </c>
      <c r="P250" s="48">
        <v>359</v>
      </c>
      <c r="Q250" s="48">
        <v>359</v>
      </c>
      <c r="R250" s="48">
        <v>359</v>
      </c>
      <c r="S250" s="48"/>
    </row>
    <row r="251" spans="2:19" ht="30" x14ac:dyDescent="0.25">
      <c r="B251" s="47" t="s">
        <v>1401</v>
      </c>
      <c r="C251" s="47" t="s">
        <v>381</v>
      </c>
      <c r="D251" s="47">
        <v>70447</v>
      </c>
      <c r="E251" s="47">
        <v>70444</v>
      </c>
      <c r="F251" s="47" t="s">
        <v>1403</v>
      </c>
      <c r="G251" s="47" t="s">
        <v>36</v>
      </c>
      <c r="H251" s="47">
        <v>115</v>
      </c>
      <c r="I251" s="47">
        <v>359</v>
      </c>
      <c r="J251" s="47">
        <v>359</v>
      </c>
      <c r="K251" s="47">
        <v>359</v>
      </c>
      <c r="L251" s="47">
        <v>359</v>
      </c>
      <c r="M251" s="48">
        <v>359</v>
      </c>
      <c r="N251" s="47">
        <v>359</v>
      </c>
      <c r="O251" s="47">
        <v>359</v>
      </c>
      <c r="P251" s="48">
        <v>359</v>
      </c>
      <c r="Q251" s="48">
        <v>359</v>
      </c>
      <c r="R251" s="48">
        <v>359</v>
      </c>
      <c r="S251" s="48"/>
    </row>
    <row r="252" spans="2:19" ht="34.5" x14ac:dyDescent="0.25">
      <c r="B252" s="44" t="s">
        <v>1405</v>
      </c>
      <c r="C252" s="44" t="s">
        <v>490</v>
      </c>
      <c r="D252" s="44">
        <v>70464</v>
      </c>
      <c r="E252" s="44">
        <v>70463</v>
      </c>
      <c r="F252" s="44" t="s">
        <v>1405</v>
      </c>
      <c r="G252" s="44" t="s">
        <v>29</v>
      </c>
      <c r="H252" s="44"/>
      <c r="I252" s="45">
        <v>284</v>
      </c>
      <c r="J252" s="45">
        <v>327</v>
      </c>
      <c r="K252" s="45">
        <v>341</v>
      </c>
      <c r="L252" s="45">
        <v>355</v>
      </c>
      <c r="M252" s="45">
        <v>384</v>
      </c>
      <c r="N252" s="45">
        <v>313</v>
      </c>
      <c r="O252" s="45">
        <v>355</v>
      </c>
      <c r="P252" s="45">
        <v>369</v>
      </c>
      <c r="Q252" s="45">
        <v>384</v>
      </c>
      <c r="R252" s="45">
        <v>426</v>
      </c>
      <c r="S252" s="46"/>
    </row>
    <row r="253" spans="2:19" x14ac:dyDescent="0.25">
      <c r="B253" s="47" t="s">
        <v>1405</v>
      </c>
      <c r="C253" s="47" t="s">
        <v>490</v>
      </c>
      <c r="D253" s="47">
        <v>70464</v>
      </c>
      <c r="E253" s="47">
        <v>70463</v>
      </c>
      <c r="F253" s="47" t="s">
        <v>1328</v>
      </c>
      <c r="G253" s="47" t="s">
        <v>1325</v>
      </c>
      <c r="H253" s="47">
        <v>230</v>
      </c>
      <c r="I253" s="48">
        <v>284</v>
      </c>
      <c r="J253" s="48">
        <v>327</v>
      </c>
      <c r="K253" s="48">
        <v>341</v>
      </c>
      <c r="L253" s="48">
        <v>355</v>
      </c>
      <c r="M253" s="48">
        <v>384</v>
      </c>
      <c r="N253" s="47">
        <v>312</v>
      </c>
      <c r="O253" s="48">
        <v>355</v>
      </c>
      <c r="P253" s="48">
        <v>369</v>
      </c>
      <c r="Q253" s="48">
        <v>384</v>
      </c>
      <c r="R253" s="48">
        <v>426</v>
      </c>
      <c r="S253" s="48"/>
    </row>
    <row r="254" spans="2:19" x14ac:dyDescent="0.25">
      <c r="B254" s="47" t="s">
        <v>1405</v>
      </c>
      <c r="C254" s="47" t="s">
        <v>490</v>
      </c>
      <c r="D254" s="47">
        <v>70464</v>
      </c>
      <c r="E254" s="47">
        <v>70463</v>
      </c>
      <c r="F254" s="47" t="s">
        <v>1328</v>
      </c>
      <c r="G254" s="47" t="s">
        <v>1325</v>
      </c>
      <c r="H254" s="47">
        <v>115</v>
      </c>
      <c r="I254" s="48">
        <v>284</v>
      </c>
      <c r="J254" s="48">
        <v>327</v>
      </c>
      <c r="K254" s="48">
        <v>341</v>
      </c>
      <c r="L254" s="48">
        <v>355</v>
      </c>
      <c r="M254" s="48">
        <v>384</v>
      </c>
      <c r="N254" s="47">
        <v>312</v>
      </c>
      <c r="O254" s="48">
        <v>355</v>
      </c>
      <c r="P254" s="48">
        <v>369</v>
      </c>
      <c r="Q254" s="48">
        <v>384</v>
      </c>
      <c r="R254" s="48">
        <v>426</v>
      </c>
      <c r="S254" s="48"/>
    </row>
    <row r="255" spans="2:19" ht="34.5" x14ac:dyDescent="0.25">
      <c r="B255" s="44" t="s">
        <v>1406</v>
      </c>
      <c r="C255" s="44" t="s">
        <v>490</v>
      </c>
      <c r="D255" s="44">
        <v>70464</v>
      </c>
      <c r="E255" s="44">
        <v>70463</v>
      </c>
      <c r="F255" s="44" t="s">
        <v>1406</v>
      </c>
      <c r="G255" s="44" t="s">
        <v>29</v>
      </c>
      <c r="H255" s="44"/>
      <c r="I255" s="45">
        <v>284</v>
      </c>
      <c r="J255" s="45">
        <v>327</v>
      </c>
      <c r="K255" s="45">
        <v>341</v>
      </c>
      <c r="L255" s="45">
        <v>355</v>
      </c>
      <c r="M255" s="45">
        <v>384</v>
      </c>
      <c r="N255" s="45">
        <v>313</v>
      </c>
      <c r="O255" s="45">
        <v>355</v>
      </c>
      <c r="P255" s="45">
        <v>369</v>
      </c>
      <c r="Q255" s="45">
        <v>384</v>
      </c>
      <c r="R255" s="45">
        <v>426</v>
      </c>
      <c r="S255" s="46"/>
    </row>
    <row r="256" spans="2:19" x14ac:dyDescent="0.25">
      <c r="B256" s="47" t="s">
        <v>1406</v>
      </c>
      <c r="C256" s="47" t="s">
        <v>490</v>
      </c>
      <c r="D256" s="47">
        <v>70464</v>
      </c>
      <c r="E256" s="47">
        <v>70463</v>
      </c>
      <c r="F256" s="47" t="s">
        <v>1331</v>
      </c>
      <c r="G256" s="47" t="s">
        <v>1325</v>
      </c>
      <c r="H256" s="47">
        <v>115</v>
      </c>
      <c r="I256" s="48">
        <v>284</v>
      </c>
      <c r="J256" s="48">
        <v>327</v>
      </c>
      <c r="K256" s="48">
        <v>341</v>
      </c>
      <c r="L256" s="48">
        <v>355</v>
      </c>
      <c r="M256" s="48">
        <v>384</v>
      </c>
      <c r="N256" s="47">
        <v>312</v>
      </c>
      <c r="O256" s="48">
        <v>355</v>
      </c>
      <c r="P256" s="48">
        <v>369</v>
      </c>
      <c r="Q256" s="48">
        <v>384</v>
      </c>
      <c r="R256" s="48">
        <v>426</v>
      </c>
      <c r="S256" s="48"/>
    </row>
    <row r="257" spans="2:19" x14ac:dyDescent="0.25">
      <c r="B257" s="47" t="s">
        <v>1406</v>
      </c>
      <c r="C257" s="47" t="s">
        <v>490</v>
      </c>
      <c r="D257" s="47">
        <v>70464</v>
      </c>
      <c r="E257" s="47">
        <v>70463</v>
      </c>
      <c r="F257" s="47" t="s">
        <v>1331</v>
      </c>
      <c r="G257" s="47" t="s">
        <v>1325</v>
      </c>
      <c r="H257" s="47">
        <v>230</v>
      </c>
      <c r="I257" s="48">
        <v>284</v>
      </c>
      <c r="J257" s="48">
        <v>327</v>
      </c>
      <c r="K257" s="48">
        <v>341</v>
      </c>
      <c r="L257" s="48">
        <v>355</v>
      </c>
      <c r="M257" s="48">
        <v>384</v>
      </c>
      <c r="N257" s="47">
        <v>312</v>
      </c>
      <c r="O257" s="48">
        <v>355</v>
      </c>
      <c r="P257" s="48">
        <v>369</v>
      </c>
      <c r="Q257" s="48">
        <v>384</v>
      </c>
      <c r="R257" s="48">
        <v>426</v>
      </c>
      <c r="S257" s="48"/>
    </row>
    <row r="258" spans="2:19" ht="34.5" x14ac:dyDescent="0.25">
      <c r="B258" s="44" t="s">
        <v>1407</v>
      </c>
      <c r="C258" s="44" t="s">
        <v>490</v>
      </c>
      <c r="D258" s="44">
        <v>70466</v>
      </c>
      <c r="E258" s="44">
        <v>70464</v>
      </c>
      <c r="F258" s="44" t="s">
        <v>1407</v>
      </c>
      <c r="G258" s="44" t="s">
        <v>29</v>
      </c>
      <c r="H258" s="44"/>
      <c r="I258" s="45">
        <v>560</v>
      </c>
      <c r="J258" s="45">
        <v>644</v>
      </c>
      <c r="K258" s="45">
        <v>672</v>
      </c>
      <c r="L258" s="45">
        <v>700</v>
      </c>
      <c r="M258" s="45">
        <v>756</v>
      </c>
      <c r="N258" s="45">
        <v>616</v>
      </c>
      <c r="O258" s="45">
        <v>700</v>
      </c>
      <c r="P258" s="45">
        <v>728</v>
      </c>
      <c r="Q258" s="45">
        <v>756</v>
      </c>
      <c r="R258" s="45">
        <v>840</v>
      </c>
      <c r="S258" s="46"/>
    </row>
    <row r="259" spans="2:19" x14ac:dyDescent="0.25">
      <c r="B259" s="47" t="s">
        <v>1407</v>
      </c>
      <c r="C259" s="47" t="s">
        <v>490</v>
      </c>
      <c r="D259" s="47">
        <v>70466</v>
      </c>
      <c r="E259" s="47">
        <v>70464</v>
      </c>
      <c r="F259" s="47" t="s">
        <v>1351</v>
      </c>
      <c r="G259" s="47" t="s">
        <v>1325</v>
      </c>
      <c r="H259" s="47">
        <v>345</v>
      </c>
      <c r="I259" s="48">
        <v>560</v>
      </c>
      <c r="J259" s="48">
        <v>644</v>
      </c>
      <c r="K259" s="48">
        <v>672</v>
      </c>
      <c r="L259" s="48">
        <v>700</v>
      </c>
      <c r="M259" s="48">
        <v>756</v>
      </c>
      <c r="N259" s="48">
        <v>616</v>
      </c>
      <c r="O259" s="48">
        <v>700</v>
      </c>
      <c r="P259" s="48">
        <v>728</v>
      </c>
      <c r="Q259" s="48">
        <v>756</v>
      </c>
      <c r="R259" s="48">
        <v>840</v>
      </c>
      <c r="S259" s="48"/>
    </row>
    <row r="260" spans="2:19" x14ac:dyDescent="0.25">
      <c r="B260" s="47" t="s">
        <v>1407</v>
      </c>
      <c r="C260" s="47" t="s">
        <v>490</v>
      </c>
      <c r="D260" s="47">
        <v>70466</v>
      </c>
      <c r="E260" s="47">
        <v>70464</v>
      </c>
      <c r="F260" s="47" t="s">
        <v>1351</v>
      </c>
      <c r="G260" s="47" t="s">
        <v>1325</v>
      </c>
      <c r="H260" s="47">
        <v>230</v>
      </c>
      <c r="I260" s="48">
        <v>560</v>
      </c>
      <c r="J260" s="48">
        <v>644</v>
      </c>
      <c r="K260" s="48">
        <v>672</v>
      </c>
      <c r="L260" s="48">
        <v>700</v>
      </c>
      <c r="M260" s="48">
        <v>756</v>
      </c>
      <c r="N260" s="48">
        <v>616</v>
      </c>
      <c r="O260" s="48">
        <v>700</v>
      </c>
      <c r="P260" s="48">
        <v>728</v>
      </c>
      <c r="Q260" s="48">
        <v>756</v>
      </c>
      <c r="R260" s="48">
        <v>840</v>
      </c>
      <c r="S260" s="48"/>
    </row>
    <row r="261" spans="2:19" ht="34.5" x14ac:dyDescent="0.25">
      <c r="B261" s="44" t="s">
        <v>1408</v>
      </c>
      <c r="C261" s="44" t="s">
        <v>817</v>
      </c>
      <c r="D261" s="44">
        <v>70471</v>
      </c>
      <c r="E261" s="44">
        <v>70470</v>
      </c>
      <c r="F261" s="44" t="s">
        <v>1408</v>
      </c>
      <c r="G261" s="44" t="s">
        <v>29</v>
      </c>
      <c r="H261" s="44"/>
      <c r="I261" s="45">
        <v>280</v>
      </c>
      <c r="J261" s="45">
        <v>322</v>
      </c>
      <c r="K261" s="45">
        <v>336</v>
      </c>
      <c r="L261" s="45">
        <v>350</v>
      </c>
      <c r="M261" s="45">
        <v>378</v>
      </c>
      <c r="N261" s="45">
        <v>308</v>
      </c>
      <c r="O261" s="45">
        <v>350</v>
      </c>
      <c r="P261" s="45">
        <v>364</v>
      </c>
      <c r="Q261" s="45">
        <v>378</v>
      </c>
      <c r="R261" s="45">
        <v>420</v>
      </c>
      <c r="S261" s="46"/>
    </row>
    <row r="262" spans="2:19" x14ac:dyDescent="0.25">
      <c r="B262" s="47" t="s">
        <v>1408</v>
      </c>
      <c r="C262" s="47" t="s">
        <v>817</v>
      </c>
      <c r="D262" s="47">
        <v>70471</v>
      </c>
      <c r="E262" s="47">
        <v>70470</v>
      </c>
      <c r="F262" s="47" t="s">
        <v>1328</v>
      </c>
      <c r="G262" s="47" t="s">
        <v>1325</v>
      </c>
      <c r="H262" s="47">
        <v>115</v>
      </c>
      <c r="I262" s="48">
        <v>280</v>
      </c>
      <c r="J262" s="48">
        <v>322</v>
      </c>
      <c r="K262" s="48">
        <v>336</v>
      </c>
      <c r="L262" s="48">
        <v>350</v>
      </c>
      <c r="M262" s="48">
        <v>378</v>
      </c>
      <c r="N262" s="48">
        <v>308</v>
      </c>
      <c r="O262" s="48">
        <v>350</v>
      </c>
      <c r="P262" s="48">
        <v>364</v>
      </c>
      <c r="Q262" s="48">
        <v>378</v>
      </c>
      <c r="R262" s="48">
        <v>420</v>
      </c>
      <c r="S262" s="48"/>
    </row>
    <row r="263" spans="2:19" x14ac:dyDescent="0.25">
      <c r="B263" s="47" t="s">
        <v>1408</v>
      </c>
      <c r="C263" s="47" t="s">
        <v>817</v>
      </c>
      <c r="D263" s="47">
        <v>70471</v>
      </c>
      <c r="E263" s="47">
        <v>70470</v>
      </c>
      <c r="F263" s="47" t="s">
        <v>1328</v>
      </c>
      <c r="G263" s="47" t="s">
        <v>1325</v>
      </c>
      <c r="H263" s="47">
        <v>230</v>
      </c>
      <c r="I263" s="48">
        <v>280</v>
      </c>
      <c r="J263" s="48">
        <v>322</v>
      </c>
      <c r="K263" s="48">
        <v>336</v>
      </c>
      <c r="L263" s="48">
        <v>350</v>
      </c>
      <c r="M263" s="48">
        <v>378</v>
      </c>
      <c r="N263" s="48">
        <v>308</v>
      </c>
      <c r="O263" s="48">
        <v>350</v>
      </c>
      <c r="P263" s="48">
        <v>364</v>
      </c>
      <c r="Q263" s="48">
        <v>378</v>
      </c>
      <c r="R263" s="48">
        <v>420</v>
      </c>
      <c r="S263" s="48"/>
    </row>
    <row r="264" spans="2:19" ht="63" customHeight="1" x14ac:dyDescent="0.25"/>
  </sheetData>
  <mergeCells count="6">
    <mergeCell ref="B2:C3"/>
    <mergeCell ref="D2:F3"/>
    <mergeCell ref="H2:K2"/>
    <mergeCell ref="M2:R2"/>
    <mergeCell ref="H3:K3"/>
    <mergeCell ref="M3:R3"/>
  </mergeCells>
  <pageMargins left="0" right="0" top="0" bottom="0.47082992125984258" header="0" footer="0"/>
  <pageSetup paperSize="4" orientation="portrait" horizontalDpi="0" verticalDpi="0"/>
  <headerFooter alignWithMargins="0">
    <oddFooter xml:space="preserve">&amp;L&amp;C&amp;"Arial"&amp;10 8/27/2025 7:57:59 AM &amp;R&amp;"Arial"&amp;10Page &amp;P of &amp;N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22EF0-39B5-4768-B79A-17F8E2382863}">
  <dimension ref="B1:S20"/>
  <sheetViews>
    <sheetView showGridLines="0" workbookViewId="0">
      <pane ySplit="5" topLeftCell="A6" activePane="bottomLeft" state="frozenSplit"/>
      <selection pane="bottomLeft" activeCell="A5" sqref="A5"/>
    </sheetView>
  </sheetViews>
  <sheetFormatPr defaultRowHeight="12.5" x14ac:dyDescent="0.25"/>
  <cols>
    <col min="1" max="1" width="3.453125" style="90" customWidth="1"/>
    <col min="2" max="2" width="27.453125" style="90" customWidth="1"/>
    <col min="3" max="3" width="19.1796875" style="90" customWidth="1"/>
    <col min="4" max="5" width="9.54296875" style="90" customWidth="1"/>
    <col min="6" max="7" width="13.7265625" style="90" customWidth="1"/>
    <col min="8" max="8" width="8.81640625" style="90" customWidth="1"/>
    <col min="9" max="18" width="8.1796875" style="90" customWidth="1"/>
    <col min="19" max="19" width="19.1796875" style="90" customWidth="1"/>
    <col min="20" max="20" width="15.7265625" style="90" customWidth="1"/>
    <col min="21" max="16384" width="8.7265625" style="90"/>
  </cols>
  <sheetData>
    <row r="1" spans="2:19" ht="18" customHeight="1" x14ac:dyDescent="0.25"/>
    <row r="2" spans="2:19" ht="21.65" customHeight="1" x14ac:dyDescent="0.25">
      <c r="B2" s="376"/>
      <c r="C2" s="376"/>
      <c r="D2" s="388" t="s">
        <v>2205</v>
      </c>
      <c r="E2" s="376"/>
      <c r="F2" s="376"/>
      <c r="H2" s="380" t="s">
        <v>2734</v>
      </c>
      <c r="I2" s="376"/>
      <c r="J2" s="376"/>
      <c r="K2" s="376"/>
      <c r="M2" s="380" t="s">
        <v>2733</v>
      </c>
      <c r="N2" s="376"/>
      <c r="O2" s="376"/>
      <c r="P2" s="376"/>
      <c r="Q2" s="376"/>
      <c r="R2" s="376"/>
    </row>
    <row r="3" spans="2:19" ht="21.65" customHeight="1" x14ac:dyDescent="0.25">
      <c r="B3" s="376"/>
      <c r="C3" s="376"/>
      <c r="D3" s="376"/>
      <c r="E3" s="376"/>
      <c r="F3" s="376"/>
      <c r="H3" s="380" t="s">
        <v>2731</v>
      </c>
      <c r="I3" s="376"/>
      <c r="J3" s="376"/>
      <c r="K3" s="376"/>
      <c r="M3" s="380" t="s">
        <v>2730</v>
      </c>
      <c r="N3" s="376"/>
      <c r="O3" s="376"/>
      <c r="P3" s="376"/>
      <c r="Q3" s="376"/>
      <c r="R3" s="376"/>
    </row>
    <row r="4" spans="2:19" ht="18" customHeight="1" x14ac:dyDescent="0.25"/>
    <row r="5" spans="2:19" ht="21" x14ac:dyDescent="0.25">
      <c r="B5" s="110" t="s">
        <v>14</v>
      </c>
      <c r="C5" s="110" t="s">
        <v>1317</v>
      </c>
      <c r="D5" s="110" t="s">
        <v>1318</v>
      </c>
      <c r="E5" s="110" t="s">
        <v>1319</v>
      </c>
      <c r="F5" s="110" t="s">
        <v>1320</v>
      </c>
      <c r="G5" s="110" t="s">
        <v>1321</v>
      </c>
      <c r="H5" s="110" t="s">
        <v>1322</v>
      </c>
      <c r="I5" s="110" t="s">
        <v>2725</v>
      </c>
      <c r="J5" s="110" t="s">
        <v>2742</v>
      </c>
      <c r="K5" s="110" t="s">
        <v>2741</v>
      </c>
      <c r="L5" s="110" t="s">
        <v>2740</v>
      </c>
      <c r="M5" s="110" t="s">
        <v>2739</v>
      </c>
      <c r="N5" s="110" t="s">
        <v>2723</v>
      </c>
      <c r="O5" s="110" t="s">
        <v>2738</v>
      </c>
      <c r="P5" s="110" t="s">
        <v>2737</v>
      </c>
      <c r="Q5" s="110" t="s">
        <v>2736</v>
      </c>
      <c r="R5" s="110" t="s">
        <v>2735</v>
      </c>
      <c r="S5" s="110" t="s">
        <v>26</v>
      </c>
    </row>
    <row r="6" spans="2:19" ht="34.5" x14ac:dyDescent="0.25">
      <c r="B6" s="109" t="s">
        <v>1381</v>
      </c>
      <c r="C6" s="109" t="s">
        <v>983</v>
      </c>
      <c r="D6" s="109">
        <v>70355</v>
      </c>
      <c r="E6" s="109">
        <v>70354</v>
      </c>
      <c r="F6" s="109" t="s">
        <v>1381</v>
      </c>
      <c r="G6" s="109" t="s">
        <v>29</v>
      </c>
      <c r="H6" s="109"/>
      <c r="I6" s="108">
        <v>260</v>
      </c>
      <c r="J6" s="108">
        <v>260</v>
      </c>
      <c r="K6" s="108">
        <v>305</v>
      </c>
      <c r="L6" s="108">
        <v>305</v>
      </c>
      <c r="M6" s="108">
        <v>305</v>
      </c>
      <c r="N6" s="108">
        <v>311</v>
      </c>
      <c r="O6" s="108">
        <v>311</v>
      </c>
      <c r="P6" s="108">
        <v>347</v>
      </c>
      <c r="Q6" s="108">
        <v>347</v>
      </c>
      <c r="R6" s="108">
        <v>347</v>
      </c>
      <c r="S6" s="107"/>
    </row>
    <row r="7" spans="2:19" ht="20" x14ac:dyDescent="0.25">
      <c r="B7" s="106" t="s">
        <v>1381</v>
      </c>
      <c r="C7" s="106" t="s">
        <v>983</v>
      </c>
      <c r="D7" s="106">
        <v>70355</v>
      </c>
      <c r="E7" s="106">
        <v>70354</v>
      </c>
      <c r="F7" s="106" t="s">
        <v>2036</v>
      </c>
      <c r="G7" s="106" t="s">
        <v>31</v>
      </c>
      <c r="H7" s="106">
        <v>115</v>
      </c>
      <c r="I7" s="105">
        <v>260</v>
      </c>
      <c r="J7" s="105">
        <v>260</v>
      </c>
      <c r="K7" s="105">
        <v>305</v>
      </c>
      <c r="L7" s="105">
        <v>305</v>
      </c>
      <c r="M7" s="105">
        <v>305</v>
      </c>
      <c r="N7" s="105">
        <v>311</v>
      </c>
      <c r="O7" s="105">
        <v>311</v>
      </c>
      <c r="P7" s="105">
        <v>347</v>
      </c>
      <c r="Q7" s="105">
        <v>347</v>
      </c>
      <c r="R7" s="105">
        <v>347</v>
      </c>
      <c r="S7" s="105"/>
    </row>
    <row r="8" spans="2:19" x14ac:dyDescent="0.25">
      <c r="B8" s="106" t="s">
        <v>1381</v>
      </c>
      <c r="C8" s="106" t="s">
        <v>983</v>
      </c>
      <c r="D8" s="106">
        <v>70355</v>
      </c>
      <c r="E8" s="106">
        <v>70354</v>
      </c>
      <c r="F8" s="106" t="s">
        <v>1331</v>
      </c>
      <c r="G8" s="106" t="s">
        <v>1325</v>
      </c>
      <c r="H8" s="106">
        <v>115</v>
      </c>
      <c r="I8" s="106">
        <v>285</v>
      </c>
      <c r="J8" s="106">
        <v>327</v>
      </c>
      <c r="K8" s="106">
        <v>342</v>
      </c>
      <c r="L8" s="106">
        <v>356</v>
      </c>
      <c r="M8" s="106">
        <v>384</v>
      </c>
      <c r="N8" s="106">
        <v>313</v>
      </c>
      <c r="O8" s="106">
        <v>356</v>
      </c>
      <c r="P8" s="106">
        <v>370</v>
      </c>
      <c r="Q8" s="106">
        <v>384</v>
      </c>
      <c r="R8" s="106">
        <v>427</v>
      </c>
      <c r="S8" s="106"/>
    </row>
    <row r="9" spans="2:19" x14ac:dyDescent="0.25">
      <c r="B9" s="106" t="s">
        <v>1381</v>
      </c>
      <c r="C9" s="106" t="s">
        <v>983</v>
      </c>
      <c r="D9" s="106">
        <v>70355</v>
      </c>
      <c r="E9" s="106">
        <v>70354</v>
      </c>
      <c r="F9" s="106" t="s">
        <v>1331</v>
      </c>
      <c r="G9" s="106" t="s">
        <v>1325</v>
      </c>
      <c r="H9" s="106">
        <v>230</v>
      </c>
      <c r="I9" s="106">
        <v>285</v>
      </c>
      <c r="J9" s="106">
        <v>327</v>
      </c>
      <c r="K9" s="106">
        <v>342</v>
      </c>
      <c r="L9" s="106">
        <v>356</v>
      </c>
      <c r="M9" s="106">
        <v>384</v>
      </c>
      <c r="N9" s="106">
        <v>313</v>
      </c>
      <c r="O9" s="106">
        <v>356</v>
      </c>
      <c r="P9" s="106">
        <v>370</v>
      </c>
      <c r="Q9" s="106">
        <v>384</v>
      </c>
      <c r="R9" s="106">
        <v>427</v>
      </c>
      <c r="S9" s="106"/>
    </row>
    <row r="10" spans="2:19" ht="34.5" x14ac:dyDescent="0.25">
      <c r="B10" s="109" t="s">
        <v>1382</v>
      </c>
      <c r="C10" s="104" t="s">
        <v>422</v>
      </c>
      <c r="D10" s="104">
        <v>70396</v>
      </c>
      <c r="E10" s="104">
        <v>70395</v>
      </c>
      <c r="F10" s="104" t="s">
        <v>1382</v>
      </c>
      <c r="G10" s="104" t="s">
        <v>29</v>
      </c>
      <c r="H10" s="104"/>
      <c r="I10" s="108">
        <v>150</v>
      </c>
      <c r="J10" s="108">
        <v>173</v>
      </c>
      <c r="K10" s="108">
        <v>180</v>
      </c>
      <c r="L10" s="108">
        <v>188</v>
      </c>
      <c r="M10" s="108">
        <v>203</v>
      </c>
      <c r="N10" s="108">
        <v>165</v>
      </c>
      <c r="O10" s="108">
        <v>188</v>
      </c>
      <c r="P10" s="108">
        <v>195</v>
      </c>
      <c r="Q10" s="108">
        <v>203</v>
      </c>
      <c r="R10" s="108">
        <v>225</v>
      </c>
      <c r="S10" s="102"/>
    </row>
    <row r="11" spans="2:19" x14ac:dyDescent="0.25">
      <c r="B11" s="101" t="s">
        <v>1382</v>
      </c>
      <c r="C11" s="101" t="s">
        <v>422</v>
      </c>
      <c r="D11" s="101">
        <v>70396</v>
      </c>
      <c r="E11" s="101">
        <v>70395</v>
      </c>
      <c r="F11" s="101" t="s">
        <v>1328</v>
      </c>
      <c r="G11" s="101" t="s">
        <v>1325</v>
      </c>
      <c r="H11" s="101">
        <v>230</v>
      </c>
      <c r="I11" s="105">
        <v>150</v>
      </c>
      <c r="J11" s="106">
        <v>172</v>
      </c>
      <c r="K11" s="105">
        <v>180</v>
      </c>
      <c r="L11" s="105">
        <v>188</v>
      </c>
      <c r="M11" s="105">
        <v>203</v>
      </c>
      <c r="N11" s="105">
        <v>165</v>
      </c>
      <c r="O11" s="105">
        <v>188</v>
      </c>
      <c r="P11" s="105">
        <v>195</v>
      </c>
      <c r="Q11" s="105">
        <v>203</v>
      </c>
      <c r="R11" s="105">
        <v>225</v>
      </c>
      <c r="S11" s="100"/>
    </row>
    <row r="12" spans="2:19" x14ac:dyDescent="0.25">
      <c r="B12" s="101" t="s">
        <v>1382</v>
      </c>
      <c r="C12" s="101" t="s">
        <v>422</v>
      </c>
      <c r="D12" s="101">
        <v>70396</v>
      </c>
      <c r="E12" s="101">
        <v>70395</v>
      </c>
      <c r="F12" s="101" t="s">
        <v>1328</v>
      </c>
      <c r="G12" s="101" t="s">
        <v>1325</v>
      </c>
      <c r="H12" s="101">
        <v>115</v>
      </c>
      <c r="I12" s="105">
        <v>150</v>
      </c>
      <c r="J12" s="105">
        <v>173</v>
      </c>
      <c r="K12" s="105">
        <v>180</v>
      </c>
      <c r="L12" s="106">
        <v>187</v>
      </c>
      <c r="M12" s="105">
        <v>203</v>
      </c>
      <c r="N12" s="105">
        <v>165</v>
      </c>
      <c r="O12" s="106">
        <v>187</v>
      </c>
      <c r="P12" s="105">
        <v>195</v>
      </c>
      <c r="Q12" s="105">
        <v>203</v>
      </c>
      <c r="R12" s="105">
        <v>225</v>
      </c>
      <c r="S12" s="100"/>
    </row>
    <row r="13" spans="2:19" ht="34.5" x14ac:dyDescent="0.25">
      <c r="B13" s="104" t="s">
        <v>1383</v>
      </c>
      <c r="C13" s="104" t="s">
        <v>422</v>
      </c>
      <c r="D13" s="104">
        <v>70396</v>
      </c>
      <c r="E13" s="104">
        <v>70395</v>
      </c>
      <c r="F13" s="104" t="s">
        <v>1383</v>
      </c>
      <c r="G13" s="104" t="s">
        <v>29</v>
      </c>
      <c r="H13" s="104"/>
      <c r="I13" s="103">
        <v>168</v>
      </c>
      <c r="J13" s="103">
        <v>168</v>
      </c>
      <c r="K13" s="103">
        <v>193</v>
      </c>
      <c r="L13" s="103">
        <v>202</v>
      </c>
      <c r="M13" s="103">
        <v>210</v>
      </c>
      <c r="N13" s="103">
        <v>185</v>
      </c>
      <c r="O13" s="103">
        <v>185</v>
      </c>
      <c r="P13" s="103">
        <v>210</v>
      </c>
      <c r="Q13" s="103">
        <v>218</v>
      </c>
      <c r="R13" s="103">
        <v>227</v>
      </c>
      <c r="S13" s="102"/>
    </row>
    <row r="14" spans="2:19" x14ac:dyDescent="0.25">
      <c r="B14" s="101" t="s">
        <v>1383</v>
      </c>
      <c r="C14" s="101" t="s">
        <v>422</v>
      </c>
      <c r="D14" s="101">
        <v>70396</v>
      </c>
      <c r="E14" s="101">
        <v>70395</v>
      </c>
      <c r="F14" s="101" t="s">
        <v>1331</v>
      </c>
      <c r="G14" s="101" t="s">
        <v>1325</v>
      </c>
      <c r="H14" s="101">
        <v>115</v>
      </c>
      <c r="I14" s="100">
        <v>168</v>
      </c>
      <c r="J14" s="100">
        <v>168</v>
      </c>
      <c r="K14" s="100">
        <v>193</v>
      </c>
      <c r="L14" s="100">
        <v>202</v>
      </c>
      <c r="M14" s="100">
        <v>210</v>
      </c>
      <c r="N14" s="100">
        <v>185</v>
      </c>
      <c r="O14" s="100">
        <v>185</v>
      </c>
      <c r="P14" s="100">
        <v>210</v>
      </c>
      <c r="Q14" s="100">
        <v>218</v>
      </c>
      <c r="R14" s="100">
        <v>227</v>
      </c>
      <c r="S14" s="100"/>
    </row>
    <row r="15" spans="2:19" x14ac:dyDescent="0.25">
      <c r="B15" s="101" t="s">
        <v>1383</v>
      </c>
      <c r="C15" s="101" t="s">
        <v>422</v>
      </c>
      <c r="D15" s="101">
        <v>70396</v>
      </c>
      <c r="E15" s="101">
        <v>70395</v>
      </c>
      <c r="F15" s="101" t="s">
        <v>1331</v>
      </c>
      <c r="G15" s="101" t="s">
        <v>1325</v>
      </c>
      <c r="H15" s="101">
        <v>230</v>
      </c>
      <c r="I15" s="100">
        <v>168</v>
      </c>
      <c r="J15" s="100">
        <v>168</v>
      </c>
      <c r="K15" s="100">
        <v>193</v>
      </c>
      <c r="L15" s="100">
        <v>202</v>
      </c>
      <c r="M15" s="100">
        <v>210</v>
      </c>
      <c r="N15" s="100">
        <v>185</v>
      </c>
      <c r="O15" s="100">
        <v>185</v>
      </c>
      <c r="P15" s="100">
        <v>210</v>
      </c>
      <c r="Q15" s="100">
        <v>218</v>
      </c>
      <c r="R15" s="100">
        <v>227</v>
      </c>
      <c r="S15" s="100"/>
    </row>
    <row r="16" spans="2:19" ht="34.5" x14ac:dyDescent="0.25">
      <c r="B16" s="104" t="s">
        <v>1389</v>
      </c>
      <c r="C16" s="104" t="s">
        <v>1015</v>
      </c>
      <c r="D16" s="104">
        <v>70427</v>
      </c>
      <c r="E16" s="104">
        <v>70426</v>
      </c>
      <c r="F16" s="104" t="s">
        <v>1389</v>
      </c>
      <c r="G16" s="104" t="s">
        <v>29</v>
      </c>
      <c r="H16" s="104"/>
      <c r="I16" s="103">
        <v>172</v>
      </c>
      <c r="J16" s="103">
        <v>198</v>
      </c>
      <c r="K16" s="103">
        <v>206</v>
      </c>
      <c r="L16" s="103">
        <v>215</v>
      </c>
      <c r="M16" s="103">
        <v>219</v>
      </c>
      <c r="N16" s="103">
        <v>189</v>
      </c>
      <c r="O16" s="103">
        <v>215</v>
      </c>
      <c r="P16" s="103">
        <v>219</v>
      </c>
      <c r="Q16" s="103">
        <v>219</v>
      </c>
      <c r="R16" s="103">
        <v>219</v>
      </c>
      <c r="S16" s="102"/>
    </row>
    <row r="17" spans="2:19" x14ac:dyDescent="0.25">
      <c r="B17" s="101" t="s">
        <v>1389</v>
      </c>
      <c r="C17" s="101" t="s">
        <v>1015</v>
      </c>
      <c r="D17" s="101">
        <v>70427</v>
      </c>
      <c r="E17" s="101">
        <v>70426</v>
      </c>
      <c r="F17" s="101" t="s">
        <v>1328</v>
      </c>
      <c r="G17" s="101" t="s">
        <v>1325</v>
      </c>
      <c r="H17" s="101">
        <v>115</v>
      </c>
      <c r="I17" s="100">
        <v>172</v>
      </c>
      <c r="J17" s="100">
        <v>198</v>
      </c>
      <c r="K17" s="100">
        <v>206</v>
      </c>
      <c r="L17" s="100">
        <v>215</v>
      </c>
      <c r="M17" s="101">
        <v>232</v>
      </c>
      <c r="N17" s="100">
        <v>189</v>
      </c>
      <c r="O17" s="100">
        <v>215</v>
      </c>
      <c r="P17" s="101">
        <v>223</v>
      </c>
      <c r="Q17" s="101">
        <v>232</v>
      </c>
      <c r="R17" s="101">
        <v>258</v>
      </c>
      <c r="S17" s="101"/>
    </row>
    <row r="18" spans="2:19" x14ac:dyDescent="0.25">
      <c r="B18" s="101" t="s">
        <v>1389</v>
      </c>
      <c r="C18" s="101" t="s">
        <v>1015</v>
      </c>
      <c r="D18" s="101">
        <v>70427</v>
      </c>
      <c r="E18" s="101">
        <v>70426</v>
      </c>
      <c r="F18" s="101" t="s">
        <v>1328</v>
      </c>
      <c r="G18" s="101" t="s">
        <v>1325</v>
      </c>
      <c r="H18" s="101">
        <v>230</v>
      </c>
      <c r="I18" s="100">
        <v>172</v>
      </c>
      <c r="J18" s="100">
        <v>198</v>
      </c>
      <c r="K18" s="100">
        <v>206</v>
      </c>
      <c r="L18" s="100">
        <v>215</v>
      </c>
      <c r="M18" s="101">
        <v>232</v>
      </c>
      <c r="N18" s="100">
        <v>189</v>
      </c>
      <c r="O18" s="100">
        <v>215</v>
      </c>
      <c r="P18" s="101">
        <v>223</v>
      </c>
      <c r="Q18" s="101">
        <v>232</v>
      </c>
      <c r="R18" s="101">
        <v>258</v>
      </c>
      <c r="S18" s="101"/>
    </row>
    <row r="19" spans="2:19" ht="20" x14ac:dyDescent="0.25">
      <c r="B19" s="101" t="s">
        <v>1389</v>
      </c>
      <c r="C19" s="101" t="s">
        <v>1015</v>
      </c>
      <c r="D19" s="101">
        <v>70427</v>
      </c>
      <c r="E19" s="101">
        <v>70426</v>
      </c>
      <c r="F19" s="101" t="s">
        <v>1390</v>
      </c>
      <c r="G19" s="101" t="s">
        <v>39</v>
      </c>
      <c r="H19" s="101">
        <v>115</v>
      </c>
      <c r="I19" s="101">
        <v>219</v>
      </c>
      <c r="J19" s="101">
        <v>219</v>
      </c>
      <c r="K19" s="101">
        <v>219</v>
      </c>
      <c r="L19" s="101">
        <v>219</v>
      </c>
      <c r="M19" s="100">
        <v>219</v>
      </c>
      <c r="N19" s="101">
        <v>219</v>
      </c>
      <c r="O19" s="101">
        <v>219</v>
      </c>
      <c r="P19" s="100">
        <v>219</v>
      </c>
      <c r="Q19" s="100">
        <v>219</v>
      </c>
      <c r="R19" s="100">
        <v>219</v>
      </c>
      <c r="S19" s="100"/>
    </row>
    <row r="20" spans="2:19" ht="63" customHeight="1" x14ac:dyDescent="0.25"/>
  </sheetData>
  <mergeCells count="6">
    <mergeCell ref="B2:C3"/>
    <mergeCell ref="D2:F3"/>
    <mergeCell ref="H2:K2"/>
    <mergeCell ref="M2:R2"/>
    <mergeCell ref="H3:K3"/>
    <mergeCell ref="M3:R3"/>
  </mergeCells>
  <pageMargins left="0" right="0" top="0" bottom="0.47082992125984258" header="0" footer="0"/>
  <pageSetup paperSize="4" orientation="portrait" horizontalDpi="0" verticalDpi="0"/>
  <headerFooter alignWithMargins="0">
    <oddFooter xml:space="preserve">&amp;L&amp;C&amp;"Arial"&amp;10 8/27/2025 7:58:46 AM &amp;R&amp;"Arial"&amp;10Page &amp;P of &amp;N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0FB6E-9723-450D-BA6A-DF77022933E0}">
  <sheetPr>
    <pageSetUpPr fitToPage="1"/>
  </sheetPr>
  <dimension ref="A1:I53"/>
  <sheetViews>
    <sheetView zoomScaleNormal="100" workbookViewId="0">
      <selection activeCell="A3" sqref="A3"/>
    </sheetView>
  </sheetViews>
  <sheetFormatPr defaultColWidth="9.1796875" defaultRowHeight="12.5" x14ac:dyDescent="0.25"/>
  <cols>
    <col min="1" max="1" width="15.81640625" style="38" customWidth="1"/>
    <col min="2" max="2" width="13.26953125" style="38" customWidth="1"/>
    <col min="3" max="3" width="11.7265625" style="38" customWidth="1"/>
    <col min="4" max="4" width="11.7265625" style="38" bestFit="1" customWidth="1"/>
    <col min="5" max="7" width="11.7265625" style="38" customWidth="1"/>
    <col min="8" max="8" width="60.26953125" style="38" customWidth="1"/>
    <col min="9" max="9" width="62.81640625" style="38" customWidth="1"/>
    <col min="10" max="10" width="27" style="38" customWidth="1"/>
    <col min="11" max="16384" width="9.1796875" style="38"/>
  </cols>
  <sheetData>
    <row r="1" spans="1:9" ht="15.5" x14ac:dyDescent="0.25">
      <c r="A1" s="389" t="s">
        <v>2207</v>
      </c>
      <c r="B1" s="389"/>
      <c r="C1" s="389"/>
      <c r="D1" s="389"/>
      <c r="E1" s="389"/>
      <c r="F1" s="389"/>
      <c r="G1" s="389"/>
      <c r="H1" s="389"/>
      <c r="I1" s="389"/>
    </row>
    <row r="2" spans="1:9" x14ac:dyDescent="0.25">
      <c r="A2" s="390" t="s">
        <v>2096</v>
      </c>
      <c r="B2" s="390"/>
      <c r="C2" s="390"/>
      <c r="D2" s="390"/>
      <c r="E2" s="390"/>
      <c r="F2" s="390"/>
      <c r="G2" s="390"/>
      <c r="H2" s="390"/>
      <c r="I2" s="390"/>
    </row>
    <row r="3" spans="1:9" ht="13" thickBot="1" x14ac:dyDescent="0.3"/>
    <row r="4" spans="1:9" ht="31.5" thickBot="1" x14ac:dyDescent="0.3">
      <c r="A4" s="43" t="s">
        <v>2043</v>
      </c>
      <c r="B4" s="36" t="s">
        <v>2046</v>
      </c>
      <c r="C4" s="39" t="s">
        <v>2077</v>
      </c>
      <c r="D4" s="39" t="s">
        <v>2076</v>
      </c>
      <c r="E4" s="40" t="s">
        <v>2063</v>
      </c>
      <c r="F4" s="39" t="s">
        <v>2054</v>
      </c>
      <c r="G4" s="39" t="s">
        <v>2072</v>
      </c>
      <c r="H4" s="41" t="s">
        <v>1414</v>
      </c>
      <c r="I4" s="42" t="s">
        <v>2055</v>
      </c>
    </row>
    <row r="5" spans="1:9" ht="12.75" customHeight="1" thickBot="1" x14ac:dyDescent="0.3">
      <c r="A5" s="391" t="s">
        <v>2044</v>
      </c>
      <c r="B5" s="75" t="s">
        <v>2047</v>
      </c>
      <c r="C5" s="74" t="s">
        <v>2050</v>
      </c>
      <c r="D5" s="74" t="s">
        <v>2050</v>
      </c>
      <c r="E5" s="81" t="s">
        <v>2063</v>
      </c>
      <c r="F5" s="73">
        <v>210</v>
      </c>
      <c r="G5" s="74" t="s">
        <v>2050</v>
      </c>
      <c r="H5" s="74"/>
      <c r="I5" s="77" t="s">
        <v>2067</v>
      </c>
    </row>
    <row r="6" spans="1:9" ht="12.75" customHeight="1" x14ac:dyDescent="0.25">
      <c r="A6" s="392"/>
      <c r="B6" s="394" t="s">
        <v>2052</v>
      </c>
      <c r="C6" s="69" t="s">
        <v>2051</v>
      </c>
      <c r="D6" s="69" t="s">
        <v>2078</v>
      </c>
      <c r="E6" s="80" t="s">
        <v>2063</v>
      </c>
      <c r="F6" s="68">
        <f t="shared" ref="F6:F16" si="0">G6*$F$5</f>
        <v>252</v>
      </c>
      <c r="G6" s="67">
        <v>1.2</v>
      </c>
      <c r="H6" s="397" t="s">
        <v>2095</v>
      </c>
      <c r="I6" s="400" t="s">
        <v>2068</v>
      </c>
    </row>
    <row r="7" spans="1:9" ht="12.75" customHeight="1" x14ac:dyDescent="0.25">
      <c r="A7" s="392"/>
      <c r="B7" s="395"/>
      <c r="C7" s="66">
        <v>10</v>
      </c>
      <c r="D7" s="66">
        <f>(C7*9/5) + 32</f>
        <v>50</v>
      </c>
      <c r="E7" s="79" t="s">
        <v>2063</v>
      </c>
      <c r="F7" s="65">
        <f t="shared" si="0"/>
        <v>242.45454545454547</v>
      </c>
      <c r="G7" s="64">
        <f>1.2-(1.2-1)/(44)*C7</f>
        <v>1.1545454545454545</v>
      </c>
      <c r="H7" s="398"/>
      <c r="I7" s="401"/>
    </row>
    <row r="8" spans="1:9" ht="12.75" customHeight="1" x14ac:dyDescent="0.25">
      <c r="A8" s="392"/>
      <c r="B8" s="395"/>
      <c r="C8" s="66">
        <v>20</v>
      </c>
      <c r="D8" s="66">
        <f>(C8*9/5) + 32</f>
        <v>68</v>
      </c>
      <c r="E8" s="79" t="s">
        <v>2063</v>
      </c>
      <c r="F8" s="65">
        <f t="shared" si="0"/>
        <v>232.90909090909091</v>
      </c>
      <c r="G8" s="64">
        <f>1.2-(1.2-1)/(44)*C8</f>
        <v>1.1090909090909091</v>
      </c>
      <c r="H8" s="398"/>
      <c r="I8" s="401"/>
    </row>
    <row r="9" spans="1:9" ht="12.75" customHeight="1" x14ac:dyDescent="0.25">
      <c r="A9" s="392"/>
      <c r="B9" s="395"/>
      <c r="C9" s="66">
        <v>30</v>
      </c>
      <c r="D9" s="66">
        <f>(C9*9/5) + 32</f>
        <v>86</v>
      </c>
      <c r="E9" s="79" t="s">
        <v>2063</v>
      </c>
      <c r="F9" s="65">
        <f t="shared" si="0"/>
        <v>223.36363636363637</v>
      </c>
      <c r="G9" s="64">
        <f>1.2-(1.2-1)/(44)*C9</f>
        <v>1.0636363636363637</v>
      </c>
      <c r="H9" s="398"/>
      <c r="I9" s="401"/>
    </row>
    <row r="10" spans="1:9" ht="12.75" customHeight="1" x14ac:dyDescent="0.25">
      <c r="A10" s="392"/>
      <c r="B10" s="395"/>
      <c r="C10" s="66">
        <v>40</v>
      </c>
      <c r="D10" s="66">
        <f>(C10*9/5) + 32</f>
        <v>104</v>
      </c>
      <c r="E10" s="79" t="s">
        <v>2063</v>
      </c>
      <c r="F10" s="65">
        <f t="shared" si="0"/>
        <v>213.81818181818178</v>
      </c>
      <c r="G10" s="64">
        <f>1.2-(1.2-1)/(44)*C10</f>
        <v>1.0181818181818181</v>
      </c>
      <c r="H10" s="398"/>
      <c r="I10" s="401"/>
    </row>
    <row r="11" spans="1:9" ht="12.75" customHeight="1" thickBot="1" x14ac:dyDescent="0.3">
      <c r="A11" s="392"/>
      <c r="B11" s="396"/>
      <c r="C11" s="63">
        <v>44</v>
      </c>
      <c r="D11" s="65">
        <f>(C11*9/5) + 32</f>
        <v>111.2</v>
      </c>
      <c r="E11" s="78" t="s">
        <v>2063</v>
      </c>
      <c r="F11" s="62">
        <f t="shared" si="0"/>
        <v>210</v>
      </c>
      <c r="G11" s="64">
        <f>1.2-(1.2-1)/(44)*C11</f>
        <v>1</v>
      </c>
      <c r="H11" s="399"/>
      <c r="I11" s="402"/>
    </row>
    <row r="12" spans="1:9" ht="12.75" customHeight="1" x14ac:dyDescent="0.25">
      <c r="A12" s="392"/>
      <c r="B12" s="394" t="s">
        <v>2053</v>
      </c>
      <c r="C12" s="69" t="s">
        <v>2062</v>
      </c>
      <c r="D12" s="69" t="s">
        <v>2079</v>
      </c>
      <c r="E12" s="80" t="s">
        <v>2063</v>
      </c>
      <c r="F12" s="68">
        <f t="shared" si="0"/>
        <v>252</v>
      </c>
      <c r="G12" s="67">
        <v>1.2</v>
      </c>
      <c r="H12" s="397" t="s">
        <v>2095</v>
      </c>
      <c r="I12" s="400" t="s">
        <v>2069</v>
      </c>
    </row>
    <row r="13" spans="1:9" ht="12.75" customHeight="1" x14ac:dyDescent="0.25">
      <c r="A13" s="392"/>
      <c r="B13" s="395"/>
      <c r="C13" s="66">
        <v>20</v>
      </c>
      <c r="D13" s="66">
        <f>(C13*9/5) + 32</f>
        <v>68</v>
      </c>
      <c r="E13" s="79" t="s">
        <v>2063</v>
      </c>
      <c r="F13" s="65">
        <f t="shared" si="0"/>
        <v>244.75862068965515</v>
      </c>
      <c r="G13" s="64">
        <f>1.2-(1.2-1)/(44-15)*(C13-15)</f>
        <v>1.1655172413793102</v>
      </c>
      <c r="H13" s="398"/>
      <c r="I13" s="401"/>
    </row>
    <row r="14" spans="1:9" ht="12.75" customHeight="1" x14ac:dyDescent="0.25">
      <c r="A14" s="392"/>
      <c r="B14" s="395"/>
      <c r="C14" s="66">
        <v>30</v>
      </c>
      <c r="D14" s="66">
        <f>(C14*9/5) + 32</f>
        <v>86</v>
      </c>
      <c r="E14" s="79" t="s">
        <v>2063</v>
      </c>
      <c r="F14" s="65">
        <f t="shared" si="0"/>
        <v>230.27586206896552</v>
      </c>
      <c r="G14" s="64">
        <f>1.2-(1.2-1)/(44-15)*(C14-15)</f>
        <v>1.096551724137931</v>
      </c>
      <c r="H14" s="398"/>
      <c r="I14" s="401"/>
    </row>
    <row r="15" spans="1:9" ht="12.75" customHeight="1" x14ac:dyDescent="0.25">
      <c r="A15" s="392"/>
      <c r="B15" s="395"/>
      <c r="C15" s="66">
        <v>40</v>
      </c>
      <c r="D15" s="66">
        <f>(C15*9/5) + 32</f>
        <v>104</v>
      </c>
      <c r="E15" s="79" t="s">
        <v>2063</v>
      </c>
      <c r="F15" s="65">
        <f t="shared" si="0"/>
        <v>215.79310344827587</v>
      </c>
      <c r="G15" s="64">
        <f>1.2-(1.2-1)/(44-15)*(C15-15)</f>
        <v>1.0275862068965518</v>
      </c>
      <c r="H15" s="398"/>
      <c r="I15" s="401"/>
    </row>
    <row r="16" spans="1:9" ht="12.75" customHeight="1" thickBot="1" x14ac:dyDescent="0.3">
      <c r="A16" s="393"/>
      <c r="B16" s="396"/>
      <c r="C16" s="63">
        <v>44</v>
      </c>
      <c r="D16" s="62">
        <f>(C16*9/5) + 32</f>
        <v>111.2</v>
      </c>
      <c r="E16" s="78" t="s">
        <v>2063</v>
      </c>
      <c r="F16" s="62">
        <f t="shared" si="0"/>
        <v>210</v>
      </c>
      <c r="G16" s="61">
        <f>1.2-(1.2-1)/(44-15)*(C16-15)</f>
        <v>1</v>
      </c>
      <c r="H16" s="399"/>
      <c r="I16" s="402"/>
    </row>
    <row r="17" spans="1:9" ht="13" thickBot="1" x14ac:dyDescent="0.3">
      <c r="F17" s="76"/>
    </row>
    <row r="18" spans="1:9" ht="47" thickBot="1" x14ac:dyDescent="0.3">
      <c r="A18" s="36" t="s">
        <v>2043</v>
      </c>
      <c r="B18" s="36" t="s">
        <v>2046</v>
      </c>
      <c r="C18" s="39" t="s">
        <v>2077</v>
      </c>
      <c r="D18" s="39" t="s">
        <v>2076</v>
      </c>
      <c r="E18" s="37" t="s">
        <v>2049</v>
      </c>
      <c r="F18" s="37" t="s">
        <v>2048</v>
      </c>
      <c r="G18" s="39" t="s">
        <v>2072</v>
      </c>
      <c r="H18" s="51" t="s">
        <v>1414</v>
      </c>
      <c r="I18" s="42" t="s">
        <v>2055</v>
      </c>
    </row>
    <row r="19" spans="1:9" ht="13" thickBot="1" x14ac:dyDescent="0.3">
      <c r="A19" s="403" t="s">
        <v>2066</v>
      </c>
      <c r="B19" s="75" t="s">
        <v>2047</v>
      </c>
      <c r="C19" s="74" t="s">
        <v>2050</v>
      </c>
      <c r="D19" s="74" t="s">
        <v>2050</v>
      </c>
      <c r="E19" s="73">
        <f>1000*F19/(SQRT(3)*230)</f>
        <v>564.79917638115569</v>
      </c>
      <c r="F19" s="73">
        <v>225</v>
      </c>
      <c r="G19" s="72" t="s">
        <v>2050</v>
      </c>
      <c r="H19" s="71"/>
      <c r="I19" s="77" t="s">
        <v>2070</v>
      </c>
    </row>
    <row r="20" spans="1:9" ht="12.75" customHeight="1" x14ac:dyDescent="0.25">
      <c r="A20" s="404"/>
      <c r="B20" s="394" t="s">
        <v>2052</v>
      </c>
      <c r="C20" s="69" t="s">
        <v>2051</v>
      </c>
      <c r="D20" s="69" t="s">
        <v>2078</v>
      </c>
      <c r="E20" s="69">
        <v>713</v>
      </c>
      <c r="F20" s="68">
        <f t="shared" ref="F20:F31" si="1">E20*230*SQRT(3)/1000</f>
        <v>284.03901193322014</v>
      </c>
      <c r="G20" s="67">
        <f t="shared" ref="G20:G31" si="2">E20/$E$19</f>
        <v>1.2623956085920895</v>
      </c>
      <c r="H20" s="406" t="s">
        <v>2073</v>
      </c>
      <c r="I20" s="409" t="s">
        <v>2071</v>
      </c>
    </row>
    <row r="21" spans="1:9" x14ac:dyDescent="0.25">
      <c r="A21" s="404"/>
      <c r="B21" s="395"/>
      <c r="C21" s="66">
        <v>10</v>
      </c>
      <c r="D21" s="66">
        <f>(C21*9/5) + 32</f>
        <v>50</v>
      </c>
      <c r="E21" s="66">
        <v>688</v>
      </c>
      <c r="F21" s="65">
        <f t="shared" si="1"/>
        <v>274.07971978969914</v>
      </c>
      <c r="G21" s="64">
        <f t="shared" si="2"/>
        <v>1.2181320879542183</v>
      </c>
      <c r="H21" s="407"/>
      <c r="I21" s="410"/>
    </row>
    <row r="22" spans="1:9" x14ac:dyDescent="0.25">
      <c r="A22" s="404"/>
      <c r="B22" s="395"/>
      <c r="C22" s="66">
        <v>20</v>
      </c>
      <c r="D22" s="66">
        <f>(C22*9/5) + 32</f>
        <v>68</v>
      </c>
      <c r="E22" s="66">
        <v>664</v>
      </c>
      <c r="F22" s="65">
        <f t="shared" si="1"/>
        <v>264.51879933191896</v>
      </c>
      <c r="G22" s="64">
        <f t="shared" si="2"/>
        <v>1.1756391081418618</v>
      </c>
      <c r="H22" s="407"/>
      <c r="I22" s="410"/>
    </row>
    <row r="23" spans="1:9" x14ac:dyDescent="0.25">
      <c r="A23" s="404"/>
      <c r="B23" s="395"/>
      <c r="C23" s="66">
        <v>30</v>
      </c>
      <c r="D23" s="66">
        <f>(C23*9/5) + 32</f>
        <v>86</v>
      </c>
      <c r="E23" s="66">
        <v>639</v>
      </c>
      <c r="F23" s="65">
        <f t="shared" si="1"/>
        <v>254.55950718839787</v>
      </c>
      <c r="G23" s="64">
        <f t="shared" si="2"/>
        <v>1.1313755875039906</v>
      </c>
      <c r="H23" s="407"/>
      <c r="I23" s="410"/>
    </row>
    <row r="24" spans="1:9" x14ac:dyDescent="0.25">
      <c r="A24" s="404"/>
      <c r="B24" s="395"/>
      <c r="C24" s="66">
        <v>40</v>
      </c>
      <c r="D24" s="66">
        <f>(C24*9/5) + 32</f>
        <v>104</v>
      </c>
      <c r="E24" s="66">
        <v>615</v>
      </c>
      <c r="F24" s="65">
        <f t="shared" si="1"/>
        <v>244.99858673061769</v>
      </c>
      <c r="G24" s="64">
        <f t="shared" si="2"/>
        <v>1.088882607691634</v>
      </c>
      <c r="H24" s="407"/>
      <c r="I24" s="410"/>
    </row>
    <row r="25" spans="1:9" ht="13" thickBot="1" x14ac:dyDescent="0.3">
      <c r="A25" s="404"/>
      <c r="B25" s="396"/>
      <c r="C25" s="63">
        <v>44</v>
      </c>
      <c r="D25" s="65">
        <f>(C25*9/5) + 32</f>
        <v>111.2</v>
      </c>
      <c r="E25" s="63">
        <v>605</v>
      </c>
      <c r="F25" s="62">
        <f t="shared" si="1"/>
        <v>241.01486987320928</v>
      </c>
      <c r="G25" s="61">
        <f t="shared" si="2"/>
        <v>1.0711771994364856</v>
      </c>
      <c r="H25" s="408"/>
      <c r="I25" s="411"/>
    </row>
    <row r="26" spans="1:9" ht="12.75" customHeight="1" x14ac:dyDescent="0.25">
      <c r="A26" s="404"/>
      <c r="B26" s="394" t="s">
        <v>2053</v>
      </c>
      <c r="C26" s="69" t="s">
        <v>2051</v>
      </c>
      <c r="D26" s="69" t="s">
        <v>2078</v>
      </c>
      <c r="E26" s="69">
        <v>713</v>
      </c>
      <c r="F26" s="68">
        <f t="shared" si="1"/>
        <v>284.03901193322014</v>
      </c>
      <c r="G26" s="67">
        <f t="shared" si="2"/>
        <v>1.2623956085920895</v>
      </c>
      <c r="H26" s="406" t="s">
        <v>2073</v>
      </c>
      <c r="I26" s="409" t="s">
        <v>2071</v>
      </c>
    </row>
    <row r="27" spans="1:9" x14ac:dyDescent="0.25">
      <c r="A27" s="404"/>
      <c r="B27" s="395"/>
      <c r="C27" s="66">
        <v>10</v>
      </c>
      <c r="D27" s="66">
        <f>(C27*9/5) + 32</f>
        <v>50</v>
      </c>
      <c r="E27" s="66">
        <v>713</v>
      </c>
      <c r="F27" s="65">
        <f t="shared" si="1"/>
        <v>284.03901193322014</v>
      </c>
      <c r="G27" s="64">
        <f t="shared" si="2"/>
        <v>1.2623956085920895</v>
      </c>
      <c r="H27" s="407"/>
      <c r="I27" s="410"/>
    </row>
    <row r="28" spans="1:9" x14ac:dyDescent="0.25">
      <c r="A28" s="404"/>
      <c r="B28" s="395"/>
      <c r="C28" s="66">
        <v>20</v>
      </c>
      <c r="D28" s="66">
        <f>(C28*9/5) + 32</f>
        <v>68</v>
      </c>
      <c r="E28" s="66">
        <v>694</v>
      </c>
      <c r="F28" s="65">
        <f t="shared" si="1"/>
        <v>276.46994990414419</v>
      </c>
      <c r="G28" s="64">
        <f t="shared" si="2"/>
        <v>1.2287553329073073</v>
      </c>
      <c r="H28" s="407"/>
      <c r="I28" s="410"/>
    </row>
    <row r="29" spans="1:9" x14ac:dyDescent="0.25">
      <c r="A29" s="404"/>
      <c r="B29" s="395"/>
      <c r="C29" s="66">
        <v>30</v>
      </c>
      <c r="D29" s="66">
        <f>(C29*9/5) + 32</f>
        <v>86</v>
      </c>
      <c r="E29" s="66">
        <v>657</v>
      </c>
      <c r="F29" s="65">
        <f t="shared" si="1"/>
        <v>261.73019753173304</v>
      </c>
      <c r="G29" s="64">
        <f t="shared" si="2"/>
        <v>1.1632453223632579</v>
      </c>
      <c r="H29" s="407"/>
      <c r="I29" s="410"/>
    </row>
    <row r="30" spans="1:9" x14ac:dyDescent="0.25">
      <c r="A30" s="404"/>
      <c r="B30" s="395"/>
      <c r="C30" s="66">
        <v>40</v>
      </c>
      <c r="D30" s="66">
        <f>(C30*9/5) + 32</f>
        <v>104</v>
      </c>
      <c r="E30" s="66">
        <v>620</v>
      </c>
      <c r="F30" s="65">
        <f t="shared" si="1"/>
        <v>246.99044515932189</v>
      </c>
      <c r="G30" s="64">
        <f t="shared" si="2"/>
        <v>1.0977353118192084</v>
      </c>
      <c r="H30" s="407"/>
      <c r="I30" s="410"/>
    </row>
    <row r="31" spans="1:9" ht="13" thickBot="1" x14ac:dyDescent="0.3">
      <c r="A31" s="405"/>
      <c r="B31" s="396"/>
      <c r="C31" s="63">
        <v>44</v>
      </c>
      <c r="D31" s="62">
        <f>(C31*9/5) + 32</f>
        <v>111.2</v>
      </c>
      <c r="E31" s="63">
        <v>605</v>
      </c>
      <c r="F31" s="62">
        <f t="shared" si="1"/>
        <v>241.01486987320928</v>
      </c>
      <c r="G31" s="61">
        <f t="shared" si="2"/>
        <v>1.0711771994364856</v>
      </c>
      <c r="H31" s="408"/>
      <c r="I31" s="411"/>
    </row>
    <row r="32" spans="1:9" ht="13" thickBot="1" x14ac:dyDescent="0.3">
      <c r="F32" s="76"/>
    </row>
    <row r="33" spans="1:9" ht="47" thickBot="1" x14ac:dyDescent="0.3">
      <c r="A33" s="36" t="s">
        <v>2043</v>
      </c>
      <c r="B33" s="36" t="s">
        <v>2046</v>
      </c>
      <c r="C33" s="39" t="s">
        <v>2077</v>
      </c>
      <c r="D33" s="39" t="s">
        <v>2076</v>
      </c>
      <c r="E33" s="37" t="s">
        <v>2049</v>
      </c>
      <c r="F33" s="37" t="s">
        <v>2048</v>
      </c>
      <c r="G33" s="39" t="s">
        <v>2072</v>
      </c>
      <c r="H33" s="51" t="s">
        <v>1414</v>
      </c>
      <c r="I33" s="42" t="s">
        <v>2055</v>
      </c>
    </row>
    <row r="34" spans="1:9" ht="13" thickBot="1" x14ac:dyDescent="0.3">
      <c r="A34" s="403" t="s">
        <v>2045</v>
      </c>
      <c r="B34" s="75" t="s">
        <v>2047</v>
      </c>
      <c r="C34" s="74" t="s">
        <v>2050</v>
      </c>
      <c r="D34" s="74" t="s">
        <v>2050</v>
      </c>
      <c r="E34" s="73">
        <f>1000*F34/(SQRT(3)*345)</f>
        <v>376.53278425410377</v>
      </c>
      <c r="F34" s="73">
        <v>225</v>
      </c>
      <c r="G34" s="72" t="s">
        <v>2050</v>
      </c>
      <c r="H34" s="71"/>
      <c r="I34" s="70" t="s">
        <v>2070</v>
      </c>
    </row>
    <row r="35" spans="1:9" ht="12.75" customHeight="1" x14ac:dyDescent="0.25">
      <c r="A35" s="404"/>
      <c r="B35" s="394" t="s">
        <v>2052</v>
      </c>
      <c r="C35" s="69" t="s">
        <v>2051</v>
      </c>
      <c r="D35" s="69" t="s">
        <v>2078</v>
      </c>
      <c r="E35" s="69">
        <v>475</v>
      </c>
      <c r="F35" s="68">
        <f t="shared" ref="F35:F46" si="3">E35*345*SQRT(3)/1000</f>
        <v>283.83982609034973</v>
      </c>
      <c r="G35" s="67">
        <f t="shared" ref="G35:G46" si="4">E35/$E$34</f>
        <v>1.2615103381793322</v>
      </c>
      <c r="H35" s="406" t="s">
        <v>2073</v>
      </c>
      <c r="I35" s="409" t="s">
        <v>2071</v>
      </c>
    </row>
    <row r="36" spans="1:9" x14ac:dyDescent="0.25">
      <c r="A36" s="404"/>
      <c r="B36" s="395"/>
      <c r="C36" s="66">
        <v>10</v>
      </c>
      <c r="D36" s="66">
        <f>(C36*9/5) + 32</f>
        <v>50</v>
      </c>
      <c r="E36" s="66">
        <v>459</v>
      </c>
      <c r="F36" s="65">
        <f t="shared" si="3"/>
        <v>274.27890563256955</v>
      </c>
      <c r="G36" s="64">
        <f t="shared" si="4"/>
        <v>1.2190173583669759</v>
      </c>
      <c r="H36" s="407"/>
      <c r="I36" s="410"/>
    </row>
    <row r="37" spans="1:9" x14ac:dyDescent="0.25">
      <c r="A37" s="404"/>
      <c r="B37" s="395"/>
      <c r="C37" s="66">
        <v>20</v>
      </c>
      <c r="D37" s="66">
        <f>(C37*9/5) + 32</f>
        <v>68</v>
      </c>
      <c r="E37" s="66">
        <v>442</v>
      </c>
      <c r="F37" s="65">
        <f t="shared" si="3"/>
        <v>264.12042764617809</v>
      </c>
      <c r="G37" s="64">
        <f t="shared" si="4"/>
        <v>1.1738685673163471</v>
      </c>
      <c r="H37" s="407"/>
      <c r="I37" s="410"/>
    </row>
    <row r="38" spans="1:9" x14ac:dyDescent="0.25">
      <c r="A38" s="404"/>
      <c r="B38" s="395"/>
      <c r="C38" s="66">
        <v>30</v>
      </c>
      <c r="D38" s="66">
        <f>(C38*9/5) + 32</f>
        <v>86</v>
      </c>
      <c r="E38" s="66">
        <v>426</v>
      </c>
      <c r="F38" s="65">
        <f t="shared" si="3"/>
        <v>254.55950718839787</v>
      </c>
      <c r="G38" s="64">
        <f t="shared" si="4"/>
        <v>1.1313755875039906</v>
      </c>
      <c r="H38" s="407"/>
      <c r="I38" s="410"/>
    </row>
    <row r="39" spans="1:9" x14ac:dyDescent="0.25">
      <c r="A39" s="404"/>
      <c r="B39" s="395"/>
      <c r="C39" s="66">
        <v>40</v>
      </c>
      <c r="D39" s="66">
        <f>(C39*9/5) + 32</f>
        <v>104</v>
      </c>
      <c r="E39" s="66">
        <v>410</v>
      </c>
      <c r="F39" s="65">
        <f t="shared" si="3"/>
        <v>244.99858673061769</v>
      </c>
      <c r="G39" s="64">
        <f t="shared" si="4"/>
        <v>1.0888826076916343</v>
      </c>
      <c r="H39" s="407"/>
      <c r="I39" s="410"/>
    </row>
    <row r="40" spans="1:9" ht="13" thickBot="1" x14ac:dyDescent="0.3">
      <c r="A40" s="404"/>
      <c r="B40" s="396"/>
      <c r="C40" s="63">
        <v>44</v>
      </c>
      <c r="D40" s="65">
        <f>(C40*9/5) + 32</f>
        <v>111.2</v>
      </c>
      <c r="E40" s="63">
        <v>403</v>
      </c>
      <c r="F40" s="62">
        <f t="shared" si="3"/>
        <v>240.81568403033884</v>
      </c>
      <c r="G40" s="61">
        <f t="shared" si="4"/>
        <v>1.0702919290237283</v>
      </c>
      <c r="H40" s="408"/>
      <c r="I40" s="411"/>
    </row>
    <row r="41" spans="1:9" ht="12.75" customHeight="1" x14ac:dyDescent="0.25">
      <c r="A41" s="404"/>
      <c r="B41" s="394" t="s">
        <v>2053</v>
      </c>
      <c r="C41" s="69" t="s">
        <v>2051</v>
      </c>
      <c r="D41" s="69" t="s">
        <v>2078</v>
      </c>
      <c r="E41" s="69">
        <v>475</v>
      </c>
      <c r="F41" s="68">
        <f t="shared" si="3"/>
        <v>283.83982609034973</v>
      </c>
      <c r="G41" s="67">
        <f t="shared" si="4"/>
        <v>1.2615103381793322</v>
      </c>
      <c r="H41" s="406" t="s">
        <v>2073</v>
      </c>
      <c r="I41" s="409" t="s">
        <v>2071</v>
      </c>
    </row>
    <row r="42" spans="1:9" x14ac:dyDescent="0.25">
      <c r="A42" s="404"/>
      <c r="B42" s="395"/>
      <c r="C42" s="66">
        <v>10</v>
      </c>
      <c r="D42" s="66">
        <f>(C42*9/5) + 32</f>
        <v>50</v>
      </c>
      <c r="E42" s="66">
        <v>475</v>
      </c>
      <c r="F42" s="65">
        <f t="shared" si="3"/>
        <v>283.83982609034973</v>
      </c>
      <c r="G42" s="64">
        <f t="shared" si="4"/>
        <v>1.2615103381793322</v>
      </c>
      <c r="H42" s="407"/>
      <c r="I42" s="410"/>
    </row>
    <row r="43" spans="1:9" x14ac:dyDescent="0.25">
      <c r="A43" s="404"/>
      <c r="B43" s="395"/>
      <c r="C43" s="66">
        <v>20</v>
      </c>
      <c r="D43" s="66">
        <f>(C43*9/5) + 32</f>
        <v>68</v>
      </c>
      <c r="E43" s="66">
        <v>463</v>
      </c>
      <c r="F43" s="65">
        <f t="shared" si="3"/>
        <v>276.66913574701459</v>
      </c>
      <c r="G43" s="64">
        <f t="shared" si="4"/>
        <v>1.2296406033200649</v>
      </c>
      <c r="H43" s="407"/>
      <c r="I43" s="410"/>
    </row>
    <row r="44" spans="1:9" x14ac:dyDescent="0.25">
      <c r="A44" s="404"/>
      <c r="B44" s="395"/>
      <c r="C44" s="66">
        <v>30</v>
      </c>
      <c r="D44" s="66">
        <f>(C44*9/5) + 32</f>
        <v>86</v>
      </c>
      <c r="E44" s="66">
        <v>438</v>
      </c>
      <c r="F44" s="65">
        <f t="shared" si="3"/>
        <v>261.73019753173304</v>
      </c>
      <c r="G44" s="64">
        <f t="shared" si="4"/>
        <v>1.1632453223632579</v>
      </c>
      <c r="H44" s="407"/>
      <c r="I44" s="410"/>
    </row>
    <row r="45" spans="1:9" x14ac:dyDescent="0.25">
      <c r="A45" s="404"/>
      <c r="B45" s="395"/>
      <c r="C45" s="66">
        <v>40</v>
      </c>
      <c r="D45" s="66">
        <f>(C45*9/5) + 32</f>
        <v>104</v>
      </c>
      <c r="E45" s="66">
        <v>413</v>
      </c>
      <c r="F45" s="65">
        <f t="shared" si="3"/>
        <v>246.79125931645146</v>
      </c>
      <c r="G45" s="64">
        <f t="shared" si="4"/>
        <v>1.096850041406451</v>
      </c>
      <c r="H45" s="407"/>
      <c r="I45" s="410"/>
    </row>
    <row r="46" spans="1:9" ht="13" thickBot="1" x14ac:dyDescent="0.3">
      <c r="A46" s="405"/>
      <c r="B46" s="396"/>
      <c r="C46" s="63">
        <v>44</v>
      </c>
      <c r="D46" s="62">
        <f>(C46*9/5) + 32</f>
        <v>111.2</v>
      </c>
      <c r="E46" s="63">
        <v>403</v>
      </c>
      <c r="F46" s="62">
        <f t="shared" si="3"/>
        <v>240.81568403033884</v>
      </c>
      <c r="G46" s="61">
        <f t="shared" si="4"/>
        <v>1.0702919290237283</v>
      </c>
      <c r="H46" s="408"/>
      <c r="I46" s="411"/>
    </row>
    <row r="47" spans="1:9" x14ac:dyDescent="0.25">
      <c r="B47" s="60"/>
      <c r="C47" s="50"/>
      <c r="D47" s="50"/>
      <c r="E47" s="50"/>
      <c r="F47" s="59"/>
      <c r="G47" s="58"/>
      <c r="H47" s="58"/>
      <c r="I47" s="50"/>
    </row>
    <row r="48" spans="1:9" ht="13" thickBot="1" x14ac:dyDescent="0.3"/>
    <row r="49" spans="1:8" ht="15.5" x14ac:dyDescent="0.25">
      <c r="A49" s="420" t="s">
        <v>2074</v>
      </c>
      <c r="B49" s="421"/>
      <c r="C49" s="421" t="s">
        <v>2075</v>
      </c>
      <c r="D49" s="421"/>
      <c r="E49" s="421"/>
      <c r="F49" s="421"/>
      <c r="G49" s="422"/>
      <c r="H49" s="57"/>
    </row>
    <row r="50" spans="1:8" x14ac:dyDescent="0.25">
      <c r="A50" s="412" t="s">
        <v>2057</v>
      </c>
      <c r="B50" s="413"/>
      <c r="C50" s="414" t="s">
        <v>2059</v>
      </c>
      <c r="D50" s="414"/>
      <c r="E50" s="414"/>
      <c r="F50" s="414"/>
      <c r="G50" s="415"/>
      <c r="H50" s="56"/>
    </row>
    <row r="51" spans="1:8" x14ac:dyDescent="0.25">
      <c r="A51" s="412" t="s">
        <v>2056</v>
      </c>
      <c r="B51" s="413"/>
      <c r="C51" s="414" t="s">
        <v>2058</v>
      </c>
      <c r="D51" s="414"/>
      <c r="E51" s="414"/>
      <c r="F51" s="414"/>
      <c r="G51" s="415"/>
      <c r="H51" s="56"/>
    </row>
    <row r="52" spans="1:8" x14ac:dyDescent="0.25">
      <c r="A52" s="412" t="s">
        <v>2064</v>
      </c>
      <c r="B52" s="413"/>
      <c r="C52" s="414" t="s">
        <v>2060</v>
      </c>
      <c r="D52" s="414"/>
      <c r="E52" s="414"/>
      <c r="F52" s="414"/>
      <c r="G52" s="415"/>
    </row>
    <row r="53" spans="1:8" ht="13" thickBot="1" x14ac:dyDescent="0.3">
      <c r="A53" s="416" t="s">
        <v>2065</v>
      </c>
      <c r="B53" s="417"/>
      <c r="C53" s="418" t="s">
        <v>2061</v>
      </c>
      <c r="D53" s="418"/>
      <c r="E53" s="418"/>
      <c r="F53" s="418"/>
      <c r="G53" s="419"/>
    </row>
  </sheetData>
  <mergeCells count="33">
    <mergeCell ref="A52:B52"/>
    <mergeCell ref="C52:G52"/>
    <mergeCell ref="A53:B53"/>
    <mergeCell ref="C53:G53"/>
    <mergeCell ref="A49:B49"/>
    <mergeCell ref="C49:G49"/>
    <mergeCell ref="A50:B50"/>
    <mergeCell ref="C50:G50"/>
    <mergeCell ref="A51:B51"/>
    <mergeCell ref="C51:G51"/>
    <mergeCell ref="A34:A46"/>
    <mergeCell ref="B35:B40"/>
    <mergeCell ref="H35:H40"/>
    <mergeCell ref="I35:I40"/>
    <mergeCell ref="B41:B46"/>
    <mergeCell ref="H41:H46"/>
    <mergeCell ref="I41:I46"/>
    <mergeCell ref="A19:A31"/>
    <mergeCell ref="B20:B25"/>
    <mergeCell ref="H20:H25"/>
    <mergeCell ref="I20:I25"/>
    <mergeCell ref="B26:B31"/>
    <mergeCell ref="H26:H31"/>
    <mergeCell ref="I26:I31"/>
    <mergeCell ref="A1:I1"/>
    <mergeCell ref="A2:I2"/>
    <mergeCell ref="A5:A16"/>
    <mergeCell ref="B6:B11"/>
    <mergeCell ref="H6:H11"/>
    <mergeCell ref="I6:I11"/>
    <mergeCell ref="B12:B16"/>
    <mergeCell ref="H12:H16"/>
    <mergeCell ref="I12:I16"/>
  </mergeCells>
  <hyperlinks>
    <hyperlink ref="C51" r:id="rId1" display="pw://PWPSC.Corp.Xcelenergy.com:ProjectWise_PSC_Data/Documents/D%7bd0830925-f482-45a5-aba8-8c7651945fd5%7d" xr:uid="{60DD6654-DC24-4196-B6DE-D34C88226775}"/>
    <hyperlink ref="C50" r:id="rId2" display="pw://PWPSC.Corp.Xcelenergy.com:ProjectWise_PSC_Data/Documents/D%7b52da90bd-33cc-4aa4-8010-e8af887e3e19%7d" xr:uid="{9D031E6D-2FDA-4423-8A12-AA0875566D8D}"/>
    <hyperlink ref="C52" r:id="rId3" display="pw://PWPSC.Corp.Xcelenergy.com:ProjectWise_PSC_Data/Documents/P%7b5f8d0e32-a62c-4545-a897-0453217928a4%7d/" xr:uid="{DC974836-D808-47B2-AFAD-74F2B36E53A2}"/>
    <hyperlink ref="C53" r:id="rId4" display="pw://PWPSC.Corp.Xcelenergy.com:ProjectWise_PSC_Data/Documents/P%7b0e613cae-2cdb-4097-af2e-a461385c7300%7d/" xr:uid="{3A250CC7-121F-4E7D-B635-E0887AD36288}"/>
  </hyperlinks>
  <pageMargins left="0.7" right="0.7" top="0.75" bottom="0.75" header="0.3" footer="0.3"/>
  <pageSetup paperSize="17" scale="96" orientation="landscape" r:id="rId5"/>
  <headerFooter>
    <oddFooter>&amp;L&amp;F&amp;C&amp;KFF0000Ratings provided are for N-0 ONLY&amp;K000000
Emergency ratings for T-lines can be used for a duration of 30 minutes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03B5B-7E54-47D1-9722-ED8259D89B1B}">
  <sheetPr>
    <pageSetUpPr fitToPage="1"/>
  </sheetPr>
  <dimension ref="A1:BO60"/>
  <sheetViews>
    <sheetView showWhiteSpace="0" view="pageLayout" zoomScale="85" zoomScaleNormal="100" zoomScaleSheetLayoutView="85" zoomScalePageLayoutView="85" workbookViewId="0">
      <selection activeCell="BN7" sqref="BN7:BO7"/>
    </sheetView>
  </sheetViews>
  <sheetFormatPr defaultRowHeight="15.5" x14ac:dyDescent="0.35"/>
  <cols>
    <col min="1" max="1" width="8.7265625" style="82" customWidth="1"/>
    <col min="2" max="2" width="4.7265625" style="82" customWidth="1"/>
    <col min="3" max="4" width="12.7265625" style="82" customWidth="1"/>
    <col min="5" max="5" width="16.7265625" style="82" customWidth="1"/>
    <col min="6" max="7" width="20.7265625" style="82" customWidth="1"/>
    <col min="8" max="11" width="9.7265625" style="82" customWidth="1"/>
    <col min="12" max="13" width="20.7265625" style="83" customWidth="1"/>
    <col min="14" max="17" width="9.7265625" style="82" customWidth="1"/>
    <col min="18" max="19" width="20.7265625" style="82" hidden="1" customWidth="1"/>
    <col min="20" max="23" width="0" style="82" hidden="1" customWidth="1"/>
    <col min="24" max="25" width="20.7265625" style="82" hidden="1" customWidth="1"/>
    <col min="26" max="60" width="0" style="82" hidden="1" customWidth="1"/>
    <col min="61" max="65" width="3.7265625" style="82" customWidth="1"/>
    <col min="66" max="66" width="20.7265625" style="82" customWidth="1"/>
    <col min="67" max="67" width="11.7265625" style="82" customWidth="1"/>
    <col min="68" max="246" width="8.7265625" style="82"/>
    <col min="247" max="247" width="8.7265625" style="82" customWidth="1"/>
    <col min="248" max="248" width="4.7265625" style="82" customWidth="1"/>
    <col min="249" max="250" width="12.7265625" style="82" customWidth="1"/>
    <col min="251" max="251" width="16.7265625" style="82" customWidth="1"/>
    <col min="252" max="253" width="20.7265625" style="82" customWidth="1"/>
    <col min="254" max="257" width="9.7265625" style="82" customWidth="1"/>
    <col min="258" max="259" width="20.7265625" style="82" customWidth="1"/>
    <col min="260" max="263" width="9.7265625" style="82" customWidth="1"/>
    <col min="264" max="306" width="0" style="82" hidden="1" customWidth="1"/>
    <col min="307" max="311" width="3.7265625" style="82" customWidth="1"/>
    <col min="312" max="312" width="20.7265625" style="82" customWidth="1"/>
    <col min="313" max="313" width="11.7265625" style="82" customWidth="1"/>
    <col min="314" max="502" width="8.7265625" style="82"/>
    <col min="503" max="503" width="8.7265625" style="82" customWidth="1"/>
    <col min="504" max="504" width="4.7265625" style="82" customWidth="1"/>
    <col min="505" max="506" width="12.7265625" style="82" customWidth="1"/>
    <col min="507" max="507" width="16.7265625" style="82" customWidth="1"/>
    <col min="508" max="509" width="20.7265625" style="82" customWidth="1"/>
    <col min="510" max="513" width="9.7265625" style="82" customWidth="1"/>
    <col min="514" max="515" width="20.7265625" style="82" customWidth="1"/>
    <col min="516" max="519" width="9.7265625" style="82" customWidth="1"/>
    <col min="520" max="562" width="0" style="82" hidden="1" customWidth="1"/>
    <col min="563" max="567" width="3.7265625" style="82" customWidth="1"/>
    <col min="568" max="568" width="20.7265625" style="82" customWidth="1"/>
    <col min="569" max="569" width="11.7265625" style="82" customWidth="1"/>
    <col min="570" max="758" width="8.7265625" style="82"/>
    <col min="759" max="759" width="8.7265625" style="82" customWidth="1"/>
    <col min="760" max="760" width="4.7265625" style="82" customWidth="1"/>
    <col min="761" max="762" width="12.7265625" style="82" customWidth="1"/>
    <col min="763" max="763" width="16.7265625" style="82" customWidth="1"/>
    <col min="764" max="765" width="20.7265625" style="82" customWidth="1"/>
    <col min="766" max="769" width="9.7265625" style="82" customWidth="1"/>
    <col min="770" max="771" width="20.7265625" style="82" customWidth="1"/>
    <col min="772" max="775" width="9.7265625" style="82" customWidth="1"/>
    <col min="776" max="818" width="0" style="82" hidden="1" customWidth="1"/>
    <col min="819" max="823" width="3.7265625" style="82" customWidth="1"/>
    <col min="824" max="824" width="20.7265625" style="82" customWidth="1"/>
    <col min="825" max="825" width="11.7265625" style="82" customWidth="1"/>
    <col min="826" max="1014" width="8.7265625" style="82"/>
    <col min="1015" max="1015" width="8.7265625" style="82" customWidth="1"/>
    <col min="1016" max="1016" width="4.7265625" style="82" customWidth="1"/>
    <col min="1017" max="1018" width="12.7265625" style="82" customWidth="1"/>
    <col min="1019" max="1019" width="16.7265625" style="82" customWidth="1"/>
    <col min="1020" max="1021" width="20.7265625" style="82" customWidth="1"/>
    <col min="1022" max="1025" width="9.7265625" style="82" customWidth="1"/>
    <col min="1026" max="1027" width="20.7265625" style="82" customWidth="1"/>
    <col min="1028" max="1031" width="9.7265625" style="82" customWidth="1"/>
    <col min="1032" max="1074" width="0" style="82" hidden="1" customWidth="1"/>
    <col min="1075" max="1079" width="3.7265625" style="82" customWidth="1"/>
    <col min="1080" max="1080" width="20.7265625" style="82" customWidth="1"/>
    <col min="1081" max="1081" width="11.7265625" style="82" customWidth="1"/>
    <col min="1082" max="1270" width="8.7265625" style="82"/>
    <col min="1271" max="1271" width="8.7265625" style="82" customWidth="1"/>
    <col min="1272" max="1272" width="4.7265625" style="82" customWidth="1"/>
    <col min="1273" max="1274" width="12.7265625" style="82" customWidth="1"/>
    <col min="1275" max="1275" width="16.7265625" style="82" customWidth="1"/>
    <col min="1276" max="1277" width="20.7265625" style="82" customWidth="1"/>
    <col min="1278" max="1281" width="9.7265625" style="82" customWidth="1"/>
    <col min="1282" max="1283" width="20.7265625" style="82" customWidth="1"/>
    <col min="1284" max="1287" width="9.7265625" style="82" customWidth="1"/>
    <col min="1288" max="1330" width="0" style="82" hidden="1" customWidth="1"/>
    <col min="1331" max="1335" width="3.7265625" style="82" customWidth="1"/>
    <col min="1336" max="1336" width="20.7265625" style="82" customWidth="1"/>
    <col min="1337" max="1337" width="11.7265625" style="82" customWidth="1"/>
    <col min="1338" max="1526" width="8.7265625" style="82"/>
    <col min="1527" max="1527" width="8.7265625" style="82" customWidth="1"/>
    <col min="1528" max="1528" width="4.7265625" style="82" customWidth="1"/>
    <col min="1529" max="1530" width="12.7265625" style="82" customWidth="1"/>
    <col min="1531" max="1531" width="16.7265625" style="82" customWidth="1"/>
    <col min="1532" max="1533" width="20.7265625" style="82" customWidth="1"/>
    <col min="1534" max="1537" width="9.7265625" style="82" customWidth="1"/>
    <col min="1538" max="1539" width="20.7265625" style="82" customWidth="1"/>
    <col min="1540" max="1543" width="9.7265625" style="82" customWidth="1"/>
    <col min="1544" max="1586" width="0" style="82" hidden="1" customWidth="1"/>
    <col min="1587" max="1591" width="3.7265625" style="82" customWidth="1"/>
    <col min="1592" max="1592" width="20.7265625" style="82" customWidth="1"/>
    <col min="1593" max="1593" width="11.7265625" style="82" customWidth="1"/>
    <col min="1594" max="1782" width="8.7265625" style="82"/>
    <col min="1783" max="1783" width="8.7265625" style="82" customWidth="1"/>
    <col min="1784" max="1784" width="4.7265625" style="82" customWidth="1"/>
    <col min="1785" max="1786" width="12.7265625" style="82" customWidth="1"/>
    <col min="1787" max="1787" width="16.7265625" style="82" customWidth="1"/>
    <col min="1788" max="1789" width="20.7265625" style="82" customWidth="1"/>
    <col min="1790" max="1793" width="9.7265625" style="82" customWidth="1"/>
    <col min="1794" max="1795" width="20.7265625" style="82" customWidth="1"/>
    <col min="1796" max="1799" width="9.7265625" style="82" customWidth="1"/>
    <col min="1800" max="1842" width="0" style="82" hidden="1" customWidth="1"/>
    <col min="1843" max="1847" width="3.7265625" style="82" customWidth="1"/>
    <col min="1848" max="1848" width="20.7265625" style="82" customWidth="1"/>
    <col min="1849" max="1849" width="11.7265625" style="82" customWidth="1"/>
    <col min="1850" max="2038" width="8.7265625" style="82"/>
    <col min="2039" max="2039" width="8.7265625" style="82" customWidth="1"/>
    <col min="2040" max="2040" width="4.7265625" style="82" customWidth="1"/>
    <col min="2041" max="2042" width="12.7265625" style="82" customWidth="1"/>
    <col min="2043" max="2043" width="16.7265625" style="82" customWidth="1"/>
    <col min="2044" max="2045" width="20.7265625" style="82" customWidth="1"/>
    <col min="2046" max="2049" width="9.7265625" style="82" customWidth="1"/>
    <col min="2050" max="2051" width="20.7265625" style="82" customWidth="1"/>
    <col min="2052" max="2055" width="9.7265625" style="82" customWidth="1"/>
    <col min="2056" max="2098" width="0" style="82" hidden="1" customWidth="1"/>
    <col min="2099" max="2103" width="3.7265625" style="82" customWidth="1"/>
    <col min="2104" max="2104" width="20.7265625" style="82" customWidth="1"/>
    <col min="2105" max="2105" width="11.7265625" style="82" customWidth="1"/>
    <col min="2106" max="2294" width="8.7265625" style="82"/>
    <col min="2295" max="2295" width="8.7265625" style="82" customWidth="1"/>
    <col min="2296" max="2296" width="4.7265625" style="82" customWidth="1"/>
    <col min="2297" max="2298" width="12.7265625" style="82" customWidth="1"/>
    <col min="2299" max="2299" width="16.7265625" style="82" customWidth="1"/>
    <col min="2300" max="2301" width="20.7265625" style="82" customWidth="1"/>
    <col min="2302" max="2305" width="9.7265625" style="82" customWidth="1"/>
    <col min="2306" max="2307" width="20.7265625" style="82" customWidth="1"/>
    <col min="2308" max="2311" width="9.7265625" style="82" customWidth="1"/>
    <col min="2312" max="2354" width="0" style="82" hidden="1" customWidth="1"/>
    <col min="2355" max="2359" width="3.7265625" style="82" customWidth="1"/>
    <col min="2360" max="2360" width="20.7265625" style="82" customWidth="1"/>
    <col min="2361" max="2361" width="11.7265625" style="82" customWidth="1"/>
    <col min="2362" max="2550" width="8.7265625" style="82"/>
    <col min="2551" max="2551" width="8.7265625" style="82" customWidth="1"/>
    <col min="2552" max="2552" width="4.7265625" style="82" customWidth="1"/>
    <col min="2553" max="2554" width="12.7265625" style="82" customWidth="1"/>
    <col min="2555" max="2555" width="16.7265625" style="82" customWidth="1"/>
    <col min="2556" max="2557" width="20.7265625" style="82" customWidth="1"/>
    <col min="2558" max="2561" width="9.7265625" style="82" customWidth="1"/>
    <col min="2562" max="2563" width="20.7265625" style="82" customWidth="1"/>
    <col min="2564" max="2567" width="9.7265625" style="82" customWidth="1"/>
    <col min="2568" max="2610" width="0" style="82" hidden="1" customWidth="1"/>
    <col min="2611" max="2615" width="3.7265625" style="82" customWidth="1"/>
    <col min="2616" max="2616" width="20.7265625" style="82" customWidth="1"/>
    <col min="2617" max="2617" width="11.7265625" style="82" customWidth="1"/>
    <col min="2618" max="2806" width="8.7265625" style="82"/>
    <col min="2807" max="2807" width="8.7265625" style="82" customWidth="1"/>
    <col min="2808" max="2808" width="4.7265625" style="82" customWidth="1"/>
    <col min="2809" max="2810" width="12.7265625" style="82" customWidth="1"/>
    <col min="2811" max="2811" width="16.7265625" style="82" customWidth="1"/>
    <col min="2812" max="2813" width="20.7265625" style="82" customWidth="1"/>
    <col min="2814" max="2817" width="9.7265625" style="82" customWidth="1"/>
    <col min="2818" max="2819" width="20.7265625" style="82" customWidth="1"/>
    <col min="2820" max="2823" width="9.7265625" style="82" customWidth="1"/>
    <col min="2824" max="2866" width="0" style="82" hidden="1" customWidth="1"/>
    <col min="2867" max="2871" width="3.7265625" style="82" customWidth="1"/>
    <col min="2872" max="2872" width="20.7265625" style="82" customWidth="1"/>
    <col min="2873" max="2873" width="11.7265625" style="82" customWidth="1"/>
    <col min="2874" max="3062" width="8.7265625" style="82"/>
    <col min="3063" max="3063" width="8.7265625" style="82" customWidth="1"/>
    <col min="3064" max="3064" width="4.7265625" style="82" customWidth="1"/>
    <col min="3065" max="3066" width="12.7265625" style="82" customWidth="1"/>
    <col min="3067" max="3067" width="16.7265625" style="82" customWidth="1"/>
    <col min="3068" max="3069" width="20.7265625" style="82" customWidth="1"/>
    <col min="3070" max="3073" width="9.7265625" style="82" customWidth="1"/>
    <col min="3074" max="3075" width="20.7265625" style="82" customWidth="1"/>
    <col min="3076" max="3079" width="9.7265625" style="82" customWidth="1"/>
    <col min="3080" max="3122" width="0" style="82" hidden="1" customWidth="1"/>
    <col min="3123" max="3127" width="3.7265625" style="82" customWidth="1"/>
    <col min="3128" max="3128" width="20.7265625" style="82" customWidth="1"/>
    <col min="3129" max="3129" width="11.7265625" style="82" customWidth="1"/>
    <col min="3130" max="3318" width="8.7265625" style="82"/>
    <col min="3319" max="3319" width="8.7265625" style="82" customWidth="1"/>
    <col min="3320" max="3320" width="4.7265625" style="82" customWidth="1"/>
    <col min="3321" max="3322" width="12.7265625" style="82" customWidth="1"/>
    <col min="3323" max="3323" width="16.7265625" style="82" customWidth="1"/>
    <col min="3324" max="3325" width="20.7265625" style="82" customWidth="1"/>
    <col min="3326" max="3329" width="9.7265625" style="82" customWidth="1"/>
    <col min="3330" max="3331" width="20.7265625" style="82" customWidth="1"/>
    <col min="3332" max="3335" width="9.7265625" style="82" customWidth="1"/>
    <col min="3336" max="3378" width="0" style="82" hidden="1" customWidth="1"/>
    <col min="3379" max="3383" width="3.7265625" style="82" customWidth="1"/>
    <col min="3384" max="3384" width="20.7265625" style="82" customWidth="1"/>
    <col min="3385" max="3385" width="11.7265625" style="82" customWidth="1"/>
    <col min="3386" max="3574" width="8.7265625" style="82"/>
    <col min="3575" max="3575" width="8.7265625" style="82" customWidth="1"/>
    <col min="3576" max="3576" width="4.7265625" style="82" customWidth="1"/>
    <col min="3577" max="3578" width="12.7265625" style="82" customWidth="1"/>
    <col min="3579" max="3579" width="16.7265625" style="82" customWidth="1"/>
    <col min="3580" max="3581" width="20.7265625" style="82" customWidth="1"/>
    <col min="3582" max="3585" width="9.7265625" style="82" customWidth="1"/>
    <col min="3586" max="3587" width="20.7265625" style="82" customWidth="1"/>
    <col min="3588" max="3591" width="9.7265625" style="82" customWidth="1"/>
    <col min="3592" max="3634" width="0" style="82" hidden="1" customWidth="1"/>
    <col min="3635" max="3639" width="3.7265625" style="82" customWidth="1"/>
    <col min="3640" max="3640" width="20.7265625" style="82" customWidth="1"/>
    <col min="3641" max="3641" width="11.7265625" style="82" customWidth="1"/>
    <col min="3642" max="3830" width="8.7265625" style="82"/>
    <col min="3831" max="3831" width="8.7265625" style="82" customWidth="1"/>
    <col min="3832" max="3832" width="4.7265625" style="82" customWidth="1"/>
    <col min="3833" max="3834" width="12.7265625" style="82" customWidth="1"/>
    <col min="3835" max="3835" width="16.7265625" style="82" customWidth="1"/>
    <col min="3836" max="3837" width="20.7265625" style="82" customWidth="1"/>
    <col min="3838" max="3841" width="9.7265625" style="82" customWidth="1"/>
    <col min="3842" max="3843" width="20.7265625" style="82" customWidth="1"/>
    <col min="3844" max="3847" width="9.7265625" style="82" customWidth="1"/>
    <col min="3848" max="3890" width="0" style="82" hidden="1" customWidth="1"/>
    <col min="3891" max="3895" width="3.7265625" style="82" customWidth="1"/>
    <col min="3896" max="3896" width="20.7265625" style="82" customWidth="1"/>
    <col min="3897" max="3897" width="11.7265625" style="82" customWidth="1"/>
    <col min="3898" max="4086" width="8.7265625" style="82"/>
    <col min="4087" max="4087" width="8.7265625" style="82" customWidth="1"/>
    <col min="4088" max="4088" width="4.7265625" style="82" customWidth="1"/>
    <col min="4089" max="4090" width="12.7265625" style="82" customWidth="1"/>
    <col min="4091" max="4091" width="16.7265625" style="82" customWidth="1"/>
    <col min="4092" max="4093" width="20.7265625" style="82" customWidth="1"/>
    <col min="4094" max="4097" width="9.7265625" style="82" customWidth="1"/>
    <col min="4098" max="4099" width="20.7265625" style="82" customWidth="1"/>
    <col min="4100" max="4103" width="9.7265625" style="82" customWidth="1"/>
    <col min="4104" max="4146" width="0" style="82" hidden="1" customWidth="1"/>
    <col min="4147" max="4151" width="3.7265625" style="82" customWidth="1"/>
    <col min="4152" max="4152" width="20.7265625" style="82" customWidth="1"/>
    <col min="4153" max="4153" width="11.7265625" style="82" customWidth="1"/>
    <col min="4154" max="4342" width="8.7265625" style="82"/>
    <col min="4343" max="4343" width="8.7265625" style="82" customWidth="1"/>
    <col min="4344" max="4344" width="4.7265625" style="82" customWidth="1"/>
    <col min="4345" max="4346" width="12.7265625" style="82" customWidth="1"/>
    <col min="4347" max="4347" width="16.7265625" style="82" customWidth="1"/>
    <col min="4348" max="4349" width="20.7265625" style="82" customWidth="1"/>
    <col min="4350" max="4353" width="9.7265625" style="82" customWidth="1"/>
    <col min="4354" max="4355" width="20.7265625" style="82" customWidth="1"/>
    <col min="4356" max="4359" width="9.7265625" style="82" customWidth="1"/>
    <col min="4360" max="4402" width="0" style="82" hidden="1" customWidth="1"/>
    <col min="4403" max="4407" width="3.7265625" style="82" customWidth="1"/>
    <col min="4408" max="4408" width="20.7265625" style="82" customWidth="1"/>
    <col min="4409" max="4409" width="11.7265625" style="82" customWidth="1"/>
    <col min="4410" max="4598" width="8.7265625" style="82"/>
    <col min="4599" max="4599" width="8.7265625" style="82" customWidth="1"/>
    <col min="4600" max="4600" width="4.7265625" style="82" customWidth="1"/>
    <col min="4601" max="4602" width="12.7265625" style="82" customWidth="1"/>
    <col min="4603" max="4603" width="16.7265625" style="82" customWidth="1"/>
    <col min="4604" max="4605" width="20.7265625" style="82" customWidth="1"/>
    <col min="4606" max="4609" width="9.7265625" style="82" customWidth="1"/>
    <col min="4610" max="4611" width="20.7265625" style="82" customWidth="1"/>
    <col min="4612" max="4615" width="9.7265625" style="82" customWidth="1"/>
    <col min="4616" max="4658" width="0" style="82" hidden="1" customWidth="1"/>
    <col min="4659" max="4663" width="3.7265625" style="82" customWidth="1"/>
    <col min="4664" max="4664" width="20.7265625" style="82" customWidth="1"/>
    <col min="4665" max="4665" width="11.7265625" style="82" customWidth="1"/>
    <col min="4666" max="4854" width="8.7265625" style="82"/>
    <col min="4855" max="4855" width="8.7265625" style="82" customWidth="1"/>
    <col min="4856" max="4856" width="4.7265625" style="82" customWidth="1"/>
    <col min="4857" max="4858" width="12.7265625" style="82" customWidth="1"/>
    <col min="4859" max="4859" width="16.7265625" style="82" customWidth="1"/>
    <col min="4860" max="4861" width="20.7265625" style="82" customWidth="1"/>
    <col min="4862" max="4865" width="9.7265625" style="82" customWidth="1"/>
    <col min="4866" max="4867" width="20.7265625" style="82" customWidth="1"/>
    <col min="4868" max="4871" width="9.7265625" style="82" customWidth="1"/>
    <col min="4872" max="4914" width="0" style="82" hidden="1" customWidth="1"/>
    <col min="4915" max="4919" width="3.7265625" style="82" customWidth="1"/>
    <col min="4920" max="4920" width="20.7265625" style="82" customWidth="1"/>
    <col min="4921" max="4921" width="11.7265625" style="82" customWidth="1"/>
    <col min="4922" max="5110" width="8.7265625" style="82"/>
    <col min="5111" max="5111" width="8.7265625" style="82" customWidth="1"/>
    <col min="5112" max="5112" width="4.7265625" style="82" customWidth="1"/>
    <col min="5113" max="5114" width="12.7265625" style="82" customWidth="1"/>
    <col min="5115" max="5115" width="16.7265625" style="82" customWidth="1"/>
    <col min="5116" max="5117" width="20.7265625" style="82" customWidth="1"/>
    <col min="5118" max="5121" width="9.7265625" style="82" customWidth="1"/>
    <col min="5122" max="5123" width="20.7265625" style="82" customWidth="1"/>
    <col min="5124" max="5127" width="9.7265625" style="82" customWidth="1"/>
    <col min="5128" max="5170" width="0" style="82" hidden="1" customWidth="1"/>
    <col min="5171" max="5175" width="3.7265625" style="82" customWidth="1"/>
    <col min="5176" max="5176" width="20.7265625" style="82" customWidth="1"/>
    <col min="5177" max="5177" width="11.7265625" style="82" customWidth="1"/>
    <col min="5178" max="5366" width="8.7265625" style="82"/>
    <col min="5367" max="5367" width="8.7265625" style="82" customWidth="1"/>
    <col min="5368" max="5368" width="4.7265625" style="82" customWidth="1"/>
    <col min="5369" max="5370" width="12.7265625" style="82" customWidth="1"/>
    <col min="5371" max="5371" width="16.7265625" style="82" customWidth="1"/>
    <col min="5372" max="5373" width="20.7265625" style="82" customWidth="1"/>
    <col min="5374" max="5377" width="9.7265625" style="82" customWidth="1"/>
    <col min="5378" max="5379" width="20.7265625" style="82" customWidth="1"/>
    <col min="5380" max="5383" width="9.7265625" style="82" customWidth="1"/>
    <col min="5384" max="5426" width="0" style="82" hidden="1" customWidth="1"/>
    <col min="5427" max="5431" width="3.7265625" style="82" customWidth="1"/>
    <col min="5432" max="5432" width="20.7265625" style="82" customWidth="1"/>
    <col min="5433" max="5433" width="11.7265625" style="82" customWidth="1"/>
    <col min="5434" max="5622" width="8.7265625" style="82"/>
    <col min="5623" max="5623" width="8.7265625" style="82" customWidth="1"/>
    <col min="5624" max="5624" width="4.7265625" style="82" customWidth="1"/>
    <col min="5625" max="5626" width="12.7265625" style="82" customWidth="1"/>
    <col min="5627" max="5627" width="16.7265625" style="82" customWidth="1"/>
    <col min="5628" max="5629" width="20.7265625" style="82" customWidth="1"/>
    <col min="5630" max="5633" width="9.7265625" style="82" customWidth="1"/>
    <col min="5634" max="5635" width="20.7265625" style="82" customWidth="1"/>
    <col min="5636" max="5639" width="9.7265625" style="82" customWidth="1"/>
    <col min="5640" max="5682" width="0" style="82" hidden="1" customWidth="1"/>
    <col min="5683" max="5687" width="3.7265625" style="82" customWidth="1"/>
    <col min="5688" max="5688" width="20.7265625" style="82" customWidth="1"/>
    <col min="5689" max="5689" width="11.7265625" style="82" customWidth="1"/>
    <col min="5690" max="5878" width="8.7265625" style="82"/>
    <col min="5879" max="5879" width="8.7265625" style="82" customWidth="1"/>
    <col min="5880" max="5880" width="4.7265625" style="82" customWidth="1"/>
    <col min="5881" max="5882" width="12.7265625" style="82" customWidth="1"/>
    <col min="5883" max="5883" width="16.7265625" style="82" customWidth="1"/>
    <col min="5884" max="5885" width="20.7265625" style="82" customWidth="1"/>
    <col min="5886" max="5889" width="9.7265625" style="82" customWidth="1"/>
    <col min="5890" max="5891" width="20.7265625" style="82" customWidth="1"/>
    <col min="5892" max="5895" width="9.7265625" style="82" customWidth="1"/>
    <col min="5896" max="5938" width="0" style="82" hidden="1" customWidth="1"/>
    <col min="5939" max="5943" width="3.7265625" style="82" customWidth="1"/>
    <col min="5944" max="5944" width="20.7265625" style="82" customWidth="1"/>
    <col min="5945" max="5945" width="11.7265625" style="82" customWidth="1"/>
    <col min="5946" max="6134" width="8.7265625" style="82"/>
    <col min="6135" max="6135" width="8.7265625" style="82" customWidth="1"/>
    <col min="6136" max="6136" width="4.7265625" style="82" customWidth="1"/>
    <col min="6137" max="6138" width="12.7265625" style="82" customWidth="1"/>
    <col min="6139" max="6139" width="16.7265625" style="82" customWidth="1"/>
    <col min="6140" max="6141" width="20.7265625" style="82" customWidth="1"/>
    <col min="6142" max="6145" width="9.7265625" style="82" customWidth="1"/>
    <col min="6146" max="6147" width="20.7265625" style="82" customWidth="1"/>
    <col min="6148" max="6151" width="9.7265625" style="82" customWidth="1"/>
    <col min="6152" max="6194" width="0" style="82" hidden="1" customWidth="1"/>
    <col min="6195" max="6199" width="3.7265625" style="82" customWidth="1"/>
    <col min="6200" max="6200" width="20.7265625" style="82" customWidth="1"/>
    <col min="6201" max="6201" width="11.7265625" style="82" customWidth="1"/>
    <col min="6202" max="6390" width="8.7265625" style="82"/>
    <col min="6391" max="6391" width="8.7265625" style="82" customWidth="1"/>
    <col min="6392" max="6392" width="4.7265625" style="82" customWidth="1"/>
    <col min="6393" max="6394" width="12.7265625" style="82" customWidth="1"/>
    <col min="6395" max="6395" width="16.7265625" style="82" customWidth="1"/>
    <col min="6396" max="6397" width="20.7265625" style="82" customWidth="1"/>
    <col min="6398" max="6401" width="9.7265625" style="82" customWidth="1"/>
    <col min="6402" max="6403" width="20.7265625" style="82" customWidth="1"/>
    <col min="6404" max="6407" width="9.7265625" style="82" customWidth="1"/>
    <col min="6408" max="6450" width="0" style="82" hidden="1" customWidth="1"/>
    <col min="6451" max="6455" width="3.7265625" style="82" customWidth="1"/>
    <col min="6456" max="6456" width="20.7265625" style="82" customWidth="1"/>
    <col min="6457" max="6457" width="11.7265625" style="82" customWidth="1"/>
    <col min="6458" max="6646" width="8.7265625" style="82"/>
    <col min="6647" max="6647" width="8.7265625" style="82" customWidth="1"/>
    <col min="6648" max="6648" width="4.7265625" style="82" customWidth="1"/>
    <col min="6649" max="6650" width="12.7265625" style="82" customWidth="1"/>
    <col min="6651" max="6651" width="16.7265625" style="82" customWidth="1"/>
    <col min="6652" max="6653" width="20.7265625" style="82" customWidth="1"/>
    <col min="6654" max="6657" width="9.7265625" style="82" customWidth="1"/>
    <col min="6658" max="6659" width="20.7265625" style="82" customWidth="1"/>
    <col min="6660" max="6663" width="9.7265625" style="82" customWidth="1"/>
    <col min="6664" max="6706" width="0" style="82" hidden="1" customWidth="1"/>
    <col min="6707" max="6711" width="3.7265625" style="82" customWidth="1"/>
    <col min="6712" max="6712" width="20.7265625" style="82" customWidth="1"/>
    <col min="6713" max="6713" width="11.7265625" style="82" customWidth="1"/>
    <col min="6714" max="6902" width="8.7265625" style="82"/>
    <col min="6903" max="6903" width="8.7265625" style="82" customWidth="1"/>
    <col min="6904" max="6904" width="4.7265625" style="82" customWidth="1"/>
    <col min="6905" max="6906" width="12.7265625" style="82" customWidth="1"/>
    <col min="6907" max="6907" width="16.7265625" style="82" customWidth="1"/>
    <col min="6908" max="6909" width="20.7265625" style="82" customWidth="1"/>
    <col min="6910" max="6913" width="9.7265625" style="82" customWidth="1"/>
    <col min="6914" max="6915" width="20.7265625" style="82" customWidth="1"/>
    <col min="6916" max="6919" width="9.7265625" style="82" customWidth="1"/>
    <col min="6920" max="6962" width="0" style="82" hidden="1" customWidth="1"/>
    <col min="6963" max="6967" width="3.7265625" style="82" customWidth="1"/>
    <col min="6968" max="6968" width="20.7265625" style="82" customWidth="1"/>
    <col min="6969" max="6969" width="11.7265625" style="82" customWidth="1"/>
    <col min="6970" max="7158" width="8.7265625" style="82"/>
    <col min="7159" max="7159" width="8.7265625" style="82" customWidth="1"/>
    <col min="7160" max="7160" width="4.7265625" style="82" customWidth="1"/>
    <col min="7161" max="7162" width="12.7265625" style="82" customWidth="1"/>
    <col min="7163" max="7163" width="16.7265625" style="82" customWidth="1"/>
    <col min="7164" max="7165" width="20.7265625" style="82" customWidth="1"/>
    <col min="7166" max="7169" width="9.7265625" style="82" customWidth="1"/>
    <col min="7170" max="7171" width="20.7265625" style="82" customWidth="1"/>
    <col min="7172" max="7175" width="9.7265625" style="82" customWidth="1"/>
    <col min="7176" max="7218" width="0" style="82" hidden="1" customWidth="1"/>
    <col min="7219" max="7223" width="3.7265625" style="82" customWidth="1"/>
    <col min="7224" max="7224" width="20.7265625" style="82" customWidth="1"/>
    <col min="7225" max="7225" width="11.7265625" style="82" customWidth="1"/>
    <col min="7226" max="7414" width="8.7265625" style="82"/>
    <col min="7415" max="7415" width="8.7265625" style="82" customWidth="1"/>
    <col min="7416" max="7416" width="4.7265625" style="82" customWidth="1"/>
    <col min="7417" max="7418" width="12.7265625" style="82" customWidth="1"/>
    <col min="7419" max="7419" width="16.7265625" style="82" customWidth="1"/>
    <col min="7420" max="7421" width="20.7265625" style="82" customWidth="1"/>
    <col min="7422" max="7425" width="9.7265625" style="82" customWidth="1"/>
    <col min="7426" max="7427" width="20.7265625" style="82" customWidth="1"/>
    <col min="7428" max="7431" width="9.7265625" style="82" customWidth="1"/>
    <col min="7432" max="7474" width="0" style="82" hidden="1" customWidth="1"/>
    <col min="7475" max="7479" width="3.7265625" style="82" customWidth="1"/>
    <col min="7480" max="7480" width="20.7265625" style="82" customWidth="1"/>
    <col min="7481" max="7481" width="11.7265625" style="82" customWidth="1"/>
    <col min="7482" max="7670" width="8.7265625" style="82"/>
    <col min="7671" max="7671" width="8.7265625" style="82" customWidth="1"/>
    <col min="7672" max="7672" width="4.7265625" style="82" customWidth="1"/>
    <col min="7673" max="7674" width="12.7265625" style="82" customWidth="1"/>
    <col min="7675" max="7675" width="16.7265625" style="82" customWidth="1"/>
    <col min="7676" max="7677" width="20.7265625" style="82" customWidth="1"/>
    <col min="7678" max="7681" width="9.7265625" style="82" customWidth="1"/>
    <col min="7682" max="7683" width="20.7265625" style="82" customWidth="1"/>
    <col min="7684" max="7687" width="9.7265625" style="82" customWidth="1"/>
    <col min="7688" max="7730" width="0" style="82" hidden="1" customWidth="1"/>
    <col min="7731" max="7735" width="3.7265625" style="82" customWidth="1"/>
    <col min="7736" max="7736" width="20.7265625" style="82" customWidth="1"/>
    <col min="7737" max="7737" width="11.7265625" style="82" customWidth="1"/>
    <col min="7738" max="7926" width="8.7265625" style="82"/>
    <col min="7927" max="7927" width="8.7265625" style="82" customWidth="1"/>
    <col min="7928" max="7928" width="4.7265625" style="82" customWidth="1"/>
    <col min="7929" max="7930" width="12.7265625" style="82" customWidth="1"/>
    <col min="7931" max="7931" width="16.7265625" style="82" customWidth="1"/>
    <col min="7932" max="7933" width="20.7265625" style="82" customWidth="1"/>
    <col min="7934" max="7937" width="9.7265625" style="82" customWidth="1"/>
    <col min="7938" max="7939" width="20.7265625" style="82" customWidth="1"/>
    <col min="7940" max="7943" width="9.7265625" style="82" customWidth="1"/>
    <col min="7944" max="7986" width="0" style="82" hidden="1" customWidth="1"/>
    <col min="7987" max="7991" width="3.7265625" style="82" customWidth="1"/>
    <col min="7992" max="7992" width="20.7265625" style="82" customWidth="1"/>
    <col min="7993" max="7993" width="11.7265625" style="82" customWidth="1"/>
    <col min="7994" max="8182" width="8.7265625" style="82"/>
    <col min="8183" max="8183" width="8.7265625" style="82" customWidth="1"/>
    <col min="8184" max="8184" width="4.7265625" style="82" customWidth="1"/>
    <col min="8185" max="8186" width="12.7265625" style="82" customWidth="1"/>
    <col min="8187" max="8187" width="16.7265625" style="82" customWidth="1"/>
    <col min="8188" max="8189" width="20.7265625" style="82" customWidth="1"/>
    <col min="8190" max="8193" width="9.7265625" style="82" customWidth="1"/>
    <col min="8194" max="8195" width="20.7265625" style="82" customWidth="1"/>
    <col min="8196" max="8199" width="9.7265625" style="82" customWidth="1"/>
    <col min="8200" max="8242" width="0" style="82" hidden="1" customWidth="1"/>
    <col min="8243" max="8247" width="3.7265625" style="82" customWidth="1"/>
    <col min="8248" max="8248" width="20.7265625" style="82" customWidth="1"/>
    <col min="8249" max="8249" width="11.7265625" style="82" customWidth="1"/>
    <col min="8250" max="8438" width="8.7265625" style="82"/>
    <col min="8439" max="8439" width="8.7265625" style="82" customWidth="1"/>
    <col min="8440" max="8440" width="4.7265625" style="82" customWidth="1"/>
    <col min="8441" max="8442" width="12.7265625" style="82" customWidth="1"/>
    <col min="8443" max="8443" width="16.7265625" style="82" customWidth="1"/>
    <col min="8444" max="8445" width="20.7265625" style="82" customWidth="1"/>
    <col min="8446" max="8449" width="9.7265625" style="82" customWidth="1"/>
    <col min="8450" max="8451" width="20.7265625" style="82" customWidth="1"/>
    <col min="8452" max="8455" width="9.7265625" style="82" customWidth="1"/>
    <col min="8456" max="8498" width="0" style="82" hidden="1" customWidth="1"/>
    <col min="8499" max="8503" width="3.7265625" style="82" customWidth="1"/>
    <col min="8504" max="8504" width="20.7265625" style="82" customWidth="1"/>
    <col min="8505" max="8505" width="11.7265625" style="82" customWidth="1"/>
    <col min="8506" max="8694" width="8.7265625" style="82"/>
    <col min="8695" max="8695" width="8.7265625" style="82" customWidth="1"/>
    <col min="8696" max="8696" width="4.7265625" style="82" customWidth="1"/>
    <col min="8697" max="8698" width="12.7265625" style="82" customWidth="1"/>
    <col min="8699" max="8699" width="16.7265625" style="82" customWidth="1"/>
    <col min="8700" max="8701" width="20.7265625" style="82" customWidth="1"/>
    <col min="8702" max="8705" width="9.7265625" style="82" customWidth="1"/>
    <col min="8706" max="8707" width="20.7265625" style="82" customWidth="1"/>
    <col min="8708" max="8711" width="9.7265625" style="82" customWidth="1"/>
    <col min="8712" max="8754" width="0" style="82" hidden="1" customWidth="1"/>
    <col min="8755" max="8759" width="3.7265625" style="82" customWidth="1"/>
    <col min="8760" max="8760" width="20.7265625" style="82" customWidth="1"/>
    <col min="8761" max="8761" width="11.7265625" style="82" customWidth="1"/>
    <col min="8762" max="8950" width="8.7265625" style="82"/>
    <col min="8951" max="8951" width="8.7265625" style="82" customWidth="1"/>
    <col min="8952" max="8952" width="4.7265625" style="82" customWidth="1"/>
    <col min="8953" max="8954" width="12.7265625" style="82" customWidth="1"/>
    <col min="8955" max="8955" width="16.7265625" style="82" customWidth="1"/>
    <col min="8956" max="8957" width="20.7265625" style="82" customWidth="1"/>
    <col min="8958" max="8961" width="9.7265625" style="82" customWidth="1"/>
    <col min="8962" max="8963" width="20.7265625" style="82" customWidth="1"/>
    <col min="8964" max="8967" width="9.7265625" style="82" customWidth="1"/>
    <col min="8968" max="9010" width="0" style="82" hidden="1" customWidth="1"/>
    <col min="9011" max="9015" width="3.7265625" style="82" customWidth="1"/>
    <col min="9016" max="9016" width="20.7265625" style="82" customWidth="1"/>
    <col min="9017" max="9017" width="11.7265625" style="82" customWidth="1"/>
    <col min="9018" max="9206" width="8.7265625" style="82"/>
    <col min="9207" max="9207" width="8.7265625" style="82" customWidth="1"/>
    <col min="9208" max="9208" width="4.7265625" style="82" customWidth="1"/>
    <col min="9209" max="9210" width="12.7265625" style="82" customWidth="1"/>
    <col min="9211" max="9211" width="16.7265625" style="82" customWidth="1"/>
    <col min="9212" max="9213" width="20.7265625" style="82" customWidth="1"/>
    <col min="9214" max="9217" width="9.7265625" style="82" customWidth="1"/>
    <col min="9218" max="9219" width="20.7265625" style="82" customWidth="1"/>
    <col min="9220" max="9223" width="9.7265625" style="82" customWidth="1"/>
    <col min="9224" max="9266" width="0" style="82" hidden="1" customWidth="1"/>
    <col min="9267" max="9271" width="3.7265625" style="82" customWidth="1"/>
    <col min="9272" max="9272" width="20.7265625" style="82" customWidth="1"/>
    <col min="9273" max="9273" width="11.7265625" style="82" customWidth="1"/>
    <col min="9274" max="9462" width="8.7265625" style="82"/>
    <col min="9463" max="9463" width="8.7265625" style="82" customWidth="1"/>
    <col min="9464" max="9464" width="4.7265625" style="82" customWidth="1"/>
    <col min="9465" max="9466" width="12.7265625" style="82" customWidth="1"/>
    <col min="9467" max="9467" width="16.7265625" style="82" customWidth="1"/>
    <col min="9468" max="9469" width="20.7265625" style="82" customWidth="1"/>
    <col min="9470" max="9473" width="9.7265625" style="82" customWidth="1"/>
    <col min="9474" max="9475" width="20.7265625" style="82" customWidth="1"/>
    <col min="9476" max="9479" width="9.7265625" style="82" customWidth="1"/>
    <col min="9480" max="9522" width="0" style="82" hidden="1" customWidth="1"/>
    <col min="9523" max="9527" width="3.7265625" style="82" customWidth="1"/>
    <col min="9528" max="9528" width="20.7265625" style="82" customWidth="1"/>
    <col min="9529" max="9529" width="11.7265625" style="82" customWidth="1"/>
    <col min="9530" max="9718" width="8.7265625" style="82"/>
    <col min="9719" max="9719" width="8.7265625" style="82" customWidth="1"/>
    <col min="9720" max="9720" width="4.7265625" style="82" customWidth="1"/>
    <col min="9721" max="9722" width="12.7265625" style="82" customWidth="1"/>
    <col min="9723" max="9723" width="16.7265625" style="82" customWidth="1"/>
    <col min="9724" max="9725" width="20.7265625" style="82" customWidth="1"/>
    <col min="9726" max="9729" width="9.7265625" style="82" customWidth="1"/>
    <col min="9730" max="9731" width="20.7265625" style="82" customWidth="1"/>
    <col min="9732" max="9735" width="9.7265625" style="82" customWidth="1"/>
    <col min="9736" max="9778" width="0" style="82" hidden="1" customWidth="1"/>
    <col min="9779" max="9783" width="3.7265625" style="82" customWidth="1"/>
    <col min="9784" max="9784" width="20.7265625" style="82" customWidth="1"/>
    <col min="9785" max="9785" width="11.7265625" style="82" customWidth="1"/>
    <col min="9786" max="9974" width="8.7265625" style="82"/>
    <col min="9975" max="9975" width="8.7265625" style="82" customWidth="1"/>
    <col min="9976" max="9976" width="4.7265625" style="82" customWidth="1"/>
    <col min="9977" max="9978" width="12.7265625" style="82" customWidth="1"/>
    <col min="9979" max="9979" width="16.7265625" style="82" customWidth="1"/>
    <col min="9980" max="9981" width="20.7265625" style="82" customWidth="1"/>
    <col min="9982" max="9985" width="9.7265625" style="82" customWidth="1"/>
    <col min="9986" max="9987" width="20.7265625" style="82" customWidth="1"/>
    <col min="9988" max="9991" width="9.7265625" style="82" customWidth="1"/>
    <col min="9992" max="10034" width="0" style="82" hidden="1" customWidth="1"/>
    <col min="10035" max="10039" width="3.7265625" style="82" customWidth="1"/>
    <col min="10040" max="10040" width="20.7265625" style="82" customWidth="1"/>
    <col min="10041" max="10041" width="11.7265625" style="82" customWidth="1"/>
    <col min="10042" max="10230" width="8.7265625" style="82"/>
    <col min="10231" max="10231" width="8.7265625" style="82" customWidth="1"/>
    <col min="10232" max="10232" width="4.7265625" style="82" customWidth="1"/>
    <col min="10233" max="10234" width="12.7265625" style="82" customWidth="1"/>
    <col min="10235" max="10235" width="16.7265625" style="82" customWidth="1"/>
    <col min="10236" max="10237" width="20.7265625" style="82" customWidth="1"/>
    <col min="10238" max="10241" width="9.7265625" style="82" customWidth="1"/>
    <col min="10242" max="10243" width="20.7265625" style="82" customWidth="1"/>
    <col min="10244" max="10247" width="9.7265625" style="82" customWidth="1"/>
    <col min="10248" max="10290" width="0" style="82" hidden="1" customWidth="1"/>
    <col min="10291" max="10295" width="3.7265625" style="82" customWidth="1"/>
    <col min="10296" max="10296" width="20.7265625" style="82" customWidth="1"/>
    <col min="10297" max="10297" width="11.7265625" style="82" customWidth="1"/>
    <col min="10298" max="10486" width="8.7265625" style="82"/>
    <col min="10487" max="10487" width="8.7265625" style="82" customWidth="1"/>
    <col min="10488" max="10488" width="4.7265625" style="82" customWidth="1"/>
    <col min="10489" max="10490" width="12.7265625" style="82" customWidth="1"/>
    <col min="10491" max="10491" width="16.7265625" style="82" customWidth="1"/>
    <col min="10492" max="10493" width="20.7265625" style="82" customWidth="1"/>
    <col min="10494" max="10497" width="9.7265625" style="82" customWidth="1"/>
    <col min="10498" max="10499" width="20.7265625" style="82" customWidth="1"/>
    <col min="10500" max="10503" width="9.7265625" style="82" customWidth="1"/>
    <col min="10504" max="10546" width="0" style="82" hidden="1" customWidth="1"/>
    <col min="10547" max="10551" width="3.7265625" style="82" customWidth="1"/>
    <col min="10552" max="10552" width="20.7265625" style="82" customWidth="1"/>
    <col min="10553" max="10553" width="11.7265625" style="82" customWidth="1"/>
    <col min="10554" max="10742" width="8.7265625" style="82"/>
    <col min="10743" max="10743" width="8.7265625" style="82" customWidth="1"/>
    <col min="10744" max="10744" width="4.7265625" style="82" customWidth="1"/>
    <col min="10745" max="10746" width="12.7265625" style="82" customWidth="1"/>
    <col min="10747" max="10747" width="16.7265625" style="82" customWidth="1"/>
    <col min="10748" max="10749" width="20.7265625" style="82" customWidth="1"/>
    <col min="10750" max="10753" width="9.7265625" style="82" customWidth="1"/>
    <col min="10754" max="10755" width="20.7265625" style="82" customWidth="1"/>
    <col min="10756" max="10759" width="9.7265625" style="82" customWidth="1"/>
    <col min="10760" max="10802" width="0" style="82" hidden="1" customWidth="1"/>
    <col min="10803" max="10807" width="3.7265625" style="82" customWidth="1"/>
    <col min="10808" max="10808" width="20.7265625" style="82" customWidth="1"/>
    <col min="10809" max="10809" width="11.7265625" style="82" customWidth="1"/>
    <col min="10810" max="10998" width="8.7265625" style="82"/>
    <col min="10999" max="10999" width="8.7265625" style="82" customWidth="1"/>
    <col min="11000" max="11000" width="4.7265625" style="82" customWidth="1"/>
    <col min="11001" max="11002" width="12.7265625" style="82" customWidth="1"/>
    <col min="11003" max="11003" width="16.7265625" style="82" customWidth="1"/>
    <col min="11004" max="11005" width="20.7265625" style="82" customWidth="1"/>
    <col min="11006" max="11009" width="9.7265625" style="82" customWidth="1"/>
    <col min="11010" max="11011" width="20.7265625" style="82" customWidth="1"/>
    <col min="11012" max="11015" width="9.7265625" style="82" customWidth="1"/>
    <col min="11016" max="11058" width="0" style="82" hidden="1" customWidth="1"/>
    <col min="11059" max="11063" width="3.7265625" style="82" customWidth="1"/>
    <col min="11064" max="11064" width="20.7265625" style="82" customWidth="1"/>
    <col min="11065" max="11065" width="11.7265625" style="82" customWidth="1"/>
    <col min="11066" max="11254" width="8.7265625" style="82"/>
    <col min="11255" max="11255" width="8.7265625" style="82" customWidth="1"/>
    <col min="11256" max="11256" width="4.7265625" style="82" customWidth="1"/>
    <col min="11257" max="11258" width="12.7265625" style="82" customWidth="1"/>
    <col min="11259" max="11259" width="16.7265625" style="82" customWidth="1"/>
    <col min="11260" max="11261" width="20.7265625" style="82" customWidth="1"/>
    <col min="11262" max="11265" width="9.7265625" style="82" customWidth="1"/>
    <col min="11266" max="11267" width="20.7265625" style="82" customWidth="1"/>
    <col min="11268" max="11271" width="9.7265625" style="82" customWidth="1"/>
    <col min="11272" max="11314" width="0" style="82" hidden="1" customWidth="1"/>
    <col min="11315" max="11319" width="3.7265625" style="82" customWidth="1"/>
    <col min="11320" max="11320" width="20.7265625" style="82" customWidth="1"/>
    <col min="11321" max="11321" width="11.7265625" style="82" customWidth="1"/>
    <col min="11322" max="11510" width="8.7265625" style="82"/>
    <col min="11511" max="11511" width="8.7265625" style="82" customWidth="1"/>
    <col min="11512" max="11512" width="4.7265625" style="82" customWidth="1"/>
    <col min="11513" max="11514" width="12.7265625" style="82" customWidth="1"/>
    <col min="11515" max="11515" width="16.7265625" style="82" customWidth="1"/>
    <col min="11516" max="11517" width="20.7265625" style="82" customWidth="1"/>
    <col min="11518" max="11521" width="9.7265625" style="82" customWidth="1"/>
    <col min="11522" max="11523" width="20.7265625" style="82" customWidth="1"/>
    <col min="11524" max="11527" width="9.7265625" style="82" customWidth="1"/>
    <col min="11528" max="11570" width="0" style="82" hidden="1" customWidth="1"/>
    <col min="11571" max="11575" width="3.7265625" style="82" customWidth="1"/>
    <col min="11576" max="11576" width="20.7265625" style="82" customWidth="1"/>
    <col min="11577" max="11577" width="11.7265625" style="82" customWidth="1"/>
    <col min="11578" max="11766" width="8.7265625" style="82"/>
    <col min="11767" max="11767" width="8.7265625" style="82" customWidth="1"/>
    <col min="11768" max="11768" width="4.7265625" style="82" customWidth="1"/>
    <col min="11769" max="11770" width="12.7265625" style="82" customWidth="1"/>
    <col min="11771" max="11771" width="16.7265625" style="82" customWidth="1"/>
    <col min="11772" max="11773" width="20.7265625" style="82" customWidth="1"/>
    <col min="11774" max="11777" width="9.7265625" style="82" customWidth="1"/>
    <col min="11778" max="11779" width="20.7265625" style="82" customWidth="1"/>
    <col min="11780" max="11783" width="9.7265625" style="82" customWidth="1"/>
    <col min="11784" max="11826" width="0" style="82" hidden="1" customWidth="1"/>
    <col min="11827" max="11831" width="3.7265625" style="82" customWidth="1"/>
    <col min="11832" max="11832" width="20.7265625" style="82" customWidth="1"/>
    <col min="11833" max="11833" width="11.7265625" style="82" customWidth="1"/>
    <col min="11834" max="12022" width="8.7265625" style="82"/>
    <col min="12023" max="12023" width="8.7265625" style="82" customWidth="1"/>
    <col min="12024" max="12024" width="4.7265625" style="82" customWidth="1"/>
    <col min="12025" max="12026" width="12.7265625" style="82" customWidth="1"/>
    <col min="12027" max="12027" width="16.7265625" style="82" customWidth="1"/>
    <col min="12028" max="12029" width="20.7265625" style="82" customWidth="1"/>
    <col min="12030" max="12033" width="9.7265625" style="82" customWidth="1"/>
    <col min="12034" max="12035" width="20.7265625" style="82" customWidth="1"/>
    <col min="12036" max="12039" width="9.7265625" style="82" customWidth="1"/>
    <col min="12040" max="12082" width="0" style="82" hidden="1" customWidth="1"/>
    <col min="12083" max="12087" width="3.7265625" style="82" customWidth="1"/>
    <col min="12088" max="12088" width="20.7265625" style="82" customWidth="1"/>
    <col min="12089" max="12089" width="11.7265625" style="82" customWidth="1"/>
    <col min="12090" max="12278" width="8.7265625" style="82"/>
    <col min="12279" max="12279" width="8.7265625" style="82" customWidth="1"/>
    <col min="12280" max="12280" width="4.7265625" style="82" customWidth="1"/>
    <col min="12281" max="12282" width="12.7265625" style="82" customWidth="1"/>
    <col min="12283" max="12283" width="16.7265625" style="82" customWidth="1"/>
    <col min="12284" max="12285" width="20.7265625" style="82" customWidth="1"/>
    <col min="12286" max="12289" width="9.7265625" style="82" customWidth="1"/>
    <col min="12290" max="12291" width="20.7265625" style="82" customWidth="1"/>
    <col min="12292" max="12295" width="9.7265625" style="82" customWidth="1"/>
    <col min="12296" max="12338" width="0" style="82" hidden="1" customWidth="1"/>
    <col min="12339" max="12343" width="3.7265625" style="82" customWidth="1"/>
    <col min="12344" max="12344" width="20.7265625" style="82" customWidth="1"/>
    <col min="12345" max="12345" width="11.7265625" style="82" customWidth="1"/>
    <col min="12346" max="12534" width="8.7265625" style="82"/>
    <col min="12535" max="12535" width="8.7265625" style="82" customWidth="1"/>
    <col min="12536" max="12536" width="4.7265625" style="82" customWidth="1"/>
    <col min="12537" max="12538" width="12.7265625" style="82" customWidth="1"/>
    <col min="12539" max="12539" width="16.7265625" style="82" customWidth="1"/>
    <col min="12540" max="12541" width="20.7265625" style="82" customWidth="1"/>
    <col min="12542" max="12545" width="9.7265625" style="82" customWidth="1"/>
    <col min="12546" max="12547" width="20.7265625" style="82" customWidth="1"/>
    <col min="12548" max="12551" width="9.7265625" style="82" customWidth="1"/>
    <col min="12552" max="12594" width="0" style="82" hidden="1" customWidth="1"/>
    <col min="12595" max="12599" width="3.7265625" style="82" customWidth="1"/>
    <col min="12600" max="12600" width="20.7265625" style="82" customWidth="1"/>
    <col min="12601" max="12601" width="11.7265625" style="82" customWidth="1"/>
    <col min="12602" max="12790" width="8.7265625" style="82"/>
    <col min="12791" max="12791" width="8.7265625" style="82" customWidth="1"/>
    <col min="12792" max="12792" width="4.7265625" style="82" customWidth="1"/>
    <col min="12793" max="12794" width="12.7265625" style="82" customWidth="1"/>
    <col min="12795" max="12795" width="16.7265625" style="82" customWidth="1"/>
    <col min="12796" max="12797" width="20.7265625" style="82" customWidth="1"/>
    <col min="12798" max="12801" width="9.7265625" style="82" customWidth="1"/>
    <col min="12802" max="12803" width="20.7265625" style="82" customWidth="1"/>
    <col min="12804" max="12807" width="9.7265625" style="82" customWidth="1"/>
    <col min="12808" max="12850" width="0" style="82" hidden="1" customWidth="1"/>
    <col min="12851" max="12855" width="3.7265625" style="82" customWidth="1"/>
    <col min="12856" max="12856" width="20.7265625" style="82" customWidth="1"/>
    <col min="12857" max="12857" width="11.7265625" style="82" customWidth="1"/>
    <col min="12858" max="13046" width="8.7265625" style="82"/>
    <col min="13047" max="13047" width="8.7265625" style="82" customWidth="1"/>
    <col min="13048" max="13048" width="4.7265625" style="82" customWidth="1"/>
    <col min="13049" max="13050" width="12.7265625" style="82" customWidth="1"/>
    <col min="13051" max="13051" width="16.7265625" style="82" customWidth="1"/>
    <col min="13052" max="13053" width="20.7265625" style="82" customWidth="1"/>
    <col min="13054" max="13057" width="9.7265625" style="82" customWidth="1"/>
    <col min="13058" max="13059" width="20.7265625" style="82" customWidth="1"/>
    <col min="13060" max="13063" width="9.7265625" style="82" customWidth="1"/>
    <col min="13064" max="13106" width="0" style="82" hidden="1" customWidth="1"/>
    <col min="13107" max="13111" width="3.7265625" style="82" customWidth="1"/>
    <col min="13112" max="13112" width="20.7265625" style="82" customWidth="1"/>
    <col min="13113" max="13113" width="11.7265625" style="82" customWidth="1"/>
    <col min="13114" max="13302" width="8.7265625" style="82"/>
    <col min="13303" max="13303" width="8.7265625" style="82" customWidth="1"/>
    <col min="13304" max="13304" width="4.7265625" style="82" customWidth="1"/>
    <col min="13305" max="13306" width="12.7265625" style="82" customWidth="1"/>
    <col min="13307" max="13307" width="16.7265625" style="82" customWidth="1"/>
    <col min="13308" max="13309" width="20.7265625" style="82" customWidth="1"/>
    <col min="13310" max="13313" width="9.7265625" style="82" customWidth="1"/>
    <col min="13314" max="13315" width="20.7265625" style="82" customWidth="1"/>
    <col min="13316" max="13319" width="9.7265625" style="82" customWidth="1"/>
    <col min="13320" max="13362" width="0" style="82" hidden="1" customWidth="1"/>
    <col min="13363" max="13367" width="3.7265625" style="82" customWidth="1"/>
    <col min="13368" max="13368" width="20.7265625" style="82" customWidth="1"/>
    <col min="13369" max="13369" width="11.7265625" style="82" customWidth="1"/>
    <col min="13370" max="13558" width="8.7265625" style="82"/>
    <col min="13559" max="13559" width="8.7265625" style="82" customWidth="1"/>
    <col min="13560" max="13560" width="4.7265625" style="82" customWidth="1"/>
    <col min="13561" max="13562" width="12.7265625" style="82" customWidth="1"/>
    <col min="13563" max="13563" width="16.7265625" style="82" customWidth="1"/>
    <col min="13564" max="13565" width="20.7265625" style="82" customWidth="1"/>
    <col min="13566" max="13569" width="9.7265625" style="82" customWidth="1"/>
    <col min="13570" max="13571" width="20.7265625" style="82" customWidth="1"/>
    <col min="13572" max="13575" width="9.7265625" style="82" customWidth="1"/>
    <col min="13576" max="13618" width="0" style="82" hidden="1" customWidth="1"/>
    <col min="13619" max="13623" width="3.7265625" style="82" customWidth="1"/>
    <col min="13624" max="13624" width="20.7265625" style="82" customWidth="1"/>
    <col min="13625" max="13625" width="11.7265625" style="82" customWidth="1"/>
    <col min="13626" max="13814" width="8.7265625" style="82"/>
    <col min="13815" max="13815" width="8.7265625" style="82" customWidth="1"/>
    <col min="13816" max="13816" width="4.7265625" style="82" customWidth="1"/>
    <col min="13817" max="13818" width="12.7265625" style="82" customWidth="1"/>
    <col min="13819" max="13819" width="16.7265625" style="82" customWidth="1"/>
    <col min="13820" max="13821" width="20.7265625" style="82" customWidth="1"/>
    <col min="13822" max="13825" width="9.7265625" style="82" customWidth="1"/>
    <col min="13826" max="13827" width="20.7265625" style="82" customWidth="1"/>
    <col min="13828" max="13831" width="9.7265625" style="82" customWidth="1"/>
    <col min="13832" max="13874" width="0" style="82" hidden="1" customWidth="1"/>
    <col min="13875" max="13879" width="3.7265625" style="82" customWidth="1"/>
    <col min="13880" max="13880" width="20.7265625" style="82" customWidth="1"/>
    <col min="13881" max="13881" width="11.7265625" style="82" customWidth="1"/>
    <col min="13882" max="14070" width="8.7265625" style="82"/>
    <col min="14071" max="14071" width="8.7265625" style="82" customWidth="1"/>
    <col min="14072" max="14072" width="4.7265625" style="82" customWidth="1"/>
    <col min="14073" max="14074" width="12.7265625" style="82" customWidth="1"/>
    <col min="14075" max="14075" width="16.7265625" style="82" customWidth="1"/>
    <col min="14076" max="14077" width="20.7265625" style="82" customWidth="1"/>
    <col min="14078" max="14081" width="9.7265625" style="82" customWidth="1"/>
    <col min="14082" max="14083" width="20.7265625" style="82" customWidth="1"/>
    <col min="14084" max="14087" width="9.7265625" style="82" customWidth="1"/>
    <col min="14088" max="14130" width="0" style="82" hidden="1" customWidth="1"/>
    <col min="14131" max="14135" width="3.7265625" style="82" customWidth="1"/>
    <col min="14136" max="14136" width="20.7265625" style="82" customWidth="1"/>
    <col min="14137" max="14137" width="11.7265625" style="82" customWidth="1"/>
    <col min="14138" max="14326" width="8.7265625" style="82"/>
    <col min="14327" max="14327" width="8.7265625" style="82" customWidth="1"/>
    <col min="14328" max="14328" width="4.7265625" style="82" customWidth="1"/>
    <col min="14329" max="14330" width="12.7265625" style="82" customWidth="1"/>
    <col min="14331" max="14331" width="16.7265625" style="82" customWidth="1"/>
    <col min="14332" max="14333" width="20.7265625" style="82" customWidth="1"/>
    <col min="14334" max="14337" width="9.7265625" style="82" customWidth="1"/>
    <col min="14338" max="14339" width="20.7265625" style="82" customWidth="1"/>
    <col min="14340" max="14343" width="9.7265625" style="82" customWidth="1"/>
    <col min="14344" max="14386" width="0" style="82" hidden="1" customWidth="1"/>
    <col min="14387" max="14391" width="3.7265625" style="82" customWidth="1"/>
    <col min="14392" max="14392" width="20.7265625" style="82" customWidth="1"/>
    <col min="14393" max="14393" width="11.7265625" style="82" customWidth="1"/>
    <col min="14394" max="14582" width="8.7265625" style="82"/>
    <col min="14583" max="14583" width="8.7265625" style="82" customWidth="1"/>
    <col min="14584" max="14584" width="4.7265625" style="82" customWidth="1"/>
    <col min="14585" max="14586" width="12.7265625" style="82" customWidth="1"/>
    <col min="14587" max="14587" width="16.7265625" style="82" customWidth="1"/>
    <col min="14588" max="14589" width="20.7265625" style="82" customWidth="1"/>
    <col min="14590" max="14593" width="9.7265625" style="82" customWidth="1"/>
    <col min="14594" max="14595" width="20.7265625" style="82" customWidth="1"/>
    <col min="14596" max="14599" width="9.7265625" style="82" customWidth="1"/>
    <col min="14600" max="14642" width="0" style="82" hidden="1" customWidth="1"/>
    <col min="14643" max="14647" width="3.7265625" style="82" customWidth="1"/>
    <col min="14648" max="14648" width="20.7265625" style="82" customWidth="1"/>
    <col min="14649" max="14649" width="11.7265625" style="82" customWidth="1"/>
    <col min="14650" max="14838" width="8.7265625" style="82"/>
    <col min="14839" max="14839" width="8.7265625" style="82" customWidth="1"/>
    <col min="14840" max="14840" width="4.7265625" style="82" customWidth="1"/>
    <col min="14841" max="14842" width="12.7265625" style="82" customWidth="1"/>
    <col min="14843" max="14843" width="16.7265625" style="82" customWidth="1"/>
    <col min="14844" max="14845" width="20.7265625" style="82" customWidth="1"/>
    <col min="14846" max="14849" width="9.7265625" style="82" customWidth="1"/>
    <col min="14850" max="14851" width="20.7265625" style="82" customWidth="1"/>
    <col min="14852" max="14855" width="9.7265625" style="82" customWidth="1"/>
    <col min="14856" max="14898" width="0" style="82" hidden="1" customWidth="1"/>
    <col min="14899" max="14903" width="3.7265625" style="82" customWidth="1"/>
    <col min="14904" max="14904" width="20.7265625" style="82" customWidth="1"/>
    <col min="14905" max="14905" width="11.7265625" style="82" customWidth="1"/>
    <col min="14906" max="15094" width="8.7265625" style="82"/>
    <col min="15095" max="15095" width="8.7265625" style="82" customWidth="1"/>
    <col min="15096" max="15096" width="4.7265625" style="82" customWidth="1"/>
    <col min="15097" max="15098" width="12.7265625" style="82" customWidth="1"/>
    <col min="15099" max="15099" width="16.7265625" style="82" customWidth="1"/>
    <col min="15100" max="15101" width="20.7265625" style="82" customWidth="1"/>
    <col min="15102" max="15105" width="9.7265625" style="82" customWidth="1"/>
    <col min="15106" max="15107" width="20.7265625" style="82" customWidth="1"/>
    <col min="15108" max="15111" width="9.7265625" style="82" customWidth="1"/>
    <col min="15112" max="15154" width="0" style="82" hidden="1" customWidth="1"/>
    <col min="15155" max="15159" width="3.7265625" style="82" customWidth="1"/>
    <col min="15160" max="15160" width="20.7265625" style="82" customWidth="1"/>
    <col min="15161" max="15161" width="11.7265625" style="82" customWidth="1"/>
    <col min="15162" max="15350" width="8.7265625" style="82"/>
    <col min="15351" max="15351" width="8.7265625" style="82" customWidth="1"/>
    <col min="15352" max="15352" width="4.7265625" style="82" customWidth="1"/>
    <col min="15353" max="15354" width="12.7265625" style="82" customWidth="1"/>
    <col min="15355" max="15355" width="16.7265625" style="82" customWidth="1"/>
    <col min="15356" max="15357" width="20.7265625" style="82" customWidth="1"/>
    <col min="15358" max="15361" width="9.7265625" style="82" customWidth="1"/>
    <col min="15362" max="15363" width="20.7265625" style="82" customWidth="1"/>
    <col min="15364" max="15367" width="9.7265625" style="82" customWidth="1"/>
    <col min="15368" max="15410" width="0" style="82" hidden="1" customWidth="1"/>
    <col min="15411" max="15415" width="3.7265625" style="82" customWidth="1"/>
    <col min="15416" max="15416" width="20.7265625" style="82" customWidth="1"/>
    <col min="15417" max="15417" width="11.7265625" style="82" customWidth="1"/>
    <col min="15418" max="15606" width="8.7265625" style="82"/>
    <col min="15607" max="15607" width="8.7265625" style="82" customWidth="1"/>
    <col min="15608" max="15608" width="4.7265625" style="82" customWidth="1"/>
    <col min="15609" max="15610" width="12.7265625" style="82" customWidth="1"/>
    <col min="15611" max="15611" width="16.7265625" style="82" customWidth="1"/>
    <col min="15612" max="15613" width="20.7265625" style="82" customWidth="1"/>
    <col min="15614" max="15617" width="9.7265625" style="82" customWidth="1"/>
    <col min="15618" max="15619" width="20.7265625" style="82" customWidth="1"/>
    <col min="15620" max="15623" width="9.7265625" style="82" customWidth="1"/>
    <col min="15624" max="15666" width="0" style="82" hidden="1" customWidth="1"/>
    <col min="15667" max="15671" width="3.7265625" style="82" customWidth="1"/>
    <col min="15672" max="15672" width="20.7265625" style="82" customWidth="1"/>
    <col min="15673" max="15673" width="11.7265625" style="82" customWidth="1"/>
    <col min="15674" max="15862" width="8.7265625" style="82"/>
    <col min="15863" max="15863" width="8.7265625" style="82" customWidth="1"/>
    <col min="15864" max="15864" width="4.7265625" style="82" customWidth="1"/>
    <col min="15865" max="15866" width="12.7265625" style="82" customWidth="1"/>
    <col min="15867" max="15867" width="16.7265625" style="82" customWidth="1"/>
    <col min="15868" max="15869" width="20.7265625" style="82" customWidth="1"/>
    <col min="15870" max="15873" width="9.7265625" style="82" customWidth="1"/>
    <col min="15874" max="15875" width="20.7265625" style="82" customWidth="1"/>
    <col min="15876" max="15879" width="9.7265625" style="82" customWidth="1"/>
    <col min="15880" max="15922" width="0" style="82" hidden="1" customWidth="1"/>
    <col min="15923" max="15927" width="3.7265625" style="82" customWidth="1"/>
    <col min="15928" max="15928" width="20.7265625" style="82" customWidth="1"/>
    <col min="15929" max="15929" width="11.7265625" style="82" customWidth="1"/>
    <col min="15930" max="16118" width="8.7265625" style="82"/>
    <col min="16119" max="16119" width="8.7265625" style="82" customWidth="1"/>
    <col min="16120" max="16120" width="4.7265625" style="82" customWidth="1"/>
    <col min="16121" max="16122" width="12.7265625" style="82" customWidth="1"/>
    <col min="16123" max="16123" width="16.7265625" style="82" customWidth="1"/>
    <col min="16124" max="16125" width="20.7265625" style="82" customWidth="1"/>
    <col min="16126" max="16129" width="9.7265625" style="82" customWidth="1"/>
    <col min="16130" max="16131" width="20.7265625" style="82" customWidth="1"/>
    <col min="16132" max="16135" width="9.7265625" style="82" customWidth="1"/>
    <col min="16136" max="16178" width="0" style="82" hidden="1" customWidth="1"/>
    <col min="16179" max="16183" width="3.7265625" style="82" customWidth="1"/>
    <col min="16184" max="16184" width="20.7265625" style="82" customWidth="1"/>
    <col min="16185" max="16185" width="11.7265625" style="82" customWidth="1"/>
    <col min="16186" max="16384" width="8.7265625" style="82"/>
  </cols>
  <sheetData>
    <row r="1" spans="1:67" s="8" customFormat="1" ht="16" customHeight="1" x14ac:dyDescent="0.25">
      <c r="A1" s="437"/>
      <c r="B1" s="437"/>
      <c r="C1" s="437"/>
      <c r="D1" s="437"/>
      <c r="E1" s="437"/>
      <c r="F1" s="437"/>
      <c r="G1" s="437"/>
      <c r="H1" s="437"/>
      <c r="I1" s="437"/>
      <c r="J1" s="437"/>
      <c r="K1" s="437"/>
      <c r="L1" s="437"/>
      <c r="M1" s="437"/>
      <c r="N1" s="437"/>
      <c r="O1" s="437"/>
      <c r="P1" s="437"/>
      <c r="Q1" s="437"/>
      <c r="R1" s="437"/>
      <c r="S1" s="437"/>
      <c r="T1" s="437"/>
      <c r="U1" s="437"/>
      <c r="V1" s="437"/>
      <c r="W1" s="437"/>
      <c r="X1" s="437"/>
      <c r="Y1" s="437"/>
      <c r="Z1" s="437"/>
      <c r="AA1" s="437"/>
      <c r="AB1" s="437"/>
      <c r="AC1" s="437"/>
      <c r="AD1" s="437"/>
      <c r="AE1" s="437"/>
      <c r="AF1" s="437"/>
      <c r="AG1" s="437"/>
      <c r="AH1" s="437"/>
      <c r="AI1" s="437"/>
      <c r="AJ1" s="437"/>
      <c r="AK1" s="437"/>
      <c r="AL1" s="437"/>
      <c r="AM1" s="437"/>
      <c r="AN1" s="437"/>
      <c r="AO1" s="437"/>
      <c r="AP1" s="437"/>
      <c r="AQ1" s="437"/>
      <c r="AR1" s="437"/>
      <c r="AS1" s="437"/>
      <c r="AT1" s="437"/>
      <c r="AU1" s="437"/>
      <c r="AV1" s="437"/>
      <c r="AW1" s="437"/>
      <c r="AX1" s="437"/>
      <c r="AY1" s="437"/>
      <c r="AZ1" s="437"/>
      <c r="BA1" s="437"/>
      <c r="BB1" s="437"/>
      <c r="BC1" s="437"/>
      <c r="BD1" s="437"/>
      <c r="BE1" s="437"/>
      <c r="BF1" s="437"/>
      <c r="BG1" s="437"/>
      <c r="BH1" s="437"/>
      <c r="BI1" s="437"/>
      <c r="BJ1" s="437"/>
      <c r="BK1" s="437"/>
      <c r="BL1" s="437"/>
      <c r="BM1" s="437"/>
      <c r="BN1" s="437"/>
      <c r="BO1" s="437"/>
    </row>
    <row r="2" spans="1:67" s="24" customFormat="1" ht="16" customHeight="1" x14ac:dyDescent="0.25">
      <c r="A2" s="438" t="s">
        <v>2208</v>
      </c>
      <c r="B2" s="438"/>
      <c r="C2" s="438"/>
      <c r="D2" s="438"/>
      <c r="E2" s="438"/>
      <c r="F2" s="438"/>
      <c r="G2" s="438"/>
      <c r="H2" s="438"/>
      <c r="I2" s="438"/>
      <c r="J2" s="438"/>
      <c r="K2" s="438"/>
      <c r="L2" s="438"/>
      <c r="M2" s="438"/>
      <c r="N2" s="438"/>
      <c r="O2" s="438"/>
      <c r="P2" s="438"/>
      <c r="Q2" s="438"/>
      <c r="R2" s="438"/>
      <c r="S2" s="438"/>
      <c r="T2" s="438"/>
      <c r="U2" s="438"/>
      <c r="V2" s="438"/>
      <c r="W2" s="438"/>
      <c r="X2" s="438"/>
      <c r="Y2" s="438"/>
      <c r="Z2" s="438"/>
      <c r="AA2" s="438"/>
      <c r="AB2" s="438"/>
      <c r="AC2" s="438"/>
      <c r="AD2" s="438"/>
      <c r="AE2" s="438"/>
      <c r="AF2" s="438"/>
      <c r="AG2" s="438"/>
      <c r="AH2" s="438"/>
      <c r="AI2" s="438"/>
      <c r="AJ2" s="438"/>
      <c r="AK2" s="438"/>
      <c r="AL2" s="438"/>
      <c r="AM2" s="438"/>
      <c r="AN2" s="438"/>
      <c r="AO2" s="438"/>
      <c r="AP2" s="438"/>
      <c r="AQ2" s="438"/>
      <c r="AR2" s="438"/>
      <c r="AS2" s="438"/>
      <c r="AT2" s="438"/>
      <c r="AU2" s="438"/>
      <c r="AV2" s="438"/>
      <c r="AW2" s="438"/>
      <c r="AX2" s="438"/>
      <c r="AY2" s="438"/>
      <c r="AZ2" s="438"/>
      <c r="BA2" s="438"/>
      <c r="BB2" s="438"/>
      <c r="BC2" s="438"/>
      <c r="BD2" s="438"/>
      <c r="BE2" s="438"/>
      <c r="BF2" s="438"/>
      <c r="BG2" s="438"/>
      <c r="BH2" s="438"/>
      <c r="BI2" s="438"/>
      <c r="BJ2" s="438"/>
      <c r="BK2" s="438"/>
      <c r="BL2" s="438"/>
      <c r="BM2" s="438"/>
      <c r="BN2" s="438"/>
      <c r="BO2" s="438"/>
    </row>
    <row r="3" spans="1:67" s="24" customFormat="1" ht="16" customHeight="1" x14ac:dyDescent="0.25">
      <c r="A3" s="438" t="s">
        <v>1415</v>
      </c>
      <c r="B3" s="438"/>
      <c r="C3" s="438"/>
      <c r="D3" s="438"/>
      <c r="E3" s="438"/>
      <c r="F3" s="438"/>
      <c r="G3" s="438"/>
      <c r="H3" s="438"/>
      <c r="I3" s="438"/>
      <c r="J3" s="438"/>
      <c r="K3" s="438"/>
      <c r="L3" s="438"/>
      <c r="M3" s="438"/>
      <c r="N3" s="438"/>
      <c r="O3" s="438"/>
      <c r="P3" s="438"/>
      <c r="Q3" s="438"/>
      <c r="R3" s="438"/>
      <c r="S3" s="438"/>
      <c r="T3" s="438"/>
      <c r="U3" s="438"/>
      <c r="V3" s="438"/>
      <c r="W3" s="438"/>
      <c r="X3" s="438"/>
      <c r="Y3" s="438"/>
      <c r="Z3" s="438"/>
      <c r="AA3" s="438"/>
      <c r="AB3" s="438"/>
      <c r="AC3" s="438"/>
      <c r="AD3" s="438"/>
      <c r="AE3" s="438"/>
      <c r="AF3" s="438"/>
      <c r="AG3" s="438"/>
      <c r="AH3" s="438"/>
      <c r="AI3" s="438"/>
      <c r="AJ3" s="438"/>
      <c r="AK3" s="438"/>
      <c r="AL3" s="438"/>
      <c r="AM3" s="438"/>
      <c r="AN3" s="438"/>
      <c r="AO3" s="438"/>
      <c r="AP3" s="438"/>
      <c r="AQ3" s="438"/>
      <c r="AR3" s="438"/>
      <c r="AS3" s="438"/>
      <c r="AT3" s="438"/>
      <c r="AU3" s="438"/>
      <c r="AV3" s="438"/>
      <c r="AW3" s="438"/>
      <c r="AX3" s="438"/>
      <c r="AY3" s="438"/>
      <c r="AZ3" s="438"/>
      <c r="BA3" s="438"/>
      <c r="BB3" s="438"/>
      <c r="BC3" s="438"/>
      <c r="BD3" s="438"/>
      <c r="BE3" s="438"/>
      <c r="BF3" s="438"/>
      <c r="BG3" s="438"/>
      <c r="BH3" s="438"/>
      <c r="BI3" s="438"/>
      <c r="BJ3" s="438"/>
      <c r="BK3" s="438"/>
      <c r="BL3" s="438"/>
      <c r="BM3" s="438"/>
      <c r="BN3" s="438"/>
      <c r="BO3" s="438"/>
    </row>
    <row r="4" spans="1:67" s="24" customFormat="1" ht="16" customHeight="1" thickBot="1" x14ac:dyDescent="0.3">
      <c r="A4" s="439"/>
      <c r="B4" s="439"/>
      <c r="C4" s="439"/>
      <c r="D4" s="439"/>
      <c r="E4" s="439"/>
      <c r="F4" s="439"/>
      <c r="G4" s="439"/>
      <c r="H4" s="439"/>
      <c r="I4" s="439"/>
      <c r="J4" s="439"/>
      <c r="K4" s="439"/>
      <c r="L4" s="439"/>
      <c r="M4" s="439"/>
      <c r="N4" s="439"/>
      <c r="O4" s="439"/>
      <c r="P4" s="439"/>
      <c r="Q4" s="439"/>
      <c r="R4" s="439"/>
      <c r="S4" s="439"/>
      <c r="T4" s="439"/>
      <c r="U4" s="439"/>
      <c r="V4" s="439"/>
      <c r="W4" s="439"/>
      <c r="X4" s="439"/>
      <c r="Y4" s="439"/>
      <c r="Z4" s="439"/>
      <c r="AA4" s="439"/>
      <c r="AB4" s="439"/>
      <c r="AC4" s="439"/>
      <c r="AD4" s="439"/>
      <c r="AE4" s="439"/>
      <c r="AF4" s="439"/>
      <c r="AG4" s="439"/>
      <c r="AH4" s="439"/>
      <c r="AI4" s="439"/>
      <c r="AJ4" s="439"/>
      <c r="AK4" s="439"/>
      <c r="AL4" s="439"/>
      <c r="AM4" s="439"/>
      <c r="AN4" s="439"/>
      <c r="AO4" s="439"/>
      <c r="AP4" s="439"/>
      <c r="AQ4" s="439"/>
      <c r="AR4" s="439"/>
      <c r="AS4" s="439"/>
      <c r="AT4" s="439"/>
      <c r="AU4" s="439"/>
      <c r="AV4" s="439"/>
      <c r="AW4" s="439"/>
      <c r="AX4" s="439"/>
      <c r="AY4" s="439"/>
      <c r="AZ4" s="439"/>
      <c r="BA4" s="439"/>
      <c r="BB4" s="439"/>
      <c r="BC4" s="439"/>
      <c r="BD4" s="439"/>
      <c r="BE4" s="439"/>
      <c r="BF4" s="439"/>
      <c r="BG4" s="439"/>
      <c r="BH4" s="439"/>
      <c r="BI4" s="439"/>
      <c r="BJ4" s="439"/>
      <c r="BK4" s="439"/>
      <c r="BL4" s="439"/>
      <c r="BM4" s="439"/>
      <c r="BN4" s="439"/>
      <c r="BO4" s="439"/>
    </row>
    <row r="5" spans="1:67" s="24" customFormat="1" ht="16" customHeight="1" thickBot="1" x14ac:dyDescent="0.3">
      <c r="A5" s="440"/>
      <c r="B5" s="441"/>
      <c r="C5" s="441"/>
      <c r="D5" s="441"/>
      <c r="E5" s="441"/>
      <c r="F5" s="441"/>
      <c r="G5" s="441"/>
      <c r="H5" s="441"/>
      <c r="I5" s="441"/>
      <c r="J5" s="441"/>
      <c r="K5" s="441"/>
      <c r="L5" s="441"/>
      <c r="M5" s="441"/>
      <c r="N5" s="441"/>
      <c r="O5" s="441"/>
      <c r="P5" s="441"/>
      <c r="Q5" s="441"/>
      <c r="R5" s="441"/>
      <c r="S5" s="441"/>
      <c r="T5" s="441"/>
      <c r="U5" s="441"/>
      <c r="V5" s="441"/>
      <c r="W5" s="441"/>
      <c r="X5" s="441"/>
      <c r="Y5" s="441"/>
      <c r="Z5" s="441"/>
      <c r="AA5" s="441"/>
      <c r="AB5" s="441"/>
      <c r="AC5" s="442"/>
      <c r="AD5" s="431" t="s">
        <v>1416</v>
      </c>
      <c r="AE5" s="432"/>
      <c r="AF5" s="432"/>
      <c r="AG5" s="432"/>
      <c r="AH5" s="432"/>
      <c r="AI5" s="432"/>
      <c r="AJ5" s="432"/>
      <c r="AK5" s="432"/>
      <c r="AL5" s="432"/>
      <c r="AM5" s="432"/>
      <c r="AN5" s="432"/>
      <c r="AO5" s="432"/>
      <c r="AP5" s="432"/>
      <c r="AQ5" s="432"/>
      <c r="AR5" s="432"/>
      <c r="AS5" s="432"/>
      <c r="AT5" s="432"/>
      <c r="AU5" s="432"/>
      <c r="AV5" s="432"/>
      <c r="AW5" s="432"/>
      <c r="AX5" s="432"/>
      <c r="AY5" s="432"/>
      <c r="AZ5" s="432"/>
      <c r="BA5" s="432"/>
      <c r="BB5" s="432"/>
      <c r="BC5" s="432"/>
      <c r="BD5" s="432"/>
      <c r="BE5" s="432"/>
      <c r="BF5" s="432"/>
      <c r="BG5" s="432"/>
      <c r="BH5" s="432"/>
      <c r="BI5" s="433"/>
      <c r="BJ5" s="433"/>
      <c r="BK5" s="433"/>
      <c r="BL5" s="433"/>
      <c r="BM5" s="433"/>
      <c r="BN5" s="433"/>
      <c r="BO5" s="433"/>
    </row>
    <row r="6" spans="1:67" s="8" customFormat="1" ht="16" customHeight="1" thickBot="1" x14ac:dyDescent="0.3">
      <c r="A6" s="443" t="s">
        <v>1412</v>
      </c>
      <c r="B6" s="443"/>
      <c r="C6" s="443"/>
      <c r="D6" s="443"/>
      <c r="E6" s="444"/>
      <c r="F6" s="423" t="s">
        <v>1417</v>
      </c>
      <c r="G6" s="423"/>
      <c r="H6" s="423"/>
      <c r="I6" s="423"/>
      <c r="J6" s="423"/>
      <c r="K6" s="423"/>
      <c r="L6" s="423"/>
      <c r="M6" s="423"/>
      <c r="N6" s="423"/>
      <c r="O6" s="423"/>
      <c r="P6" s="423"/>
      <c r="Q6" s="423"/>
      <c r="R6" s="423" t="s">
        <v>1418</v>
      </c>
      <c r="S6" s="423"/>
      <c r="T6" s="423"/>
      <c r="U6" s="423"/>
      <c r="V6" s="423"/>
      <c r="W6" s="423"/>
      <c r="X6" s="423"/>
      <c r="Y6" s="423"/>
      <c r="Z6" s="423"/>
      <c r="AA6" s="423"/>
      <c r="AB6" s="423"/>
      <c r="AC6" s="423"/>
      <c r="AD6" s="423" t="s">
        <v>1419</v>
      </c>
      <c r="AE6" s="434" t="s">
        <v>1420</v>
      </c>
      <c r="AF6" s="434"/>
      <c r="AG6" s="434"/>
      <c r="AH6" s="434"/>
      <c r="AI6" s="434"/>
      <c r="AJ6" s="434"/>
      <c r="AK6" s="434"/>
      <c r="AL6" s="434"/>
      <c r="AM6" s="434"/>
      <c r="AN6" s="434"/>
      <c r="AO6" s="434" t="s">
        <v>1421</v>
      </c>
      <c r="AP6" s="434"/>
      <c r="AQ6" s="434"/>
      <c r="AR6" s="434"/>
      <c r="AS6" s="434"/>
      <c r="AT6" s="434"/>
      <c r="AU6" s="434"/>
      <c r="AV6" s="434"/>
      <c r="AW6" s="434"/>
      <c r="AX6" s="434"/>
      <c r="AY6" s="434" t="s">
        <v>1422</v>
      </c>
      <c r="AZ6" s="434"/>
      <c r="BA6" s="434"/>
      <c r="BB6" s="434"/>
      <c r="BC6" s="434"/>
      <c r="BD6" s="434"/>
      <c r="BE6" s="434"/>
      <c r="BF6" s="434"/>
      <c r="BG6" s="434"/>
      <c r="BH6" s="434"/>
      <c r="BI6" s="435"/>
      <c r="BJ6" s="436"/>
      <c r="BK6" s="436"/>
      <c r="BL6" s="436"/>
      <c r="BM6" s="436"/>
      <c r="BN6" s="436"/>
      <c r="BO6" s="436"/>
    </row>
    <row r="7" spans="1:67" s="8" customFormat="1" ht="16" customHeight="1" thickBot="1" x14ac:dyDescent="0.3">
      <c r="A7" s="423" t="s">
        <v>1423</v>
      </c>
      <c r="B7" s="423" t="s">
        <v>1424</v>
      </c>
      <c r="C7" s="423" t="s">
        <v>1425</v>
      </c>
      <c r="D7" s="423" t="s">
        <v>1426</v>
      </c>
      <c r="E7" s="423" t="s">
        <v>1427</v>
      </c>
      <c r="F7" s="425" t="s">
        <v>1428</v>
      </c>
      <c r="G7" s="425" t="s">
        <v>1413</v>
      </c>
      <c r="H7" s="423" t="s">
        <v>1429</v>
      </c>
      <c r="I7" s="423"/>
      <c r="J7" s="423"/>
      <c r="K7" s="423"/>
      <c r="L7" s="425" t="s">
        <v>1428</v>
      </c>
      <c r="M7" s="425" t="s">
        <v>1413</v>
      </c>
      <c r="N7" s="423" t="s">
        <v>1430</v>
      </c>
      <c r="O7" s="423"/>
      <c r="P7" s="423"/>
      <c r="Q7" s="423"/>
      <c r="R7" s="425" t="s">
        <v>1428</v>
      </c>
      <c r="S7" s="425" t="s">
        <v>1413</v>
      </c>
      <c r="T7" s="423" t="s">
        <v>1429</v>
      </c>
      <c r="U7" s="423"/>
      <c r="V7" s="423"/>
      <c r="W7" s="423"/>
      <c r="X7" s="426" t="s">
        <v>1428</v>
      </c>
      <c r="Y7" s="426" t="s">
        <v>1413</v>
      </c>
      <c r="Z7" s="428" t="s">
        <v>1430</v>
      </c>
      <c r="AA7" s="429"/>
      <c r="AB7" s="429"/>
      <c r="AC7" s="430"/>
      <c r="AD7" s="423"/>
      <c r="AE7" s="423" t="s">
        <v>1431</v>
      </c>
      <c r="AF7" s="423" t="s">
        <v>1413</v>
      </c>
      <c r="AG7" s="423" t="s">
        <v>1429</v>
      </c>
      <c r="AH7" s="423"/>
      <c r="AI7" s="423" t="s">
        <v>1430</v>
      </c>
      <c r="AJ7" s="423"/>
      <c r="AK7" s="423" t="s">
        <v>1429</v>
      </c>
      <c r="AL7" s="423"/>
      <c r="AM7" s="423" t="s">
        <v>1430</v>
      </c>
      <c r="AN7" s="423"/>
      <c r="AO7" s="423" t="s">
        <v>1432</v>
      </c>
      <c r="AP7" s="423" t="s">
        <v>1413</v>
      </c>
      <c r="AQ7" s="423" t="s">
        <v>1429</v>
      </c>
      <c r="AR7" s="423"/>
      <c r="AS7" s="423" t="s">
        <v>1430</v>
      </c>
      <c r="AT7" s="423"/>
      <c r="AU7" s="423" t="s">
        <v>1429</v>
      </c>
      <c r="AV7" s="423"/>
      <c r="AW7" s="423" t="s">
        <v>1430</v>
      </c>
      <c r="AX7" s="423"/>
      <c r="AY7" s="423" t="s">
        <v>1432</v>
      </c>
      <c r="AZ7" s="423" t="s">
        <v>1413</v>
      </c>
      <c r="BA7" s="423" t="s">
        <v>1429</v>
      </c>
      <c r="BB7" s="423"/>
      <c r="BC7" s="423" t="s">
        <v>1430</v>
      </c>
      <c r="BD7" s="423"/>
      <c r="BE7" s="423" t="s">
        <v>1429</v>
      </c>
      <c r="BF7" s="423"/>
      <c r="BG7" s="423" t="s">
        <v>1430</v>
      </c>
      <c r="BH7" s="423"/>
      <c r="BI7" s="423" t="s">
        <v>42</v>
      </c>
      <c r="BJ7" s="423"/>
      <c r="BK7" s="423"/>
      <c r="BL7" s="423"/>
      <c r="BM7" s="423"/>
      <c r="BN7" s="445"/>
      <c r="BO7" s="443"/>
    </row>
    <row r="8" spans="1:67" s="8" customFormat="1" ht="50.15" customHeight="1" x14ac:dyDescent="0.25">
      <c r="A8" s="424"/>
      <c r="B8" s="424"/>
      <c r="C8" s="424"/>
      <c r="D8" s="424"/>
      <c r="E8" s="424"/>
      <c r="F8" s="426"/>
      <c r="G8" s="426"/>
      <c r="H8" s="91" t="s">
        <v>1433</v>
      </c>
      <c r="I8" s="91" t="s">
        <v>1434</v>
      </c>
      <c r="J8" s="91" t="s">
        <v>1435</v>
      </c>
      <c r="K8" s="91" t="s">
        <v>1436</v>
      </c>
      <c r="L8" s="426"/>
      <c r="M8" s="426"/>
      <c r="N8" s="91" t="s">
        <v>1433</v>
      </c>
      <c r="O8" s="91" t="s">
        <v>1434</v>
      </c>
      <c r="P8" s="91" t="s">
        <v>1435</v>
      </c>
      <c r="Q8" s="91" t="s">
        <v>1436</v>
      </c>
      <c r="R8" s="426"/>
      <c r="S8" s="426"/>
      <c r="T8" s="91" t="s">
        <v>1433</v>
      </c>
      <c r="U8" s="91" t="s">
        <v>1434</v>
      </c>
      <c r="V8" s="91" t="s">
        <v>1435</v>
      </c>
      <c r="W8" s="91" t="s">
        <v>1436</v>
      </c>
      <c r="X8" s="427"/>
      <c r="Y8" s="427"/>
      <c r="Z8" s="91" t="s">
        <v>1433</v>
      </c>
      <c r="AA8" s="91" t="s">
        <v>1434</v>
      </c>
      <c r="AB8" s="91" t="s">
        <v>1435</v>
      </c>
      <c r="AC8" s="91" t="s">
        <v>1436</v>
      </c>
      <c r="AD8" s="424"/>
      <c r="AE8" s="424"/>
      <c r="AF8" s="424"/>
      <c r="AG8" s="91" t="s">
        <v>1433</v>
      </c>
      <c r="AH8" s="91" t="s">
        <v>1434</v>
      </c>
      <c r="AI8" s="91" t="s">
        <v>1433</v>
      </c>
      <c r="AJ8" s="91" t="s">
        <v>1434</v>
      </c>
      <c r="AK8" s="91" t="s">
        <v>1435</v>
      </c>
      <c r="AL8" s="91" t="s">
        <v>1436</v>
      </c>
      <c r="AM8" s="91" t="s">
        <v>1435</v>
      </c>
      <c r="AN8" s="91" t="s">
        <v>1436</v>
      </c>
      <c r="AO8" s="424"/>
      <c r="AP8" s="424"/>
      <c r="AQ8" s="91" t="s">
        <v>1433</v>
      </c>
      <c r="AR8" s="91" t="s">
        <v>1434</v>
      </c>
      <c r="AS8" s="91" t="s">
        <v>1433</v>
      </c>
      <c r="AT8" s="91" t="s">
        <v>1434</v>
      </c>
      <c r="AU8" s="91" t="s">
        <v>1435</v>
      </c>
      <c r="AV8" s="91" t="s">
        <v>1436</v>
      </c>
      <c r="AW8" s="91" t="s">
        <v>1435</v>
      </c>
      <c r="AX8" s="91" t="s">
        <v>1436</v>
      </c>
      <c r="AY8" s="424"/>
      <c r="AZ8" s="424"/>
      <c r="BA8" s="91" t="s">
        <v>1433</v>
      </c>
      <c r="BB8" s="91" t="s">
        <v>1434</v>
      </c>
      <c r="BC8" s="91" t="s">
        <v>1433</v>
      </c>
      <c r="BD8" s="91" t="s">
        <v>1434</v>
      </c>
      <c r="BE8" s="91" t="s">
        <v>1435</v>
      </c>
      <c r="BF8" s="91" t="s">
        <v>1436</v>
      </c>
      <c r="BG8" s="91" t="s">
        <v>1435</v>
      </c>
      <c r="BH8" s="91" t="s">
        <v>1436</v>
      </c>
      <c r="BI8" s="25" t="s">
        <v>1437</v>
      </c>
      <c r="BJ8" s="25" t="s">
        <v>1438</v>
      </c>
      <c r="BK8" s="25" t="s">
        <v>1439</v>
      </c>
      <c r="BL8" s="25" t="s">
        <v>1440</v>
      </c>
      <c r="BM8" s="25" t="s">
        <v>1441</v>
      </c>
      <c r="BN8" s="91" t="s">
        <v>1414</v>
      </c>
      <c r="BO8" s="92" t="s">
        <v>1442</v>
      </c>
    </row>
    <row r="9" spans="1:67" s="111" customFormat="1" ht="25" customHeight="1" x14ac:dyDescent="0.25">
      <c r="A9" s="446">
        <v>9255</v>
      </c>
      <c r="B9" s="446">
        <v>115</v>
      </c>
      <c r="C9" s="447" t="s">
        <v>2748</v>
      </c>
      <c r="D9" s="447" t="s">
        <v>2747</v>
      </c>
      <c r="E9" s="87">
        <v>104</v>
      </c>
      <c r="F9" s="86" t="s">
        <v>30</v>
      </c>
      <c r="G9" s="86" t="s">
        <v>1443</v>
      </c>
      <c r="H9" s="93">
        <f t="shared" ref="H9:I15" si="0">(115*J9*SQRT(3))/1000</f>
        <v>111.54407200743569</v>
      </c>
      <c r="I9" s="93">
        <f t="shared" si="0"/>
        <v>111.54407200743569</v>
      </c>
      <c r="J9" s="85">
        <v>560</v>
      </c>
      <c r="K9" s="85">
        <v>560</v>
      </c>
      <c r="L9" s="89"/>
      <c r="M9" s="88"/>
      <c r="N9" s="93"/>
      <c r="O9" s="93"/>
      <c r="P9" s="85"/>
      <c r="Q9" s="85"/>
      <c r="R9" s="84"/>
      <c r="S9" s="84"/>
      <c r="T9" s="93"/>
      <c r="U9" s="93"/>
      <c r="V9" s="93"/>
      <c r="W9" s="93"/>
      <c r="X9" s="84"/>
      <c r="Y9" s="84"/>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446" t="s">
        <v>1444</v>
      </c>
      <c r="BJ9" s="446"/>
      <c r="BK9" s="446"/>
      <c r="BL9" s="446"/>
      <c r="BM9" s="446"/>
      <c r="BN9" s="446" t="s">
        <v>1445</v>
      </c>
      <c r="BO9" s="448">
        <v>42520</v>
      </c>
    </row>
    <row r="10" spans="1:67" s="8" customFormat="1" ht="25" customHeight="1" x14ac:dyDescent="0.25">
      <c r="A10" s="446"/>
      <c r="B10" s="446"/>
      <c r="C10" s="447"/>
      <c r="D10" s="447"/>
      <c r="E10" s="87">
        <v>100</v>
      </c>
      <c r="F10" s="86" t="s">
        <v>30</v>
      </c>
      <c r="G10" s="86" t="s">
        <v>1443</v>
      </c>
      <c r="H10" s="93">
        <f t="shared" si="0"/>
        <v>117.3204614506779</v>
      </c>
      <c r="I10" s="93">
        <f t="shared" si="0"/>
        <v>117.3204614506779</v>
      </c>
      <c r="J10" s="85">
        <v>589</v>
      </c>
      <c r="K10" s="85">
        <v>589</v>
      </c>
      <c r="L10" s="89"/>
      <c r="M10" s="88"/>
      <c r="N10" s="93"/>
      <c r="O10" s="93"/>
      <c r="P10" s="85"/>
      <c r="Q10" s="85"/>
      <c r="R10" s="84"/>
      <c r="S10" s="84"/>
      <c r="T10" s="93"/>
      <c r="U10" s="93"/>
      <c r="V10" s="93"/>
      <c r="W10" s="93"/>
      <c r="X10" s="84"/>
      <c r="Y10" s="84"/>
      <c r="Z10" s="93"/>
      <c r="AA10" s="93"/>
      <c r="AB10" s="93"/>
      <c r="AC10" s="93"/>
      <c r="AD10" s="93"/>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c r="BC10" s="93"/>
      <c r="BD10" s="93"/>
      <c r="BE10" s="93"/>
      <c r="BF10" s="93"/>
      <c r="BG10" s="93"/>
      <c r="BH10" s="93"/>
      <c r="BI10" s="446"/>
      <c r="BJ10" s="446"/>
      <c r="BK10" s="446"/>
      <c r="BL10" s="446"/>
      <c r="BM10" s="446"/>
      <c r="BN10" s="446"/>
      <c r="BO10" s="448"/>
    </row>
    <row r="11" spans="1:67" s="8" customFormat="1" ht="25" customHeight="1" x14ac:dyDescent="0.25">
      <c r="A11" s="446"/>
      <c r="B11" s="446"/>
      <c r="C11" s="447"/>
      <c r="D11" s="447"/>
      <c r="E11" s="87">
        <v>90</v>
      </c>
      <c r="F11" s="86" t="s">
        <v>30</v>
      </c>
      <c r="G11" s="86" t="s">
        <v>1443</v>
      </c>
      <c r="H11" s="93">
        <f t="shared" si="0"/>
        <v>130.86509876586652</v>
      </c>
      <c r="I11" s="93">
        <f t="shared" si="0"/>
        <v>130.86509876586652</v>
      </c>
      <c r="J11" s="85">
        <v>657</v>
      </c>
      <c r="K11" s="85">
        <v>657</v>
      </c>
      <c r="L11" s="89"/>
      <c r="M11" s="88"/>
      <c r="N11" s="93"/>
      <c r="O11" s="93"/>
      <c r="P11" s="85"/>
      <c r="Q11" s="85"/>
      <c r="R11" s="84"/>
      <c r="S11" s="84"/>
      <c r="T11" s="93"/>
      <c r="U11" s="93"/>
      <c r="V11" s="93"/>
      <c r="W11" s="93"/>
      <c r="X11" s="84"/>
      <c r="Y11" s="84"/>
      <c r="Z11" s="93"/>
      <c r="AA11" s="93"/>
      <c r="AB11" s="93"/>
      <c r="AC11" s="93"/>
      <c r="AD11" s="9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c r="BE11" s="93"/>
      <c r="BF11" s="93"/>
      <c r="BG11" s="93"/>
      <c r="BH11" s="93"/>
      <c r="BI11" s="446"/>
      <c r="BJ11" s="446"/>
      <c r="BK11" s="446"/>
      <c r="BL11" s="446"/>
      <c r="BM11" s="446"/>
      <c r="BN11" s="446"/>
      <c r="BO11" s="448"/>
    </row>
    <row r="12" spans="1:67" s="8" customFormat="1" ht="25" customHeight="1" x14ac:dyDescent="0.25">
      <c r="A12" s="446"/>
      <c r="B12" s="446"/>
      <c r="C12" s="447"/>
      <c r="D12" s="447"/>
      <c r="E12" s="87">
        <v>80</v>
      </c>
      <c r="F12" s="86" t="s">
        <v>30</v>
      </c>
      <c r="G12" s="86" t="s">
        <v>1443</v>
      </c>
      <c r="H12" s="93">
        <f t="shared" si="0"/>
        <v>143.21462102383262</v>
      </c>
      <c r="I12" s="93">
        <f t="shared" si="0"/>
        <v>143.21462102383262</v>
      </c>
      <c r="J12" s="85">
        <v>719</v>
      </c>
      <c r="K12" s="85">
        <v>719</v>
      </c>
      <c r="L12" s="89"/>
      <c r="M12" s="88"/>
      <c r="N12" s="93"/>
      <c r="O12" s="93"/>
      <c r="P12" s="85"/>
      <c r="Q12" s="85"/>
      <c r="R12" s="84"/>
      <c r="S12" s="84"/>
      <c r="T12" s="93"/>
      <c r="U12" s="93"/>
      <c r="V12" s="93"/>
      <c r="W12" s="93"/>
      <c r="X12" s="84"/>
      <c r="Y12" s="84"/>
      <c r="Z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3"/>
      <c r="BF12" s="93"/>
      <c r="BG12" s="93"/>
      <c r="BH12" s="93"/>
      <c r="BI12" s="446"/>
      <c r="BJ12" s="446"/>
      <c r="BK12" s="446"/>
      <c r="BL12" s="446"/>
      <c r="BM12" s="446"/>
      <c r="BN12" s="446"/>
      <c r="BO12" s="448"/>
    </row>
    <row r="13" spans="1:67" s="8" customFormat="1" ht="25" customHeight="1" x14ac:dyDescent="0.25">
      <c r="A13" s="446"/>
      <c r="B13" s="446"/>
      <c r="C13" s="447"/>
      <c r="D13" s="447"/>
      <c r="E13" s="87">
        <v>75</v>
      </c>
      <c r="F13" s="86" t="s">
        <v>30</v>
      </c>
      <c r="G13" s="86" t="s">
        <v>1443</v>
      </c>
      <c r="H13" s="93">
        <f t="shared" si="0"/>
        <v>148.79182462420439</v>
      </c>
      <c r="I13" s="93">
        <f t="shared" si="0"/>
        <v>148.79182462420439</v>
      </c>
      <c r="J13" s="85">
        <v>747</v>
      </c>
      <c r="K13" s="85">
        <v>747</v>
      </c>
      <c r="L13" s="88" t="s">
        <v>30</v>
      </c>
      <c r="M13" s="88" t="s">
        <v>1443</v>
      </c>
      <c r="N13" s="93">
        <f t="shared" ref="N13:O18" si="1">(115*P13*SQRT(3))/1000</f>
        <v>149.38938215281567</v>
      </c>
      <c r="O13" s="93">
        <f t="shared" si="1"/>
        <v>149.38938215281567</v>
      </c>
      <c r="P13" s="85">
        <v>750</v>
      </c>
      <c r="Q13" s="85">
        <v>750</v>
      </c>
      <c r="R13" s="84"/>
      <c r="S13" s="84"/>
      <c r="T13" s="93"/>
      <c r="U13" s="93"/>
      <c r="V13" s="93"/>
      <c r="W13" s="93"/>
      <c r="X13" s="84"/>
      <c r="Y13" s="84"/>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446"/>
      <c r="BJ13" s="446"/>
      <c r="BK13" s="446"/>
      <c r="BL13" s="446"/>
      <c r="BM13" s="446"/>
      <c r="BN13" s="446"/>
      <c r="BO13" s="448"/>
    </row>
    <row r="14" spans="1:67" s="8" customFormat="1" ht="25" customHeight="1" x14ac:dyDescent="0.25">
      <c r="A14" s="446"/>
      <c r="B14" s="446"/>
      <c r="C14" s="447"/>
      <c r="D14" s="447"/>
      <c r="E14" s="87">
        <v>70</v>
      </c>
      <c r="F14" s="86" t="s">
        <v>30</v>
      </c>
      <c r="G14" s="86" t="s">
        <v>1443</v>
      </c>
      <c r="H14" s="93">
        <f t="shared" si="0"/>
        <v>154.36902822457617</v>
      </c>
      <c r="I14" s="93">
        <f t="shared" si="0"/>
        <v>154.36902822457617</v>
      </c>
      <c r="J14" s="85">
        <v>775</v>
      </c>
      <c r="K14" s="85">
        <v>775</v>
      </c>
      <c r="L14" s="88" t="s">
        <v>30</v>
      </c>
      <c r="M14" s="88" t="s">
        <v>1443</v>
      </c>
      <c r="N14" s="93">
        <f t="shared" si="1"/>
        <v>154.76739991031704</v>
      </c>
      <c r="O14" s="93">
        <f t="shared" si="1"/>
        <v>154.76739991031704</v>
      </c>
      <c r="P14" s="85">
        <v>777</v>
      </c>
      <c r="Q14" s="85">
        <v>777</v>
      </c>
      <c r="R14" s="84"/>
      <c r="S14" s="84"/>
      <c r="T14" s="93"/>
      <c r="U14" s="93"/>
      <c r="V14" s="93"/>
      <c r="W14" s="93"/>
      <c r="X14" s="84"/>
      <c r="Y14" s="84"/>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446"/>
      <c r="BJ14" s="446"/>
      <c r="BK14" s="446"/>
      <c r="BL14" s="446"/>
      <c r="BM14" s="446"/>
      <c r="BN14" s="446"/>
      <c r="BO14" s="448"/>
    </row>
    <row r="15" spans="1:67" s="8" customFormat="1" ht="25" customHeight="1" x14ac:dyDescent="0.25">
      <c r="A15" s="446"/>
      <c r="B15" s="446"/>
      <c r="C15" s="447"/>
      <c r="D15" s="447"/>
      <c r="E15" s="87">
        <v>60</v>
      </c>
      <c r="F15" s="86" t="s">
        <v>30</v>
      </c>
      <c r="G15" s="86" t="s">
        <v>1443</v>
      </c>
      <c r="H15" s="93">
        <f t="shared" si="0"/>
        <v>164.72669205383806</v>
      </c>
      <c r="I15" s="93">
        <f t="shared" si="0"/>
        <v>164.72669205383806</v>
      </c>
      <c r="J15" s="85">
        <v>827</v>
      </c>
      <c r="K15" s="85">
        <v>827</v>
      </c>
      <c r="L15" s="88" t="s">
        <v>30</v>
      </c>
      <c r="M15" s="88" t="s">
        <v>1443</v>
      </c>
      <c r="N15" s="93">
        <f t="shared" si="1"/>
        <v>165.12506373957891</v>
      </c>
      <c r="O15" s="93">
        <f t="shared" si="1"/>
        <v>165.12506373957891</v>
      </c>
      <c r="P15" s="85">
        <v>829</v>
      </c>
      <c r="Q15" s="85">
        <v>829</v>
      </c>
      <c r="R15" s="84"/>
      <c r="S15" s="84"/>
      <c r="T15" s="93"/>
      <c r="U15" s="93"/>
      <c r="V15" s="93"/>
      <c r="W15" s="93"/>
      <c r="X15" s="84"/>
      <c r="Y15" s="84"/>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446"/>
      <c r="BJ15" s="446"/>
      <c r="BK15" s="446"/>
      <c r="BL15" s="446"/>
      <c r="BM15" s="446"/>
      <c r="BN15" s="446"/>
      <c r="BO15" s="448"/>
    </row>
    <row r="16" spans="1:67" s="8" customFormat="1" ht="25" customHeight="1" x14ac:dyDescent="0.25">
      <c r="A16" s="446"/>
      <c r="B16" s="446"/>
      <c r="C16" s="447"/>
      <c r="D16" s="447"/>
      <c r="E16" s="87">
        <v>50</v>
      </c>
      <c r="F16" s="86" t="s">
        <v>30</v>
      </c>
      <c r="G16" s="86" t="s">
        <v>1443</v>
      </c>
      <c r="H16" s="93">
        <v>174</v>
      </c>
      <c r="I16" s="93">
        <f>(115*K16*SQRT(3))/1000</f>
        <v>174.48679835448868</v>
      </c>
      <c r="J16" s="85">
        <v>876</v>
      </c>
      <c r="K16" s="85">
        <v>876</v>
      </c>
      <c r="L16" s="88" t="s">
        <v>30</v>
      </c>
      <c r="M16" s="88" t="s">
        <v>1443</v>
      </c>
      <c r="N16" s="93">
        <f t="shared" si="1"/>
        <v>174.88517004022953</v>
      </c>
      <c r="O16" s="93">
        <f t="shared" si="1"/>
        <v>174.88517004022953</v>
      </c>
      <c r="P16" s="85">
        <v>878</v>
      </c>
      <c r="Q16" s="85">
        <v>878</v>
      </c>
      <c r="R16" s="84"/>
      <c r="S16" s="84"/>
      <c r="T16" s="93"/>
      <c r="U16" s="93"/>
      <c r="V16" s="93"/>
      <c r="W16" s="93"/>
      <c r="X16" s="84"/>
      <c r="Y16" s="84"/>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3"/>
      <c r="BG16" s="93"/>
      <c r="BH16" s="93"/>
      <c r="BI16" s="446"/>
      <c r="BJ16" s="446"/>
      <c r="BK16" s="446"/>
      <c r="BL16" s="446"/>
      <c r="BM16" s="446"/>
      <c r="BN16" s="446"/>
      <c r="BO16" s="448"/>
    </row>
    <row r="17" spans="1:67" s="8" customFormat="1" ht="25" customHeight="1" x14ac:dyDescent="0.25">
      <c r="A17" s="446"/>
      <c r="B17" s="446"/>
      <c r="C17" s="447"/>
      <c r="D17" s="447"/>
      <c r="E17" s="87">
        <v>40</v>
      </c>
      <c r="F17" s="86" t="s">
        <v>30</v>
      </c>
      <c r="G17" s="86" t="s">
        <v>1443</v>
      </c>
      <c r="H17" s="93">
        <v>184</v>
      </c>
      <c r="I17" s="93">
        <f>(115*K17*SQRT(3))/1000</f>
        <v>183.64934712652803</v>
      </c>
      <c r="J17" s="85">
        <v>922</v>
      </c>
      <c r="K17" s="85">
        <v>922</v>
      </c>
      <c r="L17" s="88" t="s">
        <v>30</v>
      </c>
      <c r="M17" s="88" t="s">
        <v>1443</v>
      </c>
      <c r="N17" s="93">
        <f t="shared" si="1"/>
        <v>184.0477188122689</v>
      </c>
      <c r="O17" s="93">
        <f t="shared" si="1"/>
        <v>184.0477188122689</v>
      </c>
      <c r="P17" s="85">
        <v>924</v>
      </c>
      <c r="Q17" s="85">
        <v>924</v>
      </c>
      <c r="R17" s="84"/>
      <c r="S17" s="84"/>
      <c r="T17" s="93"/>
      <c r="U17" s="93"/>
      <c r="V17" s="93"/>
      <c r="W17" s="93"/>
      <c r="X17" s="84"/>
      <c r="Y17" s="84"/>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446"/>
      <c r="BJ17" s="446"/>
      <c r="BK17" s="446"/>
      <c r="BL17" s="446"/>
      <c r="BM17" s="446"/>
      <c r="BN17" s="446"/>
      <c r="BO17" s="448"/>
    </row>
    <row r="18" spans="1:67" s="8" customFormat="1" ht="25" customHeight="1" x14ac:dyDescent="0.25">
      <c r="A18" s="446"/>
      <c r="B18" s="446"/>
      <c r="C18" s="447"/>
      <c r="D18" s="447"/>
      <c r="E18" s="87">
        <v>30</v>
      </c>
      <c r="F18" s="86" t="s">
        <v>30</v>
      </c>
      <c r="G18" s="86" t="s">
        <v>1443</v>
      </c>
      <c r="H18" s="93">
        <v>192</v>
      </c>
      <c r="I18" s="93">
        <f>(115*K18*SQRT(3))/1000</f>
        <v>192.41352421282656</v>
      </c>
      <c r="J18" s="85">
        <v>966</v>
      </c>
      <c r="K18" s="85">
        <v>966</v>
      </c>
      <c r="L18" s="88" t="s">
        <v>30</v>
      </c>
      <c r="M18" s="88" t="s">
        <v>1443</v>
      </c>
      <c r="N18" s="93">
        <f t="shared" si="1"/>
        <v>192.8118958985674</v>
      </c>
      <c r="O18" s="93">
        <f t="shared" si="1"/>
        <v>192.8118958985674</v>
      </c>
      <c r="P18" s="85">
        <v>968</v>
      </c>
      <c r="Q18" s="85">
        <v>968</v>
      </c>
      <c r="R18" s="84"/>
      <c r="S18" s="84"/>
      <c r="T18" s="93"/>
      <c r="U18" s="93"/>
      <c r="V18" s="93"/>
      <c r="W18" s="93"/>
      <c r="X18" s="84"/>
      <c r="Y18" s="84"/>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446"/>
      <c r="BJ18" s="446"/>
      <c r="BK18" s="446"/>
      <c r="BL18" s="446"/>
      <c r="BM18" s="446"/>
      <c r="BN18" s="446"/>
      <c r="BO18" s="448"/>
    </row>
    <row r="19" spans="1:67" s="8" customFormat="1" ht="25" customHeight="1" x14ac:dyDescent="0.25">
      <c r="A19" s="446"/>
      <c r="B19" s="446"/>
      <c r="C19" s="447"/>
      <c r="D19" s="447"/>
      <c r="E19" s="87">
        <v>20</v>
      </c>
      <c r="F19" s="86" t="s">
        <v>30</v>
      </c>
      <c r="G19" s="86" t="s">
        <v>1443</v>
      </c>
      <c r="H19" s="93">
        <v>201</v>
      </c>
      <c r="I19" s="93">
        <v>201</v>
      </c>
      <c r="J19" s="85">
        <v>1007</v>
      </c>
      <c r="K19" s="85">
        <v>1007</v>
      </c>
      <c r="L19" s="88" t="s">
        <v>30</v>
      </c>
      <c r="M19" s="88" t="s">
        <v>1443</v>
      </c>
      <c r="N19" s="93">
        <v>201</v>
      </c>
      <c r="O19" s="93">
        <v>201</v>
      </c>
      <c r="P19" s="85">
        <v>1009</v>
      </c>
      <c r="Q19" s="85">
        <v>1009</v>
      </c>
      <c r="R19" s="84"/>
      <c r="S19" s="84"/>
      <c r="T19" s="93"/>
      <c r="U19" s="93"/>
      <c r="V19" s="93"/>
      <c r="W19" s="93"/>
      <c r="X19" s="84"/>
      <c r="Y19" s="84"/>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446"/>
      <c r="BJ19" s="446"/>
      <c r="BK19" s="446"/>
      <c r="BL19" s="446"/>
      <c r="BM19" s="446"/>
      <c r="BN19" s="446"/>
      <c r="BO19" s="448"/>
    </row>
    <row r="20" spans="1:67" s="8" customFormat="1" ht="25" customHeight="1" x14ac:dyDescent="0.25">
      <c r="A20" s="446"/>
      <c r="B20" s="446"/>
      <c r="C20" s="447"/>
      <c r="D20" s="447"/>
      <c r="E20" s="87">
        <v>10</v>
      </c>
      <c r="F20" s="86" t="s">
        <v>30</v>
      </c>
      <c r="G20" s="86" t="s">
        <v>1443</v>
      </c>
      <c r="H20" s="93">
        <v>209</v>
      </c>
      <c r="I20" s="93">
        <v>209</v>
      </c>
      <c r="J20" s="85">
        <v>1047</v>
      </c>
      <c r="K20" s="85">
        <v>1047</v>
      </c>
      <c r="L20" s="88" t="s">
        <v>30</v>
      </c>
      <c r="M20" s="88" t="s">
        <v>1443</v>
      </c>
      <c r="N20" s="93">
        <v>209</v>
      </c>
      <c r="O20" s="93">
        <v>209</v>
      </c>
      <c r="P20" s="85">
        <v>1049</v>
      </c>
      <c r="Q20" s="85">
        <v>1049</v>
      </c>
      <c r="R20" s="84"/>
      <c r="S20" s="84"/>
      <c r="T20" s="93"/>
      <c r="U20" s="93"/>
      <c r="V20" s="93"/>
      <c r="W20" s="93"/>
      <c r="X20" s="84"/>
      <c r="Y20" s="84"/>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446"/>
      <c r="BJ20" s="446"/>
      <c r="BK20" s="446"/>
      <c r="BL20" s="446"/>
      <c r="BM20" s="446"/>
      <c r="BN20" s="446"/>
      <c r="BO20" s="448"/>
    </row>
    <row r="21" spans="1:67" s="8" customFormat="1" ht="25" customHeight="1" x14ac:dyDescent="0.25">
      <c r="A21" s="446"/>
      <c r="B21" s="446"/>
      <c r="C21" s="447"/>
      <c r="D21" s="447"/>
      <c r="E21" s="87">
        <v>0</v>
      </c>
      <c r="F21" s="86" t="s">
        <v>30</v>
      </c>
      <c r="G21" s="86" t="s">
        <v>1443</v>
      </c>
      <c r="H21" s="93">
        <v>216</v>
      </c>
      <c r="I21" s="93">
        <v>216</v>
      </c>
      <c r="J21" s="85">
        <v>1085</v>
      </c>
      <c r="K21" s="85">
        <v>1085</v>
      </c>
      <c r="L21" s="88" t="s">
        <v>30</v>
      </c>
      <c r="M21" s="88" t="s">
        <v>1443</v>
      </c>
      <c r="N21" s="93">
        <v>217</v>
      </c>
      <c r="O21" s="93">
        <v>217</v>
      </c>
      <c r="P21" s="85">
        <v>1087</v>
      </c>
      <c r="Q21" s="85">
        <v>1087</v>
      </c>
      <c r="R21" s="84"/>
      <c r="S21" s="84"/>
      <c r="T21" s="93"/>
      <c r="U21" s="93"/>
      <c r="V21" s="93"/>
      <c r="W21" s="93"/>
      <c r="X21" s="84"/>
      <c r="Y21" s="84"/>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446"/>
      <c r="BJ21" s="446"/>
      <c r="BK21" s="446"/>
      <c r="BL21" s="446"/>
      <c r="BM21" s="446"/>
      <c r="BN21" s="446"/>
      <c r="BO21" s="448"/>
    </row>
    <row r="22" spans="1:67" s="8" customFormat="1" ht="25" customHeight="1" x14ac:dyDescent="0.25">
      <c r="A22" s="446">
        <v>9255</v>
      </c>
      <c r="B22" s="446">
        <v>115</v>
      </c>
      <c r="C22" s="447" t="s">
        <v>1446</v>
      </c>
      <c r="D22" s="447" t="s">
        <v>1448</v>
      </c>
      <c r="E22" s="87">
        <v>104</v>
      </c>
      <c r="F22" s="86" t="s">
        <v>30</v>
      </c>
      <c r="G22" s="86" t="s">
        <v>1443</v>
      </c>
      <c r="H22" s="93">
        <f t="shared" ref="H22:H33" si="2">(115*J22*SQRT(3))/1000</f>
        <v>121.50336415095674</v>
      </c>
      <c r="I22" s="93">
        <f t="shared" ref="I22:I33" si="3">(115*K22*SQRT(3))/1000</f>
        <v>121.50336415095674</v>
      </c>
      <c r="J22" s="85">
        <v>610</v>
      </c>
      <c r="K22" s="85">
        <v>610</v>
      </c>
      <c r="L22" s="89"/>
      <c r="M22" s="88"/>
      <c r="N22" s="93"/>
      <c r="O22" s="93"/>
      <c r="P22" s="85"/>
      <c r="Q22" s="85"/>
      <c r="R22" s="84"/>
      <c r="S22" s="84"/>
      <c r="T22" s="93"/>
      <c r="U22" s="93"/>
      <c r="V22" s="93"/>
      <c r="W22" s="93"/>
      <c r="X22" s="84"/>
      <c r="Y22" s="84"/>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446" t="s">
        <v>1444</v>
      </c>
      <c r="BJ22" s="446"/>
      <c r="BK22" s="446"/>
      <c r="BL22" s="446"/>
      <c r="BM22" s="446"/>
      <c r="BN22" s="446" t="s">
        <v>1447</v>
      </c>
      <c r="BO22" s="448">
        <v>41283</v>
      </c>
    </row>
    <row r="23" spans="1:67" s="8" customFormat="1" ht="25" customHeight="1" x14ac:dyDescent="0.25">
      <c r="A23" s="446"/>
      <c r="B23" s="446"/>
      <c r="C23" s="447"/>
      <c r="D23" s="447"/>
      <c r="E23" s="87">
        <v>100</v>
      </c>
      <c r="F23" s="86" t="s">
        <v>30</v>
      </c>
      <c r="G23" s="86" t="s">
        <v>1443</v>
      </c>
      <c r="H23" s="93">
        <f t="shared" si="2"/>
        <v>126.88138190845811</v>
      </c>
      <c r="I23" s="93">
        <f t="shared" si="3"/>
        <v>126.88138190845811</v>
      </c>
      <c r="J23" s="85">
        <v>637</v>
      </c>
      <c r="K23" s="85">
        <v>637</v>
      </c>
      <c r="L23" s="89"/>
      <c r="M23" s="88"/>
      <c r="N23" s="93"/>
      <c r="O23" s="93"/>
      <c r="P23" s="85"/>
      <c r="Q23" s="85"/>
      <c r="R23" s="84"/>
      <c r="S23" s="84"/>
      <c r="T23" s="93"/>
      <c r="U23" s="93"/>
      <c r="V23" s="93"/>
      <c r="W23" s="93"/>
      <c r="X23" s="84"/>
      <c r="Y23" s="84"/>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446"/>
      <c r="BJ23" s="446"/>
      <c r="BK23" s="446"/>
      <c r="BL23" s="446"/>
      <c r="BM23" s="446"/>
      <c r="BN23" s="446"/>
      <c r="BO23" s="448"/>
    </row>
    <row r="24" spans="1:67" s="8" customFormat="1" ht="25" customHeight="1" x14ac:dyDescent="0.25">
      <c r="A24" s="446"/>
      <c r="B24" s="446"/>
      <c r="C24" s="447"/>
      <c r="D24" s="447"/>
      <c r="E24" s="87">
        <v>90</v>
      </c>
      <c r="F24" s="86" t="s">
        <v>30</v>
      </c>
      <c r="G24" s="86" t="s">
        <v>1443</v>
      </c>
      <c r="H24" s="93">
        <f t="shared" si="2"/>
        <v>139.03171832355378</v>
      </c>
      <c r="I24" s="93">
        <f t="shared" si="3"/>
        <v>139.03171832355378</v>
      </c>
      <c r="J24" s="85">
        <v>698</v>
      </c>
      <c r="K24" s="85">
        <v>698</v>
      </c>
      <c r="L24" s="89"/>
      <c r="M24" s="88"/>
      <c r="N24" s="93"/>
      <c r="O24" s="93"/>
      <c r="P24" s="85"/>
      <c r="Q24" s="85"/>
      <c r="R24" s="84"/>
      <c r="S24" s="84"/>
      <c r="T24" s="93"/>
      <c r="U24" s="93"/>
      <c r="V24" s="93"/>
      <c r="W24" s="93"/>
      <c r="X24" s="84"/>
      <c r="Y24" s="84"/>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446"/>
      <c r="BJ24" s="446"/>
      <c r="BK24" s="446"/>
      <c r="BL24" s="446"/>
      <c r="BM24" s="446"/>
      <c r="BN24" s="446"/>
      <c r="BO24" s="448"/>
    </row>
    <row r="25" spans="1:67" s="8" customFormat="1" ht="25" customHeight="1" x14ac:dyDescent="0.25">
      <c r="A25" s="446"/>
      <c r="B25" s="446"/>
      <c r="C25" s="447"/>
      <c r="D25" s="447"/>
      <c r="E25" s="87">
        <v>80</v>
      </c>
      <c r="F25" s="86" t="s">
        <v>30</v>
      </c>
      <c r="G25" s="86" t="s">
        <v>1443</v>
      </c>
      <c r="H25" s="93">
        <f t="shared" si="2"/>
        <v>150.38531136716776</v>
      </c>
      <c r="I25" s="93">
        <f t="shared" si="3"/>
        <v>150.38531136716776</v>
      </c>
      <c r="J25" s="85">
        <v>755</v>
      </c>
      <c r="K25" s="85">
        <v>755</v>
      </c>
      <c r="L25" s="89"/>
      <c r="M25" s="88"/>
      <c r="N25" s="93"/>
      <c r="O25" s="93"/>
      <c r="P25" s="85"/>
      <c r="Q25" s="85"/>
      <c r="R25" s="84"/>
      <c r="S25" s="84"/>
      <c r="T25" s="93"/>
      <c r="U25" s="93"/>
      <c r="V25" s="93"/>
      <c r="W25" s="93"/>
      <c r="X25" s="84"/>
      <c r="Y25" s="84"/>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446"/>
      <c r="BJ25" s="446"/>
      <c r="BK25" s="446"/>
      <c r="BL25" s="446"/>
      <c r="BM25" s="446"/>
      <c r="BN25" s="446"/>
      <c r="BO25" s="448"/>
    </row>
    <row r="26" spans="1:67" s="8" customFormat="1" ht="25" customHeight="1" x14ac:dyDescent="0.25">
      <c r="A26" s="446"/>
      <c r="B26" s="446"/>
      <c r="C26" s="447"/>
      <c r="D26" s="447"/>
      <c r="E26" s="87">
        <v>75</v>
      </c>
      <c r="F26" s="86" t="s">
        <v>30</v>
      </c>
      <c r="G26" s="86" t="s">
        <v>1443</v>
      </c>
      <c r="H26" s="93">
        <f t="shared" si="2"/>
        <v>155.56414328179869</v>
      </c>
      <c r="I26" s="93">
        <f t="shared" si="3"/>
        <v>155.56414328179869</v>
      </c>
      <c r="J26" s="85">
        <v>781</v>
      </c>
      <c r="K26" s="85">
        <v>781</v>
      </c>
      <c r="L26" s="88" t="s">
        <v>30</v>
      </c>
      <c r="M26" s="88" t="s">
        <v>1443</v>
      </c>
      <c r="N26" s="93">
        <f t="shared" ref="N26:N34" si="4">(115*P26*SQRT(3))/1000</f>
        <v>156.16170081040997</v>
      </c>
      <c r="O26" s="93">
        <f t="shared" ref="O26:O34" si="5">(115*Q26*SQRT(3))/1000</f>
        <v>156.16170081040997</v>
      </c>
      <c r="P26" s="85">
        <v>784</v>
      </c>
      <c r="Q26" s="85">
        <v>784</v>
      </c>
      <c r="R26" s="84"/>
      <c r="S26" s="84"/>
      <c r="T26" s="93"/>
      <c r="U26" s="93"/>
      <c r="V26" s="93"/>
      <c r="W26" s="93"/>
      <c r="X26" s="84"/>
      <c r="Y26" s="84"/>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446"/>
      <c r="BJ26" s="446"/>
      <c r="BK26" s="446"/>
      <c r="BL26" s="446"/>
      <c r="BM26" s="446"/>
      <c r="BN26" s="446"/>
      <c r="BO26" s="448"/>
    </row>
    <row r="27" spans="1:67" s="8" customFormat="1" ht="25" customHeight="1" x14ac:dyDescent="0.25">
      <c r="A27" s="446"/>
      <c r="B27" s="446"/>
      <c r="C27" s="447"/>
      <c r="D27" s="447"/>
      <c r="E27" s="87">
        <v>70</v>
      </c>
      <c r="F27" s="86" t="s">
        <v>30</v>
      </c>
      <c r="G27" s="86" t="s">
        <v>1443</v>
      </c>
      <c r="H27" s="93">
        <f t="shared" si="2"/>
        <v>160.74297519642965</v>
      </c>
      <c r="I27" s="93">
        <f t="shared" si="3"/>
        <v>160.74297519642965</v>
      </c>
      <c r="J27" s="85">
        <v>807</v>
      </c>
      <c r="K27" s="85">
        <v>807</v>
      </c>
      <c r="L27" s="88" t="s">
        <v>30</v>
      </c>
      <c r="M27" s="88" t="s">
        <v>1443</v>
      </c>
      <c r="N27" s="93">
        <f t="shared" si="4"/>
        <v>161.1413468821705</v>
      </c>
      <c r="O27" s="93">
        <f t="shared" si="5"/>
        <v>161.1413468821705</v>
      </c>
      <c r="P27" s="85">
        <v>809</v>
      </c>
      <c r="Q27" s="85">
        <v>809</v>
      </c>
      <c r="R27" s="84"/>
      <c r="S27" s="84"/>
      <c r="T27" s="93"/>
      <c r="U27" s="93"/>
      <c r="V27" s="93"/>
      <c r="W27" s="93"/>
      <c r="X27" s="84"/>
      <c r="Y27" s="84"/>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446"/>
      <c r="BJ27" s="446"/>
      <c r="BK27" s="446"/>
      <c r="BL27" s="446"/>
      <c r="BM27" s="446"/>
      <c r="BN27" s="446"/>
      <c r="BO27" s="448"/>
    </row>
    <row r="28" spans="1:67" s="8" customFormat="1" ht="25" customHeight="1" x14ac:dyDescent="0.25">
      <c r="A28" s="446"/>
      <c r="B28" s="446"/>
      <c r="C28" s="447"/>
      <c r="D28" s="447"/>
      <c r="E28" s="87">
        <v>60</v>
      </c>
      <c r="F28" s="86" t="s">
        <v>30</v>
      </c>
      <c r="G28" s="86" t="s">
        <v>1443</v>
      </c>
      <c r="H28" s="93">
        <f t="shared" si="2"/>
        <v>170.50308149708027</v>
      </c>
      <c r="I28" s="93">
        <f t="shared" si="3"/>
        <v>170.50308149708027</v>
      </c>
      <c r="J28" s="85">
        <v>856</v>
      </c>
      <c r="K28" s="85">
        <v>856</v>
      </c>
      <c r="L28" s="88" t="s">
        <v>30</v>
      </c>
      <c r="M28" s="88" t="s">
        <v>1443</v>
      </c>
      <c r="N28" s="93">
        <f t="shared" si="4"/>
        <v>170.90145318282111</v>
      </c>
      <c r="O28" s="93">
        <f t="shared" si="5"/>
        <v>170.90145318282111</v>
      </c>
      <c r="P28" s="85">
        <v>858</v>
      </c>
      <c r="Q28" s="85">
        <v>858</v>
      </c>
      <c r="R28" s="84"/>
      <c r="S28" s="84"/>
      <c r="T28" s="93"/>
      <c r="U28" s="93"/>
      <c r="V28" s="93"/>
      <c r="W28" s="93"/>
      <c r="X28" s="84"/>
      <c r="Y28" s="84"/>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446"/>
      <c r="BJ28" s="446"/>
      <c r="BK28" s="446"/>
      <c r="BL28" s="446"/>
      <c r="BM28" s="446"/>
      <c r="BN28" s="446"/>
      <c r="BO28" s="448"/>
    </row>
    <row r="29" spans="1:67" s="8" customFormat="1" ht="25" customHeight="1" x14ac:dyDescent="0.25">
      <c r="A29" s="446"/>
      <c r="B29" s="446"/>
      <c r="C29" s="447"/>
      <c r="D29" s="447"/>
      <c r="E29" s="87">
        <v>50</v>
      </c>
      <c r="F29" s="86" t="s">
        <v>30</v>
      </c>
      <c r="G29" s="86" t="s">
        <v>1443</v>
      </c>
      <c r="H29" s="93">
        <f t="shared" si="2"/>
        <v>179.66563026911965</v>
      </c>
      <c r="I29" s="93">
        <f t="shared" si="3"/>
        <v>179.66563026911965</v>
      </c>
      <c r="J29" s="85">
        <v>902</v>
      </c>
      <c r="K29" s="85">
        <v>902</v>
      </c>
      <c r="L29" s="88" t="s">
        <v>30</v>
      </c>
      <c r="M29" s="88" t="s">
        <v>1443</v>
      </c>
      <c r="N29" s="93">
        <f t="shared" si="4"/>
        <v>180.06400195486046</v>
      </c>
      <c r="O29" s="93">
        <f t="shared" si="5"/>
        <v>180.06400195486046</v>
      </c>
      <c r="P29" s="85">
        <v>904</v>
      </c>
      <c r="Q29" s="85">
        <v>904</v>
      </c>
      <c r="R29" s="84"/>
      <c r="S29" s="84"/>
      <c r="T29" s="93"/>
      <c r="U29" s="93"/>
      <c r="V29" s="93"/>
      <c r="W29" s="93"/>
      <c r="X29" s="84"/>
      <c r="Y29" s="84"/>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446"/>
      <c r="BJ29" s="446"/>
      <c r="BK29" s="446"/>
      <c r="BL29" s="446"/>
      <c r="BM29" s="446"/>
      <c r="BN29" s="446"/>
      <c r="BO29" s="448"/>
    </row>
    <row r="30" spans="1:67" s="8" customFormat="1" ht="25" customHeight="1" x14ac:dyDescent="0.25">
      <c r="A30" s="446"/>
      <c r="B30" s="446"/>
      <c r="C30" s="447"/>
      <c r="D30" s="447"/>
      <c r="E30" s="87">
        <v>40</v>
      </c>
      <c r="F30" s="86" t="s">
        <v>30</v>
      </c>
      <c r="G30" s="86" t="s">
        <v>1443</v>
      </c>
      <c r="H30" s="93">
        <f t="shared" si="2"/>
        <v>188.23062151254771</v>
      </c>
      <c r="I30" s="93">
        <f t="shared" si="3"/>
        <v>188.23062151254771</v>
      </c>
      <c r="J30" s="85">
        <v>945</v>
      </c>
      <c r="K30" s="85">
        <v>945</v>
      </c>
      <c r="L30" s="88" t="s">
        <v>30</v>
      </c>
      <c r="M30" s="88" t="s">
        <v>1443</v>
      </c>
      <c r="N30" s="93">
        <f t="shared" si="4"/>
        <v>188.62899319828858</v>
      </c>
      <c r="O30" s="93">
        <f t="shared" si="5"/>
        <v>188.62899319828858</v>
      </c>
      <c r="P30" s="85">
        <v>947</v>
      </c>
      <c r="Q30" s="85">
        <v>947</v>
      </c>
      <c r="R30" s="84"/>
      <c r="S30" s="84"/>
      <c r="T30" s="93"/>
      <c r="U30" s="93"/>
      <c r="V30" s="93"/>
      <c r="W30" s="93"/>
      <c r="X30" s="84"/>
      <c r="Y30" s="84"/>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446"/>
      <c r="BJ30" s="446"/>
      <c r="BK30" s="446"/>
      <c r="BL30" s="446"/>
      <c r="BM30" s="446"/>
      <c r="BN30" s="446"/>
      <c r="BO30" s="448"/>
    </row>
    <row r="31" spans="1:67" s="8" customFormat="1" ht="25" customHeight="1" x14ac:dyDescent="0.25">
      <c r="A31" s="446"/>
      <c r="B31" s="446"/>
      <c r="C31" s="447"/>
      <c r="D31" s="447"/>
      <c r="E31" s="87">
        <v>30</v>
      </c>
      <c r="F31" s="86" t="s">
        <v>30</v>
      </c>
      <c r="G31" s="86" t="s">
        <v>1443</v>
      </c>
      <c r="H31" s="93">
        <f t="shared" si="2"/>
        <v>196.5964269131054</v>
      </c>
      <c r="I31" s="93">
        <f t="shared" si="3"/>
        <v>196.5964269131054</v>
      </c>
      <c r="J31" s="85">
        <v>987</v>
      </c>
      <c r="K31" s="85">
        <v>987</v>
      </c>
      <c r="L31" s="88" t="s">
        <v>30</v>
      </c>
      <c r="M31" s="88" t="s">
        <v>1443</v>
      </c>
      <c r="N31" s="93">
        <f t="shared" si="4"/>
        <v>196.99479859884624</v>
      </c>
      <c r="O31" s="93">
        <f t="shared" si="5"/>
        <v>196.99479859884624</v>
      </c>
      <c r="P31" s="85">
        <v>989</v>
      </c>
      <c r="Q31" s="85">
        <v>989</v>
      </c>
      <c r="R31" s="84"/>
      <c r="S31" s="84"/>
      <c r="T31" s="93"/>
      <c r="U31" s="93"/>
      <c r="V31" s="93"/>
      <c r="W31" s="93"/>
      <c r="X31" s="84"/>
      <c r="Y31" s="84"/>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446"/>
      <c r="BJ31" s="446"/>
      <c r="BK31" s="446"/>
      <c r="BL31" s="446"/>
      <c r="BM31" s="446"/>
      <c r="BN31" s="446"/>
      <c r="BO31" s="448"/>
    </row>
    <row r="32" spans="1:67" s="8" customFormat="1" ht="25" customHeight="1" x14ac:dyDescent="0.25">
      <c r="A32" s="446"/>
      <c r="B32" s="446"/>
      <c r="C32" s="447"/>
      <c r="D32" s="447"/>
      <c r="E32" s="87">
        <v>20</v>
      </c>
      <c r="F32" s="86" t="s">
        <v>30</v>
      </c>
      <c r="G32" s="86" t="s">
        <v>1443</v>
      </c>
      <c r="H32" s="93">
        <f t="shared" si="2"/>
        <v>204.36467478505182</v>
      </c>
      <c r="I32" s="93">
        <f t="shared" si="3"/>
        <v>204.36467478505182</v>
      </c>
      <c r="J32" s="85">
        <v>1026</v>
      </c>
      <c r="K32" s="85">
        <v>1026</v>
      </c>
      <c r="L32" s="88" t="s">
        <v>30</v>
      </c>
      <c r="M32" s="88" t="s">
        <v>1443</v>
      </c>
      <c r="N32" s="93">
        <f t="shared" si="4"/>
        <v>204.76304647079266</v>
      </c>
      <c r="O32" s="93">
        <f t="shared" si="5"/>
        <v>204.76304647079266</v>
      </c>
      <c r="P32" s="85">
        <v>1028</v>
      </c>
      <c r="Q32" s="85">
        <v>1028</v>
      </c>
      <c r="R32" s="84"/>
      <c r="S32" s="84"/>
      <c r="T32" s="93"/>
      <c r="U32" s="93"/>
      <c r="V32" s="93"/>
      <c r="W32" s="93"/>
      <c r="X32" s="84"/>
      <c r="Y32" s="84"/>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446"/>
      <c r="BJ32" s="446"/>
      <c r="BK32" s="446"/>
      <c r="BL32" s="446"/>
      <c r="BM32" s="446"/>
      <c r="BN32" s="446"/>
      <c r="BO32" s="448"/>
    </row>
    <row r="33" spans="1:67" s="8" customFormat="1" ht="25" customHeight="1" x14ac:dyDescent="0.25">
      <c r="A33" s="446"/>
      <c r="B33" s="446"/>
      <c r="C33" s="447"/>
      <c r="D33" s="447"/>
      <c r="E33" s="87">
        <v>10</v>
      </c>
      <c r="F33" s="86" t="s">
        <v>30</v>
      </c>
      <c r="G33" s="86" t="s">
        <v>1443</v>
      </c>
      <c r="H33" s="93">
        <f t="shared" si="2"/>
        <v>211.93373681412783</v>
      </c>
      <c r="I33" s="93">
        <f t="shared" si="3"/>
        <v>211.93373681412783</v>
      </c>
      <c r="J33" s="85">
        <v>1064</v>
      </c>
      <c r="K33" s="85">
        <v>1064</v>
      </c>
      <c r="L33" s="88" t="s">
        <v>30</v>
      </c>
      <c r="M33" s="88" t="s">
        <v>1443</v>
      </c>
      <c r="N33" s="93">
        <f t="shared" si="4"/>
        <v>212.33210849986867</v>
      </c>
      <c r="O33" s="93">
        <f t="shared" si="5"/>
        <v>212.33210849986867</v>
      </c>
      <c r="P33" s="85">
        <v>1066</v>
      </c>
      <c r="Q33" s="85">
        <v>1066</v>
      </c>
      <c r="R33" s="84"/>
      <c r="S33" s="84"/>
      <c r="T33" s="93"/>
      <c r="U33" s="93"/>
      <c r="V33" s="93"/>
      <c r="W33" s="93"/>
      <c r="X33" s="84"/>
      <c r="Y33" s="84"/>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446"/>
      <c r="BJ33" s="446"/>
      <c r="BK33" s="446"/>
      <c r="BL33" s="446"/>
      <c r="BM33" s="446"/>
      <c r="BN33" s="446"/>
      <c r="BO33" s="448"/>
    </row>
    <row r="34" spans="1:67" s="8" customFormat="1" ht="25" customHeight="1" x14ac:dyDescent="0.25">
      <c r="A34" s="446"/>
      <c r="B34" s="446"/>
      <c r="C34" s="447"/>
      <c r="D34" s="447"/>
      <c r="E34" s="87">
        <v>0</v>
      </c>
      <c r="F34" s="86" t="s">
        <v>30</v>
      </c>
      <c r="G34" s="86" t="s">
        <v>1443</v>
      </c>
      <c r="H34" s="93">
        <f t="shared" ref="H34:H60" si="6">(115*J34*SQRT(3))/1000</f>
        <v>219.3036130003334</v>
      </c>
      <c r="I34" s="93">
        <v>219</v>
      </c>
      <c r="J34" s="85">
        <v>1101</v>
      </c>
      <c r="K34" s="85">
        <v>1101</v>
      </c>
      <c r="L34" s="88" t="s">
        <v>30</v>
      </c>
      <c r="M34" s="88" t="s">
        <v>1443</v>
      </c>
      <c r="N34" s="93">
        <f t="shared" si="4"/>
        <v>219.70198468607421</v>
      </c>
      <c r="O34" s="93">
        <f t="shared" si="5"/>
        <v>219.70198468607421</v>
      </c>
      <c r="P34" s="85">
        <v>1103</v>
      </c>
      <c r="Q34" s="85">
        <v>1103</v>
      </c>
      <c r="R34" s="84"/>
      <c r="S34" s="84"/>
      <c r="T34" s="93"/>
      <c r="U34" s="93"/>
      <c r="V34" s="93"/>
      <c r="W34" s="93"/>
      <c r="X34" s="84"/>
      <c r="Y34" s="84"/>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446"/>
      <c r="BJ34" s="446"/>
      <c r="BK34" s="446"/>
      <c r="BL34" s="446"/>
      <c r="BM34" s="446"/>
      <c r="BN34" s="446"/>
      <c r="BO34" s="448"/>
    </row>
    <row r="35" spans="1:67" s="8" customFormat="1" ht="25" customHeight="1" x14ac:dyDescent="0.25">
      <c r="A35" s="446">
        <v>9255</v>
      </c>
      <c r="B35" s="446">
        <v>115</v>
      </c>
      <c r="C35" s="447" t="s">
        <v>1448</v>
      </c>
      <c r="D35" s="447" t="s">
        <v>1449</v>
      </c>
      <c r="E35" s="87">
        <v>104</v>
      </c>
      <c r="F35" s="86" t="s">
        <v>30</v>
      </c>
      <c r="G35" s="86" t="s">
        <v>1443</v>
      </c>
      <c r="H35" s="93">
        <f t="shared" si="6"/>
        <v>91.426301877523173</v>
      </c>
      <c r="I35" s="93">
        <f t="shared" ref="I35:I60" si="7">(115*K35*SQRT(3))/1000</f>
        <v>91.426301877523173</v>
      </c>
      <c r="J35" s="85">
        <v>459</v>
      </c>
      <c r="K35" s="85">
        <v>459</v>
      </c>
      <c r="L35" s="89"/>
      <c r="M35" s="88"/>
      <c r="N35" s="93"/>
      <c r="O35" s="93"/>
      <c r="P35" s="85"/>
      <c r="Q35" s="85"/>
      <c r="R35" s="84"/>
      <c r="S35" s="84"/>
      <c r="T35" s="93"/>
      <c r="U35" s="93"/>
      <c r="V35" s="93"/>
      <c r="W35" s="93"/>
      <c r="X35" s="84"/>
      <c r="Y35" s="84"/>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446" t="s">
        <v>1444</v>
      </c>
      <c r="BJ35" s="446"/>
      <c r="BK35" s="446"/>
      <c r="BL35" s="446"/>
      <c r="BM35" s="446"/>
      <c r="BN35" s="446" t="s">
        <v>1445</v>
      </c>
      <c r="BO35" s="448">
        <v>42520</v>
      </c>
    </row>
    <row r="36" spans="1:67" s="8" customFormat="1" ht="25" customHeight="1" x14ac:dyDescent="0.25">
      <c r="A36" s="446"/>
      <c r="B36" s="446"/>
      <c r="C36" s="447"/>
      <c r="D36" s="447"/>
      <c r="E36" s="87">
        <v>100</v>
      </c>
      <c r="F36" s="86" t="s">
        <v>30</v>
      </c>
      <c r="G36" s="86" t="s">
        <v>1443</v>
      </c>
      <c r="H36" s="93">
        <f t="shared" si="6"/>
        <v>98.79617806372876</v>
      </c>
      <c r="I36" s="93">
        <f t="shared" si="7"/>
        <v>98.79617806372876</v>
      </c>
      <c r="J36" s="85">
        <v>496</v>
      </c>
      <c r="K36" s="85">
        <v>496</v>
      </c>
      <c r="L36" s="89"/>
      <c r="M36" s="88"/>
      <c r="N36" s="93"/>
      <c r="O36" s="93"/>
      <c r="P36" s="85"/>
      <c r="Q36" s="85"/>
      <c r="R36" s="84"/>
      <c r="S36" s="84"/>
      <c r="T36" s="93"/>
      <c r="U36" s="93"/>
      <c r="V36" s="93"/>
      <c r="W36" s="93"/>
      <c r="X36" s="84"/>
      <c r="Y36" s="84"/>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446"/>
      <c r="BJ36" s="446"/>
      <c r="BK36" s="446"/>
      <c r="BL36" s="446"/>
      <c r="BM36" s="446"/>
      <c r="BN36" s="446"/>
      <c r="BO36" s="448"/>
    </row>
    <row r="37" spans="1:67" s="8" customFormat="1" ht="25" customHeight="1" x14ac:dyDescent="0.25">
      <c r="A37" s="446"/>
      <c r="B37" s="446"/>
      <c r="C37" s="447"/>
      <c r="D37" s="447"/>
      <c r="E37" s="87">
        <v>90</v>
      </c>
      <c r="F37" s="86" t="s">
        <v>30</v>
      </c>
      <c r="G37" s="86" t="s">
        <v>1443</v>
      </c>
      <c r="H37" s="93">
        <f t="shared" si="6"/>
        <v>115.32860302197369</v>
      </c>
      <c r="I37" s="93">
        <f t="shared" si="7"/>
        <v>115.32860302197369</v>
      </c>
      <c r="J37" s="85">
        <v>579</v>
      </c>
      <c r="K37" s="85">
        <v>579</v>
      </c>
      <c r="L37" s="89"/>
      <c r="M37" s="88"/>
      <c r="N37" s="93"/>
      <c r="O37" s="93"/>
      <c r="P37" s="85"/>
      <c r="Q37" s="85"/>
      <c r="R37" s="84"/>
      <c r="S37" s="84"/>
      <c r="T37" s="93"/>
      <c r="U37" s="93"/>
      <c r="V37" s="93"/>
      <c r="W37" s="93"/>
      <c r="X37" s="84"/>
      <c r="Y37" s="84"/>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446"/>
      <c r="BJ37" s="446"/>
      <c r="BK37" s="446"/>
      <c r="BL37" s="446"/>
      <c r="BM37" s="446"/>
      <c r="BN37" s="446"/>
      <c r="BO37" s="448"/>
    </row>
    <row r="38" spans="1:67" s="8" customFormat="1" ht="25" customHeight="1" x14ac:dyDescent="0.25">
      <c r="A38" s="446"/>
      <c r="B38" s="446"/>
      <c r="C38" s="447"/>
      <c r="D38" s="447"/>
      <c r="E38" s="87">
        <v>80</v>
      </c>
      <c r="F38" s="86" t="s">
        <v>30</v>
      </c>
      <c r="G38" s="86" t="s">
        <v>1443</v>
      </c>
      <c r="H38" s="93">
        <f t="shared" si="6"/>
        <v>129.669983708644</v>
      </c>
      <c r="I38" s="93">
        <f t="shared" si="7"/>
        <v>129.669983708644</v>
      </c>
      <c r="J38" s="85">
        <v>651</v>
      </c>
      <c r="K38" s="85">
        <v>651</v>
      </c>
      <c r="L38" s="89"/>
      <c r="M38" s="88"/>
      <c r="N38" s="93"/>
      <c r="O38" s="93"/>
      <c r="P38" s="85"/>
      <c r="Q38" s="85"/>
      <c r="R38" s="84"/>
      <c r="S38" s="84"/>
      <c r="T38" s="93"/>
      <c r="U38" s="93"/>
      <c r="V38" s="93"/>
      <c r="W38" s="93"/>
      <c r="X38" s="84"/>
      <c r="Y38" s="84"/>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E38" s="93"/>
      <c r="BF38" s="93"/>
      <c r="BG38" s="93"/>
      <c r="BH38" s="93"/>
      <c r="BI38" s="446"/>
      <c r="BJ38" s="446"/>
      <c r="BK38" s="446"/>
      <c r="BL38" s="446"/>
      <c r="BM38" s="446"/>
      <c r="BN38" s="446"/>
      <c r="BO38" s="448"/>
    </row>
    <row r="39" spans="1:67" s="8" customFormat="1" ht="25" customHeight="1" x14ac:dyDescent="0.25">
      <c r="A39" s="446"/>
      <c r="B39" s="446"/>
      <c r="C39" s="447"/>
      <c r="D39" s="447"/>
      <c r="E39" s="87">
        <v>75</v>
      </c>
      <c r="F39" s="86" t="s">
        <v>30</v>
      </c>
      <c r="G39" s="86" t="s">
        <v>1443</v>
      </c>
      <c r="H39" s="93">
        <f t="shared" si="6"/>
        <v>136.24311652336789</v>
      </c>
      <c r="I39" s="93">
        <f t="shared" si="7"/>
        <v>136.24311652336789</v>
      </c>
      <c r="J39" s="85">
        <v>684</v>
      </c>
      <c r="K39" s="85">
        <v>684</v>
      </c>
      <c r="L39" s="88" t="s">
        <v>30</v>
      </c>
      <c r="M39" s="88" t="s">
        <v>1443</v>
      </c>
      <c r="N39" s="93">
        <f t="shared" ref="N39:N47" si="8">(115*P39*SQRT(3))/1000</f>
        <v>136.84067405197914</v>
      </c>
      <c r="O39" s="93">
        <f t="shared" ref="O39:O47" si="9">(115*Q39*SQRT(3))/1000</f>
        <v>136.84067405197914</v>
      </c>
      <c r="P39" s="85">
        <v>687</v>
      </c>
      <c r="Q39" s="85">
        <v>687</v>
      </c>
      <c r="R39" s="84"/>
      <c r="S39" s="84"/>
      <c r="T39" s="93"/>
      <c r="U39" s="93"/>
      <c r="V39" s="93"/>
      <c r="W39" s="93"/>
      <c r="X39" s="84"/>
      <c r="Y39" s="84"/>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446"/>
      <c r="BJ39" s="446"/>
      <c r="BK39" s="446"/>
      <c r="BL39" s="446"/>
      <c r="BM39" s="446"/>
      <c r="BN39" s="446"/>
      <c r="BO39" s="448"/>
    </row>
    <row r="40" spans="1:67" s="8" customFormat="1" ht="25" customHeight="1" x14ac:dyDescent="0.25">
      <c r="A40" s="446"/>
      <c r="B40" s="446"/>
      <c r="C40" s="447"/>
      <c r="D40" s="447"/>
      <c r="E40" s="87">
        <v>70</v>
      </c>
      <c r="F40" s="86" t="s">
        <v>30</v>
      </c>
      <c r="G40" s="86" t="s">
        <v>1443</v>
      </c>
      <c r="H40" s="93">
        <f t="shared" si="6"/>
        <v>142.61706349522134</v>
      </c>
      <c r="I40" s="93">
        <f t="shared" si="7"/>
        <v>142.61706349522134</v>
      </c>
      <c r="J40" s="85">
        <v>716</v>
      </c>
      <c r="K40" s="85">
        <v>716</v>
      </c>
      <c r="L40" s="88" t="s">
        <v>30</v>
      </c>
      <c r="M40" s="88" t="s">
        <v>1443</v>
      </c>
      <c r="N40" s="93">
        <f t="shared" si="8"/>
        <v>143.01543518096221</v>
      </c>
      <c r="O40" s="93">
        <f t="shared" si="9"/>
        <v>143.01543518096221</v>
      </c>
      <c r="P40" s="85">
        <v>718</v>
      </c>
      <c r="Q40" s="85">
        <v>718</v>
      </c>
      <c r="R40" s="84"/>
      <c r="S40" s="84"/>
      <c r="T40" s="93"/>
      <c r="U40" s="93"/>
      <c r="V40" s="93"/>
      <c r="W40" s="93"/>
      <c r="X40" s="84"/>
      <c r="Y40" s="84"/>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c r="BE40" s="93"/>
      <c r="BF40" s="93"/>
      <c r="BG40" s="93"/>
      <c r="BH40" s="93"/>
      <c r="BI40" s="446"/>
      <c r="BJ40" s="446"/>
      <c r="BK40" s="446"/>
      <c r="BL40" s="446"/>
      <c r="BM40" s="446"/>
      <c r="BN40" s="446"/>
      <c r="BO40" s="448"/>
    </row>
    <row r="41" spans="1:67" s="8" customFormat="1" ht="25" customHeight="1" x14ac:dyDescent="0.25">
      <c r="A41" s="446"/>
      <c r="B41" s="446"/>
      <c r="C41" s="447"/>
      <c r="D41" s="447"/>
      <c r="E41" s="87">
        <v>60</v>
      </c>
      <c r="F41" s="86" t="s">
        <v>30</v>
      </c>
      <c r="G41" s="86" t="s">
        <v>1443</v>
      </c>
      <c r="H41" s="93">
        <f t="shared" si="6"/>
        <v>154.16984238170576</v>
      </c>
      <c r="I41" s="93">
        <f t="shared" si="7"/>
        <v>154.16984238170576</v>
      </c>
      <c r="J41" s="85">
        <v>774</v>
      </c>
      <c r="K41" s="85">
        <v>774</v>
      </c>
      <c r="L41" s="88" t="s">
        <v>30</v>
      </c>
      <c r="M41" s="88" t="s">
        <v>1443</v>
      </c>
      <c r="N41" s="93">
        <f t="shared" si="8"/>
        <v>154.76739991031704</v>
      </c>
      <c r="O41" s="93">
        <f t="shared" si="9"/>
        <v>154.76739991031704</v>
      </c>
      <c r="P41" s="85">
        <v>777</v>
      </c>
      <c r="Q41" s="85">
        <v>777</v>
      </c>
      <c r="R41" s="84"/>
      <c r="S41" s="84"/>
      <c r="T41" s="93"/>
      <c r="U41" s="93"/>
      <c r="V41" s="93"/>
      <c r="W41" s="93"/>
      <c r="X41" s="84"/>
      <c r="Y41" s="84"/>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c r="BE41" s="93"/>
      <c r="BF41" s="93"/>
      <c r="BG41" s="93"/>
      <c r="BH41" s="93"/>
      <c r="BI41" s="446"/>
      <c r="BJ41" s="446"/>
      <c r="BK41" s="446"/>
      <c r="BL41" s="446"/>
      <c r="BM41" s="446"/>
      <c r="BN41" s="446"/>
      <c r="BO41" s="448"/>
    </row>
    <row r="42" spans="1:67" s="8" customFormat="1" ht="25" customHeight="1" x14ac:dyDescent="0.25">
      <c r="A42" s="446"/>
      <c r="B42" s="446"/>
      <c r="C42" s="447"/>
      <c r="D42" s="447"/>
      <c r="E42" s="87">
        <v>50</v>
      </c>
      <c r="F42" s="86" t="s">
        <v>30</v>
      </c>
      <c r="G42" s="86" t="s">
        <v>1443</v>
      </c>
      <c r="H42" s="93">
        <f t="shared" si="6"/>
        <v>165.12506373957891</v>
      </c>
      <c r="I42" s="93">
        <f t="shared" si="7"/>
        <v>165.12506373957891</v>
      </c>
      <c r="J42" s="85">
        <v>829</v>
      </c>
      <c r="K42" s="85">
        <v>829</v>
      </c>
      <c r="L42" s="88" t="s">
        <v>30</v>
      </c>
      <c r="M42" s="88" t="s">
        <v>1443</v>
      </c>
      <c r="N42" s="93">
        <f t="shared" si="8"/>
        <v>165.52343542531975</v>
      </c>
      <c r="O42" s="93">
        <f t="shared" si="9"/>
        <v>165.52343542531975</v>
      </c>
      <c r="P42" s="85">
        <v>831</v>
      </c>
      <c r="Q42" s="85">
        <v>831</v>
      </c>
      <c r="R42" s="84"/>
      <c r="S42" s="84"/>
      <c r="T42" s="93"/>
      <c r="U42" s="93"/>
      <c r="V42" s="93"/>
      <c r="W42" s="93"/>
      <c r="X42" s="84"/>
      <c r="Y42" s="84"/>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3"/>
      <c r="BG42" s="93"/>
      <c r="BH42" s="93"/>
      <c r="BI42" s="446"/>
      <c r="BJ42" s="446"/>
      <c r="BK42" s="446"/>
      <c r="BL42" s="446"/>
      <c r="BM42" s="446"/>
      <c r="BN42" s="446"/>
      <c r="BO42" s="448"/>
    </row>
    <row r="43" spans="1:67" s="8" customFormat="1" ht="25" customHeight="1" x14ac:dyDescent="0.25">
      <c r="A43" s="446"/>
      <c r="B43" s="446"/>
      <c r="C43" s="447"/>
      <c r="D43" s="447"/>
      <c r="E43" s="87">
        <v>40</v>
      </c>
      <c r="F43" s="86" t="s">
        <v>30</v>
      </c>
      <c r="G43" s="86" t="s">
        <v>1443</v>
      </c>
      <c r="H43" s="93">
        <f t="shared" si="6"/>
        <v>175.28354172597037</v>
      </c>
      <c r="I43" s="93">
        <f t="shared" si="7"/>
        <v>175.28354172597037</v>
      </c>
      <c r="J43" s="85">
        <v>880</v>
      </c>
      <c r="K43" s="85">
        <v>880</v>
      </c>
      <c r="L43" s="88" t="s">
        <v>30</v>
      </c>
      <c r="M43" s="88" t="s">
        <v>1443</v>
      </c>
      <c r="N43" s="93">
        <f t="shared" si="8"/>
        <v>175.68191341171124</v>
      </c>
      <c r="O43" s="93">
        <f t="shared" si="9"/>
        <v>175.68191341171124</v>
      </c>
      <c r="P43" s="85">
        <v>882</v>
      </c>
      <c r="Q43" s="85">
        <v>882</v>
      </c>
      <c r="R43" s="84"/>
      <c r="S43" s="84"/>
      <c r="T43" s="93"/>
      <c r="U43" s="93"/>
      <c r="V43" s="93"/>
      <c r="W43" s="93"/>
      <c r="X43" s="84"/>
      <c r="Y43" s="84"/>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446"/>
      <c r="BJ43" s="446"/>
      <c r="BK43" s="446"/>
      <c r="BL43" s="446"/>
      <c r="BM43" s="446"/>
      <c r="BN43" s="446"/>
      <c r="BO43" s="448"/>
    </row>
    <row r="44" spans="1:67" s="8" customFormat="1" ht="25" customHeight="1" x14ac:dyDescent="0.25">
      <c r="A44" s="446"/>
      <c r="B44" s="446"/>
      <c r="C44" s="447"/>
      <c r="D44" s="447"/>
      <c r="E44" s="87">
        <v>30</v>
      </c>
      <c r="F44" s="86" t="s">
        <v>30</v>
      </c>
      <c r="G44" s="86" t="s">
        <v>1443</v>
      </c>
      <c r="H44" s="93">
        <f t="shared" si="6"/>
        <v>184.84446218375058</v>
      </c>
      <c r="I44" s="93">
        <f t="shared" si="7"/>
        <v>184.84446218375058</v>
      </c>
      <c r="J44" s="85">
        <v>928</v>
      </c>
      <c r="K44" s="85">
        <v>928</v>
      </c>
      <c r="L44" s="88" t="s">
        <v>30</v>
      </c>
      <c r="M44" s="88" t="s">
        <v>1443</v>
      </c>
      <c r="N44" s="93">
        <f t="shared" si="8"/>
        <v>185.24283386949142</v>
      </c>
      <c r="O44" s="93">
        <f t="shared" si="9"/>
        <v>185.24283386949142</v>
      </c>
      <c r="P44" s="85">
        <v>930</v>
      </c>
      <c r="Q44" s="85">
        <v>930</v>
      </c>
      <c r="R44" s="84"/>
      <c r="S44" s="84"/>
      <c r="T44" s="93"/>
      <c r="U44" s="93"/>
      <c r="V44" s="93"/>
      <c r="W44" s="93"/>
      <c r="X44" s="84"/>
      <c r="Y44" s="84"/>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446"/>
      <c r="BJ44" s="446"/>
      <c r="BK44" s="446"/>
      <c r="BL44" s="446"/>
      <c r="BM44" s="446"/>
      <c r="BN44" s="446"/>
      <c r="BO44" s="448"/>
    </row>
    <row r="45" spans="1:67" s="8" customFormat="1" ht="25" customHeight="1" x14ac:dyDescent="0.25">
      <c r="A45" s="446"/>
      <c r="B45" s="446"/>
      <c r="C45" s="447"/>
      <c r="D45" s="447"/>
      <c r="E45" s="87">
        <v>20</v>
      </c>
      <c r="F45" s="86" t="s">
        <v>1450</v>
      </c>
      <c r="G45" s="86" t="s">
        <v>1451</v>
      </c>
      <c r="H45" s="93">
        <f t="shared" si="6"/>
        <v>185.24283386949142</v>
      </c>
      <c r="I45" s="93">
        <f t="shared" si="7"/>
        <v>193.80782511291952</v>
      </c>
      <c r="J45" s="85">
        <v>930</v>
      </c>
      <c r="K45" s="85">
        <v>973</v>
      </c>
      <c r="L45" s="88" t="s">
        <v>30</v>
      </c>
      <c r="M45" s="88" t="s">
        <v>1443</v>
      </c>
      <c r="N45" s="93">
        <f t="shared" si="8"/>
        <v>194.20619679866036</v>
      </c>
      <c r="O45" s="93">
        <f t="shared" si="9"/>
        <v>194.20619679866036</v>
      </c>
      <c r="P45" s="85">
        <v>975</v>
      </c>
      <c r="Q45" s="85">
        <v>975</v>
      </c>
      <c r="R45" s="84"/>
      <c r="S45" s="84"/>
      <c r="T45" s="93"/>
      <c r="U45" s="93"/>
      <c r="V45" s="93"/>
      <c r="W45" s="93"/>
      <c r="X45" s="84"/>
      <c r="Y45" s="84"/>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446"/>
      <c r="BJ45" s="446"/>
      <c r="BK45" s="446"/>
      <c r="BL45" s="446"/>
      <c r="BM45" s="446"/>
      <c r="BN45" s="446"/>
      <c r="BO45" s="448"/>
    </row>
    <row r="46" spans="1:67" s="8" customFormat="1" ht="25" customHeight="1" x14ac:dyDescent="0.25">
      <c r="A46" s="446"/>
      <c r="B46" s="446"/>
      <c r="C46" s="447"/>
      <c r="D46" s="447"/>
      <c r="E46" s="87">
        <v>10</v>
      </c>
      <c r="F46" s="86" t="s">
        <v>1450</v>
      </c>
      <c r="G46" s="86" t="s">
        <v>1451</v>
      </c>
      <c r="H46" s="93">
        <f t="shared" si="6"/>
        <v>185.24283386949142</v>
      </c>
      <c r="I46" s="93">
        <f t="shared" si="7"/>
        <v>202.57200219921802</v>
      </c>
      <c r="J46" s="85">
        <v>930</v>
      </c>
      <c r="K46" s="85">
        <v>1017</v>
      </c>
      <c r="L46" s="88" t="s">
        <v>30</v>
      </c>
      <c r="M46" s="88" t="s">
        <v>1443</v>
      </c>
      <c r="N46" s="93">
        <f t="shared" si="8"/>
        <v>202.97037388495889</v>
      </c>
      <c r="O46" s="93">
        <f t="shared" si="9"/>
        <v>202.97037388495889</v>
      </c>
      <c r="P46" s="85">
        <v>1019</v>
      </c>
      <c r="Q46" s="85">
        <v>1019</v>
      </c>
      <c r="R46" s="84"/>
      <c r="S46" s="84"/>
      <c r="T46" s="93"/>
      <c r="U46" s="93"/>
      <c r="V46" s="93"/>
      <c r="W46" s="93"/>
      <c r="X46" s="84"/>
      <c r="Y46" s="84"/>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446"/>
      <c r="BJ46" s="446"/>
      <c r="BK46" s="446"/>
      <c r="BL46" s="446"/>
      <c r="BM46" s="446"/>
      <c r="BN46" s="446"/>
      <c r="BO46" s="448"/>
    </row>
    <row r="47" spans="1:67" s="8" customFormat="1" ht="29.25" customHeight="1" x14ac:dyDescent="0.25">
      <c r="A47" s="446"/>
      <c r="B47" s="446"/>
      <c r="C47" s="447"/>
      <c r="D47" s="447"/>
      <c r="E47" s="87">
        <v>0</v>
      </c>
      <c r="F47" s="86" t="s">
        <v>1449</v>
      </c>
      <c r="G47" s="86" t="s">
        <v>1452</v>
      </c>
      <c r="H47" s="93">
        <f t="shared" si="6"/>
        <v>185.24283386949142</v>
      </c>
      <c r="I47" s="93">
        <f t="shared" si="7"/>
        <v>203.76711725644057</v>
      </c>
      <c r="J47" s="85">
        <v>930</v>
      </c>
      <c r="K47" s="85">
        <v>1023</v>
      </c>
      <c r="L47" s="88" t="s">
        <v>1453</v>
      </c>
      <c r="M47" s="88" t="s">
        <v>1451</v>
      </c>
      <c r="N47" s="93">
        <f t="shared" si="8"/>
        <v>210.93780759977571</v>
      </c>
      <c r="O47" s="93">
        <f t="shared" si="9"/>
        <v>211.13699344264614</v>
      </c>
      <c r="P47" s="85">
        <v>1059</v>
      </c>
      <c r="Q47" s="85">
        <v>1060</v>
      </c>
      <c r="R47" s="84"/>
      <c r="S47" s="84"/>
      <c r="T47" s="93"/>
      <c r="U47" s="93"/>
      <c r="V47" s="93"/>
      <c r="W47" s="93"/>
      <c r="X47" s="84"/>
      <c r="Y47" s="84"/>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446"/>
      <c r="BJ47" s="446"/>
      <c r="BK47" s="446"/>
      <c r="BL47" s="446"/>
      <c r="BM47" s="446"/>
      <c r="BN47" s="446"/>
      <c r="BO47" s="448"/>
    </row>
    <row r="48" spans="1:67" s="8" customFormat="1" ht="25" customHeight="1" x14ac:dyDescent="0.25">
      <c r="A48" s="446">
        <v>9255</v>
      </c>
      <c r="B48" s="446">
        <v>115</v>
      </c>
      <c r="C48" s="447" t="s">
        <v>1449</v>
      </c>
      <c r="D48" s="447" t="s">
        <v>1454</v>
      </c>
      <c r="E48" s="87">
        <v>104</v>
      </c>
      <c r="F48" s="88" t="s">
        <v>1455</v>
      </c>
      <c r="G48" s="86" t="s">
        <v>1456</v>
      </c>
      <c r="H48" s="93">
        <f t="shared" si="6"/>
        <v>119.51150572225252</v>
      </c>
      <c r="I48" s="93">
        <f t="shared" si="7"/>
        <v>123.89359426540179</v>
      </c>
      <c r="J48" s="85">
        <v>600</v>
      </c>
      <c r="K48" s="85">
        <v>622</v>
      </c>
      <c r="L48" s="89"/>
      <c r="M48" s="88"/>
      <c r="N48" s="85"/>
      <c r="O48" s="85"/>
      <c r="P48" s="85"/>
      <c r="Q48" s="85"/>
      <c r="R48" s="84"/>
      <c r="S48" s="84"/>
      <c r="T48" s="93"/>
      <c r="U48" s="93"/>
      <c r="V48" s="93"/>
      <c r="W48" s="93"/>
      <c r="X48" s="84"/>
      <c r="Y48" s="84"/>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3"/>
      <c r="BG48" s="93"/>
      <c r="BH48" s="93"/>
      <c r="BI48" s="446" t="s">
        <v>1444</v>
      </c>
      <c r="BJ48" s="446"/>
      <c r="BK48" s="446"/>
      <c r="BL48" s="446"/>
      <c r="BM48" s="446"/>
      <c r="BN48" s="446" t="s">
        <v>1445</v>
      </c>
      <c r="BO48" s="448">
        <v>42520</v>
      </c>
    </row>
    <row r="49" spans="1:67" s="8" customFormat="1" ht="25" customHeight="1" x14ac:dyDescent="0.25">
      <c r="A49" s="446"/>
      <c r="B49" s="446"/>
      <c r="C49" s="447"/>
      <c r="D49" s="447"/>
      <c r="E49" s="87">
        <v>100</v>
      </c>
      <c r="F49" s="88" t="s">
        <v>1455</v>
      </c>
      <c r="G49" s="86" t="s">
        <v>1456</v>
      </c>
      <c r="H49" s="93">
        <f t="shared" si="6"/>
        <v>119.51150572225252</v>
      </c>
      <c r="I49" s="93">
        <f t="shared" si="7"/>
        <v>129.07242618003272</v>
      </c>
      <c r="J49" s="85">
        <v>600</v>
      </c>
      <c r="K49" s="85">
        <v>648</v>
      </c>
      <c r="L49" s="89"/>
      <c r="M49" s="88"/>
      <c r="N49" s="85"/>
      <c r="O49" s="85"/>
      <c r="P49" s="85"/>
      <c r="Q49" s="85"/>
      <c r="R49" s="84"/>
      <c r="S49" s="84"/>
      <c r="T49" s="93"/>
      <c r="U49" s="93"/>
      <c r="V49" s="93"/>
      <c r="W49" s="93"/>
      <c r="X49" s="84"/>
      <c r="Y49" s="84"/>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446"/>
      <c r="BJ49" s="446"/>
      <c r="BK49" s="446"/>
      <c r="BL49" s="446"/>
      <c r="BM49" s="446"/>
      <c r="BN49" s="446"/>
      <c r="BO49" s="448"/>
    </row>
    <row r="50" spans="1:67" s="8" customFormat="1" ht="25" customHeight="1" x14ac:dyDescent="0.25">
      <c r="A50" s="446"/>
      <c r="B50" s="446"/>
      <c r="C50" s="447"/>
      <c r="D50" s="447"/>
      <c r="E50" s="87">
        <v>90</v>
      </c>
      <c r="F50" s="88" t="s">
        <v>1455</v>
      </c>
      <c r="G50" s="86" t="s">
        <v>1456</v>
      </c>
      <c r="H50" s="93">
        <f t="shared" si="6"/>
        <v>119.51150572225252</v>
      </c>
      <c r="I50" s="93">
        <f t="shared" si="7"/>
        <v>129.07242618003272</v>
      </c>
      <c r="J50" s="85">
        <v>600</v>
      </c>
      <c r="K50" s="85">
        <v>648</v>
      </c>
      <c r="L50" s="89"/>
      <c r="M50" s="88"/>
      <c r="N50" s="85"/>
      <c r="O50" s="85"/>
      <c r="P50" s="85"/>
      <c r="Q50" s="85"/>
      <c r="R50" s="84"/>
      <c r="S50" s="84"/>
      <c r="T50" s="93"/>
      <c r="U50" s="93"/>
      <c r="V50" s="93"/>
      <c r="W50" s="93"/>
      <c r="X50" s="84"/>
      <c r="Y50" s="84"/>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446"/>
      <c r="BJ50" s="446"/>
      <c r="BK50" s="446"/>
      <c r="BL50" s="446"/>
      <c r="BM50" s="446"/>
      <c r="BN50" s="446"/>
      <c r="BO50" s="448"/>
    </row>
    <row r="51" spans="1:67" s="8" customFormat="1" ht="25" customHeight="1" x14ac:dyDescent="0.25">
      <c r="A51" s="446"/>
      <c r="B51" s="446"/>
      <c r="C51" s="447"/>
      <c r="D51" s="447"/>
      <c r="E51" s="87">
        <v>80</v>
      </c>
      <c r="F51" s="88" t="s">
        <v>1455</v>
      </c>
      <c r="G51" s="86" t="s">
        <v>1456</v>
      </c>
      <c r="H51" s="93">
        <f t="shared" si="6"/>
        <v>119.51150572225252</v>
      </c>
      <c r="I51" s="93">
        <f t="shared" si="7"/>
        <v>129.07242618003272</v>
      </c>
      <c r="J51" s="85">
        <v>600</v>
      </c>
      <c r="K51" s="85">
        <v>648</v>
      </c>
      <c r="L51" s="89"/>
      <c r="M51" s="88"/>
      <c r="N51" s="85"/>
      <c r="O51" s="85"/>
      <c r="P51" s="85"/>
      <c r="Q51" s="85"/>
      <c r="R51" s="84"/>
      <c r="S51" s="84"/>
      <c r="T51" s="93"/>
      <c r="U51" s="93"/>
      <c r="V51" s="93"/>
      <c r="W51" s="93"/>
      <c r="X51" s="84"/>
      <c r="Y51" s="84"/>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446"/>
      <c r="BJ51" s="446"/>
      <c r="BK51" s="446"/>
      <c r="BL51" s="446"/>
      <c r="BM51" s="446"/>
      <c r="BN51" s="446"/>
      <c r="BO51" s="448"/>
    </row>
    <row r="52" spans="1:67" s="8" customFormat="1" ht="25" customHeight="1" x14ac:dyDescent="0.25">
      <c r="A52" s="446"/>
      <c r="B52" s="446"/>
      <c r="C52" s="447"/>
      <c r="D52" s="447"/>
      <c r="E52" s="87">
        <v>75</v>
      </c>
      <c r="F52" s="88" t="s">
        <v>1455</v>
      </c>
      <c r="G52" s="86" t="s">
        <v>1456</v>
      </c>
      <c r="H52" s="93">
        <f t="shared" si="6"/>
        <v>119.51150572225252</v>
      </c>
      <c r="I52" s="93">
        <f t="shared" si="7"/>
        <v>129.07242618003272</v>
      </c>
      <c r="J52" s="85">
        <v>600</v>
      </c>
      <c r="K52" s="85">
        <v>648</v>
      </c>
      <c r="L52" s="89"/>
      <c r="M52" s="88"/>
      <c r="N52" s="85"/>
      <c r="O52" s="85"/>
      <c r="P52" s="85"/>
      <c r="Q52" s="85">
        <v>792</v>
      </c>
      <c r="R52" s="84"/>
      <c r="S52" s="84"/>
      <c r="T52" s="93"/>
      <c r="U52" s="93"/>
      <c r="V52" s="93"/>
      <c r="W52" s="93"/>
      <c r="X52" s="84"/>
      <c r="Y52" s="84"/>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446"/>
      <c r="BJ52" s="446"/>
      <c r="BK52" s="446"/>
      <c r="BL52" s="446"/>
      <c r="BM52" s="446"/>
      <c r="BN52" s="446"/>
      <c r="BO52" s="448"/>
    </row>
    <row r="53" spans="1:67" s="8" customFormat="1" ht="25" customHeight="1" x14ac:dyDescent="0.25">
      <c r="A53" s="446"/>
      <c r="B53" s="446"/>
      <c r="C53" s="447"/>
      <c r="D53" s="447"/>
      <c r="E53" s="87">
        <v>70</v>
      </c>
      <c r="F53" s="88" t="s">
        <v>1455</v>
      </c>
      <c r="G53" s="86" t="s">
        <v>1456</v>
      </c>
      <c r="H53" s="93">
        <f t="shared" si="6"/>
        <v>119.51150572225252</v>
      </c>
      <c r="I53" s="93">
        <f t="shared" si="7"/>
        <v>129.07242618003272</v>
      </c>
      <c r="J53" s="85">
        <v>600</v>
      </c>
      <c r="K53" s="85">
        <v>648</v>
      </c>
      <c r="L53" s="89"/>
      <c r="M53" s="88"/>
      <c r="N53" s="85"/>
      <c r="O53" s="85"/>
      <c r="P53" s="85"/>
      <c r="Q53" s="85">
        <v>817</v>
      </c>
      <c r="R53" s="84"/>
      <c r="S53" s="84"/>
      <c r="T53" s="93"/>
      <c r="U53" s="93"/>
      <c r="V53" s="93"/>
      <c r="W53" s="93"/>
      <c r="X53" s="84"/>
      <c r="Y53" s="84"/>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446"/>
      <c r="BJ53" s="446"/>
      <c r="BK53" s="446"/>
      <c r="BL53" s="446"/>
      <c r="BM53" s="446"/>
      <c r="BN53" s="446"/>
      <c r="BO53" s="448"/>
    </row>
    <row r="54" spans="1:67" s="8" customFormat="1" ht="25" customHeight="1" x14ac:dyDescent="0.25">
      <c r="A54" s="446"/>
      <c r="B54" s="446"/>
      <c r="C54" s="447"/>
      <c r="D54" s="447"/>
      <c r="E54" s="87">
        <v>60</v>
      </c>
      <c r="F54" s="86" t="s">
        <v>1457</v>
      </c>
      <c r="G54" s="86" t="s">
        <v>1458</v>
      </c>
      <c r="H54" s="93">
        <f t="shared" si="6"/>
        <v>119.51150572225252</v>
      </c>
      <c r="I54" s="93">
        <f t="shared" si="7"/>
        <v>154.36902822457617</v>
      </c>
      <c r="J54" s="85">
        <v>600</v>
      </c>
      <c r="K54" s="85">
        <v>775</v>
      </c>
      <c r="L54" s="88" t="s">
        <v>1455</v>
      </c>
      <c r="M54" s="86" t="s">
        <v>1456</v>
      </c>
      <c r="N54" s="93">
        <f t="shared" ref="N54:O60" si="10">(115*P54*SQRT(3))/1000</f>
        <v>147.99508125272271</v>
      </c>
      <c r="O54" s="93">
        <f t="shared" si="10"/>
        <v>172.29575408291407</v>
      </c>
      <c r="P54" s="85">
        <v>743</v>
      </c>
      <c r="Q54" s="85">
        <v>865</v>
      </c>
      <c r="R54" s="84"/>
      <c r="S54" s="84"/>
      <c r="T54" s="93"/>
      <c r="U54" s="93"/>
      <c r="V54" s="93"/>
      <c r="W54" s="93"/>
      <c r="X54" s="84"/>
      <c r="Y54" s="84"/>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446"/>
      <c r="BJ54" s="446"/>
      <c r="BK54" s="446"/>
      <c r="BL54" s="446"/>
      <c r="BM54" s="446"/>
      <c r="BN54" s="446"/>
      <c r="BO54" s="448"/>
    </row>
    <row r="55" spans="1:67" s="8" customFormat="1" ht="25" customHeight="1" x14ac:dyDescent="0.25">
      <c r="A55" s="446"/>
      <c r="B55" s="446"/>
      <c r="C55" s="447"/>
      <c r="D55" s="447"/>
      <c r="E55" s="87">
        <v>50</v>
      </c>
      <c r="F55" s="86" t="s">
        <v>1457</v>
      </c>
      <c r="G55" s="86" t="s">
        <v>1458</v>
      </c>
      <c r="H55" s="93">
        <f t="shared" si="6"/>
        <v>119.51150572225252</v>
      </c>
      <c r="I55" s="93">
        <f t="shared" si="7"/>
        <v>154.36902822457617</v>
      </c>
      <c r="J55" s="85">
        <v>600</v>
      </c>
      <c r="K55" s="85">
        <v>775</v>
      </c>
      <c r="L55" s="86" t="s">
        <v>1457</v>
      </c>
      <c r="M55" s="86" t="s">
        <v>1458</v>
      </c>
      <c r="N55" s="93">
        <f t="shared" si="10"/>
        <v>147.99508125272271</v>
      </c>
      <c r="O55" s="93">
        <f t="shared" si="10"/>
        <v>177.27540015467457</v>
      </c>
      <c r="P55" s="85">
        <v>743</v>
      </c>
      <c r="Q55" s="85">
        <v>890</v>
      </c>
      <c r="R55" s="84"/>
      <c r="S55" s="84"/>
      <c r="T55" s="93"/>
      <c r="U55" s="93"/>
      <c r="V55" s="93"/>
      <c r="W55" s="93"/>
      <c r="X55" s="84"/>
      <c r="Y55" s="84"/>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446"/>
      <c r="BJ55" s="446"/>
      <c r="BK55" s="446"/>
      <c r="BL55" s="446"/>
      <c r="BM55" s="446"/>
      <c r="BN55" s="446"/>
      <c r="BO55" s="448"/>
    </row>
    <row r="56" spans="1:67" s="8" customFormat="1" ht="25" customHeight="1" x14ac:dyDescent="0.25">
      <c r="A56" s="446"/>
      <c r="B56" s="446"/>
      <c r="C56" s="447"/>
      <c r="D56" s="447"/>
      <c r="E56" s="87">
        <v>40</v>
      </c>
      <c r="F56" s="86" t="s">
        <v>1457</v>
      </c>
      <c r="G56" s="86" t="s">
        <v>1458</v>
      </c>
      <c r="H56" s="93">
        <f t="shared" si="6"/>
        <v>119.51150572225252</v>
      </c>
      <c r="I56" s="93">
        <f t="shared" si="7"/>
        <v>154.36902822457617</v>
      </c>
      <c r="J56" s="85">
        <v>600</v>
      </c>
      <c r="K56" s="85">
        <v>775</v>
      </c>
      <c r="L56" s="86" t="s">
        <v>1457</v>
      </c>
      <c r="M56" s="86" t="s">
        <v>1458</v>
      </c>
      <c r="N56" s="93">
        <f t="shared" si="10"/>
        <v>147.99508125272271</v>
      </c>
      <c r="O56" s="93">
        <f t="shared" si="10"/>
        <v>177.27540015467457</v>
      </c>
      <c r="P56" s="85">
        <v>743</v>
      </c>
      <c r="Q56" s="85">
        <v>890</v>
      </c>
      <c r="R56" s="84"/>
      <c r="S56" s="84"/>
      <c r="T56" s="93"/>
      <c r="U56" s="93"/>
      <c r="V56" s="93"/>
      <c r="W56" s="93"/>
      <c r="X56" s="84"/>
      <c r="Y56" s="84"/>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3"/>
      <c r="BG56" s="93"/>
      <c r="BH56" s="93"/>
      <c r="BI56" s="446"/>
      <c r="BJ56" s="446"/>
      <c r="BK56" s="446"/>
      <c r="BL56" s="446"/>
      <c r="BM56" s="446"/>
      <c r="BN56" s="446"/>
      <c r="BO56" s="448"/>
    </row>
    <row r="57" spans="1:67" s="8" customFormat="1" ht="25" customHeight="1" x14ac:dyDescent="0.25">
      <c r="A57" s="446"/>
      <c r="B57" s="446"/>
      <c r="C57" s="447"/>
      <c r="D57" s="447"/>
      <c r="E57" s="87">
        <v>30</v>
      </c>
      <c r="F57" s="86" t="s">
        <v>1457</v>
      </c>
      <c r="G57" s="86" t="s">
        <v>1458</v>
      </c>
      <c r="H57" s="93">
        <f t="shared" si="6"/>
        <v>119.51150572225252</v>
      </c>
      <c r="I57" s="93">
        <f t="shared" si="7"/>
        <v>154.36902822457617</v>
      </c>
      <c r="J57" s="85">
        <v>600</v>
      </c>
      <c r="K57" s="85">
        <v>775</v>
      </c>
      <c r="L57" s="86" t="s">
        <v>1457</v>
      </c>
      <c r="M57" s="86" t="s">
        <v>1458</v>
      </c>
      <c r="N57" s="93">
        <f t="shared" si="10"/>
        <v>147.99508125272271</v>
      </c>
      <c r="O57" s="93">
        <f t="shared" si="10"/>
        <v>177.27540015467457</v>
      </c>
      <c r="P57" s="85">
        <v>743</v>
      </c>
      <c r="Q57" s="85">
        <v>890</v>
      </c>
      <c r="R57" s="84"/>
      <c r="S57" s="84"/>
      <c r="T57" s="93"/>
      <c r="U57" s="93"/>
      <c r="V57" s="93"/>
      <c r="W57" s="93"/>
      <c r="X57" s="84"/>
      <c r="Y57" s="84"/>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446"/>
      <c r="BJ57" s="446"/>
      <c r="BK57" s="446"/>
      <c r="BL57" s="446"/>
      <c r="BM57" s="446"/>
      <c r="BN57" s="446"/>
      <c r="BO57" s="448"/>
    </row>
    <row r="58" spans="1:67" s="8" customFormat="1" ht="25" customHeight="1" x14ac:dyDescent="0.25">
      <c r="A58" s="446"/>
      <c r="B58" s="446"/>
      <c r="C58" s="447"/>
      <c r="D58" s="447"/>
      <c r="E58" s="87">
        <v>20</v>
      </c>
      <c r="F58" s="86" t="s">
        <v>1457</v>
      </c>
      <c r="G58" s="86" t="s">
        <v>1458</v>
      </c>
      <c r="H58" s="93">
        <f t="shared" si="6"/>
        <v>119.51150572225252</v>
      </c>
      <c r="I58" s="93">
        <f t="shared" si="7"/>
        <v>154.36902822457617</v>
      </c>
      <c r="J58" s="85">
        <v>600</v>
      </c>
      <c r="K58" s="85">
        <v>775</v>
      </c>
      <c r="L58" s="86" t="s">
        <v>1457</v>
      </c>
      <c r="M58" s="86" t="s">
        <v>1458</v>
      </c>
      <c r="N58" s="93">
        <f t="shared" si="10"/>
        <v>147.99508125272271</v>
      </c>
      <c r="O58" s="93">
        <f t="shared" si="10"/>
        <v>177.27540015467457</v>
      </c>
      <c r="P58" s="85">
        <v>743</v>
      </c>
      <c r="Q58" s="85">
        <v>890</v>
      </c>
      <c r="R58" s="84"/>
      <c r="S58" s="84"/>
      <c r="T58" s="93"/>
      <c r="U58" s="93"/>
      <c r="V58" s="93"/>
      <c r="W58" s="93"/>
      <c r="X58" s="84"/>
      <c r="Y58" s="84"/>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446"/>
      <c r="BJ58" s="446"/>
      <c r="BK58" s="446"/>
      <c r="BL58" s="446"/>
      <c r="BM58" s="446"/>
      <c r="BN58" s="446"/>
      <c r="BO58" s="448"/>
    </row>
    <row r="59" spans="1:67" s="8" customFormat="1" ht="25" customHeight="1" x14ac:dyDescent="0.25">
      <c r="A59" s="446"/>
      <c r="B59" s="446"/>
      <c r="C59" s="447"/>
      <c r="D59" s="447"/>
      <c r="E59" s="87">
        <v>10</v>
      </c>
      <c r="F59" s="86" t="s">
        <v>1457</v>
      </c>
      <c r="G59" s="86" t="s">
        <v>1458</v>
      </c>
      <c r="H59" s="93">
        <f t="shared" si="6"/>
        <v>119.51150572225252</v>
      </c>
      <c r="I59" s="93">
        <f t="shared" si="7"/>
        <v>154.36902822457617</v>
      </c>
      <c r="J59" s="85">
        <v>600</v>
      </c>
      <c r="K59" s="85">
        <v>775</v>
      </c>
      <c r="L59" s="86" t="s">
        <v>1457</v>
      </c>
      <c r="M59" s="86" t="s">
        <v>1458</v>
      </c>
      <c r="N59" s="93">
        <f t="shared" si="10"/>
        <v>147.99508125272271</v>
      </c>
      <c r="O59" s="93">
        <f t="shared" si="10"/>
        <v>177.27540015467457</v>
      </c>
      <c r="P59" s="85">
        <v>743</v>
      </c>
      <c r="Q59" s="85">
        <v>890</v>
      </c>
      <c r="R59" s="84"/>
      <c r="S59" s="84"/>
      <c r="T59" s="93"/>
      <c r="U59" s="93"/>
      <c r="V59" s="93"/>
      <c r="W59" s="93"/>
      <c r="X59" s="84"/>
      <c r="Y59" s="84"/>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446"/>
      <c r="BJ59" s="446"/>
      <c r="BK59" s="446"/>
      <c r="BL59" s="446"/>
      <c r="BM59" s="446"/>
      <c r="BN59" s="446"/>
      <c r="BO59" s="448"/>
    </row>
    <row r="60" spans="1:67" s="8" customFormat="1" ht="25" customHeight="1" x14ac:dyDescent="0.25">
      <c r="A60" s="446"/>
      <c r="B60" s="446"/>
      <c r="C60" s="447"/>
      <c r="D60" s="447"/>
      <c r="E60" s="87">
        <v>0</v>
      </c>
      <c r="F60" s="86" t="s">
        <v>1457</v>
      </c>
      <c r="G60" s="86" t="s">
        <v>1458</v>
      </c>
      <c r="H60" s="93">
        <f t="shared" si="6"/>
        <v>119.51150572225252</v>
      </c>
      <c r="I60" s="93">
        <f t="shared" si="7"/>
        <v>154.36902822457617</v>
      </c>
      <c r="J60" s="85">
        <v>600</v>
      </c>
      <c r="K60" s="85">
        <v>775</v>
      </c>
      <c r="L60" s="86" t="s">
        <v>1457</v>
      </c>
      <c r="M60" s="86" t="s">
        <v>1458</v>
      </c>
      <c r="N60" s="93">
        <f t="shared" si="10"/>
        <v>147.99508125272271</v>
      </c>
      <c r="O60" s="93">
        <f t="shared" si="10"/>
        <v>177.27540015467457</v>
      </c>
      <c r="P60" s="85">
        <v>743</v>
      </c>
      <c r="Q60" s="85">
        <v>890</v>
      </c>
      <c r="R60" s="84"/>
      <c r="S60" s="84"/>
      <c r="T60" s="93"/>
      <c r="U60" s="93"/>
      <c r="V60" s="93"/>
      <c r="W60" s="93"/>
      <c r="X60" s="84"/>
      <c r="Y60" s="84"/>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446"/>
      <c r="BJ60" s="446"/>
      <c r="BK60" s="446"/>
      <c r="BL60" s="446"/>
      <c r="BM60" s="446"/>
      <c r="BN60" s="446"/>
      <c r="BO60" s="448"/>
    </row>
  </sheetData>
  <mergeCells count="96">
    <mergeCell ref="A48:A60"/>
    <mergeCell ref="B48:B60"/>
    <mergeCell ref="C48:C60"/>
    <mergeCell ref="A35:A47"/>
    <mergeCell ref="B35:B47"/>
    <mergeCell ref="C35:C47"/>
    <mergeCell ref="A22:A34"/>
    <mergeCell ref="B22:B34"/>
    <mergeCell ref="C22:C34"/>
    <mergeCell ref="D22:D34"/>
    <mergeCell ref="BI22:BI34"/>
    <mergeCell ref="D48:D60"/>
    <mergeCell ref="BI48:BI60"/>
    <mergeCell ref="BL22:BL34"/>
    <mergeCell ref="BM22:BM34"/>
    <mergeCell ref="BN22:BN34"/>
    <mergeCell ref="BJ48:BJ60"/>
    <mergeCell ref="BJ22:BJ34"/>
    <mergeCell ref="BJ35:BJ47"/>
    <mergeCell ref="D35:D47"/>
    <mergeCell ref="BI35:BI47"/>
    <mergeCell ref="BO22:BO34"/>
    <mergeCell ref="BK48:BK60"/>
    <mergeCell ref="BK22:BK34"/>
    <mergeCell ref="BL48:BL60"/>
    <mergeCell ref="BM48:BM60"/>
    <mergeCell ref="BN48:BN60"/>
    <mergeCell ref="BO48:BO60"/>
    <mergeCell ref="BK35:BK47"/>
    <mergeCell ref="BL35:BL47"/>
    <mergeCell ref="BM35:BM47"/>
    <mergeCell ref="BN35:BN47"/>
    <mergeCell ref="BO35:BO47"/>
    <mergeCell ref="BE7:BF7"/>
    <mergeCell ref="BG7:BH7"/>
    <mergeCell ref="BI7:BM7"/>
    <mergeCell ref="BN7:BO7"/>
    <mergeCell ref="A9:A21"/>
    <mergeCell ref="B9:B21"/>
    <mergeCell ref="C9:C21"/>
    <mergeCell ref="D9:D21"/>
    <mergeCell ref="BI9:BI21"/>
    <mergeCell ref="BJ9:BJ21"/>
    <mergeCell ref="BK9:BK21"/>
    <mergeCell ref="BL9:BL21"/>
    <mergeCell ref="BM9:BM21"/>
    <mergeCell ref="BN9:BN21"/>
    <mergeCell ref="BO9:BO21"/>
    <mergeCell ref="AW7:AX7"/>
    <mergeCell ref="AY7:AY8"/>
    <mergeCell ref="AZ7:AZ8"/>
    <mergeCell ref="BA7:BB7"/>
    <mergeCell ref="BC7:BD7"/>
    <mergeCell ref="A1:BO1"/>
    <mergeCell ref="A2:BO2"/>
    <mergeCell ref="A3:BO3"/>
    <mergeCell ref="A4:BO4"/>
    <mergeCell ref="A5:AC5"/>
    <mergeCell ref="A6:E6"/>
    <mergeCell ref="F6:Q6"/>
    <mergeCell ref="L7:L8"/>
    <mergeCell ref="M7:M8"/>
    <mergeCell ref="N7:Q7"/>
    <mergeCell ref="A7:A8"/>
    <mergeCell ref="B7:B8"/>
    <mergeCell ref="C7:C8"/>
    <mergeCell ref="D7:D8"/>
    <mergeCell ref="E7:E8"/>
    <mergeCell ref="F7:F8"/>
    <mergeCell ref="G7:G8"/>
    <mergeCell ref="H7:K7"/>
    <mergeCell ref="AD5:BH5"/>
    <mergeCell ref="BI5:BO5"/>
    <mergeCell ref="AY6:BH6"/>
    <mergeCell ref="BI6:BO6"/>
    <mergeCell ref="R6:AC6"/>
    <mergeCell ref="AD6:AD8"/>
    <mergeCell ref="AE6:AN6"/>
    <mergeCell ref="AO6:AX6"/>
    <mergeCell ref="R7:R8"/>
    <mergeCell ref="AI7:AJ7"/>
    <mergeCell ref="AF7:AF8"/>
    <mergeCell ref="AG7:AH7"/>
    <mergeCell ref="AP7:AP8"/>
    <mergeCell ref="AQ7:AR7"/>
    <mergeCell ref="AS7:AT7"/>
    <mergeCell ref="AU7:AV7"/>
    <mergeCell ref="AK7:AL7"/>
    <mergeCell ref="AM7:AN7"/>
    <mergeCell ref="AO7:AO8"/>
    <mergeCell ref="S7:S8"/>
    <mergeCell ref="T7:W7"/>
    <mergeCell ref="X7:X8"/>
    <mergeCell ref="Y7:Y8"/>
    <mergeCell ref="Z7:AC7"/>
    <mergeCell ref="AE7:AE8"/>
  </mergeCells>
  <printOptions horizontalCentered="1"/>
  <pageMargins left="0.7" right="0.7" top="0.75" bottom="0.75" header="0.3" footer="0.3"/>
  <pageSetup paperSize="17" scale="76" fitToHeight="0" orientation="landscape" r:id="rId1"/>
  <headerFooter alignWithMargins="0">
    <oddFooter>&amp;L&amp;F&amp;C&amp;KFF0000Ratings provided are for N-0 ONLY&amp;K000000
Emergency ratings for T-lines can be used for a duration of 30 minutes
Page &amp;P of &amp;N</oddFooter>
  </headerFooter>
  <rowBreaks count="1" manualBreakCount="1">
    <brk id="34" max="66"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D9CAE-FA68-48CD-99F9-F61BB525CD02}">
  <sheetPr>
    <pageSetUpPr fitToPage="1"/>
  </sheetPr>
  <dimension ref="A1:AR163"/>
  <sheetViews>
    <sheetView zoomScale="55" zoomScaleNormal="55" workbookViewId="0">
      <pane xSplit="2" ySplit="5" topLeftCell="C42" activePane="bottomRight" state="frozen"/>
      <selection pane="topRight" activeCell="C1" sqref="C1"/>
      <selection pane="bottomLeft" activeCell="A6" sqref="A6"/>
      <selection pane="bottomRight" activeCell="U76" sqref="U76"/>
    </sheetView>
  </sheetViews>
  <sheetFormatPr defaultColWidth="10.453125" defaultRowHeight="15.5" x14ac:dyDescent="0.35"/>
  <cols>
    <col min="1" max="1" width="23.90625" style="113" customWidth="1"/>
    <col min="2" max="2" width="5.26953125" style="116" customWidth="1"/>
    <col min="3" max="3" width="9.81640625" style="117" customWidth="1"/>
    <col min="4" max="4" width="9.81640625" style="113" customWidth="1"/>
    <col min="5" max="5" width="10" style="113" customWidth="1"/>
    <col min="6" max="6" width="11" style="113" customWidth="1"/>
    <col min="7" max="7" width="10.6328125" style="113" customWidth="1"/>
    <col min="8" max="8" width="12.6328125" style="118" customWidth="1"/>
    <col min="9" max="9" width="16.36328125" style="118" customWidth="1"/>
    <col min="10" max="12" width="10.6328125" style="113" customWidth="1"/>
    <col min="13" max="13" width="12.6328125" style="113" customWidth="1"/>
    <col min="14" max="15" width="10.6328125" style="118" customWidth="1"/>
    <col min="16" max="16" width="10.6328125" style="114" customWidth="1"/>
    <col min="17" max="18" width="10.6328125" style="113" customWidth="1"/>
    <col min="19" max="19" width="10.6328125" style="117" customWidth="1"/>
    <col min="20" max="20" width="18" style="116" customWidth="1"/>
    <col min="21" max="21" width="14.26953125" style="115" customWidth="1"/>
    <col min="22" max="22" width="12.6328125" style="114" bestFit="1" customWidth="1"/>
    <col min="23" max="23" width="11.81640625" style="113" customWidth="1"/>
    <col min="24" max="25" width="15.90625" style="114" customWidth="1"/>
    <col min="26" max="26" width="13.81640625" style="114" customWidth="1"/>
    <col min="27" max="27" width="12.08984375" style="113" customWidth="1"/>
    <col min="28" max="28" width="51.81640625" style="113" customWidth="1"/>
    <col min="29" max="29" width="7.08984375" style="113" hidden="1" customWidth="1"/>
    <col min="30" max="30" width="8.6328125" style="113" hidden="1" customWidth="1"/>
    <col min="31" max="31" width="9.81640625" style="113" hidden="1" customWidth="1"/>
    <col min="32" max="32" width="12.6328125" style="113" hidden="1" customWidth="1"/>
    <col min="33" max="33" width="9.08984375" style="113" hidden="1" customWidth="1"/>
    <col min="34" max="34" width="10.36328125" style="113" hidden="1" customWidth="1"/>
    <col min="35" max="35" width="8.54296875" style="113" hidden="1" customWidth="1"/>
    <col min="36" max="36" width="9.26953125" style="113" hidden="1" customWidth="1"/>
    <col min="37" max="37" width="23.6328125" style="113" hidden="1" customWidth="1"/>
    <col min="38" max="38" width="9.1796875" style="113" hidden="1" customWidth="1"/>
    <col min="39" max="39" width="11.26953125" style="113" hidden="1" customWidth="1"/>
    <col min="40" max="40" width="16" style="113" hidden="1" customWidth="1"/>
    <col min="41" max="41" width="14.1796875" style="113" customWidth="1"/>
    <col min="42" max="42" width="12.36328125" style="113" customWidth="1"/>
    <col min="43" max="43" width="24.81640625" style="113" bestFit="1" customWidth="1"/>
    <col min="44" max="16384" width="10.453125" style="113"/>
  </cols>
  <sheetData>
    <row r="1" spans="1:43" ht="16" thickBot="1" x14ac:dyDescent="0.4">
      <c r="A1" s="283" t="s">
        <v>1459</v>
      </c>
      <c r="Y1" s="150"/>
    </row>
    <row r="2" spans="1:43" ht="16" thickBot="1" x14ac:dyDescent="0.4">
      <c r="A2" s="498" t="s">
        <v>1460</v>
      </c>
      <c r="B2" s="507"/>
      <c r="C2" s="498" t="s">
        <v>1461</v>
      </c>
      <c r="D2" s="496"/>
      <c r="E2" s="496"/>
      <c r="F2" s="496"/>
      <c r="G2" s="496"/>
      <c r="H2" s="496"/>
      <c r="I2" s="496"/>
      <c r="J2" s="496"/>
      <c r="K2" s="496"/>
      <c r="L2" s="496"/>
      <c r="M2" s="496"/>
      <c r="N2" s="496"/>
      <c r="O2" s="496"/>
      <c r="P2" s="496"/>
      <c r="Q2" s="496"/>
      <c r="R2" s="496"/>
      <c r="S2" s="496"/>
      <c r="T2" s="496"/>
      <c r="U2" s="496"/>
      <c r="V2" s="496"/>
      <c r="W2" s="496"/>
      <c r="X2" s="282"/>
      <c r="Y2" s="258"/>
      <c r="Z2" s="496" t="s">
        <v>1462</v>
      </c>
      <c r="AA2" s="496"/>
      <c r="AB2" s="497"/>
      <c r="AC2" s="266"/>
      <c r="AD2" s="266"/>
      <c r="AE2" s="266"/>
      <c r="AF2" s="499"/>
      <c r="AG2" s="500"/>
      <c r="AH2" s="500"/>
      <c r="AI2" s="500"/>
      <c r="AJ2" s="500"/>
      <c r="AO2" s="498" t="s">
        <v>1463</v>
      </c>
      <c r="AP2" s="496"/>
      <c r="AQ2" s="497"/>
    </row>
    <row r="3" spans="1:43" ht="15.75" customHeight="1" x14ac:dyDescent="0.35">
      <c r="A3" s="281"/>
      <c r="B3" s="280"/>
      <c r="C3" s="279"/>
      <c r="D3" s="276"/>
      <c r="E3" s="276"/>
      <c r="F3" s="276"/>
      <c r="G3" s="276"/>
      <c r="H3" s="276" t="s">
        <v>1464</v>
      </c>
      <c r="I3" s="276" t="s">
        <v>1465</v>
      </c>
      <c r="J3" s="276"/>
      <c r="K3" s="276"/>
      <c r="L3" s="276"/>
      <c r="M3" s="276" t="s">
        <v>1466</v>
      </c>
      <c r="N3" s="276" t="s">
        <v>1466</v>
      </c>
      <c r="O3" s="277" t="s">
        <v>1467</v>
      </c>
      <c r="P3" s="250" t="s">
        <v>1468</v>
      </c>
      <c r="Q3" s="276" t="s">
        <v>1469</v>
      </c>
      <c r="R3" s="276" t="s">
        <v>1469</v>
      </c>
      <c r="S3" s="278"/>
      <c r="T3" s="509" t="s">
        <v>1470</v>
      </c>
      <c r="U3" s="509" t="s">
        <v>1471</v>
      </c>
      <c r="V3" s="275"/>
      <c r="W3" s="145"/>
      <c r="X3" s="274" t="s">
        <v>1472</v>
      </c>
      <c r="Y3" s="166"/>
      <c r="Z3" s="273" t="s">
        <v>1473</v>
      </c>
      <c r="AA3" s="273" t="s">
        <v>1474</v>
      </c>
      <c r="AB3" s="272" t="s">
        <v>1475</v>
      </c>
      <c r="AC3" s="276"/>
      <c r="AD3" s="276"/>
      <c r="AE3" s="276"/>
      <c r="AF3" s="277" t="s">
        <v>1464</v>
      </c>
      <c r="AG3" s="277" t="s">
        <v>1466</v>
      </c>
      <c r="AH3" s="250" t="s">
        <v>1468</v>
      </c>
      <c r="AI3" s="276" t="s">
        <v>1469</v>
      </c>
      <c r="AJ3" s="276" t="s">
        <v>1469</v>
      </c>
      <c r="AK3" s="250" t="s">
        <v>1468</v>
      </c>
      <c r="AL3" s="275"/>
      <c r="AM3" s="145"/>
      <c r="AN3" s="274" t="s">
        <v>1472</v>
      </c>
      <c r="AO3" s="273" t="s">
        <v>1473</v>
      </c>
      <c r="AP3" s="273" t="s">
        <v>1474</v>
      </c>
      <c r="AQ3" s="272" t="s">
        <v>1475</v>
      </c>
    </row>
    <row r="4" spans="1:43" x14ac:dyDescent="0.35">
      <c r="A4" s="146"/>
      <c r="B4" s="271"/>
      <c r="C4" s="270" t="s">
        <v>1464</v>
      </c>
      <c r="D4" s="266" t="s">
        <v>1464</v>
      </c>
      <c r="E4" s="266" t="s">
        <v>1464</v>
      </c>
      <c r="F4" s="266" t="s">
        <v>1476</v>
      </c>
      <c r="G4" s="266" t="s">
        <v>1477</v>
      </c>
      <c r="H4" s="266" t="s">
        <v>1478</v>
      </c>
      <c r="I4" s="266" t="s">
        <v>1479</v>
      </c>
      <c r="J4" s="266" t="s">
        <v>1480</v>
      </c>
      <c r="K4" s="266" t="s">
        <v>1481</v>
      </c>
      <c r="L4" s="266" t="s">
        <v>1482</v>
      </c>
      <c r="M4" s="266" t="s">
        <v>1478</v>
      </c>
      <c r="N4" s="266" t="s">
        <v>1483</v>
      </c>
      <c r="O4" s="268" t="s">
        <v>1484</v>
      </c>
      <c r="P4" s="166" t="s">
        <v>1467</v>
      </c>
      <c r="Q4" s="266" t="s">
        <v>1485</v>
      </c>
      <c r="R4" s="266" t="s">
        <v>1486</v>
      </c>
      <c r="S4" s="269" t="s">
        <v>1487</v>
      </c>
      <c r="T4" s="510"/>
      <c r="U4" s="510"/>
      <c r="V4" s="166" t="s">
        <v>2561</v>
      </c>
      <c r="W4" s="266" t="s">
        <v>1488</v>
      </c>
      <c r="X4" s="265" t="s">
        <v>1489</v>
      </c>
      <c r="Y4" s="166" t="s">
        <v>2562</v>
      </c>
      <c r="Z4" s="264" t="s">
        <v>1490</v>
      </c>
      <c r="AA4" s="264" t="s">
        <v>1490</v>
      </c>
      <c r="AB4" s="263" t="s">
        <v>1491</v>
      </c>
      <c r="AC4" s="266" t="s">
        <v>1464</v>
      </c>
      <c r="AD4" s="266" t="s">
        <v>1476</v>
      </c>
      <c r="AE4" s="266" t="s">
        <v>1477</v>
      </c>
      <c r="AF4" s="268" t="s">
        <v>1478</v>
      </c>
      <c r="AG4" s="268" t="s">
        <v>1483</v>
      </c>
      <c r="AH4" s="166" t="s">
        <v>1467</v>
      </c>
      <c r="AI4" s="266" t="s">
        <v>1485</v>
      </c>
      <c r="AJ4" s="266" t="s">
        <v>1486</v>
      </c>
      <c r="AK4" s="267" t="s">
        <v>1492</v>
      </c>
      <c r="AL4" s="166" t="s">
        <v>1480</v>
      </c>
      <c r="AM4" s="266" t="s">
        <v>1488</v>
      </c>
      <c r="AN4" s="265" t="s">
        <v>1489</v>
      </c>
      <c r="AO4" s="264" t="s">
        <v>1490</v>
      </c>
      <c r="AP4" s="264" t="s">
        <v>1490</v>
      </c>
      <c r="AQ4" s="263" t="s">
        <v>1491</v>
      </c>
    </row>
    <row r="5" spans="1:43" ht="16" thickBot="1" x14ac:dyDescent="0.4">
      <c r="A5" s="262" t="s">
        <v>1493</v>
      </c>
      <c r="B5" s="255" t="s">
        <v>1494</v>
      </c>
      <c r="C5" s="261" t="s">
        <v>1495</v>
      </c>
      <c r="D5" s="258" t="s">
        <v>1496</v>
      </c>
      <c r="E5" s="258" t="s">
        <v>1497</v>
      </c>
      <c r="F5" s="258" t="s">
        <v>1497</v>
      </c>
      <c r="G5" s="258" t="s">
        <v>1497</v>
      </c>
      <c r="H5" s="258" t="s">
        <v>1497</v>
      </c>
      <c r="I5" s="258" t="s">
        <v>1498</v>
      </c>
      <c r="J5" s="258" t="s">
        <v>1495</v>
      </c>
      <c r="K5" s="258" t="s">
        <v>1499</v>
      </c>
      <c r="L5" s="258" t="s">
        <v>1499</v>
      </c>
      <c r="M5" s="258" t="s">
        <v>1497</v>
      </c>
      <c r="N5" s="258" t="s">
        <v>1497</v>
      </c>
      <c r="O5" s="259" t="s">
        <v>1497</v>
      </c>
      <c r="P5" s="148" t="s">
        <v>1500</v>
      </c>
      <c r="Q5" s="258" t="s">
        <v>1497</v>
      </c>
      <c r="R5" s="258" t="s">
        <v>1497</v>
      </c>
      <c r="S5" s="260" t="s">
        <v>1501</v>
      </c>
      <c r="T5" s="511"/>
      <c r="U5" s="511"/>
      <c r="V5" s="148" t="s">
        <v>1497</v>
      </c>
      <c r="W5" s="258" t="s">
        <v>1497</v>
      </c>
      <c r="X5" s="257" t="s">
        <v>1502</v>
      </c>
      <c r="Y5" s="148" t="s">
        <v>1497</v>
      </c>
      <c r="Z5" s="256" t="s">
        <v>1503</v>
      </c>
      <c r="AA5" s="256" t="s">
        <v>1503</v>
      </c>
      <c r="AB5" s="255" t="s">
        <v>1504</v>
      </c>
      <c r="AC5" s="258" t="s">
        <v>1497</v>
      </c>
      <c r="AD5" s="258" t="s">
        <v>1497</v>
      </c>
      <c r="AE5" s="258" t="s">
        <v>1497</v>
      </c>
      <c r="AF5" s="259" t="s">
        <v>1497</v>
      </c>
      <c r="AG5" s="259" t="s">
        <v>1497</v>
      </c>
      <c r="AH5" s="148" t="s">
        <v>1500</v>
      </c>
      <c r="AI5" s="258" t="s">
        <v>1497</v>
      </c>
      <c r="AJ5" s="258" t="s">
        <v>1497</v>
      </c>
      <c r="AK5" s="147" t="s">
        <v>1505</v>
      </c>
      <c r="AL5" s="148" t="s">
        <v>1497</v>
      </c>
      <c r="AM5" s="258" t="s">
        <v>1497</v>
      </c>
      <c r="AN5" s="257" t="s">
        <v>1502</v>
      </c>
      <c r="AO5" s="256" t="s">
        <v>1503</v>
      </c>
      <c r="AP5" s="256" t="s">
        <v>1503</v>
      </c>
      <c r="AQ5" s="255" t="s">
        <v>1504</v>
      </c>
    </row>
    <row r="6" spans="1:43" x14ac:dyDescent="0.35">
      <c r="A6" s="177" t="s">
        <v>1506</v>
      </c>
      <c r="B6" s="191">
        <v>2</v>
      </c>
      <c r="C6" s="190">
        <f>(21.4/0.9)*0.875</f>
        <v>20.805555555555554</v>
      </c>
      <c r="D6" s="113">
        <v>13.8</v>
      </c>
      <c r="E6" s="174">
        <f>(C6*1000)/(SQRT(3)*D6)</f>
        <v>870.44152903186318</v>
      </c>
      <c r="F6" s="189">
        <v>2000</v>
      </c>
      <c r="G6" s="174">
        <f>792.403*2</f>
        <v>1584.806</v>
      </c>
      <c r="H6" s="187" t="s">
        <v>1507</v>
      </c>
      <c r="I6" s="118" t="s">
        <v>1508</v>
      </c>
      <c r="J6" s="113">
        <v>28</v>
      </c>
      <c r="K6" s="113">
        <v>115</v>
      </c>
      <c r="L6" s="113">
        <v>13.2</v>
      </c>
      <c r="M6" s="116" t="s">
        <v>1507</v>
      </c>
      <c r="N6" s="187">
        <v>1200</v>
      </c>
      <c r="O6" s="118">
        <v>400</v>
      </c>
      <c r="P6" s="188">
        <f t="shared" ref="P6:P11" si="0">O6*S6</f>
        <v>3484.848484848485</v>
      </c>
      <c r="Q6" s="189">
        <v>1200</v>
      </c>
      <c r="R6" s="189">
        <v>2000</v>
      </c>
      <c r="S6" s="117">
        <f t="shared" ref="S6:S37" si="1">K6/L6</f>
        <v>8.7121212121212128</v>
      </c>
      <c r="T6" s="116">
        <v>921</v>
      </c>
      <c r="U6" s="185">
        <f t="shared" ref="U6:U37" si="2">T6*S6</f>
        <v>8023.8636363636369</v>
      </c>
      <c r="V6" s="173">
        <f>(J6*1000)/(SQRT(3)*L6)</f>
        <v>1224.6823891901154</v>
      </c>
      <c r="W6" s="254">
        <f>298.498*S6</f>
        <v>2600.5507575757579</v>
      </c>
      <c r="X6" s="185" t="s">
        <v>1507</v>
      </c>
      <c r="Y6" s="115">
        <f>J6*1000/K6/SQRT(3)</f>
        <v>140.57223945486541</v>
      </c>
      <c r="Z6" s="253">
        <f t="shared" ref="Z6:Z37" si="3">AA6/S6</f>
        <v>99.911549419309509</v>
      </c>
      <c r="AA6" s="250">
        <f t="shared" ref="AA6:AA37" si="4">MIN(E6:H6,N6,P6:R6,U6:X6)</f>
        <v>870.44152903186318</v>
      </c>
      <c r="AB6" s="252" t="s">
        <v>1509</v>
      </c>
      <c r="AC6" s="113">
        <f t="shared" ref="AC6:AC37" si="5">E6</f>
        <v>870.44152903186318</v>
      </c>
      <c r="AD6" s="113">
        <f t="shared" ref="AD6:AD37" si="6">F6</f>
        <v>2000</v>
      </c>
      <c r="AE6" s="113">
        <f t="shared" ref="AE6:AE37" si="7">G6</f>
        <v>1584.806</v>
      </c>
      <c r="AF6" s="118" t="str">
        <f t="shared" ref="AF6:AF37" si="8">H6</f>
        <v>NA</v>
      </c>
      <c r="AG6" s="118">
        <f t="shared" ref="AG6:AG37" si="9">N6</f>
        <v>1200</v>
      </c>
      <c r="AH6" s="167">
        <f t="shared" ref="AH6:AH37" si="10">P6</f>
        <v>3484.848484848485</v>
      </c>
      <c r="AI6" s="118">
        <f t="shared" ref="AI6:AI37" si="11">Q6</f>
        <v>1200</v>
      </c>
      <c r="AJ6" s="118">
        <f t="shared" ref="AJ6:AJ37" si="12">R6</f>
        <v>2000</v>
      </c>
      <c r="AK6" s="114">
        <f t="shared" ref="AK6:AK37" si="13">U6</f>
        <v>8023.8636363636369</v>
      </c>
      <c r="AL6" s="114">
        <f t="shared" ref="AL6:AL37" si="14">V6</f>
        <v>1224.6823891901154</v>
      </c>
      <c r="AM6" s="113">
        <f t="shared" ref="AM6:AM37" si="15">W6</f>
        <v>2600.5507575757579</v>
      </c>
      <c r="AN6" s="114" t="str">
        <f t="shared" ref="AN6:AN37" si="16">X6</f>
        <v>NA</v>
      </c>
      <c r="AO6" s="251">
        <f t="shared" ref="AO6:AO37" si="17">AP6/S6</f>
        <v>137.7391304347826</v>
      </c>
      <c r="AP6" s="250">
        <f t="shared" ref="AP6:AP37" si="18">SMALL(AC6:AN6,2)</f>
        <v>1200</v>
      </c>
      <c r="AQ6" s="249" t="s">
        <v>2563</v>
      </c>
    </row>
    <row r="7" spans="1:43" x14ac:dyDescent="0.35">
      <c r="A7" s="208" t="s">
        <v>1510</v>
      </c>
      <c r="B7" s="207">
        <v>2</v>
      </c>
      <c r="C7" s="206">
        <f>(31/0.9)*0.875</f>
        <v>30.138888888888886</v>
      </c>
      <c r="D7" s="178">
        <v>13.8</v>
      </c>
      <c r="E7" s="235">
        <f>(C7*1000)/(SQRT(3)*D7)</f>
        <v>1260.9199719620449</v>
      </c>
      <c r="F7" s="205">
        <v>2000</v>
      </c>
      <c r="G7" s="235">
        <f>1177.251*2</f>
        <v>2354.502</v>
      </c>
      <c r="H7" s="203" t="s">
        <v>1507</v>
      </c>
      <c r="I7" s="180" t="s">
        <v>1508</v>
      </c>
      <c r="J7" s="178">
        <v>28</v>
      </c>
      <c r="K7" s="178">
        <v>115</v>
      </c>
      <c r="L7" s="178">
        <v>13.2</v>
      </c>
      <c r="M7" s="201" t="s">
        <v>1507</v>
      </c>
      <c r="N7" s="203">
        <v>1200</v>
      </c>
      <c r="O7" s="180">
        <v>400</v>
      </c>
      <c r="P7" s="204">
        <f t="shared" si="0"/>
        <v>3484.848484848485</v>
      </c>
      <c r="Q7" s="205">
        <v>1200</v>
      </c>
      <c r="R7" s="205">
        <v>2000</v>
      </c>
      <c r="S7" s="239">
        <f t="shared" si="1"/>
        <v>8.7121212121212128</v>
      </c>
      <c r="T7" s="201">
        <v>1100</v>
      </c>
      <c r="U7" s="199">
        <f t="shared" si="2"/>
        <v>9583.3333333333339</v>
      </c>
      <c r="V7" s="173">
        <f>(J7*1000)/(SQRT(3)*L7)</f>
        <v>1224.6823891901154</v>
      </c>
      <c r="W7" s="248">
        <f>298.498*S6</f>
        <v>2600.5507575757579</v>
      </c>
      <c r="X7" s="199" t="s">
        <v>1507</v>
      </c>
      <c r="Y7" s="115">
        <f>J7*1000/K7/SQRT(3)</f>
        <v>140.57223945486541</v>
      </c>
      <c r="Z7" s="197">
        <f t="shared" si="3"/>
        <v>137.7391304347826</v>
      </c>
      <c r="AA7" s="194">
        <f t="shared" si="4"/>
        <v>1200</v>
      </c>
      <c r="AB7" s="229" t="s">
        <v>2563</v>
      </c>
      <c r="AC7" s="113">
        <f t="shared" si="5"/>
        <v>1260.9199719620449</v>
      </c>
      <c r="AD7" s="113">
        <f t="shared" si="6"/>
        <v>2000</v>
      </c>
      <c r="AE7" s="113">
        <f t="shared" si="7"/>
        <v>2354.502</v>
      </c>
      <c r="AF7" s="118" t="str">
        <f t="shared" si="8"/>
        <v>NA</v>
      </c>
      <c r="AG7" s="118">
        <f t="shared" si="9"/>
        <v>1200</v>
      </c>
      <c r="AH7" s="167">
        <f t="shared" si="10"/>
        <v>3484.848484848485</v>
      </c>
      <c r="AI7" s="118">
        <f t="shared" si="11"/>
        <v>1200</v>
      </c>
      <c r="AJ7" s="118">
        <f t="shared" si="12"/>
        <v>2000</v>
      </c>
      <c r="AK7" s="114">
        <f t="shared" si="13"/>
        <v>9583.3333333333339</v>
      </c>
      <c r="AL7" s="114">
        <f t="shared" si="14"/>
        <v>1224.6823891901154</v>
      </c>
      <c r="AM7" s="113">
        <f t="shared" si="15"/>
        <v>2600.5507575757579</v>
      </c>
      <c r="AN7" s="114" t="str">
        <f t="shared" si="16"/>
        <v>NA</v>
      </c>
      <c r="AO7" s="195">
        <f t="shared" si="17"/>
        <v>137.7391304347826</v>
      </c>
      <c r="AP7" s="194">
        <f t="shared" si="18"/>
        <v>1200</v>
      </c>
      <c r="AQ7" s="247" t="s">
        <v>2564</v>
      </c>
    </row>
    <row r="8" spans="1:43" x14ac:dyDescent="0.35">
      <c r="A8" s="246" t="s">
        <v>1511</v>
      </c>
      <c r="B8" s="191">
        <v>1</v>
      </c>
      <c r="C8" s="190">
        <v>234</v>
      </c>
      <c r="D8" s="113">
        <v>18</v>
      </c>
      <c r="E8" s="189">
        <v>7506</v>
      </c>
      <c r="F8" s="189">
        <v>10000</v>
      </c>
      <c r="G8" s="189">
        <v>8000</v>
      </c>
      <c r="H8" s="187" t="s">
        <v>1507</v>
      </c>
      <c r="J8" s="113">
        <v>235</v>
      </c>
      <c r="K8" s="113">
        <v>235.75</v>
      </c>
      <c r="L8" s="113">
        <v>18</v>
      </c>
      <c r="M8" s="116" t="s">
        <v>1507</v>
      </c>
      <c r="N8" s="187">
        <v>8000</v>
      </c>
      <c r="O8" s="118">
        <v>2000</v>
      </c>
      <c r="P8" s="188">
        <f t="shared" si="0"/>
        <v>26194.444444444442</v>
      </c>
      <c r="Q8" s="187" t="s">
        <v>1507</v>
      </c>
      <c r="R8" s="187" t="s">
        <v>1507</v>
      </c>
      <c r="S8" s="186">
        <f t="shared" si="1"/>
        <v>13.097222222222221</v>
      </c>
      <c r="T8" s="116">
        <v>800</v>
      </c>
      <c r="U8" s="185">
        <f t="shared" si="2"/>
        <v>10477.777777777777</v>
      </c>
      <c r="V8" s="237">
        <v>7540</v>
      </c>
      <c r="W8" s="176">
        <v>14148</v>
      </c>
      <c r="X8" s="185" t="s">
        <v>1507</v>
      </c>
      <c r="Y8" s="242">
        <v>576</v>
      </c>
      <c r="Z8" s="169">
        <f t="shared" si="3"/>
        <v>573.09862142099689</v>
      </c>
      <c r="AA8" s="166">
        <f t="shared" si="4"/>
        <v>7506</v>
      </c>
      <c r="AB8" s="181" t="s">
        <v>1509</v>
      </c>
      <c r="AC8" s="113">
        <f t="shared" si="5"/>
        <v>7506</v>
      </c>
      <c r="AD8" s="113">
        <f t="shared" si="6"/>
        <v>10000</v>
      </c>
      <c r="AE8" s="113">
        <f t="shared" si="7"/>
        <v>8000</v>
      </c>
      <c r="AF8" s="118" t="str">
        <f t="shared" si="8"/>
        <v>NA</v>
      </c>
      <c r="AG8" s="118">
        <f t="shared" si="9"/>
        <v>8000</v>
      </c>
      <c r="AH8" s="167">
        <f t="shared" si="10"/>
        <v>26194.444444444442</v>
      </c>
      <c r="AI8" s="118" t="str">
        <f t="shared" si="11"/>
        <v>NA</v>
      </c>
      <c r="AJ8" s="118" t="str">
        <f t="shared" si="12"/>
        <v>NA</v>
      </c>
      <c r="AK8" s="114">
        <f t="shared" si="13"/>
        <v>10477.777777777777</v>
      </c>
      <c r="AL8" s="114">
        <f t="shared" si="14"/>
        <v>7540</v>
      </c>
      <c r="AM8" s="113">
        <f t="shared" si="15"/>
        <v>14148</v>
      </c>
      <c r="AN8" s="114" t="str">
        <f t="shared" si="16"/>
        <v>NA</v>
      </c>
      <c r="AO8" s="182">
        <f t="shared" si="17"/>
        <v>575.69459172852601</v>
      </c>
      <c r="AP8" s="166">
        <f t="shared" si="18"/>
        <v>7540</v>
      </c>
      <c r="AQ8" s="165" t="s">
        <v>1465</v>
      </c>
    </row>
    <row r="9" spans="1:43" x14ac:dyDescent="0.35">
      <c r="A9" s="177" t="s">
        <v>1512</v>
      </c>
      <c r="B9" s="191">
        <v>1</v>
      </c>
      <c r="C9" s="190">
        <v>234</v>
      </c>
      <c r="D9" s="113">
        <v>18</v>
      </c>
      <c r="E9" s="189">
        <v>7506</v>
      </c>
      <c r="F9" s="189">
        <v>10000</v>
      </c>
      <c r="G9" s="189">
        <v>8000</v>
      </c>
      <c r="H9" s="187" t="s">
        <v>1507</v>
      </c>
      <c r="J9" s="113">
        <v>235</v>
      </c>
      <c r="K9" s="113">
        <v>235.75</v>
      </c>
      <c r="L9" s="113">
        <v>18</v>
      </c>
      <c r="M9" s="116" t="s">
        <v>1507</v>
      </c>
      <c r="N9" s="187">
        <v>8000</v>
      </c>
      <c r="O9" s="118">
        <v>2000</v>
      </c>
      <c r="P9" s="188">
        <f t="shared" si="0"/>
        <v>26194.444444444442</v>
      </c>
      <c r="Q9" s="187" t="s">
        <v>1507</v>
      </c>
      <c r="R9" s="187" t="s">
        <v>1507</v>
      </c>
      <c r="S9" s="186">
        <f t="shared" si="1"/>
        <v>13.097222222222221</v>
      </c>
      <c r="T9" s="116">
        <v>800</v>
      </c>
      <c r="U9" s="185">
        <f t="shared" si="2"/>
        <v>10477.777777777777</v>
      </c>
      <c r="V9" s="175">
        <v>7540</v>
      </c>
      <c r="W9" s="176">
        <v>14148</v>
      </c>
      <c r="X9" s="185" t="s">
        <v>1507</v>
      </c>
      <c r="Y9" s="115">
        <v>576</v>
      </c>
      <c r="Z9" s="169">
        <f t="shared" si="3"/>
        <v>573.09862142099689</v>
      </c>
      <c r="AA9" s="166">
        <f t="shared" si="4"/>
        <v>7506</v>
      </c>
      <c r="AB9" s="181" t="s">
        <v>1509</v>
      </c>
      <c r="AC9" s="113">
        <f t="shared" si="5"/>
        <v>7506</v>
      </c>
      <c r="AD9" s="113">
        <f t="shared" si="6"/>
        <v>10000</v>
      </c>
      <c r="AE9" s="113">
        <f t="shared" si="7"/>
        <v>8000</v>
      </c>
      <c r="AF9" s="118" t="str">
        <f t="shared" si="8"/>
        <v>NA</v>
      </c>
      <c r="AG9" s="118">
        <f t="shared" si="9"/>
        <v>8000</v>
      </c>
      <c r="AH9" s="167">
        <f t="shared" si="10"/>
        <v>26194.444444444442</v>
      </c>
      <c r="AI9" s="118" t="str">
        <f t="shared" si="11"/>
        <v>NA</v>
      </c>
      <c r="AJ9" s="118" t="str">
        <f t="shared" si="12"/>
        <v>NA</v>
      </c>
      <c r="AK9" s="114">
        <f t="shared" si="13"/>
        <v>10477.777777777777</v>
      </c>
      <c r="AL9" s="114">
        <f t="shared" si="14"/>
        <v>7540</v>
      </c>
      <c r="AM9" s="113">
        <f t="shared" si="15"/>
        <v>14148</v>
      </c>
      <c r="AN9" s="114" t="str">
        <f t="shared" si="16"/>
        <v>NA</v>
      </c>
      <c r="AO9" s="182">
        <f t="shared" si="17"/>
        <v>575.69459172852601</v>
      </c>
      <c r="AP9" s="166">
        <f t="shared" si="18"/>
        <v>7540</v>
      </c>
      <c r="AQ9" s="165" t="s">
        <v>1465</v>
      </c>
    </row>
    <row r="10" spans="1:43" x14ac:dyDescent="0.35">
      <c r="A10" s="177" t="s">
        <v>1511</v>
      </c>
      <c r="B10" s="191">
        <v>2</v>
      </c>
      <c r="C10" s="117">
        <v>234</v>
      </c>
      <c r="D10" s="113">
        <v>18</v>
      </c>
      <c r="E10" s="189">
        <v>7506</v>
      </c>
      <c r="F10" s="189">
        <v>10000</v>
      </c>
      <c r="G10" s="189">
        <v>8000</v>
      </c>
      <c r="H10" s="187" t="s">
        <v>1507</v>
      </c>
      <c r="J10" s="113">
        <v>235</v>
      </c>
      <c r="K10" s="113">
        <v>235.75</v>
      </c>
      <c r="L10" s="113">
        <v>18</v>
      </c>
      <c r="M10" s="116" t="s">
        <v>1507</v>
      </c>
      <c r="N10" s="187">
        <v>8000</v>
      </c>
      <c r="O10" s="118">
        <v>2000</v>
      </c>
      <c r="P10" s="188">
        <f t="shared" si="0"/>
        <v>26194.444444444442</v>
      </c>
      <c r="Q10" s="187" t="s">
        <v>1507</v>
      </c>
      <c r="R10" s="187" t="s">
        <v>1507</v>
      </c>
      <c r="S10" s="186">
        <f t="shared" si="1"/>
        <v>13.097222222222221</v>
      </c>
      <c r="T10" s="116">
        <v>800</v>
      </c>
      <c r="U10" s="185">
        <f t="shared" si="2"/>
        <v>10477.777777777777</v>
      </c>
      <c r="V10" s="175">
        <v>7540</v>
      </c>
      <c r="W10" s="176">
        <v>14148</v>
      </c>
      <c r="X10" s="185" t="s">
        <v>1507</v>
      </c>
      <c r="Y10" s="115">
        <v>576</v>
      </c>
      <c r="Z10" s="169">
        <f t="shared" si="3"/>
        <v>573.09862142099689</v>
      </c>
      <c r="AA10" s="166">
        <f t="shared" si="4"/>
        <v>7506</v>
      </c>
      <c r="AB10" s="181" t="s">
        <v>1509</v>
      </c>
      <c r="AC10" s="113">
        <f t="shared" si="5"/>
        <v>7506</v>
      </c>
      <c r="AD10" s="113">
        <f t="shared" si="6"/>
        <v>10000</v>
      </c>
      <c r="AE10" s="113">
        <f t="shared" si="7"/>
        <v>8000</v>
      </c>
      <c r="AF10" s="118" t="str">
        <f t="shared" si="8"/>
        <v>NA</v>
      </c>
      <c r="AG10" s="118">
        <f t="shared" si="9"/>
        <v>8000</v>
      </c>
      <c r="AH10" s="167">
        <f t="shared" si="10"/>
        <v>26194.444444444442</v>
      </c>
      <c r="AI10" s="118" t="str">
        <f t="shared" si="11"/>
        <v>NA</v>
      </c>
      <c r="AJ10" s="118" t="str">
        <f t="shared" si="12"/>
        <v>NA</v>
      </c>
      <c r="AK10" s="114">
        <f t="shared" si="13"/>
        <v>10477.777777777777</v>
      </c>
      <c r="AL10" s="114">
        <f t="shared" si="14"/>
        <v>7540</v>
      </c>
      <c r="AM10" s="113">
        <f t="shared" si="15"/>
        <v>14148</v>
      </c>
      <c r="AN10" s="114" t="str">
        <f t="shared" si="16"/>
        <v>NA</v>
      </c>
      <c r="AO10" s="182">
        <f t="shared" si="17"/>
        <v>575.69459172852601</v>
      </c>
      <c r="AP10" s="166">
        <f t="shared" si="18"/>
        <v>7540</v>
      </c>
      <c r="AQ10" s="165" t="s">
        <v>1465</v>
      </c>
    </row>
    <row r="11" spans="1:43" x14ac:dyDescent="0.35">
      <c r="A11" s="177" t="s">
        <v>1512</v>
      </c>
      <c r="B11" s="191">
        <v>2</v>
      </c>
      <c r="C11" s="117">
        <v>234</v>
      </c>
      <c r="D11" s="113">
        <v>18</v>
      </c>
      <c r="E11" s="189">
        <v>7506</v>
      </c>
      <c r="F11" s="189">
        <v>10000</v>
      </c>
      <c r="G11" s="189">
        <v>8000</v>
      </c>
      <c r="H11" s="187" t="s">
        <v>1507</v>
      </c>
      <c r="J11" s="113">
        <v>235</v>
      </c>
      <c r="K11" s="113">
        <v>235.75</v>
      </c>
      <c r="L11" s="113">
        <v>18</v>
      </c>
      <c r="M11" s="116" t="s">
        <v>1507</v>
      </c>
      <c r="N11" s="187">
        <v>8000</v>
      </c>
      <c r="O11" s="118">
        <v>2000</v>
      </c>
      <c r="P11" s="188">
        <f t="shared" si="0"/>
        <v>26194.444444444442</v>
      </c>
      <c r="Q11" s="187" t="s">
        <v>1507</v>
      </c>
      <c r="R11" s="187" t="s">
        <v>1507</v>
      </c>
      <c r="S11" s="186">
        <f t="shared" si="1"/>
        <v>13.097222222222221</v>
      </c>
      <c r="T11" s="116">
        <v>800</v>
      </c>
      <c r="U11" s="185">
        <f t="shared" si="2"/>
        <v>10477.777777777777</v>
      </c>
      <c r="V11" s="175">
        <v>7540</v>
      </c>
      <c r="W11" s="176">
        <v>14148</v>
      </c>
      <c r="X11" s="185" t="s">
        <v>1507</v>
      </c>
      <c r="Y11" s="184">
        <v>576</v>
      </c>
      <c r="Z11" s="115">
        <f t="shared" si="3"/>
        <v>573.09862142099689</v>
      </c>
      <c r="AA11" s="166">
        <f t="shared" si="4"/>
        <v>7506</v>
      </c>
      <c r="AB11" s="181" t="s">
        <v>1509</v>
      </c>
      <c r="AC11" s="113">
        <f t="shared" si="5"/>
        <v>7506</v>
      </c>
      <c r="AD11" s="113">
        <f t="shared" si="6"/>
        <v>10000</v>
      </c>
      <c r="AE11" s="113">
        <f t="shared" si="7"/>
        <v>8000</v>
      </c>
      <c r="AF11" s="118" t="str">
        <f t="shared" si="8"/>
        <v>NA</v>
      </c>
      <c r="AG11" s="118">
        <f t="shared" si="9"/>
        <v>8000</v>
      </c>
      <c r="AH11" s="167">
        <f t="shared" si="10"/>
        <v>26194.444444444442</v>
      </c>
      <c r="AI11" s="118" t="str">
        <f t="shared" si="11"/>
        <v>NA</v>
      </c>
      <c r="AJ11" s="118" t="str">
        <f t="shared" si="12"/>
        <v>NA</v>
      </c>
      <c r="AK11" s="114">
        <f t="shared" si="13"/>
        <v>10477.777777777777</v>
      </c>
      <c r="AL11" s="114">
        <f t="shared" si="14"/>
        <v>7540</v>
      </c>
      <c r="AM11" s="113">
        <f t="shared" si="15"/>
        <v>14148</v>
      </c>
      <c r="AN11" s="114" t="str">
        <f t="shared" si="16"/>
        <v>NA</v>
      </c>
      <c r="AO11" s="182">
        <f t="shared" si="17"/>
        <v>575.69459172852601</v>
      </c>
      <c r="AP11" s="166">
        <f t="shared" si="18"/>
        <v>7540</v>
      </c>
      <c r="AQ11" s="165" t="s">
        <v>1465</v>
      </c>
    </row>
    <row r="12" spans="1:43" x14ac:dyDescent="0.35">
      <c r="A12" s="177" t="s">
        <v>1513</v>
      </c>
      <c r="B12" s="191" t="s">
        <v>1514</v>
      </c>
      <c r="C12" s="190">
        <f>SUM(C8,C10)</f>
        <v>468</v>
      </c>
      <c r="D12" s="113">
        <v>18</v>
      </c>
      <c r="E12" s="174">
        <f t="shared" ref="E12:G13" si="19">SUM(E8,E10)</f>
        <v>15012</v>
      </c>
      <c r="F12" s="174">
        <f t="shared" si="19"/>
        <v>20000</v>
      </c>
      <c r="G12" s="174">
        <f t="shared" si="19"/>
        <v>16000</v>
      </c>
      <c r="H12" s="176" t="s">
        <v>1507</v>
      </c>
      <c r="J12" s="113">
        <v>470</v>
      </c>
      <c r="K12" s="113">
        <v>235.75</v>
      </c>
      <c r="L12" s="113">
        <v>18</v>
      </c>
      <c r="M12" s="116" t="s">
        <v>1507</v>
      </c>
      <c r="N12" s="176">
        <f t="shared" ref="N12:P13" si="20">SUM(N8,N10)</f>
        <v>16000</v>
      </c>
      <c r="O12" s="118">
        <f t="shared" si="20"/>
        <v>4000</v>
      </c>
      <c r="P12" s="245">
        <f t="shared" si="20"/>
        <v>52388.888888888883</v>
      </c>
      <c r="Q12" s="176" t="s">
        <v>1507</v>
      </c>
      <c r="R12" s="176" t="s">
        <v>1507</v>
      </c>
      <c r="S12" s="186">
        <f t="shared" si="1"/>
        <v>13.097222222222221</v>
      </c>
      <c r="T12" s="116">
        <v>1500</v>
      </c>
      <c r="U12" s="171">
        <f t="shared" si="2"/>
        <v>19645.833333333332</v>
      </c>
      <c r="V12" s="175">
        <f>V8+V10</f>
        <v>15080</v>
      </c>
      <c r="W12" s="176" t="s">
        <v>1507</v>
      </c>
      <c r="X12" s="171" t="s">
        <v>1507</v>
      </c>
      <c r="Y12" s="115" t="s">
        <v>1507</v>
      </c>
      <c r="Z12" s="169">
        <f t="shared" si="3"/>
        <v>1146.1972428419938</v>
      </c>
      <c r="AA12" s="166">
        <f t="shared" si="4"/>
        <v>15012</v>
      </c>
      <c r="AB12" s="181" t="s">
        <v>2535</v>
      </c>
      <c r="AC12" s="113">
        <f t="shared" si="5"/>
        <v>15012</v>
      </c>
      <c r="AD12" s="113">
        <f t="shared" si="6"/>
        <v>20000</v>
      </c>
      <c r="AE12" s="113">
        <f t="shared" si="7"/>
        <v>16000</v>
      </c>
      <c r="AF12" s="118" t="str">
        <f t="shared" si="8"/>
        <v>NA</v>
      </c>
      <c r="AG12" s="118">
        <f t="shared" si="9"/>
        <v>16000</v>
      </c>
      <c r="AH12" s="167">
        <f t="shared" si="10"/>
        <v>52388.888888888883</v>
      </c>
      <c r="AI12" s="118" t="str">
        <f t="shared" si="11"/>
        <v>NA</v>
      </c>
      <c r="AJ12" s="118" t="str">
        <f t="shared" si="12"/>
        <v>NA</v>
      </c>
      <c r="AK12" s="114">
        <f t="shared" si="13"/>
        <v>19645.833333333332</v>
      </c>
      <c r="AL12" s="114">
        <f t="shared" si="14"/>
        <v>15080</v>
      </c>
      <c r="AM12" s="113" t="str">
        <f t="shared" si="15"/>
        <v>NA</v>
      </c>
      <c r="AN12" s="114" t="str">
        <f t="shared" si="16"/>
        <v>NA</v>
      </c>
      <c r="AO12" s="182">
        <f t="shared" si="17"/>
        <v>1151.389183457052</v>
      </c>
      <c r="AP12" s="166">
        <f t="shared" si="18"/>
        <v>15080</v>
      </c>
      <c r="AQ12" s="165" t="s">
        <v>2536</v>
      </c>
    </row>
    <row r="13" spans="1:43" x14ac:dyDescent="0.35">
      <c r="A13" s="208" t="s">
        <v>1515</v>
      </c>
      <c r="B13" s="207" t="s">
        <v>1514</v>
      </c>
      <c r="C13" s="239">
        <f>SUM(C9,C11)</f>
        <v>468</v>
      </c>
      <c r="D13" s="178">
        <v>18</v>
      </c>
      <c r="E13" s="235">
        <f t="shared" si="19"/>
        <v>15012</v>
      </c>
      <c r="F13" s="235">
        <f t="shared" si="19"/>
        <v>20000</v>
      </c>
      <c r="G13" s="235">
        <f t="shared" si="19"/>
        <v>16000</v>
      </c>
      <c r="H13" s="200" t="s">
        <v>1507</v>
      </c>
      <c r="I13" s="180"/>
      <c r="J13" s="178">
        <v>470</v>
      </c>
      <c r="K13" s="178">
        <v>235.75</v>
      </c>
      <c r="L13" s="178">
        <v>18</v>
      </c>
      <c r="M13" s="201" t="s">
        <v>1507</v>
      </c>
      <c r="N13" s="200">
        <f t="shared" si="20"/>
        <v>16000</v>
      </c>
      <c r="O13" s="180">
        <f t="shared" si="20"/>
        <v>4000</v>
      </c>
      <c r="P13" s="222">
        <f t="shared" si="20"/>
        <v>52388.888888888883</v>
      </c>
      <c r="Q13" s="200" t="s">
        <v>1507</v>
      </c>
      <c r="R13" s="200" t="s">
        <v>1507</v>
      </c>
      <c r="S13" s="202">
        <f t="shared" si="1"/>
        <v>13.097222222222221</v>
      </c>
      <c r="T13" s="201">
        <v>1500</v>
      </c>
      <c r="U13" s="244">
        <f t="shared" si="2"/>
        <v>19645.833333333332</v>
      </c>
      <c r="V13" s="175">
        <f>V9+V11</f>
        <v>15080</v>
      </c>
      <c r="W13" s="200" t="s">
        <v>1507</v>
      </c>
      <c r="X13" s="171" t="s">
        <v>1507</v>
      </c>
      <c r="Y13" s="115" t="s">
        <v>1507</v>
      </c>
      <c r="Z13" s="197">
        <f t="shared" si="3"/>
        <v>1146.1972428419938</v>
      </c>
      <c r="AA13" s="194">
        <f t="shared" si="4"/>
        <v>15012</v>
      </c>
      <c r="AB13" s="229" t="s">
        <v>2535</v>
      </c>
      <c r="AC13" s="113">
        <f t="shared" si="5"/>
        <v>15012</v>
      </c>
      <c r="AD13" s="113">
        <f t="shared" si="6"/>
        <v>20000</v>
      </c>
      <c r="AE13" s="113">
        <f t="shared" si="7"/>
        <v>16000</v>
      </c>
      <c r="AF13" s="180" t="str">
        <f t="shared" si="8"/>
        <v>NA</v>
      </c>
      <c r="AG13" s="118">
        <f t="shared" si="9"/>
        <v>16000</v>
      </c>
      <c r="AH13" s="167">
        <f t="shared" si="10"/>
        <v>52388.888888888883</v>
      </c>
      <c r="AI13" s="180" t="str">
        <f t="shared" si="11"/>
        <v>NA</v>
      </c>
      <c r="AJ13" s="180" t="str">
        <f t="shared" si="12"/>
        <v>NA</v>
      </c>
      <c r="AK13" s="179">
        <f t="shared" si="13"/>
        <v>19645.833333333332</v>
      </c>
      <c r="AL13" s="179">
        <f t="shared" si="14"/>
        <v>15080</v>
      </c>
      <c r="AM13" s="113" t="str">
        <f t="shared" si="15"/>
        <v>NA</v>
      </c>
      <c r="AN13" s="179" t="str">
        <f t="shared" si="16"/>
        <v>NA</v>
      </c>
      <c r="AO13" s="195">
        <f t="shared" si="17"/>
        <v>1151.389183457052</v>
      </c>
      <c r="AP13" s="194">
        <f t="shared" si="18"/>
        <v>15080</v>
      </c>
      <c r="AQ13" s="193" t="s">
        <v>2536</v>
      </c>
    </row>
    <row r="14" spans="1:43" x14ac:dyDescent="0.35">
      <c r="A14" s="177" t="s">
        <v>1516</v>
      </c>
      <c r="B14" s="191" t="s">
        <v>1517</v>
      </c>
      <c r="C14" s="190">
        <v>187</v>
      </c>
      <c r="D14" s="118">
        <v>13.8</v>
      </c>
      <c r="E14" s="174">
        <v>7824</v>
      </c>
      <c r="F14" s="174">
        <v>10000</v>
      </c>
      <c r="G14" s="174">
        <v>9000</v>
      </c>
      <c r="H14" s="176">
        <v>9000</v>
      </c>
      <c r="I14" s="118" t="s">
        <v>1518</v>
      </c>
      <c r="J14" s="118">
        <f>73.3*3</f>
        <v>219.89999999999998</v>
      </c>
      <c r="K14" s="118">
        <v>241.5</v>
      </c>
      <c r="L14" s="118">
        <v>13.8</v>
      </c>
      <c r="M14" s="116" t="s">
        <v>1507</v>
      </c>
      <c r="N14" s="176">
        <v>10000</v>
      </c>
      <c r="O14" s="118">
        <v>1200</v>
      </c>
      <c r="P14" s="188">
        <f>O14*S14</f>
        <v>21000</v>
      </c>
      <c r="Q14" s="176" t="s">
        <v>1507</v>
      </c>
      <c r="R14" s="187" t="s">
        <v>1507</v>
      </c>
      <c r="S14" s="186">
        <f t="shared" si="1"/>
        <v>17.5</v>
      </c>
      <c r="T14" s="116">
        <v>640</v>
      </c>
      <c r="U14" s="185">
        <f t="shared" si="2"/>
        <v>11200</v>
      </c>
      <c r="V14" s="237">
        <f>(J14*1000)/(SQRT(3)*L14)</f>
        <v>9199.9510286086006</v>
      </c>
      <c r="W14" s="176" t="s">
        <v>1507</v>
      </c>
      <c r="X14" s="243" t="s">
        <v>1507</v>
      </c>
      <c r="Y14" s="242">
        <v>526</v>
      </c>
      <c r="Z14" s="169">
        <f t="shared" si="3"/>
        <v>447.08571428571429</v>
      </c>
      <c r="AA14" s="166">
        <f t="shared" si="4"/>
        <v>7824</v>
      </c>
      <c r="AB14" s="181" t="s">
        <v>1509</v>
      </c>
      <c r="AC14" s="113">
        <f t="shared" si="5"/>
        <v>7824</v>
      </c>
      <c r="AD14" s="113">
        <f t="shared" si="6"/>
        <v>10000</v>
      </c>
      <c r="AE14" s="113">
        <f t="shared" si="7"/>
        <v>9000</v>
      </c>
      <c r="AF14" s="118">
        <f t="shared" si="8"/>
        <v>9000</v>
      </c>
      <c r="AG14" s="118">
        <f t="shared" si="9"/>
        <v>10000</v>
      </c>
      <c r="AH14" s="167">
        <f t="shared" si="10"/>
        <v>21000</v>
      </c>
      <c r="AI14" s="118" t="str">
        <f t="shared" si="11"/>
        <v>NA</v>
      </c>
      <c r="AJ14" s="118" t="str">
        <f t="shared" si="12"/>
        <v>NA</v>
      </c>
      <c r="AK14" s="114">
        <f t="shared" si="13"/>
        <v>11200</v>
      </c>
      <c r="AL14" s="114">
        <f t="shared" si="14"/>
        <v>9199.9510286086006</v>
      </c>
      <c r="AM14" s="113" t="str">
        <f t="shared" si="15"/>
        <v>NA</v>
      </c>
      <c r="AN14" s="114" t="str">
        <f t="shared" si="16"/>
        <v>NA</v>
      </c>
      <c r="AO14" s="182">
        <f t="shared" si="17"/>
        <v>514.28571428571433</v>
      </c>
      <c r="AP14" s="166">
        <f t="shared" si="18"/>
        <v>9000</v>
      </c>
      <c r="AQ14" s="165" t="s">
        <v>1519</v>
      </c>
    </row>
    <row r="15" spans="1:43" x14ac:dyDescent="0.35">
      <c r="A15" s="208"/>
      <c r="B15" s="207" t="s">
        <v>1520</v>
      </c>
      <c r="C15" s="206">
        <v>187</v>
      </c>
      <c r="D15" s="180">
        <v>13.8</v>
      </c>
      <c r="E15" s="235">
        <v>7824</v>
      </c>
      <c r="F15" s="235">
        <v>10000</v>
      </c>
      <c r="G15" s="235">
        <v>9000</v>
      </c>
      <c r="H15" s="200">
        <v>9000</v>
      </c>
      <c r="I15" s="180" t="s">
        <v>1521</v>
      </c>
      <c r="J15" s="180">
        <f>73.3*3</f>
        <v>219.89999999999998</v>
      </c>
      <c r="K15" s="180">
        <v>241.5</v>
      </c>
      <c r="L15" s="180">
        <v>13.8</v>
      </c>
      <c r="M15" s="201" t="s">
        <v>1507</v>
      </c>
      <c r="N15" s="200">
        <v>10000</v>
      </c>
      <c r="O15" s="180">
        <v>1200</v>
      </c>
      <c r="P15" s="222">
        <f>O15*S15</f>
        <v>21000</v>
      </c>
      <c r="Q15" s="203" t="s">
        <v>1507</v>
      </c>
      <c r="R15" s="203" t="s">
        <v>1507</v>
      </c>
      <c r="S15" s="202">
        <f t="shared" si="1"/>
        <v>17.5</v>
      </c>
      <c r="T15" s="201">
        <v>640</v>
      </c>
      <c r="U15" s="199">
        <f t="shared" si="2"/>
        <v>11200</v>
      </c>
      <c r="V15" s="175">
        <f>(J15*1000)/(SQRT(3)*L15)</f>
        <v>9199.9510286086006</v>
      </c>
      <c r="W15" s="200" t="s">
        <v>1507</v>
      </c>
      <c r="X15" s="199" t="s">
        <v>1507</v>
      </c>
      <c r="Y15" s="198">
        <v>526</v>
      </c>
      <c r="Z15" s="197">
        <f t="shared" si="3"/>
        <v>447.08571428571429</v>
      </c>
      <c r="AA15" s="194">
        <f t="shared" si="4"/>
        <v>7824</v>
      </c>
      <c r="AB15" s="229" t="s">
        <v>1509</v>
      </c>
      <c r="AC15" s="113">
        <f t="shared" si="5"/>
        <v>7824</v>
      </c>
      <c r="AD15" s="113">
        <f t="shared" si="6"/>
        <v>10000</v>
      </c>
      <c r="AE15" s="113">
        <f t="shared" si="7"/>
        <v>9000</v>
      </c>
      <c r="AF15" s="118">
        <f t="shared" si="8"/>
        <v>9000</v>
      </c>
      <c r="AG15" s="118">
        <f t="shared" si="9"/>
        <v>10000</v>
      </c>
      <c r="AH15" s="167">
        <f t="shared" si="10"/>
        <v>21000</v>
      </c>
      <c r="AI15" s="118" t="str">
        <f t="shared" si="11"/>
        <v>NA</v>
      </c>
      <c r="AJ15" s="118" t="str">
        <f t="shared" si="12"/>
        <v>NA</v>
      </c>
      <c r="AK15" s="114">
        <f t="shared" si="13"/>
        <v>11200</v>
      </c>
      <c r="AL15" s="114">
        <f t="shared" si="14"/>
        <v>9199.9510286086006</v>
      </c>
      <c r="AM15" s="113" t="str">
        <f t="shared" si="15"/>
        <v>NA</v>
      </c>
      <c r="AN15" s="114" t="str">
        <f t="shared" si="16"/>
        <v>NA</v>
      </c>
      <c r="AO15" s="195">
        <f t="shared" si="17"/>
        <v>514.28571428571433</v>
      </c>
      <c r="AP15" s="194">
        <f t="shared" si="18"/>
        <v>9000</v>
      </c>
      <c r="AQ15" s="193" t="s">
        <v>1519</v>
      </c>
    </row>
    <row r="16" spans="1:43" x14ac:dyDescent="0.35">
      <c r="A16" s="177" t="s">
        <v>1522</v>
      </c>
      <c r="B16" s="191" t="s">
        <v>1523</v>
      </c>
      <c r="C16" s="190">
        <f>SQRT(116^2+2^2)</f>
        <v>116.01724009818541</v>
      </c>
      <c r="D16" s="113">
        <v>15.5</v>
      </c>
      <c r="E16" s="174">
        <f>(C16*1000)/(SQRT(3)*D16)</f>
        <v>4321.4570839564385</v>
      </c>
      <c r="F16" s="189">
        <v>7000</v>
      </c>
      <c r="G16" s="189">
        <v>6500</v>
      </c>
      <c r="H16" s="187" t="s">
        <v>1507</v>
      </c>
      <c r="I16" s="118" t="s">
        <v>1524</v>
      </c>
      <c r="J16" s="113">
        <v>141</v>
      </c>
      <c r="K16" s="113">
        <v>112.13</v>
      </c>
      <c r="L16" s="113">
        <v>14.8</v>
      </c>
      <c r="M16" s="116" t="s">
        <v>1507</v>
      </c>
      <c r="N16" s="187">
        <v>8000</v>
      </c>
      <c r="O16" s="118" t="s">
        <v>1507</v>
      </c>
      <c r="P16" s="188" t="s">
        <v>1507</v>
      </c>
      <c r="Q16" s="187" t="s">
        <v>1507</v>
      </c>
      <c r="R16" s="187" t="s">
        <v>1507</v>
      </c>
      <c r="S16" s="186">
        <f t="shared" si="1"/>
        <v>7.5763513513513505</v>
      </c>
      <c r="T16" s="115">
        <v>860</v>
      </c>
      <c r="U16" s="185">
        <f t="shared" si="2"/>
        <v>6515.6621621621616</v>
      </c>
      <c r="V16" s="237">
        <f>3178*SQRT(3)</f>
        <v>5504.4574664538914</v>
      </c>
      <c r="W16" s="176">
        <v>8265</v>
      </c>
      <c r="X16" s="185" t="s">
        <v>1507</v>
      </c>
      <c r="Y16" s="115">
        <v>727</v>
      </c>
      <c r="Z16" s="169">
        <f t="shared" si="3"/>
        <v>570.38762902483984</v>
      </c>
      <c r="AA16" s="166">
        <f t="shared" si="4"/>
        <v>4321.4570839564385</v>
      </c>
      <c r="AB16" s="181" t="s">
        <v>1509</v>
      </c>
      <c r="AC16" s="113">
        <f t="shared" si="5"/>
        <v>4321.4570839564385</v>
      </c>
      <c r="AD16" s="113">
        <f t="shared" si="6"/>
        <v>7000</v>
      </c>
      <c r="AE16" s="113">
        <f t="shared" si="7"/>
        <v>6500</v>
      </c>
      <c r="AF16" s="118" t="str">
        <f t="shared" si="8"/>
        <v>NA</v>
      </c>
      <c r="AG16" s="118">
        <f t="shared" si="9"/>
        <v>8000</v>
      </c>
      <c r="AH16" s="167" t="str">
        <f t="shared" si="10"/>
        <v>NA</v>
      </c>
      <c r="AI16" s="118" t="str">
        <f t="shared" si="11"/>
        <v>NA</v>
      </c>
      <c r="AJ16" s="118" t="str">
        <f t="shared" si="12"/>
        <v>NA</v>
      </c>
      <c r="AK16" s="114">
        <f t="shared" si="13"/>
        <v>6515.6621621621616</v>
      </c>
      <c r="AL16" s="114">
        <f t="shared" si="14"/>
        <v>5504.4574664538914</v>
      </c>
      <c r="AM16" s="113">
        <f t="shared" si="15"/>
        <v>8265</v>
      </c>
      <c r="AN16" s="114" t="str">
        <f t="shared" si="16"/>
        <v>NA</v>
      </c>
      <c r="AO16" s="182">
        <f t="shared" si="17"/>
        <v>726.5314412157104</v>
      </c>
      <c r="AP16" s="166">
        <f t="shared" si="18"/>
        <v>5504.4574664538914</v>
      </c>
      <c r="AQ16" s="165" t="s">
        <v>1465</v>
      </c>
    </row>
    <row r="17" spans="1:43" x14ac:dyDescent="0.35">
      <c r="A17" s="177" t="s">
        <v>1522</v>
      </c>
      <c r="B17" s="191">
        <v>4</v>
      </c>
      <c r="C17" s="190">
        <v>448</v>
      </c>
      <c r="D17" s="113">
        <v>22</v>
      </c>
      <c r="E17" s="174">
        <v>11757</v>
      </c>
      <c r="F17" s="189">
        <v>14000</v>
      </c>
      <c r="G17" s="189">
        <v>12000</v>
      </c>
      <c r="H17" s="187" t="s">
        <v>1507</v>
      </c>
      <c r="I17" s="118" t="s">
        <v>1525</v>
      </c>
      <c r="J17" s="113">
        <v>504</v>
      </c>
      <c r="K17" s="113">
        <v>115</v>
      </c>
      <c r="L17" s="113">
        <v>21</v>
      </c>
      <c r="M17" s="116" t="s">
        <v>1507</v>
      </c>
      <c r="N17" s="187" t="s">
        <v>1507</v>
      </c>
      <c r="O17" s="118">
        <v>3000</v>
      </c>
      <c r="P17" s="188">
        <f t="shared" ref="P17:P38" si="21">O17*S17</f>
        <v>16428.571428571428</v>
      </c>
      <c r="Q17" s="187" t="s">
        <v>1507</v>
      </c>
      <c r="R17" s="187" t="s">
        <v>1507</v>
      </c>
      <c r="S17" s="186">
        <f t="shared" si="1"/>
        <v>5.4761904761904763</v>
      </c>
      <c r="T17" s="116">
        <v>2000</v>
      </c>
      <c r="U17" s="185">
        <f t="shared" si="2"/>
        <v>10952.380952380952</v>
      </c>
      <c r="V17" s="175">
        <v>13855</v>
      </c>
      <c r="W17" s="176" t="s">
        <v>1507</v>
      </c>
      <c r="X17" s="185" t="s">
        <v>1507</v>
      </c>
      <c r="Y17" s="115">
        <v>2530</v>
      </c>
      <c r="Z17" s="169">
        <f t="shared" si="3"/>
        <v>2000</v>
      </c>
      <c r="AA17" s="166">
        <f t="shared" si="4"/>
        <v>10952.380952380952</v>
      </c>
      <c r="AB17" s="165" t="s">
        <v>2344</v>
      </c>
      <c r="AC17" s="113">
        <f t="shared" si="5"/>
        <v>11757</v>
      </c>
      <c r="AD17" s="113">
        <f t="shared" si="6"/>
        <v>14000</v>
      </c>
      <c r="AE17" s="113">
        <f t="shared" si="7"/>
        <v>12000</v>
      </c>
      <c r="AF17" s="118" t="str">
        <f t="shared" si="8"/>
        <v>NA</v>
      </c>
      <c r="AG17" s="118" t="str">
        <f t="shared" si="9"/>
        <v>NA</v>
      </c>
      <c r="AH17" s="167">
        <f t="shared" si="10"/>
        <v>16428.571428571428</v>
      </c>
      <c r="AI17" s="118" t="str">
        <f t="shared" si="11"/>
        <v>NA</v>
      </c>
      <c r="AJ17" s="118" t="str">
        <f t="shared" si="12"/>
        <v>NA</v>
      </c>
      <c r="AK17" s="114">
        <f t="shared" si="13"/>
        <v>10952.380952380952</v>
      </c>
      <c r="AL17" s="114">
        <f t="shared" si="14"/>
        <v>13855</v>
      </c>
      <c r="AM17" s="113" t="str">
        <f t="shared" si="15"/>
        <v>NA</v>
      </c>
      <c r="AN17" s="114" t="str">
        <f t="shared" si="16"/>
        <v>NA</v>
      </c>
      <c r="AO17" s="182">
        <f t="shared" si="17"/>
        <v>2146.9304347826087</v>
      </c>
      <c r="AP17" s="166">
        <f t="shared" si="18"/>
        <v>11757</v>
      </c>
      <c r="AQ17" s="168" t="s">
        <v>1477</v>
      </c>
    </row>
    <row r="18" spans="1:43" x14ac:dyDescent="0.35">
      <c r="A18" s="177" t="s">
        <v>1526</v>
      </c>
      <c r="B18" s="191">
        <v>5</v>
      </c>
      <c r="C18" s="117">
        <v>218</v>
      </c>
      <c r="D18" s="113">
        <v>18</v>
      </c>
      <c r="E18" s="189">
        <v>6992</v>
      </c>
      <c r="F18" s="189">
        <v>8000</v>
      </c>
      <c r="G18" s="189">
        <v>7500</v>
      </c>
      <c r="H18" s="187">
        <v>7500</v>
      </c>
      <c r="J18" s="113">
        <v>210</v>
      </c>
      <c r="K18" s="113">
        <v>115</v>
      </c>
      <c r="L18" s="113">
        <v>17.55</v>
      </c>
      <c r="M18" s="116" t="s">
        <v>1507</v>
      </c>
      <c r="N18" s="187">
        <v>8000</v>
      </c>
      <c r="O18" s="118">
        <v>1600</v>
      </c>
      <c r="P18" s="188">
        <f t="shared" si="21"/>
        <v>10484.330484330483</v>
      </c>
      <c r="Q18" s="187">
        <v>7500</v>
      </c>
      <c r="R18" s="187">
        <v>8000</v>
      </c>
      <c r="S18" s="186">
        <f t="shared" si="1"/>
        <v>6.5527065527065522</v>
      </c>
      <c r="T18" s="116">
        <v>1028</v>
      </c>
      <c r="U18" s="185">
        <f t="shared" si="2"/>
        <v>6736.1823361823353</v>
      </c>
      <c r="V18" s="175">
        <v>6908.5</v>
      </c>
      <c r="W18" s="176">
        <v>13978</v>
      </c>
      <c r="X18" s="185" t="s">
        <v>1507</v>
      </c>
      <c r="Y18" s="115">
        <v>1054.3</v>
      </c>
      <c r="Z18" s="169">
        <f t="shared" si="3"/>
        <v>1028</v>
      </c>
      <c r="AA18" s="166">
        <f t="shared" si="4"/>
        <v>6736.1823361823353</v>
      </c>
      <c r="AB18" s="181" t="s">
        <v>1527</v>
      </c>
      <c r="AC18" s="113">
        <f t="shared" si="5"/>
        <v>6992</v>
      </c>
      <c r="AD18" s="113">
        <f t="shared" si="6"/>
        <v>8000</v>
      </c>
      <c r="AE18" s="113">
        <f t="shared" si="7"/>
        <v>7500</v>
      </c>
      <c r="AF18" s="118">
        <f t="shared" si="8"/>
        <v>7500</v>
      </c>
      <c r="AG18" s="118">
        <f t="shared" si="9"/>
        <v>8000</v>
      </c>
      <c r="AH18" s="167">
        <f t="shared" si="10"/>
        <v>10484.330484330483</v>
      </c>
      <c r="AI18" s="118">
        <f t="shared" si="11"/>
        <v>7500</v>
      </c>
      <c r="AJ18" s="118">
        <f t="shared" si="12"/>
        <v>8000</v>
      </c>
      <c r="AK18" s="114">
        <f t="shared" si="13"/>
        <v>6736.1823361823353</v>
      </c>
      <c r="AL18" s="114">
        <f t="shared" si="14"/>
        <v>6908.5</v>
      </c>
      <c r="AM18" s="113">
        <f t="shared" si="15"/>
        <v>13978</v>
      </c>
      <c r="AN18" s="114" t="str">
        <f t="shared" si="16"/>
        <v>NA</v>
      </c>
      <c r="AO18" s="182">
        <f t="shared" si="17"/>
        <v>1054.2971739130435</v>
      </c>
      <c r="AP18" s="166">
        <f t="shared" si="18"/>
        <v>6908.5</v>
      </c>
      <c r="AQ18" s="165" t="s">
        <v>1465</v>
      </c>
    </row>
    <row r="19" spans="1:43" x14ac:dyDescent="0.35">
      <c r="A19" s="177" t="s">
        <v>1528</v>
      </c>
      <c r="B19" s="191">
        <v>5</v>
      </c>
      <c r="C19" s="117">
        <v>218</v>
      </c>
      <c r="D19" s="113">
        <v>18</v>
      </c>
      <c r="E19" s="189">
        <v>6992</v>
      </c>
      <c r="F19" s="189">
        <v>8000</v>
      </c>
      <c r="G19" s="189">
        <v>7500</v>
      </c>
      <c r="H19" s="187">
        <v>7500</v>
      </c>
      <c r="J19" s="113">
        <v>210</v>
      </c>
      <c r="K19" s="113">
        <v>115</v>
      </c>
      <c r="L19" s="113">
        <v>17.55</v>
      </c>
      <c r="M19" s="116" t="s">
        <v>1507</v>
      </c>
      <c r="N19" s="187">
        <v>8000</v>
      </c>
      <c r="O19" s="118">
        <v>1600</v>
      </c>
      <c r="P19" s="188">
        <f t="shared" si="21"/>
        <v>10484.330484330483</v>
      </c>
      <c r="Q19" s="187">
        <v>7500</v>
      </c>
      <c r="R19" s="187">
        <v>8000</v>
      </c>
      <c r="S19" s="186">
        <f t="shared" si="1"/>
        <v>6.5527065527065522</v>
      </c>
      <c r="T19" s="116">
        <v>1227</v>
      </c>
      <c r="U19" s="185">
        <f t="shared" si="2"/>
        <v>8040.1709401709395</v>
      </c>
      <c r="V19" s="175">
        <v>6908.5</v>
      </c>
      <c r="W19" s="176">
        <v>13978</v>
      </c>
      <c r="X19" s="185" t="s">
        <v>1507</v>
      </c>
      <c r="Y19" s="115">
        <v>1054.3</v>
      </c>
      <c r="Z19" s="169">
        <f t="shared" si="3"/>
        <v>1054.2971739130435</v>
      </c>
      <c r="AA19" s="166">
        <f t="shared" si="4"/>
        <v>6908.5</v>
      </c>
      <c r="AB19" s="181" t="s">
        <v>1465</v>
      </c>
      <c r="AC19" s="113">
        <f t="shared" si="5"/>
        <v>6992</v>
      </c>
      <c r="AD19" s="113">
        <f t="shared" si="6"/>
        <v>8000</v>
      </c>
      <c r="AE19" s="113">
        <f t="shared" si="7"/>
        <v>7500</v>
      </c>
      <c r="AF19" s="118">
        <f t="shared" si="8"/>
        <v>7500</v>
      </c>
      <c r="AG19" s="118">
        <f t="shared" si="9"/>
        <v>8000</v>
      </c>
      <c r="AH19" s="167">
        <f t="shared" si="10"/>
        <v>10484.330484330483</v>
      </c>
      <c r="AI19" s="118">
        <f t="shared" si="11"/>
        <v>7500</v>
      </c>
      <c r="AJ19" s="118">
        <f t="shared" si="12"/>
        <v>8000</v>
      </c>
      <c r="AK19" s="114">
        <f t="shared" si="13"/>
        <v>8040.1709401709395</v>
      </c>
      <c r="AL19" s="114">
        <f t="shared" si="14"/>
        <v>6908.5</v>
      </c>
      <c r="AM19" s="113">
        <f t="shared" si="15"/>
        <v>13978</v>
      </c>
      <c r="AN19" s="114" t="str">
        <f t="shared" si="16"/>
        <v>NA</v>
      </c>
      <c r="AO19" s="182">
        <f t="shared" si="17"/>
        <v>1067.0400000000002</v>
      </c>
      <c r="AP19" s="166">
        <f t="shared" si="18"/>
        <v>6992</v>
      </c>
      <c r="AQ19" s="165" t="s">
        <v>1509</v>
      </c>
    </row>
    <row r="20" spans="1:43" x14ac:dyDescent="0.35">
      <c r="A20" s="177" t="s">
        <v>1526</v>
      </c>
      <c r="B20" s="191">
        <v>6</v>
      </c>
      <c r="C20" s="190">
        <v>218</v>
      </c>
      <c r="D20" s="113">
        <v>18</v>
      </c>
      <c r="E20" s="189">
        <v>6992</v>
      </c>
      <c r="F20" s="189">
        <v>8000</v>
      </c>
      <c r="G20" s="189">
        <v>7500</v>
      </c>
      <c r="H20" s="187">
        <v>7500</v>
      </c>
      <c r="I20" s="118" t="s">
        <v>1410</v>
      </c>
      <c r="J20" s="113">
        <v>210</v>
      </c>
      <c r="K20" s="113">
        <v>115</v>
      </c>
      <c r="L20" s="113">
        <v>17.55</v>
      </c>
      <c r="M20" s="116" t="s">
        <v>1507</v>
      </c>
      <c r="N20" s="187">
        <v>8000</v>
      </c>
      <c r="O20" s="118">
        <v>1600</v>
      </c>
      <c r="P20" s="188">
        <f t="shared" si="21"/>
        <v>10484.330484330483</v>
      </c>
      <c r="Q20" s="187">
        <v>7500</v>
      </c>
      <c r="R20" s="187">
        <v>8000</v>
      </c>
      <c r="S20" s="186">
        <f t="shared" si="1"/>
        <v>6.5527065527065522</v>
      </c>
      <c r="T20" s="116">
        <v>1028</v>
      </c>
      <c r="U20" s="185">
        <f t="shared" si="2"/>
        <v>6736.1823361823353</v>
      </c>
      <c r="V20" s="175">
        <v>6908.5</v>
      </c>
      <c r="W20" s="176">
        <v>13978</v>
      </c>
      <c r="X20" s="185" t="s">
        <v>1507</v>
      </c>
      <c r="Y20" s="115">
        <v>1054.3</v>
      </c>
      <c r="Z20" s="169">
        <f t="shared" si="3"/>
        <v>1028</v>
      </c>
      <c r="AA20" s="166">
        <f t="shared" si="4"/>
        <v>6736.1823361823353</v>
      </c>
      <c r="AB20" s="181" t="s">
        <v>1527</v>
      </c>
      <c r="AC20" s="113">
        <f t="shared" si="5"/>
        <v>6992</v>
      </c>
      <c r="AD20" s="113">
        <f t="shared" si="6"/>
        <v>8000</v>
      </c>
      <c r="AE20" s="113">
        <f t="shared" si="7"/>
        <v>7500</v>
      </c>
      <c r="AF20" s="118">
        <f t="shared" si="8"/>
        <v>7500</v>
      </c>
      <c r="AG20" s="118">
        <f t="shared" si="9"/>
        <v>8000</v>
      </c>
      <c r="AH20" s="167">
        <f t="shared" si="10"/>
        <v>10484.330484330483</v>
      </c>
      <c r="AI20" s="118">
        <f t="shared" si="11"/>
        <v>7500</v>
      </c>
      <c r="AJ20" s="118">
        <f t="shared" si="12"/>
        <v>8000</v>
      </c>
      <c r="AK20" s="114">
        <f t="shared" si="13"/>
        <v>6736.1823361823353</v>
      </c>
      <c r="AL20" s="114">
        <f t="shared" si="14"/>
        <v>6908.5</v>
      </c>
      <c r="AM20" s="113">
        <f t="shared" si="15"/>
        <v>13978</v>
      </c>
      <c r="AN20" s="114" t="str">
        <f t="shared" si="16"/>
        <v>NA</v>
      </c>
      <c r="AO20" s="182">
        <f t="shared" si="17"/>
        <v>1054.2971739130435</v>
      </c>
      <c r="AP20" s="166">
        <f t="shared" si="18"/>
        <v>6908.5</v>
      </c>
      <c r="AQ20" s="165" t="s">
        <v>1465</v>
      </c>
    </row>
    <row r="21" spans="1:43" x14ac:dyDescent="0.35">
      <c r="A21" s="177" t="s">
        <v>1528</v>
      </c>
      <c r="B21" s="191">
        <v>6</v>
      </c>
      <c r="C21" s="190">
        <v>218</v>
      </c>
      <c r="D21" s="113">
        <v>18</v>
      </c>
      <c r="E21" s="189">
        <v>6992</v>
      </c>
      <c r="F21" s="189">
        <v>8000</v>
      </c>
      <c r="G21" s="189">
        <v>7500</v>
      </c>
      <c r="H21" s="187">
        <v>7500</v>
      </c>
      <c r="I21" s="118" t="s">
        <v>1410</v>
      </c>
      <c r="J21" s="113">
        <v>210</v>
      </c>
      <c r="K21" s="113">
        <v>115</v>
      </c>
      <c r="L21" s="113">
        <v>17.55</v>
      </c>
      <c r="M21" s="116" t="s">
        <v>1507</v>
      </c>
      <c r="N21" s="187">
        <v>8000</v>
      </c>
      <c r="O21" s="118">
        <v>1600</v>
      </c>
      <c r="P21" s="188">
        <f t="shared" si="21"/>
        <v>10484.330484330483</v>
      </c>
      <c r="Q21" s="187">
        <v>7500</v>
      </c>
      <c r="R21" s="187">
        <v>8000</v>
      </c>
      <c r="S21" s="186">
        <f t="shared" si="1"/>
        <v>6.5527065527065522</v>
      </c>
      <c r="T21" s="116">
        <v>1227</v>
      </c>
      <c r="U21" s="185">
        <f t="shared" si="2"/>
        <v>8040.1709401709395</v>
      </c>
      <c r="V21" s="175">
        <v>6908.5</v>
      </c>
      <c r="W21" s="176">
        <v>13978</v>
      </c>
      <c r="X21" s="185" t="s">
        <v>1507</v>
      </c>
      <c r="Y21" s="115">
        <v>1054.3</v>
      </c>
      <c r="Z21" s="169">
        <f t="shared" si="3"/>
        <v>1054.2971739130435</v>
      </c>
      <c r="AA21" s="166">
        <f t="shared" si="4"/>
        <v>6908.5</v>
      </c>
      <c r="AB21" s="181" t="s">
        <v>1465</v>
      </c>
      <c r="AC21" s="113">
        <f t="shared" si="5"/>
        <v>6992</v>
      </c>
      <c r="AD21" s="113">
        <f t="shared" si="6"/>
        <v>8000</v>
      </c>
      <c r="AE21" s="113">
        <f t="shared" si="7"/>
        <v>7500</v>
      </c>
      <c r="AF21" s="118">
        <f t="shared" si="8"/>
        <v>7500</v>
      </c>
      <c r="AG21" s="118">
        <f t="shared" si="9"/>
        <v>8000</v>
      </c>
      <c r="AH21" s="167">
        <f t="shared" si="10"/>
        <v>10484.330484330483</v>
      </c>
      <c r="AI21" s="118">
        <f t="shared" si="11"/>
        <v>7500</v>
      </c>
      <c r="AJ21" s="118">
        <f t="shared" si="12"/>
        <v>8000</v>
      </c>
      <c r="AK21" s="114">
        <f t="shared" si="13"/>
        <v>8040.1709401709395</v>
      </c>
      <c r="AL21" s="114">
        <f t="shared" si="14"/>
        <v>6908.5</v>
      </c>
      <c r="AM21" s="113">
        <f t="shared" si="15"/>
        <v>13978</v>
      </c>
      <c r="AN21" s="114" t="str">
        <f t="shared" si="16"/>
        <v>NA</v>
      </c>
      <c r="AO21" s="182">
        <f t="shared" si="17"/>
        <v>1067.0400000000002</v>
      </c>
      <c r="AP21" s="166">
        <f t="shared" si="18"/>
        <v>6992</v>
      </c>
      <c r="AQ21" s="165" t="s">
        <v>1509</v>
      </c>
    </row>
    <row r="22" spans="1:43" x14ac:dyDescent="0.35">
      <c r="A22" s="177" t="s">
        <v>1526</v>
      </c>
      <c r="B22" s="191">
        <v>7</v>
      </c>
      <c r="C22" s="117">
        <v>300</v>
      </c>
      <c r="D22" s="113">
        <v>18</v>
      </c>
      <c r="E22" s="189">
        <v>9623</v>
      </c>
      <c r="F22" s="189">
        <v>12000</v>
      </c>
      <c r="G22" s="189">
        <v>12000</v>
      </c>
      <c r="H22" s="187" t="s">
        <v>1507</v>
      </c>
      <c r="J22" s="113">
        <v>300</v>
      </c>
      <c r="K22" s="113">
        <v>115</v>
      </c>
      <c r="L22" s="113">
        <v>17.55</v>
      </c>
      <c r="M22" s="116" t="s">
        <v>1507</v>
      </c>
      <c r="N22" s="187">
        <v>15000</v>
      </c>
      <c r="O22" s="118">
        <v>2400</v>
      </c>
      <c r="P22" s="188">
        <f t="shared" si="21"/>
        <v>15726.495726495725</v>
      </c>
      <c r="Q22" s="187" t="s">
        <v>1507</v>
      </c>
      <c r="R22" s="187" t="s">
        <v>1507</v>
      </c>
      <c r="S22" s="186">
        <f t="shared" si="1"/>
        <v>6.5527065527065522</v>
      </c>
      <c r="T22" s="116">
        <v>2000</v>
      </c>
      <c r="U22" s="185">
        <f t="shared" si="2"/>
        <v>13105.413105413105</v>
      </c>
      <c r="V22" s="175">
        <f t="shared" ref="V22:V30" si="22">(J22*1000)/(SQRT(3)*L22)</f>
        <v>9869.2353707628336</v>
      </c>
      <c r="W22" s="176">
        <v>17718</v>
      </c>
      <c r="X22" s="185" t="s">
        <v>1507</v>
      </c>
      <c r="Y22" s="115">
        <v>1545</v>
      </c>
      <c r="Z22" s="169">
        <f t="shared" si="3"/>
        <v>1468.5534782608697</v>
      </c>
      <c r="AA22" s="166">
        <f t="shared" si="4"/>
        <v>9623</v>
      </c>
      <c r="AB22" s="181" t="s">
        <v>1509</v>
      </c>
      <c r="AC22" s="113">
        <f t="shared" si="5"/>
        <v>9623</v>
      </c>
      <c r="AD22" s="113">
        <f t="shared" si="6"/>
        <v>12000</v>
      </c>
      <c r="AE22" s="113">
        <f t="shared" si="7"/>
        <v>12000</v>
      </c>
      <c r="AF22" s="118" t="str">
        <f t="shared" si="8"/>
        <v>NA</v>
      </c>
      <c r="AG22" s="118">
        <f t="shared" si="9"/>
        <v>15000</v>
      </c>
      <c r="AH22" s="167">
        <f t="shared" si="10"/>
        <v>15726.495726495725</v>
      </c>
      <c r="AI22" s="118" t="str">
        <f t="shared" si="11"/>
        <v>NA</v>
      </c>
      <c r="AJ22" s="118" t="str">
        <f t="shared" si="12"/>
        <v>NA</v>
      </c>
      <c r="AK22" s="114">
        <f t="shared" si="13"/>
        <v>13105.413105413105</v>
      </c>
      <c r="AL22" s="114">
        <f t="shared" si="14"/>
        <v>9869.2353707628336</v>
      </c>
      <c r="AM22" s="113">
        <f t="shared" si="15"/>
        <v>17718</v>
      </c>
      <c r="AN22" s="114" t="str">
        <f t="shared" si="16"/>
        <v>NA</v>
      </c>
      <c r="AO22" s="182">
        <f t="shared" si="17"/>
        <v>1506.1311370164151</v>
      </c>
      <c r="AP22" s="166">
        <f t="shared" si="18"/>
        <v>9869.2353707628336</v>
      </c>
      <c r="AQ22" s="165" t="s">
        <v>1465</v>
      </c>
    </row>
    <row r="23" spans="1:43" x14ac:dyDescent="0.35">
      <c r="A23" s="208" t="s">
        <v>1528</v>
      </c>
      <c r="B23" s="207">
        <v>7</v>
      </c>
      <c r="C23" s="206">
        <v>300</v>
      </c>
      <c r="D23" s="178">
        <v>18</v>
      </c>
      <c r="E23" s="205">
        <v>9623</v>
      </c>
      <c r="F23" s="205">
        <v>12000</v>
      </c>
      <c r="G23" s="205">
        <v>12000</v>
      </c>
      <c r="H23" s="203" t="s">
        <v>1507</v>
      </c>
      <c r="I23" s="180"/>
      <c r="J23" s="178">
        <v>300</v>
      </c>
      <c r="K23" s="178">
        <v>115</v>
      </c>
      <c r="L23" s="178">
        <v>17.55</v>
      </c>
      <c r="M23" s="201" t="s">
        <v>1507</v>
      </c>
      <c r="N23" s="203">
        <v>15000</v>
      </c>
      <c r="O23" s="180">
        <v>2400</v>
      </c>
      <c r="P23" s="204">
        <f t="shared" si="21"/>
        <v>15726.495726495725</v>
      </c>
      <c r="Q23" s="203" t="s">
        <v>1507</v>
      </c>
      <c r="R23" s="203" t="s">
        <v>1507</v>
      </c>
      <c r="S23" s="202">
        <f t="shared" si="1"/>
        <v>6.5527065527065522</v>
      </c>
      <c r="T23" s="201">
        <v>2000</v>
      </c>
      <c r="U23" s="199">
        <f t="shared" si="2"/>
        <v>13105.413105413105</v>
      </c>
      <c r="V23" s="234">
        <f t="shared" si="22"/>
        <v>9869.2353707628336</v>
      </c>
      <c r="W23" s="200">
        <v>17718</v>
      </c>
      <c r="X23" s="199" t="s">
        <v>1507</v>
      </c>
      <c r="Y23" s="198">
        <v>1545</v>
      </c>
      <c r="Z23" s="197">
        <f t="shared" si="3"/>
        <v>1468.5534782608697</v>
      </c>
      <c r="AA23" s="194">
        <f t="shared" si="4"/>
        <v>9623</v>
      </c>
      <c r="AB23" s="229" t="s">
        <v>1509</v>
      </c>
      <c r="AC23" s="178">
        <f t="shared" si="5"/>
        <v>9623</v>
      </c>
      <c r="AD23" s="178">
        <f t="shared" si="6"/>
        <v>12000</v>
      </c>
      <c r="AE23" s="178">
        <f t="shared" si="7"/>
        <v>12000</v>
      </c>
      <c r="AF23" s="118" t="str">
        <f t="shared" si="8"/>
        <v>NA</v>
      </c>
      <c r="AG23" s="118">
        <f t="shared" si="9"/>
        <v>15000</v>
      </c>
      <c r="AH23" s="167">
        <f t="shared" si="10"/>
        <v>15726.495726495725</v>
      </c>
      <c r="AI23" s="118" t="str">
        <f t="shared" si="11"/>
        <v>NA</v>
      </c>
      <c r="AJ23" s="118" t="str">
        <f t="shared" si="12"/>
        <v>NA</v>
      </c>
      <c r="AK23" s="114">
        <f t="shared" si="13"/>
        <v>13105.413105413105</v>
      </c>
      <c r="AL23" s="179">
        <f t="shared" si="14"/>
        <v>9869.2353707628336</v>
      </c>
      <c r="AM23" s="178">
        <f t="shared" si="15"/>
        <v>17718</v>
      </c>
      <c r="AN23" s="179" t="str">
        <f t="shared" si="16"/>
        <v>NA</v>
      </c>
      <c r="AO23" s="195">
        <f t="shared" si="17"/>
        <v>1506.1311370164151</v>
      </c>
      <c r="AP23" s="194">
        <f t="shared" si="18"/>
        <v>9869.2353707628336</v>
      </c>
      <c r="AQ23" s="193" t="s">
        <v>1465</v>
      </c>
    </row>
    <row r="24" spans="1:43" x14ac:dyDescent="0.35">
      <c r="A24" s="177" t="s">
        <v>1529</v>
      </c>
      <c r="B24" s="191">
        <v>2</v>
      </c>
      <c r="C24" s="117">
        <v>440</v>
      </c>
      <c r="D24" s="113">
        <v>24</v>
      </c>
      <c r="E24" s="189">
        <v>10585</v>
      </c>
      <c r="F24" s="189">
        <v>12000</v>
      </c>
      <c r="G24" s="189">
        <v>12000</v>
      </c>
      <c r="H24" s="187" t="s">
        <v>1507</v>
      </c>
      <c r="I24" s="118" t="s">
        <v>1530</v>
      </c>
      <c r="J24" s="113">
        <v>470</v>
      </c>
      <c r="K24" s="113">
        <v>230</v>
      </c>
      <c r="L24" s="113">
        <v>23</v>
      </c>
      <c r="M24" s="116" t="s">
        <v>1507</v>
      </c>
      <c r="N24" s="187" t="s">
        <v>1507</v>
      </c>
      <c r="O24" s="118">
        <v>1200</v>
      </c>
      <c r="P24" s="188">
        <f t="shared" si="21"/>
        <v>12000</v>
      </c>
      <c r="Q24" s="187" t="s">
        <v>1507</v>
      </c>
      <c r="R24" s="187" t="s">
        <v>1507</v>
      </c>
      <c r="S24" s="186">
        <f t="shared" si="1"/>
        <v>10</v>
      </c>
      <c r="T24" s="116">
        <v>1200</v>
      </c>
      <c r="U24" s="185">
        <f t="shared" si="2"/>
        <v>12000</v>
      </c>
      <c r="V24" s="175">
        <f t="shared" si="22"/>
        <v>11798.027239961919</v>
      </c>
      <c r="W24" s="176">
        <v>22190</v>
      </c>
      <c r="X24" s="185" t="s">
        <v>1507</v>
      </c>
      <c r="Y24" s="115">
        <v>1179</v>
      </c>
      <c r="Z24" s="169">
        <f t="shared" si="3"/>
        <v>1058.5</v>
      </c>
      <c r="AA24" s="166">
        <f t="shared" si="4"/>
        <v>10585</v>
      </c>
      <c r="AB24" s="181" t="s">
        <v>1509</v>
      </c>
      <c r="AC24" s="113">
        <f t="shared" si="5"/>
        <v>10585</v>
      </c>
      <c r="AD24" s="113">
        <f t="shared" si="6"/>
        <v>12000</v>
      </c>
      <c r="AE24" s="113">
        <f t="shared" si="7"/>
        <v>12000</v>
      </c>
      <c r="AF24" s="118" t="str">
        <f t="shared" si="8"/>
        <v>NA</v>
      </c>
      <c r="AG24" s="118" t="str">
        <f t="shared" si="9"/>
        <v>NA</v>
      </c>
      <c r="AH24" s="167">
        <f t="shared" si="10"/>
        <v>12000</v>
      </c>
      <c r="AI24" s="118" t="str">
        <f t="shared" si="11"/>
        <v>NA</v>
      </c>
      <c r="AJ24" s="118" t="str">
        <f t="shared" si="12"/>
        <v>NA</v>
      </c>
      <c r="AK24" s="114">
        <f t="shared" si="13"/>
        <v>12000</v>
      </c>
      <c r="AL24" s="114">
        <f t="shared" si="14"/>
        <v>11798.027239961919</v>
      </c>
      <c r="AM24" s="113">
        <f t="shared" si="15"/>
        <v>22190</v>
      </c>
      <c r="AN24" s="114" t="str">
        <f t="shared" si="16"/>
        <v>NA</v>
      </c>
      <c r="AO24" s="182">
        <f t="shared" si="17"/>
        <v>1179.8027239961918</v>
      </c>
      <c r="AP24" s="166">
        <f t="shared" si="18"/>
        <v>11798.027239961919</v>
      </c>
      <c r="AQ24" s="165" t="s">
        <v>1465</v>
      </c>
    </row>
    <row r="25" spans="1:43" x14ac:dyDescent="0.35">
      <c r="A25" s="241" t="s">
        <v>1429</v>
      </c>
      <c r="B25" s="191">
        <v>3</v>
      </c>
      <c r="C25" s="117">
        <v>1008</v>
      </c>
      <c r="D25" s="113">
        <v>27</v>
      </c>
      <c r="E25" s="189">
        <v>21554</v>
      </c>
      <c r="F25" s="189">
        <v>27000</v>
      </c>
      <c r="G25" s="189">
        <v>22689</v>
      </c>
      <c r="H25" s="187" t="s">
        <v>1507</v>
      </c>
      <c r="J25" s="113">
        <f>3*336</f>
        <v>1008</v>
      </c>
      <c r="K25" s="113">
        <v>353.625</v>
      </c>
      <c r="L25" s="113">
        <v>27</v>
      </c>
      <c r="M25" s="116" t="s">
        <v>1507</v>
      </c>
      <c r="N25" s="187">
        <v>27713</v>
      </c>
      <c r="O25" s="118">
        <v>2000</v>
      </c>
      <c r="P25" s="188">
        <f t="shared" si="21"/>
        <v>26194.444444444442</v>
      </c>
      <c r="Q25" s="187" t="s">
        <v>1507</v>
      </c>
      <c r="R25" s="187" t="s">
        <v>1507</v>
      </c>
      <c r="S25" s="117">
        <f t="shared" si="1"/>
        <v>13.097222222222221</v>
      </c>
      <c r="T25" s="116">
        <v>2000</v>
      </c>
      <c r="U25" s="185">
        <f t="shared" si="2"/>
        <v>26194.444444444442</v>
      </c>
      <c r="V25" s="175">
        <f t="shared" si="22"/>
        <v>21554.410049746031</v>
      </c>
      <c r="W25" s="176">
        <v>43072.800000000003</v>
      </c>
      <c r="X25" s="185" t="s">
        <v>1507</v>
      </c>
      <c r="Y25" s="115">
        <v>1645.7</v>
      </c>
      <c r="Z25" s="169">
        <f t="shared" si="3"/>
        <v>1645.6924708377519</v>
      </c>
      <c r="AA25" s="166">
        <f t="shared" si="4"/>
        <v>21554</v>
      </c>
      <c r="AB25" s="181" t="s">
        <v>2565</v>
      </c>
      <c r="AC25" s="113">
        <f t="shared" si="5"/>
        <v>21554</v>
      </c>
      <c r="AD25" s="113">
        <f t="shared" si="6"/>
        <v>27000</v>
      </c>
      <c r="AE25" s="113">
        <f t="shared" si="7"/>
        <v>22689</v>
      </c>
      <c r="AF25" s="118" t="str">
        <f t="shared" si="8"/>
        <v>NA</v>
      </c>
      <c r="AG25" s="118">
        <f t="shared" si="9"/>
        <v>27713</v>
      </c>
      <c r="AH25" s="167">
        <f t="shared" si="10"/>
        <v>26194.444444444442</v>
      </c>
      <c r="AI25" s="118" t="str">
        <f t="shared" si="11"/>
        <v>NA</v>
      </c>
      <c r="AJ25" s="118" t="str">
        <f t="shared" si="12"/>
        <v>NA</v>
      </c>
      <c r="AK25" s="114">
        <f t="shared" si="13"/>
        <v>26194.444444444442</v>
      </c>
      <c r="AL25" s="114">
        <f t="shared" si="14"/>
        <v>21554.410049746031</v>
      </c>
      <c r="AM25" s="113">
        <f t="shared" si="15"/>
        <v>43072.800000000003</v>
      </c>
      <c r="AN25" s="114" t="str">
        <f t="shared" si="16"/>
        <v>NA</v>
      </c>
      <c r="AO25" s="182">
        <f t="shared" si="17"/>
        <v>1645.7237789837905</v>
      </c>
      <c r="AP25" s="166">
        <f t="shared" si="18"/>
        <v>21554.410049746031</v>
      </c>
      <c r="AQ25" s="165" t="s">
        <v>2566</v>
      </c>
    </row>
    <row r="26" spans="1:43" x14ac:dyDescent="0.35">
      <c r="A26" s="240" t="s">
        <v>1430</v>
      </c>
      <c r="B26" s="207">
        <v>3</v>
      </c>
      <c r="C26" s="239">
        <v>1008</v>
      </c>
      <c r="D26" s="178">
        <v>27</v>
      </c>
      <c r="E26" s="205">
        <v>21554</v>
      </c>
      <c r="F26" s="205">
        <v>27000</v>
      </c>
      <c r="G26" s="205">
        <v>22689</v>
      </c>
      <c r="H26" s="203" t="s">
        <v>1507</v>
      </c>
      <c r="I26" s="180"/>
      <c r="J26" s="178">
        <f>3*336</f>
        <v>1008</v>
      </c>
      <c r="K26" s="178">
        <v>353.625</v>
      </c>
      <c r="L26" s="178">
        <v>27</v>
      </c>
      <c r="M26" s="201" t="s">
        <v>1507</v>
      </c>
      <c r="N26" s="203">
        <v>27713</v>
      </c>
      <c r="O26" s="180">
        <v>2000</v>
      </c>
      <c r="P26" s="204">
        <f t="shared" si="21"/>
        <v>26194.444444444442</v>
      </c>
      <c r="Q26" s="203" t="s">
        <v>1507</v>
      </c>
      <c r="R26" s="203" t="s">
        <v>1507</v>
      </c>
      <c r="S26" s="239">
        <f t="shared" si="1"/>
        <v>13.097222222222221</v>
      </c>
      <c r="T26" s="201">
        <v>2000</v>
      </c>
      <c r="U26" s="199">
        <f t="shared" si="2"/>
        <v>26194.444444444442</v>
      </c>
      <c r="V26" s="175">
        <f t="shared" si="22"/>
        <v>21554.410049746031</v>
      </c>
      <c r="W26" s="200">
        <v>43072.800000000003</v>
      </c>
      <c r="X26" s="199" t="s">
        <v>1507</v>
      </c>
      <c r="Y26" s="238">
        <v>1645.7</v>
      </c>
      <c r="Z26" s="197">
        <f t="shared" si="3"/>
        <v>1645.6924708377519</v>
      </c>
      <c r="AA26" s="194">
        <f t="shared" si="4"/>
        <v>21554</v>
      </c>
      <c r="AB26" s="229" t="s">
        <v>2565</v>
      </c>
      <c r="AC26" s="113">
        <f t="shared" si="5"/>
        <v>21554</v>
      </c>
      <c r="AD26" s="113">
        <f t="shared" si="6"/>
        <v>27000</v>
      </c>
      <c r="AE26" s="113">
        <f t="shared" si="7"/>
        <v>22689</v>
      </c>
      <c r="AF26" s="118" t="str">
        <f t="shared" si="8"/>
        <v>NA</v>
      </c>
      <c r="AG26" s="118">
        <f t="shared" si="9"/>
        <v>27713</v>
      </c>
      <c r="AH26" s="167">
        <f t="shared" si="10"/>
        <v>26194.444444444442</v>
      </c>
      <c r="AI26" s="118" t="str">
        <f t="shared" si="11"/>
        <v>NA</v>
      </c>
      <c r="AJ26" s="118" t="str">
        <f t="shared" si="12"/>
        <v>NA</v>
      </c>
      <c r="AK26" s="114">
        <f t="shared" si="13"/>
        <v>26194.444444444442</v>
      </c>
      <c r="AL26" s="114">
        <f t="shared" si="14"/>
        <v>21554.410049746031</v>
      </c>
      <c r="AM26" s="113">
        <f t="shared" si="15"/>
        <v>43072.800000000003</v>
      </c>
      <c r="AN26" s="114" t="str">
        <f t="shared" si="16"/>
        <v>NA</v>
      </c>
      <c r="AO26" s="195">
        <f t="shared" si="17"/>
        <v>1645.7237789837905</v>
      </c>
      <c r="AP26" s="194">
        <f t="shared" si="18"/>
        <v>21554.410049746031</v>
      </c>
      <c r="AQ26" s="193" t="s">
        <v>2566</v>
      </c>
    </row>
    <row r="27" spans="1:43" x14ac:dyDescent="0.35">
      <c r="A27" s="177" t="s">
        <v>1531</v>
      </c>
      <c r="B27" s="191">
        <v>1</v>
      </c>
      <c r="C27" s="190">
        <v>403</v>
      </c>
      <c r="D27" s="113">
        <v>22</v>
      </c>
      <c r="E27" s="189">
        <v>10576</v>
      </c>
      <c r="F27" s="189">
        <v>12000</v>
      </c>
      <c r="G27" s="189">
        <v>11300</v>
      </c>
      <c r="H27" s="187" t="s">
        <v>1507</v>
      </c>
      <c r="I27" s="118" t="s">
        <v>1532</v>
      </c>
      <c r="J27" s="113">
        <v>451.36</v>
      </c>
      <c r="K27" s="113">
        <v>230</v>
      </c>
      <c r="L27" s="113">
        <v>21</v>
      </c>
      <c r="M27" s="116" t="s">
        <v>1507</v>
      </c>
      <c r="N27" s="187" t="s">
        <v>1507</v>
      </c>
      <c r="O27" s="118">
        <v>3300</v>
      </c>
      <c r="P27" s="188">
        <f t="shared" si="21"/>
        <v>36142.857142857145</v>
      </c>
      <c r="Q27" s="187" t="s">
        <v>1507</v>
      </c>
      <c r="R27" s="187" t="s">
        <v>1507</v>
      </c>
      <c r="S27" s="186">
        <f t="shared" si="1"/>
        <v>10.952380952380953</v>
      </c>
      <c r="T27" s="116">
        <v>1200</v>
      </c>
      <c r="U27" s="185">
        <f t="shared" si="2"/>
        <v>13142.857142857143</v>
      </c>
      <c r="V27" s="237">
        <f t="shared" si="22"/>
        <v>12409.181785782355</v>
      </c>
      <c r="W27" s="176">
        <v>21593.4</v>
      </c>
      <c r="X27" s="185" t="s">
        <v>1507</v>
      </c>
      <c r="Y27" s="115">
        <v>1133.242</v>
      </c>
      <c r="Z27" s="169">
        <f t="shared" si="3"/>
        <v>965.63478260869567</v>
      </c>
      <c r="AA27" s="166">
        <f t="shared" si="4"/>
        <v>10576</v>
      </c>
      <c r="AB27" s="181" t="s">
        <v>1509</v>
      </c>
      <c r="AC27" s="113">
        <f t="shared" si="5"/>
        <v>10576</v>
      </c>
      <c r="AD27" s="113">
        <f t="shared" si="6"/>
        <v>12000</v>
      </c>
      <c r="AE27" s="113">
        <f t="shared" si="7"/>
        <v>11300</v>
      </c>
      <c r="AF27" s="118" t="str">
        <f t="shared" si="8"/>
        <v>NA</v>
      </c>
      <c r="AG27" s="118" t="str">
        <f t="shared" si="9"/>
        <v>NA</v>
      </c>
      <c r="AH27" s="167">
        <f t="shared" si="10"/>
        <v>36142.857142857145</v>
      </c>
      <c r="AI27" s="118" t="str">
        <f t="shared" si="11"/>
        <v>NA</v>
      </c>
      <c r="AJ27" s="118" t="str">
        <f t="shared" si="12"/>
        <v>NA</v>
      </c>
      <c r="AK27" s="114">
        <f t="shared" si="13"/>
        <v>13142.857142857143</v>
      </c>
      <c r="AL27" s="114">
        <f t="shared" si="14"/>
        <v>12409.181785782355</v>
      </c>
      <c r="AM27" s="113">
        <f t="shared" si="15"/>
        <v>21593.4</v>
      </c>
      <c r="AN27" s="114" t="str">
        <f t="shared" si="16"/>
        <v>NA</v>
      </c>
      <c r="AO27" s="182">
        <f t="shared" si="17"/>
        <v>1031.7391304347825</v>
      </c>
      <c r="AP27" s="166">
        <f t="shared" si="18"/>
        <v>11300</v>
      </c>
      <c r="AQ27" s="165" t="s">
        <v>1477</v>
      </c>
    </row>
    <row r="28" spans="1:43" x14ac:dyDescent="0.35">
      <c r="A28" s="177" t="s">
        <v>1533</v>
      </c>
      <c r="B28" s="191">
        <v>1</v>
      </c>
      <c r="C28" s="190">
        <v>403</v>
      </c>
      <c r="D28" s="113">
        <v>22</v>
      </c>
      <c r="E28" s="189">
        <v>10576</v>
      </c>
      <c r="F28" s="189">
        <v>12000</v>
      </c>
      <c r="G28" s="189">
        <v>11300</v>
      </c>
      <c r="H28" s="187" t="s">
        <v>1507</v>
      </c>
      <c r="I28" s="118" t="s">
        <v>1532</v>
      </c>
      <c r="J28" s="113">
        <v>451.36</v>
      </c>
      <c r="K28" s="113">
        <v>230</v>
      </c>
      <c r="L28" s="113">
        <v>21</v>
      </c>
      <c r="M28" s="116" t="s">
        <v>1507</v>
      </c>
      <c r="N28" s="187" t="s">
        <v>1507</v>
      </c>
      <c r="O28" s="118">
        <v>3300</v>
      </c>
      <c r="P28" s="188">
        <f t="shared" si="21"/>
        <v>36142.857142857145</v>
      </c>
      <c r="Q28" s="187" t="s">
        <v>1507</v>
      </c>
      <c r="R28" s="187" t="s">
        <v>1507</v>
      </c>
      <c r="S28" s="186">
        <f t="shared" si="1"/>
        <v>10.952380952380953</v>
      </c>
      <c r="T28" s="116">
        <v>1200</v>
      </c>
      <c r="U28" s="185">
        <f t="shared" si="2"/>
        <v>13142.857142857143</v>
      </c>
      <c r="V28" s="175">
        <f t="shared" si="22"/>
        <v>12409.181785782355</v>
      </c>
      <c r="W28" s="176">
        <v>21593.4</v>
      </c>
      <c r="X28" s="185" t="s">
        <v>1507</v>
      </c>
      <c r="Y28" s="115">
        <v>1133.242</v>
      </c>
      <c r="Z28" s="169">
        <f t="shared" si="3"/>
        <v>965.63478260869567</v>
      </c>
      <c r="AA28" s="166">
        <f t="shared" si="4"/>
        <v>10576</v>
      </c>
      <c r="AB28" s="181" t="s">
        <v>1509</v>
      </c>
      <c r="AC28" s="113">
        <f t="shared" si="5"/>
        <v>10576</v>
      </c>
      <c r="AD28" s="113">
        <f t="shared" si="6"/>
        <v>12000</v>
      </c>
      <c r="AE28" s="113">
        <f t="shared" si="7"/>
        <v>11300</v>
      </c>
      <c r="AF28" s="118" t="str">
        <f t="shared" si="8"/>
        <v>NA</v>
      </c>
      <c r="AG28" s="118" t="str">
        <f t="shared" si="9"/>
        <v>NA</v>
      </c>
      <c r="AH28" s="167">
        <f t="shared" si="10"/>
        <v>36142.857142857145</v>
      </c>
      <c r="AI28" s="118" t="str">
        <f t="shared" si="11"/>
        <v>NA</v>
      </c>
      <c r="AJ28" s="118" t="str">
        <f t="shared" si="12"/>
        <v>NA</v>
      </c>
      <c r="AK28" s="114">
        <f t="shared" si="13"/>
        <v>13142.857142857143</v>
      </c>
      <c r="AL28" s="114">
        <f t="shared" si="14"/>
        <v>12409.181785782355</v>
      </c>
      <c r="AM28" s="113">
        <f t="shared" si="15"/>
        <v>21593.4</v>
      </c>
      <c r="AN28" s="114" t="str">
        <f t="shared" si="16"/>
        <v>NA</v>
      </c>
      <c r="AO28" s="182">
        <f t="shared" si="17"/>
        <v>1031.7391304347825</v>
      </c>
      <c r="AP28" s="166">
        <f t="shared" si="18"/>
        <v>11300</v>
      </c>
      <c r="AQ28" s="165" t="s">
        <v>1477</v>
      </c>
    </row>
    <row r="29" spans="1:43" x14ac:dyDescent="0.35">
      <c r="A29" s="177" t="s">
        <v>1531</v>
      </c>
      <c r="B29" s="191">
        <v>2</v>
      </c>
      <c r="C29" s="190">
        <v>206</v>
      </c>
      <c r="D29" s="113">
        <v>18</v>
      </c>
      <c r="E29" s="189">
        <v>6607</v>
      </c>
      <c r="F29" s="189">
        <v>8000</v>
      </c>
      <c r="G29" s="189">
        <v>8000</v>
      </c>
      <c r="H29" s="187">
        <v>8000</v>
      </c>
      <c r="I29" s="118" t="s">
        <v>1534</v>
      </c>
      <c r="J29" s="113">
        <v>232</v>
      </c>
      <c r="K29" s="113">
        <v>235.75</v>
      </c>
      <c r="L29" s="118">
        <v>17.55</v>
      </c>
      <c r="M29" s="116" t="s">
        <v>1507</v>
      </c>
      <c r="N29" s="187">
        <v>15200</v>
      </c>
      <c r="O29" s="118">
        <v>1250</v>
      </c>
      <c r="P29" s="188">
        <f t="shared" si="21"/>
        <v>16791.31054131054</v>
      </c>
      <c r="Q29" s="187">
        <v>8000</v>
      </c>
      <c r="R29" s="187">
        <v>8000</v>
      </c>
      <c r="S29" s="186">
        <f t="shared" si="1"/>
        <v>13.433048433048432</v>
      </c>
      <c r="T29" s="116">
        <v>1200</v>
      </c>
      <c r="U29" s="185">
        <f t="shared" si="2"/>
        <v>16119.658119658119</v>
      </c>
      <c r="V29" s="175">
        <f t="shared" si="22"/>
        <v>7632.2086867232583</v>
      </c>
      <c r="W29" s="176">
        <v>13537</v>
      </c>
      <c r="X29" s="185" t="s">
        <v>1507</v>
      </c>
      <c r="Y29" s="115">
        <v>569</v>
      </c>
      <c r="Z29" s="169">
        <f t="shared" si="3"/>
        <v>491.84665959703079</v>
      </c>
      <c r="AA29" s="166">
        <f t="shared" si="4"/>
        <v>6607</v>
      </c>
      <c r="AB29" s="181" t="s">
        <v>1509</v>
      </c>
      <c r="AC29" s="113">
        <f t="shared" si="5"/>
        <v>6607</v>
      </c>
      <c r="AD29" s="113">
        <f t="shared" si="6"/>
        <v>8000</v>
      </c>
      <c r="AE29" s="113">
        <f t="shared" si="7"/>
        <v>8000</v>
      </c>
      <c r="AF29" s="118">
        <f t="shared" si="8"/>
        <v>8000</v>
      </c>
      <c r="AG29" s="118">
        <f t="shared" si="9"/>
        <v>15200</v>
      </c>
      <c r="AH29" s="167">
        <f t="shared" si="10"/>
        <v>16791.31054131054</v>
      </c>
      <c r="AI29" s="118">
        <f t="shared" si="11"/>
        <v>8000</v>
      </c>
      <c r="AJ29" s="118">
        <f t="shared" si="12"/>
        <v>8000</v>
      </c>
      <c r="AK29" s="114">
        <f t="shared" si="13"/>
        <v>16119.658119658119</v>
      </c>
      <c r="AL29" s="114">
        <f t="shared" si="14"/>
        <v>7632.2086867232583</v>
      </c>
      <c r="AM29" s="113">
        <f t="shared" si="15"/>
        <v>13537</v>
      </c>
      <c r="AN29" s="114" t="str">
        <f t="shared" si="16"/>
        <v>NA</v>
      </c>
      <c r="AO29" s="182">
        <f t="shared" si="17"/>
        <v>568.16654274440384</v>
      </c>
      <c r="AP29" s="166">
        <f t="shared" si="18"/>
        <v>7632.2086867232583</v>
      </c>
      <c r="AQ29" s="165" t="s">
        <v>1465</v>
      </c>
    </row>
    <row r="30" spans="1:43" x14ac:dyDescent="0.35">
      <c r="A30" s="177" t="s">
        <v>1533</v>
      </c>
      <c r="B30" s="191">
        <v>2</v>
      </c>
      <c r="C30" s="190">
        <v>206</v>
      </c>
      <c r="D30" s="113">
        <v>18</v>
      </c>
      <c r="E30" s="189">
        <v>6607</v>
      </c>
      <c r="F30" s="189">
        <v>8000</v>
      </c>
      <c r="G30" s="189">
        <v>8000</v>
      </c>
      <c r="H30" s="187">
        <v>8000</v>
      </c>
      <c r="I30" s="118" t="s">
        <v>1534</v>
      </c>
      <c r="J30" s="113">
        <v>232</v>
      </c>
      <c r="K30" s="113">
        <v>235.75</v>
      </c>
      <c r="L30" s="118">
        <v>17.55</v>
      </c>
      <c r="M30" s="116" t="s">
        <v>1507</v>
      </c>
      <c r="N30" s="187">
        <v>15200</v>
      </c>
      <c r="O30" s="118">
        <v>1250</v>
      </c>
      <c r="P30" s="188">
        <f t="shared" si="21"/>
        <v>16791.31054131054</v>
      </c>
      <c r="Q30" s="187">
        <v>8000</v>
      </c>
      <c r="R30" s="187">
        <v>8000</v>
      </c>
      <c r="S30" s="186">
        <f t="shared" si="1"/>
        <v>13.433048433048432</v>
      </c>
      <c r="T30" s="116">
        <v>1200</v>
      </c>
      <c r="U30" s="185">
        <f t="shared" si="2"/>
        <v>16119.658119658119</v>
      </c>
      <c r="V30" s="175">
        <f t="shared" si="22"/>
        <v>7632.2086867232583</v>
      </c>
      <c r="W30" s="176">
        <v>13537</v>
      </c>
      <c r="X30" s="185" t="s">
        <v>1507</v>
      </c>
      <c r="Y30" s="115">
        <v>569</v>
      </c>
      <c r="Z30" s="169">
        <f t="shared" si="3"/>
        <v>491.84665959703079</v>
      </c>
      <c r="AA30" s="166">
        <f t="shared" si="4"/>
        <v>6607</v>
      </c>
      <c r="AB30" s="181" t="s">
        <v>1509</v>
      </c>
      <c r="AC30" s="113">
        <f t="shared" si="5"/>
        <v>6607</v>
      </c>
      <c r="AD30" s="113">
        <f t="shared" si="6"/>
        <v>8000</v>
      </c>
      <c r="AE30" s="113">
        <f t="shared" si="7"/>
        <v>8000</v>
      </c>
      <c r="AF30" s="118">
        <f t="shared" si="8"/>
        <v>8000</v>
      </c>
      <c r="AG30" s="118">
        <f t="shared" si="9"/>
        <v>15200</v>
      </c>
      <c r="AH30" s="167">
        <f t="shared" si="10"/>
        <v>16791.31054131054</v>
      </c>
      <c r="AI30" s="118">
        <f t="shared" si="11"/>
        <v>8000</v>
      </c>
      <c r="AJ30" s="118">
        <f t="shared" si="12"/>
        <v>8000</v>
      </c>
      <c r="AK30" s="114">
        <f t="shared" si="13"/>
        <v>16119.658119658119</v>
      </c>
      <c r="AL30" s="114">
        <f t="shared" si="14"/>
        <v>7632.2086867232583</v>
      </c>
      <c r="AM30" s="113">
        <f t="shared" si="15"/>
        <v>13537</v>
      </c>
      <c r="AN30" s="114" t="str">
        <f t="shared" si="16"/>
        <v>NA</v>
      </c>
      <c r="AO30" s="182">
        <f t="shared" si="17"/>
        <v>568.16654274440384</v>
      </c>
      <c r="AP30" s="166">
        <f t="shared" si="18"/>
        <v>7632.2086867232583</v>
      </c>
      <c r="AQ30" s="165" t="s">
        <v>1465</v>
      </c>
    </row>
    <row r="31" spans="1:43" x14ac:dyDescent="0.35">
      <c r="A31" s="177" t="s">
        <v>1531</v>
      </c>
      <c r="B31" s="191">
        <v>3</v>
      </c>
      <c r="C31" s="190">
        <v>206</v>
      </c>
      <c r="D31" s="113">
        <v>18</v>
      </c>
      <c r="E31" s="189">
        <v>6607</v>
      </c>
      <c r="F31" s="189">
        <v>8000</v>
      </c>
      <c r="G31" s="189">
        <v>8000</v>
      </c>
      <c r="H31" s="187">
        <v>8000</v>
      </c>
      <c r="I31" s="118" t="s">
        <v>1535</v>
      </c>
      <c r="J31" s="113">
        <v>192.64</v>
      </c>
      <c r="K31" s="113">
        <v>235.75</v>
      </c>
      <c r="L31" s="118">
        <v>17.55</v>
      </c>
      <c r="M31" s="116" t="s">
        <v>1507</v>
      </c>
      <c r="N31" s="187" t="s">
        <v>1507</v>
      </c>
      <c r="O31" s="118">
        <v>1200</v>
      </c>
      <c r="P31" s="188">
        <f t="shared" si="21"/>
        <v>16119.658119658119</v>
      </c>
      <c r="Q31" s="187">
        <v>8000</v>
      </c>
      <c r="R31" s="187">
        <v>8000</v>
      </c>
      <c r="S31" s="186">
        <f t="shared" si="1"/>
        <v>13.433048433048432</v>
      </c>
      <c r="T31" s="116">
        <v>800</v>
      </c>
      <c r="U31" s="185">
        <f t="shared" si="2"/>
        <v>10746.438746438746</v>
      </c>
      <c r="V31" s="175">
        <v>6335</v>
      </c>
      <c r="W31" s="176">
        <v>13537</v>
      </c>
      <c r="X31" s="185" t="s">
        <v>1507</v>
      </c>
      <c r="Y31" s="115">
        <v>472</v>
      </c>
      <c r="Z31" s="169">
        <f t="shared" si="3"/>
        <v>471.59809119830334</v>
      </c>
      <c r="AA31" s="166">
        <f t="shared" si="4"/>
        <v>6335</v>
      </c>
      <c r="AB31" s="181" t="s">
        <v>1465</v>
      </c>
      <c r="AC31" s="113">
        <f t="shared" si="5"/>
        <v>6607</v>
      </c>
      <c r="AD31" s="113">
        <f t="shared" si="6"/>
        <v>8000</v>
      </c>
      <c r="AE31" s="113">
        <f t="shared" si="7"/>
        <v>8000</v>
      </c>
      <c r="AF31" s="118">
        <f t="shared" si="8"/>
        <v>8000</v>
      </c>
      <c r="AG31" s="118" t="str">
        <f t="shared" si="9"/>
        <v>NA</v>
      </c>
      <c r="AH31" s="167">
        <f t="shared" si="10"/>
        <v>16119.658119658119</v>
      </c>
      <c r="AI31" s="118">
        <f t="shared" si="11"/>
        <v>8000</v>
      </c>
      <c r="AJ31" s="118">
        <f t="shared" si="12"/>
        <v>8000</v>
      </c>
      <c r="AK31" s="114">
        <f t="shared" si="13"/>
        <v>10746.438746438746</v>
      </c>
      <c r="AL31" s="114">
        <f t="shared" si="14"/>
        <v>6335</v>
      </c>
      <c r="AM31" s="113">
        <f t="shared" si="15"/>
        <v>13537</v>
      </c>
      <c r="AN31" s="114" t="str">
        <f t="shared" si="16"/>
        <v>NA</v>
      </c>
      <c r="AO31" s="182">
        <f t="shared" si="17"/>
        <v>491.84665959703079</v>
      </c>
      <c r="AP31" s="166">
        <f t="shared" si="18"/>
        <v>6607</v>
      </c>
      <c r="AQ31" s="165" t="s">
        <v>1509</v>
      </c>
    </row>
    <row r="32" spans="1:43" x14ac:dyDescent="0.35">
      <c r="A32" s="177" t="s">
        <v>1533</v>
      </c>
      <c r="B32" s="191">
        <v>3</v>
      </c>
      <c r="C32" s="190">
        <v>206</v>
      </c>
      <c r="D32" s="113">
        <v>18</v>
      </c>
      <c r="E32" s="189">
        <v>6607</v>
      </c>
      <c r="F32" s="189">
        <v>8000</v>
      </c>
      <c r="G32" s="189">
        <v>8000</v>
      </c>
      <c r="H32" s="187">
        <v>8000</v>
      </c>
      <c r="I32" s="118" t="s">
        <v>1535</v>
      </c>
      <c r="J32" s="113">
        <v>192.64</v>
      </c>
      <c r="K32" s="113">
        <v>235.75</v>
      </c>
      <c r="L32" s="118">
        <v>17.55</v>
      </c>
      <c r="M32" s="116" t="s">
        <v>1507</v>
      </c>
      <c r="N32" s="187" t="s">
        <v>1507</v>
      </c>
      <c r="O32" s="118">
        <v>1200</v>
      </c>
      <c r="P32" s="188">
        <f t="shared" si="21"/>
        <v>16119.658119658119</v>
      </c>
      <c r="Q32" s="187">
        <v>8000</v>
      </c>
      <c r="R32" s="187">
        <v>8000</v>
      </c>
      <c r="S32" s="186">
        <f t="shared" si="1"/>
        <v>13.433048433048432</v>
      </c>
      <c r="T32" s="116">
        <v>800</v>
      </c>
      <c r="U32" s="185">
        <f t="shared" si="2"/>
        <v>10746.438746438746</v>
      </c>
      <c r="V32" s="175">
        <v>6335</v>
      </c>
      <c r="W32" s="176">
        <v>13537</v>
      </c>
      <c r="X32" s="185" t="s">
        <v>1507</v>
      </c>
      <c r="Y32" s="115">
        <v>472</v>
      </c>
      <c r="Z32" s="169">
        <f t="shared" si="3"/>
        <v>471.59809119830334</v>
      </c>
      <c r="AA32" s="166">
        <f t="shared" si="4"/>
        <v>6335</v>
      </c>
      <c r="AB32" s="181" t="s">
        <v>1465</v>
      </c>
      <c r="AC32" s="113">
        <f t="shared" si="5"/>
        <v>6607</v>
      </c>
      <c r="AD32" s="113">
        <f t="shared" si="6"/>
        <v>8000</v>
      </c>
      <c r="AE32" s="113">
        <f t="shared" si="7"/>
        <v>8000</v>
      </c>
      <c r="AF32" s="118">
        <f t="shared" si="8"/>
        <v>8000</v>
      </c>
      <c r="AG32" s="118" t="str">
        <f t="shared" si="9"/>
        <v>NA</v>
      </c>
      <c r="AH32" s="167">
        <f t="shared" si="10"/>
        <v>16119.658119658119</v>
      </c>
      <c r="AI32" s="118">
        <f t="shared" si="11"/>
        <v>8000</v>
      </c>
      <c r="AJ32" s="118">
        <f t="shared" si="12"/>
        <v>8000</v>
      </c>
      <c r="AK32" s="114">
        <f t="shared" si="13"/>
        <v>10746.438746438746</v>
      </c>
      <c r="AL32" s="114">
        <f t="shared" si="14"/>
        <v>6335</v>
      </c>
      <c r="AM32" s="113">
        <f t="shared" si="15"/>
        <v>13537</v>
      </c>
      <c r="AN32" s="114" t="str">
        <f t="shared" si="16"/>
        <v>NA</v>
      </c>
      <c r="AO32" s="182">
        <f t="shared" si="17"/>
        <v>491.84665959703079</v>
      </c>
      <c r="AP32" s="166">
        <f t="shared" si="18"/>
        <v>6607</v>
      </c>
      <c r="AQ32" s="165" t="s">
        <v>1509</v>
      </c>
    </row>
    <row r="33" spans="1:44" x14ac:dyDescent="0.35">
      <c r="A33" s="177" t="s">
        <v>1531</v>
      </c>
      <c r="B33" s="191">
        <v>4</v>
      </c>
      <c r="C33" s="117">
        <v>206</v>
      </c>
      <c r="D33" s="118">
        <v>18</v>
      </c>
      <c r="E33" s="189">
        <v>6706</v>
      </c>
      <c r="F33" s="189">
        <v>8000</v>
      </c>
      <c r="G33" s="189">
        <v>7000</v>
      </c>
      <c r="H33" s="187">
        <v>8000</v>
      </c>
      <c r="I33" s="118" t="s">
        <v>1536</v>
      </c>
      <c r="J33" s="118">
        <v>206</v>
      </c>
      <c r="K33" s="113">
        <v>235.75</v>
      </c>
      <c r="L33" s="118">
        <v>17.55</v>
      </c>
      <c r="M33" s="116" t="s">
        <v>1507</v>
      </c>
      <c r="N33" s="187" t="s">
        <v>1507</v>
      </c>
      <c r="O33" s="118">
        <v>550</v>
      </c>
      <c r="P33" s="188">
        <f t="shared" si="21"/>
        <v>7388.1766381766374</v>
      </c>
      <c r="Q33" s="187">
        <v>8000</v>
      </c>
      <c r="R33" s="187">
        <v>8000</v>
      </c>
      <c r="S33" s="186">
        <f t="shared" si="1"/>
        <v>13.433048433048432</v>
      </c>
      <c r="T33" s="116">
        <v>1200</v>
      </c>
      <c r="U33" s="185">
        <f t="shared" si="2"/>
        <v>16119.658119658119</v>
      </c>
      <c r="V33" s="173">
        <f>(J33*1000)/(SQRT(3)*L33)</f>
        <v>6776.8749545904793</v>
      </c>
      <c r="W33" s="176">
        <v>13537</v>
      </c>
      <c r="X33" s="185" t="s">
        <v>1507</v>
      </c>
      <c r="Y33" s="115">
        <v>505</v>
      </c>
      <c r="Z33" s="169">
        <f t="shared" si="3"/>
        <v>499.21654294803824</v>
      </c>
      <c r="AA33" s="166">
        <f t="shared" si="4"/>
        <v>6706</v>
      </c>
      <c r="AB33" s="181" t="s">
        <v>1509</v>
      </c>
      <c r="AC33" s="113">
        <f t="shared" si="5"/>
        <v>6706</v>
      </c>
      <c r="AD33" s="113">
        <f t="shared" si="6"/>
        <v>8000</v>
      </c>
      <c r="AE33" s="113">
        <f t="shared" si="7"/>
        <v>7000</v>
      </c>
      <c r="AF33" s="118">
        <f t="shared" si="8"/>
        <v>8000</v>
      </c>
      <c r="AG33" s="118" t="str">
        <f t="shared" si="9"/>
        <v>NA</v>
      </c>
      <c r="AH33" s="167">
        <f t="shared" si="10"/>
        <v>7388.1766381766374</v>
      </c>
      <c r="AI33" s="118">
        <f t="shared" si="11"/>
        <v>8000</v>
      </c>
      <c r="AJ33" s="118">
        <f t="shared" si="12"/>
        <v>8000</v>
      </c>
      <c r="AK33" s="114">
        <f t="shared" si="13"/>
        <v>16119.658119658119</v>
      </c>
      <c r="AL33" s="114">
        <f t="shared" si="14"/>
        <v>6776.8749545904793</v>
      </c>
      <c r="AM33" s="113">
        <f t="shared" si="15"/>
        <v>13537</v>
      </c>
      <c r="AN33" s="114" t="str">
        <f t="shared" si="16"/>
        <v>NA</v>
      </c>
      <c r="AO33" s="182">
        <f t="shared" si="17"/>
        <v>504.49270605753094</v>
      </c>
      <c r="AP33" s="166">
        <f t="shared" si="18"/>
        <v>6776.8749545904793</v>
      </c>
      <c r="AQ33" s="165" t="s">
        <v>1465</v>
      </c>
    </row>
    <row r="34" spans="1:44" x14ac:dyDescent="0.35">
      <c r="A34" s="177" t="s">
        <v>1533</v>
      </c>
      <c r="B34" s="191">
        <v>4</v>
      </c>
      <c r="C34" s="190">
        <v>206</v>
      </c>
      <c r="D34" s="118">
        <v>18</v>
      </c>
      <c r="E34" s="189">
        <v>6706</v>
      </c>
      <c r="F34" s="189">
        <v>8000</v>
      </c>
      <c r="G34" s="189">
        <v>7000</v>
      </c>
      <c r="H34" s="187">
        <v>8000</v>
      </c>
      <c r="I34" s="118" t="s">
        <v>1536</v>
      </c>
      <c r="J34" s="118">
        <v>206</v>
      </c>
      <c r="K34" s="113">
        <v>235.75</v>
      </c>
      <c r="L34" s="118">
        <v>17.55</v>
      </c>
      <c r="M34" s="116" t="s">
        <v>1507</v>
      </c>
      <c r="N34" s="187" t="s">
        <v>1507</v>
      </c>
      <c r="O34" s="118">
        <v>550</v>
      </c>
      <c r="P34" s="188">
        <f t="shared" si="21"/>
        <v>7388.1766381766374</v>
      </c>
      <c r="Q34" s="187">
        <v>8000</v>
      </c>
      <c r="R34" s="187">
        <v>8000</v>
      </c>
      <c r="S34" s="186">
        <f t="shared" si="1"/>
        <v>13.433048433048432</v>
      </c>
      <c r="T34" s="116">
        <v>1200</v>
      </c>
      <c r="U34" s="185">
        <f t="shared" si="2"/>
        <v>16119.658119658119</v>
      </c>
      <c r="V34" s="173">
        <f>(J34*1000)/(SQRT(3)*L34)</f>
        <v>6776.8749545904793</v>
      </c>
      <c r="W34" s="176">
        <v>13537</v>
      </c>
      <c r="X34" s="185" t="s">
        <v>1507</v>
      </c>
      <c r="Y34" s="115">
        <v>505</v>
      </c>
      <c r="Z34" s="169">
        <f t="shared" si="3"/>
        <v>499.21654294803824</v>
      </c>
      <c r="AA34" s="166">
        <f t="shared" si="4"/>
        <v>6706</v>
      </c>
      <c r="AB34" s="181" t="s">
        <v>1509</v>
      </c>
      <c r="AC34" s="113">
        <f t="shared" si="5"/>
        <v>6706</v>
      </c>
      <c r="AD34" s="113">
        <f t="shared" si="6"/>
        <v>8000</v>
      </c>
      <c r="AE34" s="113">
        <f t="shared" si="7"/>
        <v>7000</v>
      </c>
      <c r="AF34" s="118">
        <f t="shared" si="8"/>
        <v>8000</v>
      </c>
      <c r="AG34" s="118" t="str">
        <f t="shared" si="9"/>
        <v>NA</v>
      </c>
      <c r="AH34" s="167">
        <f t="shared" si="10"/>
        <v>7388.1766381766374</v>
      </c>
      <c r="AI34" s="118">
        <f t="shared" si="11"/>
        <v>8000</v>
      </c>
      <c r="AJ34" s="118">
        <f t="shared" si="12"/>
        <v>8000</v>
      </c>
      <c r="AK34" s="114">
        <f t="shared" si="13"/>
        <v>16119.658119658119</v>
      </c>
      <c r="AL34" s="114">
        <f t="shared" si="14"/>
        <v>6776.8749545904793</v>
      </c>
      <c r="AM34" s="113">
        <f t="shared" si="15"/>
        <v>13537</v>
      </c>
      <c r="AN34" s="114" t="str">
        <f t="shared" si="16"/>
        <v>NA</v>
      </c>
      <c r="AO34" s="182">
        <f t="shared" si="17"/>
        <v>504.49270605753094</v>
      </c>
      <c r="AP34" s="166">
        <f t="shared" si="18"/>
        <v>6776.8749545904793</v>
      </c>
      <c r="AQ34" s="165" t="s">
        <v>1465</v>
      </c>
    </row>
    <row r="35" spans="1:44" x14ac:dyDescent="0.35">
      <c r="A35" s="177" t="s">
        <v>1531</v>
      </c>
      <c r="B35" s="191">
        <v>5</v>
      </c>
      <c r="C35" s="190">
        <v>165</v>
      </c>
      <c r="D35" s="118">
        <v>18</v>
      </c>
      <c r="E35" s="189">
        <v>5292</v>
      </c>
      <c r="F35" s="189">
        <v>8000</v>
      </c>
      <c r="G35" s="189">
        <v>7000</v>
      </c>
      <c r="H35" s="187">
        <v>8000</v>
      </c>
      <c r="J35" s="118">
        <v>230</v>
      </c>
      <c r="K35" s="113">
        <v>241.5</v>
      </c>
      <c r="L35" s="118">
        <v>18</v>
      </c>
      <c r="M35" s="116" t="s">
        <v>1507</v>
      </c>
      <c r="N35" s="187">
        <v>7380</v>
      </c>
      <c r="O35" s="118">
        <v>800</v>
      </c>
      <c r="P35" s="188">
        <f t="shared" si="21"/>
        <v>10733.333333333332</v>
      </c>
      <c r="Q35" s="187">
        <v>8000</v>
      </c>
      <c r="R35" s="187">
        <v>8000</v>
      </c>
      <c r="S35" s="186">
        <f t="shared" si="1"/>
        <v>13.416666666666666</v>
      </c>
      <c r="T35" s="116">
        <v>800</v>
      </c>
      <c r="U35" s="185">
        <f t="shared" si="2"/>
        <v>10733.333333333332</v>
      </c>
      <c r="V35" s="173">
        <f>(J35*1000)/(SQRT(3)*L35)</f>
        <v>7377.2534396452184</v>
      </c>
      <c r="W35" s="176">
        <v>11850</v>
      </c>
      <c r="X35" s="185" t="s">
        <v>1507</v>
      </c>
      <c r="Y35" s="115">
        <v>550</v>
      </c>
      <c r="Z35" s="169">
        <f t="shared" si="3"/>
        <v>394.43478260869568</v>
      </c>
      <c r="AA35" s="166">
        <f t="shared" si="4"/>
        <v>5292</v>
      </c>
      <c r="AB35" s="181" t="s">
        <v>1509</v>
      </c>
      <c r="AC35" s="113">
        <f t="shared" si="5"/>
        <v>5292</v>
      </c>
      <c r="AD35" s="113">
        <f t="shared" si="6"/>
        <v>8000</v>
      </c>
      <c r="AE35" s="113">
        <f t="shared" si="7"/>
        <v>7000</v>
      </c>
      <c r="AF35" s="118">
        <f t="shared" si="8"/>
        <v>8000</v>
      </c>
      <c r="AG35" s="118">
        <f t="shared" si="9"/>
        <v>7380</v>
      </c>
      <c r="AH35" s="167">
        <f t="shared" si="10"/>
        <v>10733.333333333332</v>
      </c>
      <c r="AI35" s="118">
        <f t="shared" si="11"/>
        <v>8000</v>
      </c>
      <c r="AJ35" s="118">
        <f t="shared" si="12"/>
        <v>8000</v>
      </c>
      <c r="AK35" s="114">
        <f t="shared" si="13"/>
        <v>10733.333333333332</v>
      </c>
      <c r="AL35" s="114">
        <f t="shared" si="14"/>
        <v>7377.2534396452184</v>
      </c>
      <c r="AM35" s="113">
        <f t="shared" si="15"/>
        <v>11850</v>
      </c>
      <c r="AN35" s="114" t="str">
        <f t="shared" si="16"/>
        <v>NA</v>
      </c>
      <c r="AO35" s="182">
        <f t="shared" si="17"/>
        <v>521.73913043478262</v>
      </c>
      <c r="AP35" s="166">
        <f t="shared" si="18"/>
        <v>7000</v>
      </c>
      <c r="AQ35" s="165" t="s">
        <v>1477</v>
      </c>
    </row>
    <row r="36" spans="1:44" x14ac:dyDescent="0.35">
      <c r="A36" s="177" t="s">
        <v>1533</v>
      </c>
      <c r="B36" s="191">
        <v>5</v>
      </c>
      <c r="C36" s="190">
        <v>165</v>
      </c>
      <c r="D36" s="118">
        <v>18</v>
      </c>
      <c r="E36" s="189">
        <v>5292</v>
      </c>
      <c r="F36" s="189">
        <v>8000</v>
      </c>
      <c r="G36" s="189">
        <v>7000</v>
      </c>
      <c r="H36" s="187">
        <v>8000</v>
      </c>
      <c r="J36" s="118">
        <v>230</v>
      </c>
      <c r="K36" s="113">
        <v>241.5</v>
      </c>
      <c r="L36" s="118">
        <v>18</v>
      </c>
      <c r="M36" s="116" t="s">
        <v>1507</v>
      </c>
      <c r="N36" s="187">
        <v>7380</v>
      </c>
      <c r="O36" s="118">
        <v>800</v>
      </c>
      <c r="P36" s="188">
        <f t="shared" si="21"/>
        <v>10733.333333333332</v>
      </c>
      <c r="Q36" s="187">
        <v>8000</v>
      </c>
      <c r="R36" s="187">
        <v>8000</v>
      </c>
      <c r="S36" s="186">
        <f t="shared" si="1"/>
        <v>13.416666666666666</v>
      </c>
      <c r="T36" s="116">
        <v>800</v>
      </c>
      <c r="U36" s="185">
        <f t="shared" si="2"/>
        <v>10733.333333333332</v>
      </c>
      <c r="V36" s="173">
        <f>(J36*1000)/(SQRT(3)*L36)</f>
        <v>7377.2534396452184</v>
      </c>
      <c r="W36" s="176">
        <v>11850</v>
      </c>
      <c r="X36" s="185" t="s">
        <v>1507</v>
      </c>
      <c r="Y36" s="115">
        <v>550</v>
      </c>
      <c r="Z36" s="169">
        <f t="shared" si="3"/>
        <v>394.43478260869568</v>
      </c>
      <c r="AA36" s="166">
        <f t="shared" si="4"/>
        <v>5292</v>
      </c>
      <c r="AB36" s="181" t="s">
        <v>1509</v>
      </c>
      <c r="AC36" s="113">
        <f t="shared" si="5"/>
        <v>5292</v>
      </c>
      <c r="AD36" s="113">
        <f t="shared" si="6"/>
        <v>8000</v>
      </c>
      <c r="AE36" s="113">
        <f t="shared" si="7"/>
        <v>7000</v>
      </c>
      <c r="AF36" s="118">
        <f t="shared" si="8"/>
        <v>8000</v>
      </c>
      <c r="AG36" s="118">
        <f t="shared" si="9"/>
        <v>7380</v>
      </c>
      <c r="AH36" s="167">
        <f t="shared" si="10"/>
        <v>10733.333333333332</v>
      </c>
      <c r="AI36" s="118">
        <f t="shared" si="11"/>
        <v>8000</v>
      </c>
      <c r="AJ36" s="118">
        <f t="shared" si="12"/>
        <v>8000</v>
      </c>
      <c r="AK36" s="114">
        <f t="shared" si="13"/>
        <v>10733.333333333332</v>
      </c>
      <c r="AL36" s="114">
        <f t="shared" si="14"/>
        <v>7377.2534396452184</v>
      </c>
      <c r="AM36" s="113">
        <f t="shared" si="15"/>
        <v>11850</v>
      </c>
      <c r="AN36" s="114" t="str">
        <f t="shared" si="16"/>
        <v>NA</v>
      </c>
      <c r="AO36" s="182">
        <f t="shared" si="17"/>
        <v>521.73913043478262</v>
      </c>
      <c r="AP36" s="166">
        <f t="shared" si="18"/>
        <v>7000</v>
      </c>
      <c r="AQ36" s="165" t="s">
        <v>1477</v>
      </c>
    </row>
    <row r="37" spans="1:44" x14ac:dyDescent="0.35">
      <c r="A37" s="177" t="s">
        <v>1531</v>
      </c>
      <c r="B37" s="191">
        <v>6</v>
      </c>
      <c r="C37" s="190">
        <v>165</v>
      </c>
      <c r="D37" s="118">
        <v>18</v>
      </c>
      <c r="E37" s="189">
        <v>5292</v>
      </c>
      <c r="F37" s="189">
        <v>8000</v>
      </c>
      <c r="G37" s="189">
        <v>7000</v>
      </c>
      <c r="H37" s="187">
        <v>8000</v>
      </c>
      <c r="J37" s="118">
        <v>200</v>
      </c>
      <c r="K37" s="113">
        <v>235.75</v>
      </c>
      <c r="L37" s="118">
        <v>17.55</v>
      </c>
      <c r="M37" s="116" t="s">
        <v>1507</v>
      </c>
      <c r="N37" s="187">
        <v>8000</v>
      </c>
      <c r="O37" s="118">
        <v>600</v>
      </c>
      <c r="P37" s="188">
        <f t="shared" si="21"/>
        <v>8059.8290598290596</v>
      </c>
      <c r="Q37" s="187">
        <v>8000</v>
      </c>
      <c r="R37" s="187">
        <v>8000</v>
      </c>
      <c r="S37" s="186">
        <f t="shared" si="1"/>
        <v>13.433048433048432</v>
      </c>
      <c r="T37" s="116">
        <v>800</v>
      </c>
      <c r="U37" s="185">
        <f t="shared" si="2"/>
        <v>10746.438746438746</v>
      </c>
      <c r="V37" s="175">
        <v>6580</v>
      </c>
      <c r="W37" s="176">
        <v>11859</v>
      </c>
      <c r="X37" s="185" t="s">
        <v>1507</v>
      </c>
      <c r="Y37" s="115">
        <v>490</v>
      </c>
      <c r="Z37" s="169">
        <f t="shared" si="3"/>
        <v>393.95376458112412</v>
      </c>
      <c r="AA37" s="166">
        <f t="shared" si="4"/>
        <v>5292</v>
      </c>
      <c r="AB37" s="181" t="s">
        <v>1509</v>
      </c>
      <c r="AC37" s="113">
        <f t="shared" si="5"/>
        <v>5292</v>
      </c>
      <c r="AD37" s="113">
        <f t="shared" si="6"/>
        <v>8000</v>
      </c>
      <c r="AE37" s="113">
        <f t="shared" si="7"/>
        <v>7000</v>
      </c>
      <c r="AF37" s="118">
        <f t="shared" si="8"/>
        <v>8000</v>
      </c>
      <c r="AG37" s="118">
        <f t="shared" si="9"/>
        <v>8000</v>
      </c>
      <c r="AH37" s="167">
        <f t="shared" si="10"/>
        <v>8059.8290598290596</v>
      </c>
      <c r="AI37" s="118">
        <f t="shared" si="11"/>
        <v>8000</v>
      </c>
      <c r="AJ37" s="118">
        <f t="shared" si="12"/>
        <v>8000</v>
      </c>
      <c r="AK37" s="114">
        <f t="shared" si="13"/>
        <v>10746.438746438746</v>
      </c>
      <c r="AL37" s="114">
        <f t="shared" si="14"/>
        <v>6580</v>
      </c>
      <c r="AM37" s="113">
        <f t="shared" si="15"/>
        <v>11859</v>
      </c>
      <c r="AN37" s="114" t="str">
        <f t="shared" si="16"/>
        <v>NA</v>
      </c>
      <c r="AO37" s="182">
        <f t="shared" si="17"/>
        <v>489.8366914103924</v>
      </c>
      <c r="AP37" s="166">
        <f t="shared" si="18"/>
        <v>6580</v>
      </c>
      <c r="AQ37" s="165" t="s">
        <v>1465</v>
      </c>
    </row>
    <row r="38" spans="1:44" x14ac:dyDescent="0.35">
      <c r="A38" s="208" t="s">
        <v>1533</v>
      </c>
      <c r="B38" s="207">
        <v>6</v>
      </c>
      <c r="C38" s="206">
        <v>165</v>
      </c>
      <c r="D38" s="180">
        <v>18</v>
      </c>
      <c r="E38" s="205">
        <v>5292</v>
      </c>
      <c r="F38" s="205">
        <v>8000</v>
      </c>
      <c r="G38" s="205">
        <v>7000</v>
      </c>
      <c r="H38" s="203">
        <v>8000</v>
      </c>
      <c r="I38" s="180"/>
      <c r="J38" s="180">
        <v>200</v>
      </c>
      <c r="K38" s="178">
        <v>235.75</v>
      </c>
      <c r="L38" s="180">
        <v>17.55</v>
      </c>
      <c r="M38" s="201" t="s">
        <v>1507</v>
      </c>
      <c r="N38" s="203">
        <v>8000</v>
      </c>
      <c r="O38" s="180">
        <v>600</v>
      </c>
      <c r="P38" s="204">
        <f t="shared" si="21"/>
        <v>8059.8290598290596</v>
      </c>
      <c r="Q38" s="203">
        <v>8000</v>
      </c>
      <c r="R38" s="203">
        <v>8000</v>
      </c>
      <c r="S38" s="202">
        <f t="shared" ref="S38:S67" si="23">K38/L38</f>
        <v>13.433048433048432</v>
      </c>
      <c r="T38" s="201">
        <v>800</v>
      </c>
      <c r="U38" s="199">
        <f t="shared" ref="U38:U67" si="24">T38*S38</f>
        <v>10746.438746438746</v>
      </c>
      <c r="V38" s="175">
        <v>6580</v>
      </c>
      <c r="W38" s="200">
        <v>11859</v>
      </c>
      <c r="X38" s="199" t="s">
        <v>1507</v>
      </c>
      <c r="Y38" s="198">
        <v>490</v>
      </c>
      <c r="Z38" s="197">
        <f t="shared" ref="Z38:Z67" si="25">AA38/S38</f>
        <v>393.95376458112412</v>
      </c>
      <c r="AA38" s="194">
        <f t="shared" ref="AA38:AA67" si="26">MIN(E38:H38,N38,P38:R38,U38:X38)</f>
        <v>5292</v>
      </c>
      <c r="AB38" s="229" t="s">
        <v>1509</v>
      </c>
      <c r="AC38" s="113">
        <f t="shared" ref="AC38:AC67" si="27">E38</f>
        <v>5292</v>
      </c>
      <c r="AD38" s="113">
        <f t="shared" ref="AD38:AD67" si="28">F38</f>
        <v>8000</v>
      </c>
      <c r="AE38" s="113">
        <f t="shared" ref="AE38:AE67" si="29">G38</f>
        <v>7000</v>
      </c>
      <c r="AF38" s="118">
        <f t="shared" ref="AF38:AF67" si="30">H38</f>
        <v>8000</v>
      </c>
      <c r="AG38" s="118">
        <f t="shared" ref="AG38:AG67" si="31">N38</f>
        <v>8000</v>
      </c>
      <c r="AH38" s="167">
        <f t="shared" ref="AH38:AH67" si="32">P38</f>
        <v>8059.8290598290596</v>
      </c>
      <c r="AI38" s="118">
        <f t="shared" ref="AI38:AI67" si="33">Q38</f>
        <v>8000</v>
      </c>
      <c r="AJ38" s="118">
        <f t="shared" ref="AJ38:AJ67" si="34">R38</f>
        <v>8000</v>
      </c>
      <c r="AK38" s="114">
        <f t="shared" ref="AK38:AK67" si="35">U38</f>
        <v>10746.438746438746</v>
      </c>
      <c r="AL38" s="114">
        <f t="shared" ref="AL38:AL67" si="36">V38</f>
        <v>6580</v>
      </c>
      <c r="AM38" s="113">
        <f t="shared" ref="AM38:AM67" si="37">W38</f>
        <v>11859</v>
      </c>
      <c r="AN38" s="114" t="str">
        <f t="shared" ref="AN38:AN67" si="38">X38</f>
        <v>NA</v>
      </c>
      <c r="AO38" s="195">
        <f t="shared" ref="AO38:AO67" si="39">AP38/S38</f>
        <v>489.8366914103924</v>
      </c>
      <c r="AP38" s="194">
        <f t="shared" ref="AP38:AP67" si="40">SMALL(AC38:AN38,2)</f>
        <v>6580</v>
      </c>
      <c r="AQ38" s="193" t="s">
        <v>1465</v>
      </c>
    </row>
    <row r="39" spans="1:44" x14ac:dyDescent="0.35">
      <c r="A39" s="177" t="s">
        <v>1537</v>
      </c>
      <c r="B39" s="191">
        <v>1</v>
      </c>
      <c r="C39" s="117">
        <f>42.75/0.9*0.94</f>
        <v>44.65</v>
      </c>
      <c r="D39" s="113">
        <v>13.8</v>
      </c>
      <c r="E39" s="174">
        <f t="shared" ref="E39:E44" si="41">(C39*1000)/(SQRT(3)*D39)</f>
        <v>1868.0209796606368</v>
      </c>
      <c r="F39" s="189">
        <v>4000</v>
      </c>
      <c r="G39" s="174">
        <v>3850</v>
      </c>
      <c r="H39" s="174">
        <v>3850</v>
      </c>
      <c r="I39" s="118" t="s">
        <v>1538</v>
      </c>
      <c r="J39" s="113">
        <v>123.2</v>
      </c>
      <c r="K39" s="118">
        <v>118.25</v>
      </c>
      <c r="L39" s="113">
        <v>13.2</v>
      </c>
      <c r="M39" s="116" t="s">
        <v>1507</v>
      </c>
      <c r="N39" s="187" t="s">
        <v>1507</v>
      </c>
      <c r="O39" s="118" t="s">
        <v>1507</v>
      </c>
      <c r="P39" s="188" t="s">
        <v>1507</v>
      </c>
      <c r="Q39" s="187">
        <v>3000</v>
      </c>
      <c r="R39" s="187">
        <v>4000</v>
      </c>
      <c r="S39" s="186">
        <f t="shared" si="23"/>
        <v>8.9583333333333339</v>
      </c>
      <c r="T39" s="116">
        <v>867</v>
      </c>
      <c r="U39" s="185">
        <f t="shared" si="24"/>
        <v>7766.8750000000009</v>
      </c>
      <c r="V39" s="192">
        <f t="shared" ref="V39:V45" si="42">(J39*1000)/(SQRT(3)*L39)</f>
        <v>5388.6025124365078</v>
      </c>
      <c r="W39" s="176">
        <v>10465</v>
      </c>
      <c r="X39" s="185" t="s">
        <v>1507</v>
      </c>
      <c r="Y39" s="115" t="s">
        <v>1507</v>
      </c>
      <c r="Z39" s="169">
        <f t="shared" si="25"/>
        <v>208.5232721481641</v>
      </c>
      <c r="AA39" s="166">
        <f t="shared" si="26"/>
        <v>1868.0209796606368</v>
      </c>
      <c r="AB39" s="181" t="s">
        <v>1509</v>
      </c>
      <c r="AC39" s="113">
        <f t="shared" si="27"/>
        <v>1868.0209796606368</v>
      </c>
      <c r="AD39" s="113">
        <f t="shared" si="28"/>
        <v>4000</v>
      </c>
      <c r="AE39" s="113">
        <f t="shared" si="29"/>
        <v>3850</v>
      </c>
      <c r="AF39" s="118">
        <f t="shared" si="30"/>
        <v>3850</v>
      </c>
      <c r="AG39" s="118" t="str">
        <f t="shared" si="31"/>
        <v>NA</v>
      </c>
      <c r="AH39" s="167" t="str">
        <f t="shared" si="32"/>
        <v>NA</v>
      </c>
      <c r="AI39" s="118">
        <f t="shared" si="33"/>
        <v>3000</v>
      </c>
      <c r="AJ39" s="118">
        <f t="shared" si="34"/>
        <v>4000</v>
      </c>
      <c r="AK39" s="114">
        <f t="shared" si="35"/>
        <v>7766.8750000000009</v>
      </c>
      <c r="AL39" s="114">
        <f t="shared" si="36"/>
        <v>5388.6025124365078</v>
      </c>
      <c r="AM39" s="113">
        <f t="shared" si="37"/>
        <v>10465</v>
      </c>
      <c r="AN39" s="114" t="str">
        <f t="shared" si="38"/>
        <v>NA</v>
      </c>
      <c r="AO39" s="182">
        <f t="shared" si="39"/>
        <v>334.88372093023253</v>
      </c>
      <c r="AP39" s="166">
        <f t="shared" si="40"/>
        <v>3000</v>
      </c>
      <c r="AQ39" s="165" t="s">
        <v>2567</v>
      </c>
    </row>
    <row r="40" spans="1:44" x14ac:dyDescent="0.35">
      <c r="A40" s="177" t="s">
        <v>1539</v>
      </c>
      <c r="B40" s="191">
        <v>1</v>
      </c>
      <c r="C40" s="117">
        <f>66.5/0.9*0.94</f>
        <v>69.455555555555549</v>
      </c>
      <c r="D40" s="113">
        <v>13.8</v>
      </c>
      <c r="E40" s="174">
        <f t="shared" si="41"/>
        <v>2905.8104128054347</v>
      </c>
      <c r="F40" s="189">
        <v>4000</v>
      </c>
      <c r="G40" s="174">
        <v>4632</v>
      </c>
      <c r="H40" s="174">
        <v>4632</v>
      </c>
      <c r="I40" s="118" t="s">
        <v>1538</v>
      </c>
      <c r="J40" s="113">
        <v>123.2</v>
      </c>
      <c r="K40" s="118">
        <v>118.25</v>
      </c>
      <c r="L40" s="113">
        <v>13.2</v>
      </c>
      <c r="M40" s="116" t="s">
        <v>1507</v>
      </c>
      <c r="N40" s="187" t="s">
        <v>1507</v>
      </c>
      <c r="O40" s="118" t="s">
        <v>1507</v>
      </c>
      <c r="P40" s="188" t="s">
        <v>1507</v>
      </c>
      <c r="Q40" s="187">
        <v>3000</v>
      </c>
      <c r="R40" s="187">
        <v>4000</v>
      </c>
      <c r="S40" s="186">
        <f t="shared" si="23"/>
        <v>8.9583333333333339</v>
      </c>
      <c r="T40" s="116">
        <v>960</v>
      </c>
      <c r="U40" s="185">
        <f t="shared" si="24"/>
        <v>8600</v>
      </c>
      <c r="V40" s="173">
        <f t="shared" si="42"/>
        <v>5388.6025124365078</v>
      </c>
      <c r="W40" s="176">
        <v>10465</v>
      </c>
      <c r="X40" s="185" t="s">
        <v>1507</v>
      </c>
      <c r="Y40" s="115" t="s">
        <v>1507</v>
      </c>
      <c r="Z40" s="169">
        <f t="shared" si="25"/>
        <v>324.36953445269967</v>
      </c>
      <c r="AA40" s="166">
        <f t="shared" si="26"/>
        <v>2905.8104128054347</v>
      </c>
      <c r="AB40" s="181" t="s">
        <v>1509</v>
      </c>
      <c r="AC40" s="113">
        <f t="shared" si="27"/>
        <v>2905.8104128054347</v>
      </c>
      <c r="AD40" s="113">
        <f t="shared" si="28"/>
        <v>4000</v>
      </c>
      <c r="AE40" s="113">
        <f t="shared" si="29"/>
        <v>4632</v>
      </c>
      <c r="AF40" s="118">
        <f t="shared" si="30"/>
        <v>4632</v>
      </c>
      <c r="AG40" s="118" t="str">
        <f t="shared" si="31"/>
        <v>NA</v>
      </c>
      <c r="AH40" s="167" t="str">
        <f t="shared" si="32"/>
        <v>NA</v>
      </c>
      <c r="AI40" s="118">
        <f t="shared" si="33"/>
        <v>3000</v>
      </c>
      <c r="AJ40" s="118">
        <f t="shared" si="34"/>
        <v>4000</v>
      </c>
      <c r="AK40" s="114">
        <f t="shared" si="35"/>
        <v>8600</v>
      </c>
      <c r="AL40" s="114">
        <f t="shared" si="36"/>
        <v>5388.6025124365078</v>
      </c>
      <c r="AM40" s="113">
        <f t="shared" si="37"/>
        <v>10465</v>
      </c>
      <c r="AN40" s="114" t="str">
        <f t="shared" si="38"/>
        <v>NA</v>
      </c>
      <c r="AO40" s="182">
        <f t="shared" si="39"/>
        <v>334.88372093023253</v>
      </c>
      <c r="AP40" s="166">
        <f t="shared" si="40"/>
        <v>3000</v>
      </c>
      <c r="AQ40" s="165" t="s">
        <v>2567</v>
      </c>
    </row>
    <row r="41" spans="1:44" x14ac:dyDescent="0.35">
      <c r="A41" s="177" t="s">
        <v>1537</v>
      </c>
      <c r="B41" s="191">
        <v>2</v>
      </c>
      <c r="C41" s="117">
        <f>42.75/0.9*0.94</f>
        <v>44.65</v>
      </c>
      <c r="D41" s="113">
        <v>13.8</v>
      </c>
      <c r="E41" s="174">
        <f t="shared" si="41"/>
        <v>1868.0209796606368</v>
      </c>
      <c r="F41" s="189">
        <v>4000</v>
      </c>
      <c r="G41" s="174">
        <v>3850</v>
      </c>
      <c r="H41" s="174">
        <v>3850</v>
      </c>
      <c r="I41" s="118" t="s">
        <v>1538</v>
      </c>
      <c r="J41" s="113">
        <v>123.2</v>
      </c>
      <c r="K41" s="118">
        <v>118.25</v>
      </c>
      <c r="L41" s="113">
        <v>13.2</v>
      </c>
      <c r="M41" s="116" t="s">
        <v>1507</v>
      </c>
      <c r="N41" s="187" t="s">
        <v>1507</v>
      </c>
      <c r="O41" s="118" t="s">
        <v>1507</v>
      </c>
      <c r="P41" s="188" t="s">
        <v>1507</v>
      </c>
      <c r="Q41" s="187">
        <v>3000</v>
      </c>
      <c r="R41" s="187">
        <v>4000</v>
      </c>
      <c r="S41" s="186">
        <f t="shared" si="23"/>
        <v>8.9583333333333339</v>
      </c>
      <c r="T41" s="116">
        <v>867</v>
      </c>
      <c r="U41" s="185">
        <f t="shared" si="24"/>
        <v>7766.8750000000009</v>
      </c>
      <c r="V41" s="173">
        <f t="shared" si="42"/>
        <v>5388.6025124365078</v>
      </c>
      <c r="W41" s="176">
        <v>10465</v>
      </c>
      <c r="X41" s="185" t="s">
        <v>1507</v>
      </c>
      <c r="Y41" s="115" t="s">
        <v>1507</v>
      </c>
      <c r="Z41" s="169">
        <f t="shared" si="25"/>
        <v>208.5232721481641</v>
      </c>
      <c r="AA41" s="166">
        <f t="shared" si="26"/>
        <v>1868.0209796606368</v>
      </c>
      <c r="AB41" s="181" t="s">
        <v>1509</v>
      </c>
      <c r="AC41" s="113">
        <f t="shared" si="27"/>
        <v>1868.0209796606368</v>
      </c>
      <c r="AD41" s="113">
        <f t="shared" si="28"/>
        <v>4000</v>
      </c>
      <c r="AE41" s="113">
        <f t="shared" si="29"/>
        <v>3850</v>
      </c>
      <c r="AF41" s="118">
        <f t="shared" si="30"/>
        <v>3850</v>
      </c>
      <c r="AG41" s="118" t="str">
        <f t="shared" si="31"/>
        <v>NA</v>
      </c>
      <c r="AH41" s="167" t="str">
        <f t="shared" si="32"/>
        <v>NA</v>
      </c>
      <c r="AI41" s="118">
        <f t="shared" si="33"/>
        <v>3000</v>
      </c>
      <c r="AJ41" s="118">
        <f t="shared" si="34"/>
        <v>4000</v>
      </c>
      <c r="AK41" s="114">
        <f t="shared" si="35"/>
        <v>7766.8750000000009</v>
      </c>
      <c r="AL41" s="114">
        <f t="shared" si="36"/>
        <v>5388.6025124365078</v>
      </c>
      <c r="AM41" s="113">
        <f t="shared" si="37"/>
        <v>10465</v>
      </c>
      <c r="AN41" s="114" t="str">
        <f t="shared" si="38"/>
        <v>NA</v>
      </c>
      <c r="AO41" s="182">
        <f t="shared" si="39"/>
        <v>334.88372093023253</v>
      </c>
      <c r="AP41" s="166">
        <f t="shared" si="40"/>
        <v>3000</v>
      </c>
      <c r="AQ41" s="165" t="s">
        <v>2567</v>
      </c>
    </row>
    <row r="42" spans="1:44" x14ac:dyDescent="0.35">
      <c r="A42" s="177" t="s">
        <v>1539</v>
      </c>
      <c r="B42" s="191">
        <v>2</v>
      </c>
      <c r="C42" s="117">
        <f>66.5/0.9*0.94</f>
        <v>69.455555555555549</v>
      </c>
      <c r="D42" s="113">
        <v>13.8</v>
      </c>
      <c r="E42" s="174">
        <f t="shared" si="41"/>
        <v>2905.8104128054347</v>
      </c>
      <c r="F42" s="189">
        <v>4000</v>
      </c>
      <c r="G42" s="174">
        <v>4632</v>
      </c>
      <c r="H42" s="174">
        <v>4632</v>
      </c>
      <c r="I42" s="118" t="s">
        <v>1538</v>
      </c>
      <c r="J42" s="113">
        <v>123.2</v>
      </c>
      <c r="K42" s="118">
        <v>118.25</v>
      </c>
      <c r="L42" s="113">
        <v>13.2</v>
      </c>
      <c r="M42" s="116" t="s">
        <v>1507</v>
      </c>
      <c r="N42" s="187" t="s">
        <v>1507</v>
      </c>
      <c r="O42" s="118" t="s">
        <v>1507</v>
      </c>
      <c r="P42" s="188" t="s">
        <v>1507</v>
      </c>
      <c r="Q42" s="187">
        <v>3000</v>
      </c>
      <c r="R42" s="187">
        <v>4000</v>
      </c>
      <c r="S42" s="186">
        <f t="shared" si="23"/>
        <v>8.9583333333333339</v>
      </c>
      <c r="T42" s="116">
        <v>960</v>
      </c>
      <c r="U42" s="185">
        <f t="shared" si="24"/>
        <v>8600</v>
      </c>
      <c r="V42" s="173">
        <f t="shared" si="42"/>
        <v>5388.6025124365078</v>
      </c>
      <c r="W42" s="176">
        <v>10465</v>
      </c>
      <c r="X42" s="185" t="s">
        <v>1507</v>
      </c>
      <c r="Y42" s="115" t="s">
        <v>1507</v>
      </c>
      <c r="Z42" s="169">
        <f t="shared" si="25"/>
        <v>324.36953445269967</v>
      </c>
      <c r="AA42" s="166">
        <f t="shared" si="26"/>
        <v>2905.8104128054347</v>
      </c>
      <c r="AB42" s="181" t="s">
        <v>1509</v>
      </c>
      <c r="AC42" s="113">
        <f t="shared" si="27"/>
        <v>2905.8104128054347</v>
      </c>
      <c r="AD42" s="113">
        <f t="shared" si="28"/>
        <v>4000</v>
      </c>
      <c r="AE42" s="113">
        <f t="shared" si="29"/>
        <v>4632</v>
      </c>
      <c r="AF42" s="118">
        <f t="shared" si="30"/>
        <v>4632</v>
      </c>
      <c r="AG42" s="118" t="str">
        <f t="shared" si="31"/>
        <v>NA</v>
      </c>
      <c r="AH42" s="167" t="str">
        <f t="shared" si="32"/>
        <v>NA</v>
      </c>
      <c r="AI42" s="118">
        <f t="shared" si="33"/>
        <v>3000</v>
      </c>
      <c r="AJ42" s="118">
        <f t="shared" si="34"/>
        <v>4000</v>
      </c>
      <c r="AK42" s="114">
        <f t="shared" si="35"/>
        <v>8600</v>
      </c>
      <c r="AL42" s="114">
        <f t="shared" si="36"/>
        <v>5388.6025124365078</v>
      </c>
      <c r="AM42" s="113">
        <f t="shared" si="37"/>
        <v>10465</v>
      </c>
      <c r="AN42" s="114" t="str">
        <f t="shared" si="38"/>
        <v>NA</v>
      </c>
      <c r="AO42" s="236">
        <f t="shared" si="39"/>
        <v>334.88372093023253</v>
      </c>
      <c r="AP42" s="166">
        <f t="shared" si="40"/>
        <v>3000</v>
      </c>
      <c r="AQ42" s="165" t="s">
        <v>2567</v>
      </c>
      <c r="AR42" s="146"/>
    </row>
    <row r="43" spans="1:44" x14ac:dyDescent="0.35">
      <c r="A43" s="119" t="s">
        <v>1540</v>
      </c>
      <c r="B43" s="116" t="s">
        <v>1514</v>
      </c>
      <c r="C43" s="117">
        <f>C39+C41</f>
        <v>89.3</v>
      </c>
      <c r="D43" s="113">
        <v>13.8</v>
      </c>
      <c r="E43" s="174">
        <f t="shared" si="41"/>
        <v>3736.0419593212737</v>
      </c>
      <c r="F43" s="187">
        <f>SUM(F39,F41)</f>
        <v>8000</v>
      </c>
      <c r="G43" s="189">
        <v>4626</v>
      </c>
      <c r="H43" s="176">
        <f>SUM(H39,H41)</f>
        <v>7700</v>
      </c>
      <c r="I43" s="118" t="s">
        <v>1538</v>
      </c>
      <c r="J43" s="113">
        <v>123.2</v>
      </c>
      <c r="K43" s="118">
        <v>118.25</v>
      </c>
      <c r="L43" s="113">
        <v>13.2</v>
      </c>
      <c r="M43" s="116" t="s">
        <v>1507</v>
      </c>
      <c r="N43" s="187" t="s">
        <v>1507</v>
      </c>
      <c r="O43" s="118" t="s">
        <v>1507</v>
      </c>
      <c r="P43" s="188" t="s">
        <v>1507</v>
      </c>
      <c r="Q43" s="187">
        <f>SUM(Q39,Q41)</f>
        <v>6000</v>
      </c>
      <c r="R43" s="187">
        <f>SUM(R39,R41)</f>
        <v>8000</v>
      </c>
      <c r="S43" s="186">
        <f t="shared" si="23"/>
        <v>8.9583333333333339</v>
      </c>
      <c r="T43" s="116">
        <v>867</v>
      </c>
      <c r="U43" s="185">
        <f t="shared" si="24"/>
        <v>7766.8750000000009</v>
      </c>
      <c r="V43" s="173">
        <f t="shared" si="42"/>
        <v>5388.6025124365078</v>
      </c>
      <c r="W43" s="176">
        <v>10465</v>
      </c>
      <c r="X43" s="185" t="s">
        <v>1507</v>
      </c>
      <c r="Y43" s="115">
        <v>601.51841999999999</v>
      </c>
      <c r="Z43" s="169">
        <f t="shared" si="25"/>
        <v>417.04654429632819</v>
      </c>
      <c r="AA43" s="166">
        <f t="shared" si="26"/>
        <v>3736.0419593212737</v>
      </c>
      <c r="AB43" s="181" t="s">
        <v>1509</v>
      </c>
      <c r="AC43" s="113">
        <f t="shared" si="27"/>
        <v>3736.0419593212737</v>
      </c>
      <c r="AD43" s="113">
        <f t="shared" si="28"/>
        <v>8000</v>
      </c>
      <c r="AE43" s="113">
        <f t="shared" si="29"/>
        <v>4626</v>
      </c>
      <c r="AF43" s="118">
        <f t="shared" si="30"/>
        <v>7700</v>
      </c>
      <c r="AG43" s="118" t="str">
        <f t="shared" si="31"/>
        <v>NA</v>
      </c>
      <c r="AH43" s="167" t="str">
        <f t="shared" si="32"/>
        <v>NA</v>
      </c>
      <c r="AI43" s="118">
        <f t="shared" si="33"/>
        <v>6000</v>
      </c>
      <c r="AJ43" s="118">
        <f t="shared" si="34"/>
        <v>8000</v>
      </c>
      <c r="AK43" s="114">
        <f t="shared" si="35"/>
        <v>7766.8750000000009</v>
      </c>
      <c r="AL43" s="114">
        <f t="shared" si="36"/>
        <v>5388.6025124365078</v>
      </c>
      <c r="AM43" s="113">
        <f t="shared" si="37"/>
        <v>10465</v>
      </c>
      <c r="AN43" s="114" t="str">
        <f t="shared" si="38"/>
        <v>NA</v>
      </c>
      <c r="AO43" s="182">
        <f t="shared" si="39"/>
        <v>516.39069767441856</v>
      </c>
      <c r="AP43" s="166">
        <f t="shared" si="40"/>
        <v>4626</v>
      </c>
      <c r="AQ43" s="165" t="s">
        <v>1541</v>
      </c>
    </row>
    <row r="44" spans="1:44" x14ac:dyDescent="0.35">
      <c r="A44" s="208" t="s">
        <v>1542</v>
      </c>
      <c r="B44" s="207" t="s">
        <v>1514</v>
      </c>
      <c r="C44" s="206">
        <f>C40+C42</f>
        <v>138.9111111111111</v>
      </c>
      <c r="D44" s="178">
        <v>13.8</v>
      </c>
      <c r="E44" s="235">
        <f t="shared" si="41"/>
        <v>5811.6208256108694</v>
      </c>
      <c r="F44" s="203">
        <f>SUM(F40,F42)</f>
        <v>8000</v>
      </c>
      <c r="G44" s="205">
        <v>5577</v>
      </c>
      <c r="H44" s="200">
        <f>SUM(H40,H42)</f>
        <v>9264</v>
      </c>
      <c r="I44" s="180" t="s">
        <v>1538</v>
      </c>
      <c r="J44" s="178">
        <v>123.2</v>
      </c>
      <c r="K44" s="180">
        <v>118.25</v>
      </c>
      <c r="L44" s="178">
        <v>13.2</v>
      </c>
      <c r="M44" s="201" t="s">
        <v>1507</v>
      </c>
      <c r="N44" s="203" t="s">
        <v>1507</v>
      </c>
      <c r="O44" s="180" t="s">
        <v>1507</v>
      </c>
      <c r="P44" s="204" t="s">
        <v>1507</v>
      </c>
      <c r="Q44" s="203">
        <f>SUM(Q40,Q42)</f>
        <v>6000</v>
      </c>
      <c r="R44" s="203">
        <f>SUM(R40,R42)</f>
        <v>8000</v>
      </c>
      <c r="S44" s="202">
        <f t="shared" si="23"/>
        <v>8.9583333333333339</v>
      </c>
      <c r="T44" s="201">
        <v>960</v>
      </c>
      <c r="U44" s="199">
        <f t="shared" si="24"/>
        <v>8600</v>
      </c>
      <c r="V44" s="173">
        <f t="shared" si="42"/>
        <v>5388.6025124365078</v>
      </c>
      <c r="W44" s="200">
        <v>10465</v>
      </c>
      <c r="X44" s="199" t="s">
        <v>1507</v>
      </c>
      <c r="Y44" s="198">
        <v>601.51841999999999</v>
      </c>
      <c r="Z44" s="197">
        <f t="shared" si="25"/>
        <v>601.51841999291241</v>
      </c>
      <c r="AA44" s="194">
        <f t="shared" si="26"/>
        <v>5388.6025124365078</v>
      </c>
      <c r="AB44" s="229" t="s">
        <v>1509</v>
      </c>
      <c r="AC44" s="113">
        <f t="shared" si="27"/>
        <v>5811.6208256108694</v>
      </c>
      <c r="AD44" s="113">
        <f t="shared" si="28"/>
        <v>8000</v>
      </c>
      <c r="AE44" s="113">
        <f t="shared" si="29"/>
        <v>5577</v>
      </c>
      <c r="AF44" s="118">
        <f t="shared" si="30"/>
        <v>9264</v>
      </c>
      <c r="AG44" s="118" t="str">
        <f t="shared" si="31"/>
        <v>NA</v>
      </c>
      <c r="AH44" s="167" t="str">
        <f t="shared" si="32"/>
        <v>NA</v>
      </c>
      <c r="AI44" s="118">
        <f t="shared" si="33"/>
        <v>6000</v>
      </c>
      <c r="AJ44" s="118">
        <f t="shared" si="34"/>
        <v>8000</v>
      </c>
      <c r="AK44" s="114">
        <f t="shared" si="35"/>
        <v>8600</v>
      </c>
      <c r="AL44" s="114">
        <f t="shared" si="36"/>
        <v>5388.6025124365078</v>
      </c>
      <c r="AM44" s="113">
        <f t="shared" si="37"/>
        <v>10465</v>
      </c>
      <c r="AN44" s="114" t="str">
        <f t="shared" si="38"/>
        <v>NA</v>
      </c>
      <c r="AO44" s="195">
        <f t="shared" si="39"/>
        <v>622.54883720930229</v>
      </c>
      <c r="AP44" s="194">
        <f t="shared" si="40"/>
        <v>5577</v>
      </c>
      <c r="AQ44" s="193" t="s">
        <v>1465</v>
      </c>
    </row>
    <row r="45" spans="1:44" x14ac:dyDescent="0.35">
      <c r="A45" s="177" t="s">
        <v>1543</v>
      </c>
      <c r="B45" s="191">
        <v>1</v>
      </c>
      <c r="C45" s="190">
        <v>202.65600000000001</v>
      </c>
      <c r="D45" s="113">
        <v>18</v>
      </c>
      <c r="E45" s="189">
        <v>6500</v>
      </c>
      <c r="F45" s="189">
        <v>7000</v>
      </c>
      <c r="G45" s="189">
        <v>6500</v>
      </c>
      <c r="H45" s="187" t="s">
        <v>1507</v>
      </c>
      <c r="I45" s="118" t="s">
        <v>1544</v>
      </c>
      <c r="J45" s="113">
        <v>235</v>
      </c>
      <c r="K45" s="118">
        <v>224.25</v>
      </c>
      <c r="L45" s="113">
        <v>17.100000000000001</v>
      </c>
      <c r="M45" s="116" t="s">
        <v>1507</v>
      </c>
      <c r="N45" s="187" t="s">
        <v>1507</v>
      </c>
      <c r="O45" s="118">
        <v>1200</v>
      </c>
      <c r="P45" s="188">
        <f t="shared" ref="P45:P52" si="43">O45*S45</f>
        <v>15736.842105263158</v>
      </c>
      <c r="Q45" s="187" t="s">
        <v>1507</v>
      </c>
      <c r="R45" s="187" t="s">
        <v>1507</v>
      </c>
      <c r="S45" s="186">
        <f t="shared" si="23"/>
        <v>13.114035087719298</v>
      </c>
      <c r="T45" s="116">
        <v>900</v>
      </c>
      <c r="U45" s="185">
        <f t="shared" si="24"/>
        <v>11802.631578947368</v>
      </c>
      <c r="V45" s="192">
        <f t="shared" si="42"/>
        <v>7934.3458046527512</v>
      </c>
      <c r="W45" s="176">
        <v>13718</v>
      </c>
      <c r="X45" s="185" t="s">
        <v>1507</v>
      </c>
      <c r="Y45" s="115">
        <v>605</v>
      </c>
      <c r="Z45" s="169">
        <f t="shared" si="25"/>
        <v>495.6521739130435</v>
      </c>
      <c r="AA45" s="166">
        <f t="shared" si="26"/>
        <v>6500</v>
      </c>
      <c r="AB45" s="181" t="s">
        <v>1545</v>
      </c>
      <c r="AC45" s="113">
        <f t="shared" si="27"/>
        <v>6500</v>
      </c>
      <c r="AD45" s="113">
        <f t="shared" si="28"/>
        <v>7000</v>
      </c>
      <c r="AE45" s="113">
        <f t="shared" si="29"/>
        <v>6500</v>
      </c>
      <c r="AF45" s="118" t="str">
        <f t="shared" si="30"/>
        <v>NA</v>
      </c>
      <c r="AG45" s="118" t="str">
        <f t="shared" si="31"/>
        <v>NA</v>
      </c>
      <c r="AH45" s="167">
        <f t="shared" si="32"/>
        <v>15736.842105263158</v>
      </c>
      <c r="AI45" s="118" t="str">
        <f t="shared" si="33"/>
        <v>NA</v>
      </c>
      <c r="AJ45" s="118" t="str">
        <f t="shared" si="34"/>
        <v>NA</v>
      </c>
      <c r="AK45" s="114">
        <f t="shared" si="35"/>
        <v>11802.631578947368</v>
      </c>
      <c r="AL45" s="114">
        <f t="shared" si="36"/>
        <v>7934.3458046527512</v>
      </c>
      <c r="AM45" s="113">
        <f t="shared" si="37"/>
        <v>13718</v>
      </c>
      <c r="AN45" s="114" t="str">
        <f t="shared" si="38"/>
        <v>NA</v>
      </c>
      <c r="AO45" s="182">
        <f t="shared" si="39"/>
        <v>495.6521739130435</v>
      </c>
      <c r="AP45" s="166">
        <f t="shared" si="40"/>
        <v>6500</v>
      </c>
      <c r="AQ45" s="165" t="s">
        <v>1519</v>
      </c>
    </row>
    <row r="46" spans="1:44" x14ac:dyDescent="0.35">
      <c r="A46" s="208" t="s">
        <v>1543</v>
      </c>
      <c r="B46" s="207">
        <v>2</v>
      </c>
      <c r="C46" s="206">
        <v>306</v>
      </c>
      <c r="D46" s="178">
        <v>22</v>
      </c>
      <c r="E46" s="205">
        <v>8030</v>
      </c>
      <c r="F46" s="205">
        <v>10000</v>
      </c>
      <c r="G46" s="205">
        <v>9000</v>
      </c>
      <c r="H46" s="203" t="s">
        <v>1507</v>
      </c>
      <c r="I46" s="180" t="s">
        <v>1546</v>
      </c>
      <c r="J46" s="178">
        <v>306</v>
      </c>
      <c r="K46" s="178">
        <v>235.75</v>
      </c>
      <c r="L46" s="178">
        <v>22</v>
      </c>
      <c r="M46" s="201" t="s">
        <v>1507</v>
      </c>
      <c r="N46" s="203" t="s">
        <v>1507</v>
      </c>
      <c r="O46" s="180">
        <v>1000</v>
      </c>
      <c r="P46" s="204">
        <f t="shared" si="43"/>
        <v>10715.909090909092</v>
      </c>
      <c r="Q46" s="203" t="s">
        <v>1507</v>
      </c>
      <c r="R46" s="203" t="s">
        <v>1507</v>
      </c>
      <c r="S46" s="202">
        <f t="shared" si="23"/>
        <v>10.715909090909092</v>
      </c>
      <c r="T46" s="201">
        <v>800</v>
      </c>
      <c r="U46" s="199">
        <f t="shared" si="24"/>
        <v>8572.7272727272739</v>
      </c>
      <c r="V46" s="234">
        <v>8030.4</v>
      </c>
      <c r="W46" s="200">
        <v>16543</v>
      </c>
      <c r="X46" s="199" t="s">
        <v>1507</v>
      </c>
      <c r="Y46" s="198">
        <v>749.4</v>
      </c>
      <c r="Z46" s="197">
        <f t="shared" si="25"/>
        <v>749.35312831389183</v>
      </c>
      <c r="AA46" s="194">
        <f t="shared" si="26"/>
        <v>8030</v>
      </c>
      <c r="AB46" s="229" t="s">
        <v>1545</v>
      </c>
      <c r="AC46" s="113">
        <f t="shared" si="27"/>
        <v>8030</v>
      </c>
      <c r="AD46" s="113">
        <f t="shared" si="28"/>
        <v>10000</v>
      </c>
      <c r="AE46" s="113">
        <f t="shared" si="29"/>
        <v>9000</v>
      </c>
      <c r="AF46" s="118" t="str">
        <f t="shared" si="30"/>
        <v>NA</v>
      </c>
      <c r="AG46" s="118" t="str">
        <f t="shared" si="31"/>
        <v>NA</v>
      </c>
      <c r="AH46" s="167">
        <f t="shared" si="32"/>
        <v>10715.909090909092</v>
      </c>
      <c r="AI46" s="118" t="str">
        <f t="shared" si="33"/>
        <v>NA</v>
      </c>
      <c r="AJ46" s="118" t="str">
        <f t="shared" si="34"/>
        <v>NA</v>
      </c>
      <c r="AK46" s="114">
        <f t="shared" si="35"/>
        <v>8572.7272727272739</v>
      </c>
      <c r="AL46" s="114">
        <f t="shared" si="36"/>
        <v>8030.4</v>
      </c>
      <c r="AM46" s="113">
        <f t="shared" si="37"/>
        <v>16543</v>
      </c>
      <c r="AN46" s="114" t="str">
        <f t="shared" si="38"/>
        <v>NA</v>
      </c>
      <c r="AO46" s="195">
        <f t="shared" si="39"/>
        <v>749.39045599151632</v>
      </c>
      <c r="AP46" s="194">
        <f t="shared" si="40"/>
        <v>8030.4</v>
      </c>
      <c r="AQ46" s="193" t="s">
        <v>2568</v>
      </c>
    </row>
    <row r="47" spans="1:44" x14ac:dyDescent="0.35">
      <c r="A47" s="177" t="s">
        <v>2537</v>
      </c>
      <c r="B47" s="191">
        <v>11</v>
      </c>
      <c r="C47" s="190">
        <v>150</v>
      </c>
      <c r="D47" s="113">
        <v>16</v>
      </c>
      <c r="E47" s="233">
        <v>5413</v>
      </c>
      <c r="F47" s="189">
        <v>8000</v>
      </c>
      <c r="G47" s="189">
        <v>8000</v>
      </c>
      <c r="H47" s="176" t="s">
        <v>1507</v>
      </c>
      <c r="J47" s="113">
        <v>200</v>
      </c>
      <c r="K47" s="118">
        <v>224.25</v>
      </c>
      <c r="L47" s="113">
        <v>15.2</v>
      </c>
      <c r="M47" s="116" t="s">
        <v>1507</v>
      </c>
      <c r="N47" s="187">
        <v>8000</v>
      </c>
      <c r="O47" s="118">
        <v>600</v>
      </c>
      <c r="P47" s="188">
        <f t="shared" si="43"/>
        <v>8851.9736842105267</v>
      </c>
      <c r="Q47" s="187" t="s">
        <v>1507</v>
      </c>
      <c r="R47" s="232" t="s">
        <v>1507</v>
      </c>
      <c r="S47" s="186">
        <f t="shared" si="23"/>
        <v>14.753289473684211</v>
      </c>
      <c r="T47" s="116">
        <v>500</v>
      </c>
      <c r="U47" s="185">
        <f t="shared" si="24"/>
        <v>7376.644736842105</v>
      </c>
      <c r="V47" s="173">
        <f t="shared" ref="V47:V53" si="44">(J47*1000)/(SQRT(3)*L47)</f>
        <v>7596.7140682845502</v>
      </c>
      <c r="W47" s="176">
        <v>6400</v>
      </c>
      <c r="X47" s="185" t="s">
        <v>1507</v>
      </c>
      <c r="Y47" s="115">
        <v>515</v>
      </c>
      <c r="Z47" s="169">
        <f t="shared" si="25"/>
        <v>366.90122630992198</v>
      </c>
      <c r="AA47" s="166">
        <f t="shared" si="26"/>
        <v>5413</v>
      </c>
      <c r="AB47" s="181" t="s">
        <v>1509</v>
      </c>
      <c r="AC47" s="113">
        <f t="shared" si="27"/>
        <v>5413</v>
      </c>
      <c r="AD47" s="113">
        <f t="shared" si="28"/>
        <v>8000</v>
      </c>
      <c r="AE47" s="113">
        <f t="shared" si="29"/>
        <v>8000</v>
      </c>
      <c r="AF47" s="118" t="str">
        <f t="shared" si="30"/>
        <v>NA</v>
      </c>
      <c r="AG47" s="118">
        <f t="shared" si="31"/>
        <v>8000</v>
      </c>
      <c r="AH47" s="167">
        <f t="shared" si="32"/>
        <v>8851.9736842105267</v>
      </c>
      <c r="AI47" s="118" t="str">
        <f t="shared" si="33"/>
        <v>NA</v>
      </c>
      <c r="AJ47" s="118" t="str">
        <f t="shared" si="34"/>
        <v>NA</v>
      </c>
      <c r="AK47" s="114">
        <f t="shared" si="35"/>
        <v>7376.644736842105</v>
      </c>
      <c r="AL47" s="114">
        <f t="shared" si="36"/>
        <v>7596.7140682845502</v>
      </c>
      <c r="AM47" s="113">
        <f t="shared" si="37"/>
        <v>6400</v>
      </c>
      <c r="AN47" s="114" t="str">
        <f t="shared" si="38"/>
        <v>NA</v>
      </c>
      <c r="AO47" s="231">
        <f t="shared" si="39"/>
        <v>433.80156075808247</v>
      </c>
      <c r="AP47" s="230">
        <f t="shared" si="40"/>
        <v>6400</v>
      </c>
      <c r="AQ47" s="165" t="s">
        <v>2538</v>
      </c>
    </row>
    <row r="48" spans="1:44" x14ac:dyDescent="0.35">
      <c r="A48" s="177" t="s">
        <v>2539</v>
      </c>
      <c r="B48" s="191">
        <v>11</v>
      </c>
      <c r="C48" s="190">
        <v>150</v>
      </c>
      <c r="D48" s="113">
        <v>16</v>
      </c>
      <c r="E48" s="189">
        <v>5413</v>
      </c>
      <c r="F48" s="189">
        <v>8000</v>
      </c>
      <c r="G48" s="189">
        <v>8000</v>
      </c>
      <c r="H48" s="176" t="s">
        <v>1507</v>
      </c>
      <c r="J48" s="113">
        <v>200</v>
      </c>
      <c r="K48" s="118">
        <v>224.25</v>
      </c>
      <c r="L48" s="113">
        <v>15.2</v>
      </c>
      <c r="M48" s="116" t="s">
        <v>1507</v>
      </c>
      <c r="N48" s="187">
        <v>8000</v>
      </c>
      <c r="O48" s="118">
        <v>600</v>
      </c>
      <c r="P48" s="188">
        <f t="shared" si="43"/>
        <v>8851.9736842105267</v>
      </c>
      <c r="Q48" s="187" t="s">
        <v>1507</v>
      </c>
      <c r="R48" s="187" t="s">
        <v>1507</v>
      </c>
      <c r="S48" s="186">
        <f t="shared" si="23"/>
        <v>14.753289473684211</v>
      </c>
      <c r="T48" s="116">
        <v>500</v>
      </c>
      <c r="U48" s="185">
        <f t="shared" si="24"/>
        <v>7376.644736842105</v>
      </c>
      <c r="V48" s="173">
        <f t="shared" si="44"/>
        <v>7596.7140682845502</v>
      </c>
      <c r="W48" s="176">
        <v>6400</v>
      </c>
      <c r="X48" s="185" t="s">
        <v>1507</v>
      </c>
      <c r="Y48" s="115">
        <v>515</v>
      </c>
      <c r="Z48" s="169">
        <f t="shared" si="25"/>
        <v>366.90122630992198</v>
      </c>
      <c r="AA48" s="166">
        <f t="shared" si="26"/>
        <v>5413</v>
      </c>
      <c r="AB48" s="181" t="s">
        <v>1509</v>
      </c>
      <c r="AC48" s="113">
        <f t="shared" si="27"/>
        <v>5413</v>
      </c>
      <c r="AD48" s="113">
        <f t="shared" si="28"/>
        <v>8000</v>
      </c>
      <c r="AE48" s="113">
        <f t="shared" si="29"/>
        <v>8000</v>
      </c>
      <c r="AF48" s="118" t="str">
        <f t="shared" si="30"/>
        <v>NA</v>
      </c>
      <c r="AG48" s="118">
        <f t="shared" si="31"/>
        <v>8000</v>
      </c>
      <c r="AH48" s="167">
        <f t="shared" si="32"/>
        <v>8851.9736842105267</v>
      </c>
      <c r="AI48" s="118" t="str">
        <f t="shared" si="33"/>
        <v>NA</v>
      </c>
      <c r="AJ48" s="118" t="str">
        <f t="shared" si="34"/>
        <v>NA</v>
      </c>
      <c r="AK48" s="114">
        <f t="shared" si="35"/>
        <v>7376.644736842105</v>
      </c>
      <c r="AL48" s="114">
        <f t="shared" si="36"/>
        <v>7596.7140682845502</v>
      </c>
      <c r="AM48" s="113">
        <f t="shared" si="37"/>
        <v>6400</v>
      </c>
      <c r="AN48" s="114" t="str">
        <f t="shared" si="38"/>
        <v>NA</v>
      </c>
      <c r="AO48" s="182">
        <f t="shared" si="39"/>
        <v>433.80156075808247</v>
      </c>
      <c r="AP48" s="166">
        <f t="shared" si="40"/>
        <v>6400</v>
      </c>
      <c r="AQ48" s="165" t="s">
        <v>2538</v>
      </c>
    </row>
    <row r="49" spans="1:43" x14ac:dyDescent="0.35">
      <c r="A49" s="177" t="s">
        <v>2537</v>
      </c>
      <c r="B49" s="191">
        <v>12</v>
      </c>
      <c r="C49" s="190">
        <v>150</v>
      </c>
      <c r="D49" s="113">
        <v>16</v>
      </c>
      <c r="E49" s="189">
        <v>5413</v>
      </c>
      <c r="F49" s="189">
        <v>8000</v>
      </c>
      <c r="G49" s="189">
        <v>8000</v>
      </c>
      <c r="H49" s="176" t="s">
        <v>1507</v>
      </c>
      <c r="J49" s="113">
        <v>200</v>
      </c>
      <c r="K49" s="113">
        <v>224.25</v>
      </c>
      <c r="L49" s="113">
        <v>15.2</v>
      </c>
      <c r="M49" s="116" t="s">
        <v>1507</v>
      </c>
      <c r="N49" s="187">
        <v>8000</v>
      </c>
      <c r="O49" s="118">
        <v>600</v>
      </c>
      <c r="P49" s="188">
        <f t="shared" si="43"/>
        <v>8851.9736842105267</v>
      </c>
      <c r="Q49" s="187" t="s">
        <v>1507</v>
      </c>
      <c r="R49" s="187" t="s">
        <v>1507</v>
      </c>
      <c r="S49" s="186">
        <f t="shared" si="23"/>
        <v>14.753289473684211</v>
      </c>
      <c r="T49" s="116">
        <v>500</v>
      </c>
      <c r="U49" s="185">
        <f t="shared" si="24"/>
        <v>7376.644736842105</v>
      </c>
      <c r="V49" s="173">
        <f t="shared" si="44"/>
        <v>7596.7140682845502</v>
      </c>
      <c r="W49" s="176">
        <v>6400</v>
      </c>
      <c r="X49" s="185" t="s">
        <v>1507</v>
      </c>
      <c r="Y49" s="115">
        <v>515</v>
      </c>
      <c r="Z49" s="169">
        <f t="shared" si="25"/>
        <v>366.90122630992198</v>
      </c>
      <c r="AA49" s="166">
        <f t="shared" si="26"/>
        <v>5413</v>
      </c>
      <c r="AB49" s="181" t="s">
        <v>1509</v>
      </c>
      <c r="AC49" s="113">
        <f t="shared" si="27"/>
        <v>5413</v>
      </c>
      <c r="AD49" s="113">
        <f t="shared" si="28"/>
        <v>8000</v>
      </c>
      <c r="AE49" s="113">
        <f t="shared" si="29"/>
        <v>8000</v>
      </c>
      <c r="AF49" s="118" t="str">
        <f t="shared" si="30"/>
        <v>NA</v>
      </c>
      <c r="AG49" s="118">
        <f t="shared" si="31"/>
        <v>8000</v>
      </c>
      <c r="AH49" s="167">
        <f t="shared" si="32"/>
        <v>8851.9736842105267</v>
      </c>
      <c r="AI49" s="118" t="str">
        <f t="shared" si="33"/>
        <v>NA</v>
      </c>
      <c r="AJ49" s="118" t="str">
        <f t="shared" si="34"/>
        <v>NA</v>
      </c>
      <c r="AK49" s="114">
        <f t="shared" si="35"/>
        <v>7376.644736842105</v>
      </c>
      <c r="AL49" s="114">
        <f t="shared" si="36"/>
        <v>7596.7140682845502</v>
      </c>
      <c r="AM49" s="113">
        <f t="shared" si="37"/>
        <v>6400</v>
      </c>
      <c r="AN49" s="114" t="str">
        <f t="shared" si="38"/>
        <v>NA</v>
      </c>
      <c r="AO49" s="182">
        <f t="shared" si="39"/>
        <v>433.80156075808247</v>
      </c>
      <c r="AP49" s="166">
        <f t="shared" si="40"/>
        <v>6400</v>
      </c>
      <c r="AQ49" s="165" t="s">
        <v>2538</v>
      </c>
    </row>
    <row r="50" spans="1:43" x14ac:dyDescent="0.35">
      <c r="A50" s="177" t="s">
        <v>2539</v>
      </c>
      <c r="B50" s="191">
        <v>12</v>
      </c>
      <c r="C50" s="190">
        <v>150</v>
      </c>
      <c r="D50" s="113">
        <v>16</v>
      </c>
      <c r="E50" s="189">
        <v>5413</v>
      </c>
      <c r="F50" s="189">
        <v>8000</v>
      </c>
      <c r="G50" s="189">
        <v>8000</v>
      </c>
      <c r="H50" s="176" t="s">
        <v>1507</v>
      </c>
      <c r="J50" s="113">
        <v>200</v>
      </c>
      <c r="K50" s="113">
        <v>224.25</v>
      </c>
      <c r="L50" s="113">
        <v>15.2</v>
      </c>
      <c r="M50" s="116" t="s">
        <v>1507</v>
      </c>
      <c r="N50" s="187">
        <v>8000</v>
      </c>
      <c r="O50" s="118">
        <v>600</v>
      </c>
      <c r="P50" s="188">
        <f t="shared" si="43"/>
        <v>8851.9736842105267</v>
      </c>
      <c r="Q50" s="187" t="s">
        <v>1507</v>
      </c>
      <c r="R50" s="187" t="s">
        <v>1507</v>
      </c>
      <c r="S50" s="186">
        <f t="shared" si="23"/>
        <v>14.753289473684211</v>
      </c>
      <c r="T50" s="116">
        <v>500</v>
      </c>
      <c r="U50" s="185">
        <f t="shared" si="24"/>
        <v>7376.644736842105</v>
      </c>
      <c r="V50" s="173">
        <f t="shared" si="44"/>
        <v>7596.7140682845502</v>
      </c>
      <c r="W50" s="176">
        <v>6400</v>
      </c>
      <c r="X50" s="185" t="s">
        <v>1507</v>
      </c>
      <c r="Y50" s="115">
        <v>515</v>
      </c>
      <c r="Z50" s="169">
        <f t="shared" si="25"/>
        <v>366.90122630992198</v>
      </c>
      <c r="AA50" s="166">
        <f t="shared" si="26"/>
        <v>5413</v>
      </c>
      <c r="AB50" s="181" t="s">
        <v>1509</v>
      </c>
      <c r="AC50" s="113">
        <f t="shared" si="27"/>
        <v>5413</v>
      </c>
      <c r="AD50" s="113">
        <f t="shared" si="28"/>
        <v>8000</v>
      </c>
      <c r="AE50" s="113">
        <f t="shared" si="29"/>
        <v>8000</v>
      </c>
      <c r="AF50" s="118" t="str">
        <f t="shared" si="30"/>
        <v>NA</v>
      </c>
      <c r="AG50" s="118">
        <f t="shared" si="31"/>
        <v>8000</v>
      </c>
      <c r="AH50" s="167">
        <f t="shared" si="32"/>
        <v>8851.9736842105267</v>
      </c>
      <c r="AI50" s="118" t="str">
        <f t="shared" si="33"/>
        <v>NA</v>
      </c>
      <c r="AJ50" s="118" t="str">
        <f t="shared" si="34"/>
        <v>NA</v>
      </c>
      <c r="AK50" s="114">
        <f t="shared" si="35"/>
        <v>7376.644736842105</v>
      </c>
      <c r="AL50" s="114">
        <f t="shared" si="36"/>
        <v>7596.7140682845502</v>
      </c>
      <c r="AM50" s="113">
        <f t="shared" si="37"/>
        <v>6400</v>
      </c>
      <c r="AN50" s="114" t="str">
        <f t="shared" si="38"/>
        <v>NA</v>
      </c>
      <c r="AO50" s="182">
        <f t="shared" si="39"/>
        <v>433.80156075808247</v>
      </c>
      <c r="AP50" s="166">
        <f t="shared" si="40"/>
        <v>6400</v>
      </c>
      <c r="AQ50" s="165" t="s">
        <v>2538</v>
      </c>
    </row>
    <row r="51" spans="1:43" x14ac:dyDescent="0.35">
      <c r="A51" s="177" t="s">
        <v>2540</v>
      </c>
      <c r="B51" s="191" t="s">
        <v>1514</v>
      </c>
      <c r="C51" s="190">
        <v>300</v>
      </c>
      <c r="D51" s="113">
        <v>16</v>
      </c>
      <c r="E51" s="189">
        <f t="shared" ref="E51:G52" si="45">SUM(E47,E49)</f>
        <v>10826</v>
      </c>
      <c r="F51" s="187">
        <f t="shared" si="45"/>
        <v>16000</v>
      </c>
      <c r="G51" s="187">
        <f t="shared" si="45"/>
        <v>16000</v>
      </c>
      <c r="H51" s="176" t="s">
        <v>1507</v>
      </c>
      <c r="J51" s="113">
        <v>400</v>
      </c>
      <c r="K51" s="118">
        <v>224.25</v>
      </c>
      <c r="L51" s="113">
        <v>15.2</v>
      </c>
      <c r="M51" s="116" t="s">
        <v>1507</v>
      </c>
      <c r="N51" s="187">
        <f>SUM(N47,N49)</f>
        <v>16000</v>
      </c>
      <c r="O51" s="118">
        <f>SUM(O47,O49)</f>
        <v>1200</v>
      </c>
      <c r="P51" s="188">
        <f t="shared" si="43"/>
        <v>17703.947368421053</v>
      </c>
      <c r="Q51" s="176" t="s">
        <v>1507</v>
      </c>
      <c r="R51" s="187" t="s">
        <v>1507</v>
      </c>
      <c r="S51" s="186">
        <f t="shared" si="23"/>
        <v>14.753289473684211</v>
      </c>
      <c r="T51" s="116">
        <v>1200</v>
      </c>
      <c r="U51" s="185">
        <f t="shared" si="24"/>
        <v>17703.947368421053</v>
      </c>
      <c r="V51" s="173">
        <f t="shared" si="44"/>
        <v>15193.4281365691</v>
      </c>
      <c r="W51" s="176">
        <f>SUM(W47,W49)</f>
        <v>12800</v>
      </c>
      <c r="X51" s="185" t="s">
        <v>1507</v>
      </c>
      <c r="Y51" s="115" t="s">
        <v>1507</v>
      </c>
      <c r="Z51" s="169">
        <f t="shared" si="25"/>
        <v>733.80245261984396</v>
      </c>
      <c r="AA51" s="166">
        <f t="shared" si="26"/>
        <v>10826</v>
      </c>
      <c r="AB51" s="181" t="s">
        <v>2535</v>
      </c>
      <c r="AC51" s="113">
        <f t="shared" si="27"/>
        <v>10826</v>
      </c>
      <c r="AD51" s="113">
        <f t="shared" si="28"/>
        <v>16000</v>
      </c>
      <c r="AE51" s="113">
        <f t="shared" si="29"/>
        <v>16000</v>
      </c>
      <c r="AF51" s="118" t="str">
        <f t="shared" si="30"/>
        <v>NA</v>
      </c>
      <c r="AG51" s="118">
        <f t="shared" si="31"/>
        <v>16000</v>
      </c>
      <c r="AH51" s="167">
        <f t="shared" si="32"/>
        <v>17703.947368421053</v>
      </c>
      <c r="AI51" s="118" t="str">
        <f t="shared" si="33"/>
        <v>NA</v>
      </c>
      <c r="AJ51" s="118" t="str">
        <f t="shared" si="34"/>
        <v>NA</v>
      </c>
      <c r="AK51" s="114">
        <f t="shared" si="35"/>
        <v>17703.947368421053</v>
      </c>
      <c r="AL51" s="114">
        <f t="shared" si="36"/>
        <v>15193.4281365691</v>
      </c>
      <c r="AM51" s="113">
        <f t="shared" si="37"/>
        <v>12800</v>
      </c>
      <c r="AN51" s="114" t="str">
        <f t="shared" si="38"/>
        <v>NA</v>
      </c>
      <c r="AO51" s="182">
        <f t="shared" si="39"/>
        <v>867.60312151616495</v>
      </c>
      <c r="AP51" s="166">
        <f t="shared" si="40"/>
        <v>12800</v>
      </c>
      <c r="AQ51" s="165" t="s">
        <v>2538</v>
      </c>
    </row>
    <row r="52" spans="1:43" x14ac:dyDescent="0.35">
      <c r="A52" s="208" t="s">
        <v>2541</v>
      </c>
      <c r="B52" s="207" t="s">
        <v>1514</v>
      </c>
      <c r="C52" s="206">
        <v>300</v>
      </c>
      <c r="D52" s="178">
        <v>16</v>
      </c>
      <c r="E52" s="205">
        <f t="shared" si="45"/>
        <v>10826</v>
      </c>
      <c r="F52" s="203">
        <f t="shared" si="45"/>
        <v>16000</v>
      </c>
      <c r="G52" s="203">
        <f t="shared" si="45"/>
        <v>16000</v>
      </c>
      <c r="H52" s="176" t="s">
        <v>1507</v>
      </c>
      <c r="I52" s="180"/>
      <c r="J52" s="178">
        <v>400</v>
      </c>
      <c r="K52" s="178">
        <v>224.25</v>
      </c>
      <c r="L52" s="178">
        <v>15.2</v>
      </c>
      <c r="M52" s="201" t="s">
        <v>1507</v>
      </c>
      <c r="N52" s="203">
        <f>SUM(N48,N50)</f>
        <v>16000</v>
      </c>
      <c r="O52" s="180">
        <f>SUM(O48,O50)</f>
        <v>1200</v>
      </c>
      <c r="P52" s="204">
        <f t="shared" si="43"/>
        <v>17703.947368421053</v>
      </c>
      <c r="Q52" s="203" t="s">
        <v>1507</v>
      </c>
      <c r="R52" s="203" t="s">
        <v>1507</v>
      </c>
      <c r="S52" s="202">
        <f t="shared" si="23"/>
        <v>14.753289473684211</v>
      </c>
      <c r="T52" s="201">
        <v>1200</v>
      </c>
      <c r="U52" s="185">
        <f t="shared" si="24"/>
        <v>17703.947368421053</v>
      </c>
      <c r="V52" s="173">
        <f t="shared" si="44"/>
        <v>15193.4281365691</v>
      </c>
      <c r="W52" s="200">
        <f>SUM(W48,W50)</f>
        <v>12800</v>
      </c>
      <c r="X52" s="185" t="s">
        <v>1507</v>
      </c>
      <c r="Y52" s="115" t="s">
        <v>1507</v>
      </c>
      <c r="Z52" s="169">
        <f t="shared" si="25"/>
        <v>733.80245261984396</v>
      </c>
      <c r="AA52" s="194">
        <f t="shared" si="26"/>
        <v>10826</v>
      </c>
      <c r="AB52" s="229" t="s">
        <v>2535</v>
      </c>
      <c r="AC52" s="113">
        <f t="shared" si="27"/>
        <v>10826</v>
      </c>
      <c r="AD52" s="113">
        <f t="shared" si="28"/>
        <v>16000</v>
      </c>
      <c r="AE52" s="113">
        <f t="shared" si="29"/>
        <v>16000</v>
      </c>
      <c r="AF52" s="118" t="str">
        <f t="shared" si="30"/>
        <v>NA</v>
      </c>
      <c r="AG52" s="118">
        <f t="shared" si="31"/>
        <v>16000</v>
      </c>
      <c r="AH52" s="167">
        <f t="shared" si="32"/>
        <v>17703.947368421053</v>
      </c>
      <c r="AI52" s="118" t="str">
        <f t="shared" si="33"/>
        <v>NA</v>
      </c>
      <c r="AJ52" s="118" t="str">
        <f t="shared" si="34"/>
        <v>NA</v>
      </c>
      <c r="AK52" s="114">
        <f t="shared" si="35"/>
        <v>17703.947368421053</v>
      </c>
      <c r="AL52" s="114">
        <f t="shared" si="36"/>
        <v>15193.4281365691</v>
      </c>
      <c r="AM52" s="113">
        <f t="shared" si="37"/>
        <v>12800</v>
      </c>
      <c r="AN52" s="114" t="str">
        <f t="shared" si="38"/>
        <v>NA</v>
      </c>
      <c r="AO52" s="195">
        <f t="shared" si="39"/>
        <v>867.60312151616495</v>
      </c>
      <c r="AP52" s="194">
        <f t="shared" si="40"/>
        <v>12800</v>
      </c>
      <c r="AQ52" s="165" t="s">
        <v>2538</v>
      </c>
    </row>
    <row r="53" spans="1:43" x14ac:dyDescent="0.35">
      <c r="A53" s="228" t="s">
        <v>1547</v>
      </c>
      <c r="B53" s="227">
        <v>1</v>
      </c>
      <c r="C53" s="226">
        <v>613.70000000000005</v>
      </c>
      <c r="D53" s="224">
        <v>22</v>
      </c>
      <c r="E53" s="225">
        <v>16105</v>
      </c>
      <c r="F53" s="225">
        <v>22000</v>
      </c>
      <c r="G53" s="225">
        <v>18000</v>
      </c>
      <c r="H53" s="221" t="s">
        <v>1507</v>
      </c>
      <c r="I53" s="223" t="s">
        <v>1548</v>
      </c>
      <c r="J53" s="224">
        <v>728</v>
      </c>
      <c r="K53" s="224">
        <v>230</v>
      </c>
      <c r="L53" s="224">
        <v>21</v>
      </c>
      <c r="M53" s="219" t="s">
        <v>1507</v>
      </c>
      <c r="N53" s="221" t="s">
        <v>1507</v>
      </c>
      <c r="O53" s="223" t="s">
        <v>1507</v>
      </c>
      <c r="P53" s="222" t="s">
        <v>1507</v>
      </c>
      <c r="Q53" s="221" t="s">
        <v>1507</v>
      </c>
      <c r="R53" s="221" t="s">
        <v>1507</v>
      </c>
      <c r="S53" s="220">
        <f t="shared" si="23"/>
        <v>10.952380952380953</v>
      </c>
      <c r="T53" s="219">
        <v>1578</v>
      </c>
      <c r="U53" s="216">
        <f t="shared" si="24"/>
        <v>17282.857142857145</v>
      </c>
      <c r="V53" s="218">
        <f t="shared" si="44"/>
        <v>20014.809331907025</v>
      </c>
      <c r="W53" s="217">
        <v>33901</v>
      </c>
      <c r="X53" s="216" t="s">
        <v>1507</v>
      </c>
      <c r="Y53" s="215">
        <f>364000/230/SQRT(3)*2</f>
        <v>1827.4391129132505</v>
      </c>
      <c r="Z53" s="214">
        <f t="shared" si="25"/>
        <v>1470.4565217391305</v>
      </c>
      <c r="AA53" s="211">
        <f t="shared" si="26"/>
        <v>16105</v>
      </c>
      <c r="AB53" s="213" t="s">
        <v>1509</v>
      </c>
      <c r="AC53" s="113">
        <f t="shared" si="27"/>
        <v>16105</v>
      </c>
      <c r="AD53" s="113">
        <f t="shared" si="28"/>
        <v>22000</v>
      </c>
      <c r="AE53" s="113">
        <f t="shared" si="29"/>
        <v>18000</v>
      </c>
      <c r="AF53" s="118" t="str">
        <f t="shared" si="30"/>
        <v>NA</v>
      </c>
      <c r="AG53" s="118" t="str">
        <f t="shared" si="31"/>
        <v>NA</v>
      </c>
      <c r="AH53" s="167" t="str">
        <f t="shared" si="32"/>
        <v>NA</v>
      </c>
      <c r="AI53" s="118" t="str">
        <f t="shared" si="33"/>
        <v>NA</v>
      </c>
      <c r="AJ53" s="118" t="str">
        <f t="shared" si="34"/>
        <v>NA</v>
      </c>
      <c r="AK53" s="114">
        <f t="shared" si="35"/>
        <v>17282.857142857145</v>
      </c>
      <c r="AL53" s="114">
        <f t="shared" si="36"/>
        <v>20014.809331907025</v>
      </c>
      <c r="AM53" s="113">
        <f t="shared" si="37"/>
        <v>33901</v>
      </c>
      <c r="AN53" s="114" t="str">
        <f t="shared" si="38"/>
        <v>NA</v>
      </c>
      <c r="AO53" s="212">
        <f t="shared" si="39"/>
        <v>1578.0000000000002</v>
      </c>
      <c r="AP53" s="211">
        <f t="shared" si="40"/>
        <v>17282.857142857145</v>
      </c>
      <c r="AQ53" s="210" t="s">
        <v>2345</v>
      </c>
    </row>
    <row r="54" spans="1:43" x14ac:dyDescent="0.35">
      <c r="A54" s="177" t="s">
        <v>1549</v>
      </c>
      <c r="B54" s="209">
        <v>1</v>
      </c>
      <c r="C54" s="190">
        <v>206</v>
      </c>
      <c r="D54" s="113">
        <v>15</v>
      </c>
      <c r="E54" s="174">
        <v>7929</v>
      </c>
      <c r="F54" s="189">
        <v>12000</v>
      </c>
      <c r="G54" s="189">
        <v>9000</v>
      </c>
      <c r="H54" s="176">
        <v>10500</v>
      </c>
      <c r="J54" s="113">
        <v>250</v>
      </c>
      <c r="K54" s="113">
        <v>237.8</v>
      </c>
      <c r="L54" s="113">
        <v>15</v>
      </c>
      <c r="M54" s="116" t="s">
        <v>1507</v>
      </c>
      <c r="N54" s="187">
        <v>12000</v>
      </c>
      <c r="O54" s="118">
        <v>1200</v>
      </c>
      <c r="P54" s="188">
        <f t="shared" ref="P54:P67" si="46">O54*S54</f>
        <v>19024</v>
      </c>
      <c r="Q54" s="189">
        <v>10500</v>
      </c>
      <c r="R54" s="189">
        <v>12000</v>
      </c>
      <c r="S54" s="186">
        <f t="shared" si="23"/>
        <v>15.853333333333333</v>
      </c>
      <c r="T54" s="116">
        <v>1240</v>
      </c>
      <c r="U54" s="185">
        <f t="shared" si="24"/>
        <v>19658.133333333335</v>
      </c>
      <c r="V54" s="175">
        <v>9620</v>
      </c>
      <c r="W54" s="176">
        <v>15977</v>
      </c>
      <c r="X54" s="185" t="s">
        <v>1507</v>
      </c>
      <c r="Y54" s="115">
        <v>606</v>
      </c>
      <c r="Z54" s="169">
        <f t="shared" si="25"/>
        <v>500.14718250630784</v>
      </c>
      <c r="AA54" s="166">
        <f t="shared" si="26"/>
        <v>7929</v>
      </c>
      <c r="AB54" s="181" t="s">
        <v>1509</v>
      </c>
      <c r="AC54" s="113">
        <f t="shared" si="27"/>
        <v>7929</v>
      </c>
      <c r="AD54" s="113">
        <f t="shared" si="28"/>
        <v>12000</v>
      </c>
      <c r="AE54" s="113">
        <f t="shared" si="29"/>
        <v>9000</v>
      </c>
      <c r="AF54" s="118">
        <f t="shared" si="30"/>
        <v>10500</v>
      </c>
      <c r="AG54" s="118">
        <f t="shared" si="31"/>
        <v>12000</v>
      </c>
      <c r="AH54" s="167">
        <f t="shared" si="32"/>
        <v>19024</v>
      </c>
      <c r="AI54" s="118">
        <f t="shared" si="33"/>
        <v>10500</v>
      </c>
      <c r="AJ54" s="118">
        <f t="shared" si="34"/>
        <v>12000</v>
      </c>
      <c r="AK54" s="114">
        <f t="shared" si="35"/>
        <v>19658.133333333335</v>
      </c>
      <c r="AL54" s="114">
        <f t="shared" si="36"/>
        <v>9620</v>
      </c>
      <c r="AM54" s="113">
        <f t="shared" si="37"/>
        <v>15977</v>
      </c>
      <c r="AN54" s="114" t="str">
        <f t="shared" si="38"/>
        <v>NA</v>
      </c>
      <c r="AO54" s="182">
        <f t="shared" si="39"/>
        <v>567.70395290159797</v>
      </c>
      <c r="AP54" s="166">
        <f t="shared" si="40"/>
        <v>9000</v>
      </c>
      <c r="AQ54" s="165" t="s">
        <v>1477</v>
      </c>
    </row>
    <row r="55" spans="1:43" x14ac:dyDescent="0.35">
      <c r="A55" s="177" t="s">
        <v>1550</v>
      </c>
      <c r="B55" s="191">
        <v>1</v>
      </c>
      <c r="C55" s="190">
        <v>206</v>
      </c>
      <c r="D55" s="113">
        <v>15</v>
      </c>
      <c r="E55" s="174">
        <v>7929</v>
      </c>
      <c r="F55" s="189">
        <v>12000</v>
      </c>
      <c r="G55" s="189">
        <v>9000</v>
      </c>
      <c r="H55" s="176">
        <v>10500</v>
      </c>
      <c r="J55" s="113">
        <v>250</v>
      </c>
      <c r="K55" s="113">
        <v>237.8</v>
      </c>
      <c r="L55" s="113">
        <v>15</v>
      </c>
      <c r="M55" s="116" t="s">
        <v>1507</v>
      </c>
      <c r="N55" s="187">
        <v>12000</v>
      </c>
      <c r="O55" s="118">
        <v>1200</v>
      </c>
      <c r="P55" s="188">
        <f t="shared" si="46"/>
        <v>19024</v>
      </c>
      <c r="Q55" s="189">
        <v>10500</v>
      </c>
      <c r="R55" s="189">
        <v>12000</v>
      </c>
      <c r="S55" s="186">
        <f t="shared" si="23"/>
        <v>15.853333333333333</v>
      </c>
      <c r="T55" s="116">
        <v>1484</v>
      </c>
      <c r="U55" s="185">
        <f t="shared" si="24"/>
        <v>23526.346666666668</v>
      </c>
      <c r="V55" s="175">
        <v>9620</v>
      </c>
      <c r="W55" s="176">
        <v>15977</v>
      </c>
      <c r="X55" s="185" t="s">
        <v>1507</v>
      </c>
      <c r="Y55" s="115">
        <v>606</v>
      </c>
      <c r="Z55" s="169">
        <f t="shared" si="25"/>
        <v>500.14718250630784</v>
      </c>
      <c r="AA55" s="166">
        <f t="shared" si="26"/>
        <v>7929</v>
      </c>
      <c r="AB55" s="181" t="s">
        <v>1509</v>
      </c>
      <c r="AC55" s="113">
        <f t="shared" si="27"/>
        <v>7929</v>
      </c>
      <c r="AD55" s="113">
        <f t="shared" si="28"/>
        <v>12000</v>
      </c>
      <c r="AE55" s="113">
        <f t="shared" si="29"/>
        <v>9000</v>
      </c>
      <c r="AF55" s="118">
        <f t="shared" si="30"/>
        <v>10500</v>
      </c>
      <c r="AG55" s="118">
        <f t="shared" si="31"/>
        <v>12000</v>
      </c>
      <c r="AH55" s="167">
        <f t="shared" si="32"/>
        <v>19024</v>
      </c>
      <c r="AI55" s="118">
        <f t="shared" si="33"/>
        <v>10500</v>
      </c>
      <c r="AJ55" s="118">
        <f t="shared" si="34"/>
        <v>12000</v>
      </c>
      <c r="AK55" s="114">
        <f t="shared" si="35"/>
        <v>23526.346666666668</v>
      </c>
      <c r="AL55" s="114">
        <f t="shared" si="36"/>
        <v>9620</v>
      </c>
      <c r="AM55" s="113">
        <f t="shared" si="37"/>
        <v>15977</v>
      </c>
      <c r="AN55" s="114" t="str">
        <f t="shared" si="38"/>
        <v>NA</v>
      </c>
      <c r="AO55" s="182">
        <f t="shared" si="39"/>
        <v>567.70395290159797</v>
      </c>
      <c r="AP55" s="166">
        <f t="shared" si="40"/>
        <v>9000</v>
      </c>
      <c r="AQ55" s="165" t="s">
        <v>1477</v>
      </c>
    </row>
    <row r="56" spans="1:43" x14ac:dyDescent="0.35">
      <c r="A56" s="177" t="s">
        <v>1549</v>
      </c>
      <c r="B56" s="191">
        <v>2</v>
      </c>
      <c r="C56" s="190">
        <v>206</v>
      </c>
      <c r="D56" s="113">
        <v>15</v>
      </c>
      <c r="E56" s="174">
        <v>7929</v>
      </c>
      <c r="F56" s="189">
        <v>12000</v>
      </c>
      <c r="G56" s="189">
        <v>9000</v>
      </c>
      <c r="H56" s="176">
        <v>10500</v>
      </c>
      <c r="J56" s="113">
        <v>250</v>
      </c>
      <c r="K56" s="113">
        <v>237.8</v>
      </c>
      <c r="L56" s="113">
        <v>15</v>
      </c>
      <c r="M56" s="116" t="s">
        <v>1507</v>
      </c>
      <c r="N56" s="187">
        <v>12000</v>
      </c>
      <c r="O56" s="118">
        <v>1200</v>
      </c>
      <c r="P56" s="188">
        <f t="shared" si="46"/>
        <v>19024</v>
      </c>
      <c r="Q56" s="189">
        <v>10500</v>
      </c>
      <c r="R56" s="189">
        <v>12000</v>
      </c>
      <c r="S56" s="186">
        <f t="shared" si="23"/>
        <v>15.853333333333333</v>
      </c>
      <c r="T56" s="116">
        <v>1240</v>
      </c>
      <c r="U56" s="185">
        <f t="shared" si="24"/>
        <v>19658.133333333335</v>
      </c>
      <c r="V56" s="175">
        <v>9620</v>
      </c>
      <c r="W56" s="176">
        <v>15977</v>
      </c>
      <c r="X56" s="185" t="s">
        <v>1507</v>
      </c>
      <c r="Y56" s="115">
        <v>606</v>
      </c>
      <c r="Z56" s="169">
        <f t="shared" si="25"/>
        <v>500.14718250630784</v>
      </c>
      <c r="AA56" s="166">
        <f t="shared" si="26"/>
        <v>7929</v>
      </c>
      <c r="AB56" s="181" t="s">
        <v>1509</v>
      </c>
      <c r="AC56" s="113">
        <f t="shared" si="27"/>
        <v>7929</v>
      </c>
      <c r="AD56" s="113">
        <f t="shared" si="28"/>
        <v>12000</v>
      </c>
      <c r="AE56" s="113">
        <f t="shared" si="29"/>
        <v>9000</v>
      </c>
      <c r="AF56" s="118">
        <f t="shared" si="30"/>
        <v>10500</v>
      </c>
      <c r="AG56" s="118">
        <f t="shared" si="31"/>
        <v>12000</v>
      </c>
      <c r="AH56" s="167">
        <f t="shared" si="32"/>
        <v>19024</v>
      </c>
      <c r="AI56" s="118">
        <f t="shared" si="33"/>
        <v>10500</v>
      </c>
      <c r="AJ56" s="118">
        <f t="shared" si="34"/>
        <v>12000</v>
      </c>
      <c r="AK56" s="114">
        <f t="shared" si="35"/>
        <v>19658.133333333335</v>
      </c>
      <c r="AL56" s="114">
        <f t="shared" si="36"/>
        <v>9620</v>
      </c>
      <c r="AM56" s="113">
        <f t="shared" si="37"/>
        <v>15977</v>
      </c>
      <c r="AN56" s="114" t="str">
        <f t="shared" si="38"/>
        <v>NA</v>
      </c>
      <c r="AO56" s="182">
        <f t="shared" si="39"/>
        <v>567.70395290159797</v>
      </c>
      <c r="AP56" s="166">
        <f t="shared" si="40"/>
        <v>9000</v>
      </c>
      <c r="AQ56" s="165" t="s">
        <v>1477</v>
      </c>
    </row>
    <row r="57" spans="1:43" x14ac:dyDescent="0.35">
      <c r="A57" s="177" t="s">
        <v>1550</v>
      </c>
      <c r="B57" s="191">
        <v>2</v>
      </c>
      <c r="C57" s="190">
        <v>206</v>
      </c>
      <c r="D57" s="113">
        <v>15</v>
      </c>
      <c r="E57" s="174">
        <v>7929</v>
      </c>
      <c r="F57" s="189">
        <v>12000</v>
      </c>
      <c r="G57" s="189">
        <v>9000</v>
      </c>
      <c r="H57" s="176">
        <v>10500</v>
      </c>
      <c r="J57" s="113">
        <v>250</v>
      </c>
      <c r="K57" s="113">
        <v>237.8</v>
      </c>
      <c r="L57" s="113">
        <v>15</v>
      </c>
      <c r="M57" s="116" t="s">
        <v>1507</v>
      </c>
      <c r="N57" s="187">
        <v>12000</v>
      </c>
      <c r="O57" s="118">
        <v>1200</v>
      </c>
      <c r="P57" s="188">
        <f t="shared" si="46"/>
        <v>19024</v>
      </c>
      <c r="Q57" s="189">
        <v>10500</v>
      </c>
      <c r="R57" s="189">
        <v>12000</v>
      </c>
      <c r="S57" s="186">
        <f t="shared" si="23"/>
        <v>15.853333333333333</v>
      </c>
      <c r="T57" s="116">
        <v>1484</v>
      </c>
      <c r="U57" s="185">
        <f t="shared" si="24"/>
        <v>23526.346666666668</v>
      </c>
      <c r="V57" s="175">
        <v>9620</v>
      </c>
      <c r="W57" s="176">
        <v>15977</v>
      </c>
      <c r="X57" s="185" t="s">
        <v>1507</v>
      </c>
      <c r="Y57" s="115">
        <v>606</v>
      </c>
      <c r="Z57" s="169">
        <f t="shared" si="25"/>
        <v>500.14718250630784</v>
      </c>
      <c r="AA57" s="166">
        <f t="shared" si="26"/>
        <v>7929</v>
      </c>
      <c r="AB57" s="181" t="s">
        <v>1509</v>
      </c>
      <c r="AC57" s="113">
        <f t="shared" si="27"/>
        <v>7929</v>
      </c>
      <c r="AD57" s="113">
        <f t="shared" si="28"/>
        <v>12000</v>
      </c>
      <c r="AE57" s="113">
        <f t="shared" si="29"/>
        <v>9000</v>
      </c>
      <c r="AF57" s="118">
        <f t="shared" si="30"/>
        <v>10500</v>
      </c>
      <c r="AG57" s="118">
        <f t="shared" si="31"/>
        <v>12000</v>
      </c>
      <c r="AH57" s="167">
        <f t="shared" si="32"/>
        <v>19024</v>
      </c>
      <c r="AI57" s="118">
        <f t="shared" si="33"/>
        <v>10500</v>
      </c>
      <c r="AJ57" s="118">
        <f t="shared" si="34"/>
        <v>12000</v>
      </c>
      <c r="AK57" s="114">
        <f t="shared" si="35"/>
        <v>23526.346666666668</v>
      </c>
      <c r="AL57" s="114">
        <f t="shared" si="36"/>
        <v>9620</v>
      </c>
      <c r="AM57" s="113">
        <f t="shared" si="37"/>
        <v>15977</v>
      </c>
      <c r="AN57" s="114" t="str">
        <f t="shared" si="38"/>
        <v>NA</v>
      </c>
      <c r="AO57" s="182">
        <f t="shared" si="39"/>
        <v>567.70395290159797</v>
      </c>
      <c r="AP57" s="166">
        <f t="shared" si="40"/>
        <v>9000</v>
      </c>
      <c r="AQ57" s="165" t="s">
        <v>1477</v>
      </c>
    </row>
    <row r="58" spans="1:43" x14ac:dyDescent="0.35">
      <c r="A58" s="177" t="s">
        <v>1549</v>
      </c>
      <c r="B58" s="191">
        <v>3</v>
      </c>
      <c r="C58" s="117">
        <v>394</v>
      </c>
      <c r="D58" s="113">
        <v>23</v>
      </c>
      <c r="E58" s="189">
        <v>9890</v>
      </c>
      <c r="F58" s="189">
        <v>12000</v>
      </c>
      <c r="G58" s="189">
        <v>10000</v>
      </c>
      <c r="H58" s="187" t="s">
        <v>1507</v>
      </c>
      <c r="J58" s="113">
        <v>430</v>
      </c>
      <c r="K58" s="113">
        <v>243.6</v>
      </c>
      <c r="L58" s="113">
        <v>23</v>
      </c>
      <c r="M58" s="116" t="s">
        <v>1507</v>
      </c>
      <c r="N58" s="187">
        <v>12000</v>
      </c>
      <c r="O58" s="118">
        <v>1125</v>
      </c>
      <c r="P58" s="188">
        <f t="shared" si="46"/>
        <v>11915.217391304348</v>
      </c>
      <c r="Q58" s="187" t="s">
        <v>1507</v>
      </c>
      <c r="R58" s="187" t="s">
        <v>1507</v>
      </c>
      <c r="S58" s="186">
        <f t="shared" si="23"/>
        <v>10.591304347826087</v>
      </c>
      <c r="T58" s="116">
        <v>1240</v>
      </c>
      <c r="U58" s="185">
        <f t="shared" si="24"/>
        <v>13133.217391304348</v>
      </c>
      <c r="V58" s="175">
        <v>10794</v>
      </c>
      <c r="W58" s="176">
        <v>20409</v>
      </c>
      <c r="X58" s="185" t="s">
        <v>1507</v>
      </c>
      <c r="Y58" s="115">
        <v>1019</v>
      </c>
      <c r="Z58" s="169">
        <f t="shared" si="25"/>
        <v>933.78489326765191</v>
      </c>
      <c r="AA58" s="166">
        <f t="shared" si="26"/>
        <v>9890</v>
      </c>
      <c r="AB58" s="181" t="s">
        <v>1509</v>
      </c>
      <c r="AC58" s="113">
        <f t="shared" si="27"/>
        <v>9890</v>
      </c>
      <c r="AD58" s="113">
        <f t="shared" si="28"/>
        <v>12000</v>
      </c>
      <c r="AE58" s="113">
        <f t="shared" si="29"/>
        <v>10000</v>
      </c>
      <c r="AF58" s="118" t="str">
        <f t="shared" si="30"/>
        <v>NA</v>
      </c>
      <c r="AG58" s="118">
        <f t="shared" si="31"/>
        <v>12000</v>
      </c>
      <c r="AH58" s="167">
        <f t="shared" si="32"/>
        <v>11915.217391304348</v>
      </c>
      <c r="AI58" s="118" t="str">
        <f t="shared" si="33"/>
        <v>NA</v>
      </c>
      <c r="AJ58" s="118" t="str">
        <f t="shared" si="34"/>
        <v>NA</v>
      </c>
      <c r="AK58" s="114">
        <f t="shared" si="35"/>
        <v>13133.217391304348</v>
      </c>
      <c r="AL58" s="114">
        <f t="shared" si="36"/>
        <v>10794</v>
      </c>
      <c r="AM58" s="113">
        <f t="shared" si="37"/>
        <v>20409</v>
      </c>
      <c r="AN58" s="114" t="str">
        <f t="shared" si="38"/>
        <v>NA</v>
      </c>
      <c r="AO58" s="182">
        <f t="shared" si="39"/>
        <v>944.17077175697864</v>
      </c>
      <c r="AP58" s="166">
        <f t="shared" si="40"/>
        <v>10000</v>
      </c>
      <c r="AQ58" s="165" t="s">
        <v>1477</v>
      </c>
    </row>
    <row r="59" spans="1:43" x14ac:dyDescent="0.35">
      <c r="A59" s="208" t="s">
        <v>1550</v>
      </c>
      <c r="B59" s="207">
        <v>3</v>
      </c>
      <c r="C59" s="206">
        <v>394</v>
      </c>
      <c r="D59" s="178">
        <v>23</v>
      </c>
      <c r="E59" s="205">
        <v>9890</v>
      </c>
      <c r="F59" s="205">
        <v>12000</v>
      </c>
      <c r="G59" s="205">
        <v>10000</v>
      </c>
      <c r="H59" s="203" t="s">
        <v>1507</v>
      </c>
      <c r="I59" s="180"/>
      <c r="J59" s="178">
        <v>430</v>
      </c>
      <c r="K59" s="178">
        <v>243.6</v>
      </c>
      <c r="L59" s="178">
        <v>23</v>
      </c>
      <c r="M59" s="201" t="s">
        <v>1507</v>
      </c>
      <c r="N59" s="203">
        <v>12000</v>
      </c>
      <c r="O59" s="180">
        <v>1125</v>
      </c>
      <c r="P59" s="204">
        <f t="shared" si="46"/>
        <v>11915.217391304348</v>
      </c>
      <c r="Q59" s="203" t="s">
        <v>1507</v>
      </c>
      <c r="R59" s="203" t="s">
        <v>1507</v>
      </c>
      <c r="S59" s="202">
        <f t="shared" si="23"/>
        <v>10.591304347826087</v>
      </c>
      <c r="T59" s="201">
        <v>1484</v>
      </c>
      <c r="U59" s="199">
        <f t="shared" si="24"/>
        <v>15717.495652173913</v>
      </c>
      <c r="V59" s="175">
        <v>10794</v>
      </c>
      <c r="W59" s="200">
        <v>20409</v>
      </c>
      <c r="X59" s="199" t="s">
        <v>1507</v>
      </c>
      <c r="Y59" s="198">
        <v>1019</v>
      </c>
      <c r="Z59" s="197">
        <f t="shared" si="25"/>
        <v>933.78489326765191</v>
      </c>
      <c r="AA59" s="194">
        <f t="shared" si="26"/>
        <v>9890</v>
      </c>
      <c r="AB59" s="196" t="s">
        <v>1509</v>
      </c>
      <c r="AC59" s="113">
        <f t="shared" si="27"/>
        <v>9890</v>
      </c>
      <c r="AD59" s="113">
        <f t="shared" si="28"/>
        <v>12000</v>
      </c>
      <c r="AE59" s="113">
        <f t="shared" si="29"/>
        <v>10000</v>
      </c>
      <c r="AF59" s="118" t="str">
        <f t="shared" si="30"/>
        <v>NA</v>
      </c>
      <c r="AG59" s="118">
        <f t="shared" si="31"/>
        <v>12000</v>
      </c>
      <c r="AH59" s="167">
        <f t="shared" si="32"/>
        <v>11915.217391304348</v>
      </c>
      <c r="AI59" s="118" t="str">
        <f t="shared" si="33"/>
        <v>NA</v>
      </c>
      <c r="AJ59" s="118" t="str">
        <f t="shared" si="34"/>
        <v>NA</v>
      </c>
      <c r="AK59" s="114">
        <f t="shared" si="35"/>
        <v>15717.495652173913</v>
      </c>
      <c r="AL59" s="114">
        <f t="shared" si="36"/>
        <v>10794</v>
      </c>
      <c r="AM59" s="113">
        <f t="shared" si="37"/>
        <v>20409</v>
      </c>
      <c r="AN59" s="114" t="str">
        <f t="shared" si="38"/>
        <v>NA</v>
      </c>
      <c r="AO59" s="195">
        <f t="shared" si="39"/>
        <v>944.17077175697864</v>
      </c>
      <c r="AP59" s="194">
        <f t="shared" si="40"/>
        <v>10000</v>
      </c>
      <c r="AQ59" s="193" t="s">
        <v>1477</v>
      </c>
    </row>
    <row r="60" spans="1:43" x14ac:dyDescent="0.35">
      <c r="A60" s="177" t="s">
        <v>1551</v>
      </c>
      <c r="B60" s="191">
        <v>6</v>
      </c>
      <c r="C60" s="117">
        <f>48.6/0.9*0.915</f>
        <v>49.410000000000004</v>
      </c>
      <c r="D60" s="113">
        <v>13.8</v>
      </c>
      <c r="E60" s="174">
        <f t="shared" ref="E60:E67" si="47">(C60*1000)/(SQRT(3)*D60)</f>
        <v>2067.1649855550299</v>
      </c>
      <c r="F60" s="189">
        <v>4000</v>
      </c>
      <c r="G60" s="189">
        <v>3000</v>
      </c>
      <c r="H60" s="187">
        <v>3000</v>
      </c>
      <c r="I60" s="118" t="s">
        <v>1552</v>
      </c>
      <c r="J60" s="113">
        <v>67.2</v>
      </c>
      <c r="K60" s="113">
        <v>115</v>
      </c>
      <c r="L60" s="113">
        <v>13.2</v>
      </c>
      <c r="M60" s="116" t="s">
        <v>1507</v>
      </c>
      <c r="N60" s="187">
        <v>3000</v>
      </c>
      <c r="O60" s="118">
        <v>600</v>
      </c>
      <c r="P60" s="188">
        <f t="shared" si="46"/>
        <v>5227.2727272727279</v>
      </c>
      <c r="Q60" s="187">
        <v>3000</v>
      </c>
      <c r="R60" s="187">
        <v>4000</v>
      </c>
      <c r="S60" s="186">
        <f t="shared" si="23"/>
        <v>8.7121212121212128</v>
      </c>
      <c r="T60" s="116">
        <v>300</v>
      </c>
      <c r="U60" s="185">
        <f t="shared" si="24"/>
        <v>2613.636363636364</v>
      </c>
      <c r="V60" s="192">
        <f t="shared" ref="V60:V67" si="48">(J60*1000)/(SQRT(3)*L60)</f>
        <v>2939.2377340562771</v>
      </c>
      <c r="W60" s="176">
        <v>5922.5</v>
      </c>
      <c r="X60" s="185" t="s">
        <v>1507</v>
      </c>
      <c r="Y60" s="115">
        <v>337</v>
      </c>
      <c r="Z60" s="169">
        <f t="shared" si="25"/>
        <v>237.27458964631646</v>
      </c>
      <c r="AA60" s="166">
        <f t="shared" si="26"/>
        <v>2067.1649855550299</v>
      </c>
      <c r="AB60" s="181" t="s">
        <v>1509</v>
      </c>
      <c r="AC60" s="113">
        <f t="shared" si="27"/>
        <v>2067.1649855550299</v>
      </c>
      <c r="AD60" s="113">
        <f t="shared" si="28"/>
        <v>4000</v>
      </c>
      <c r="AE60" s="113">
        <f t="shared" si="29"/>
        <v>3000</v>
      </c>
      <c r="AF60" s="118">
        <f t="shared" si="30"/>
        <v>3000</v>
      </c>
      <c r="AG60" s="118">
        <f t="shared" si="31"/>
        <v>3000</v>
      </c>
      <c r="AH60" s="167">
        <f t="shared" si="32"/>
        <v>5227.2727272727279</v>
      </c>
      <c r="AI60" s="118">
        <f t="shared" si="33"/>
        <v>3000</v>
      </c>
      <c r="AJ60" s="118">
        <f t="shared" si="34"/>
        <v>4000</v>
      </c>
      <c r="AK60" s="114">
        <f t="shared" si="35"/>
        <v>2613.636363636364</v>
      </c>
      <c r="AL60" s="114">
        <f t="shared" si="36"/>
        <v>2939.2377340562771</v>
      </c>
      <c r="AM60" s="113">
        <f t="shared" si="37"/>
        <v>5922.5</v>
      </c>
      <c r="AN60" s="114" t="str">
        <f t="shared" si="38"/>
        <v>NA</v>
      </c>
      <c r="AO60" s="182">
        <f t="shared" si="39"/>
        <v>300</v>
      </c>
      <c r="AP60" s="166">
        <f t="shared" si="40"/>
        <v>2613.636363636364</v>
      </c>
      <c r="AQ60" s="165" t="s">
        <v>1553</v>
      </c>
    </row>
    <row r="61" spans="1:43" x14ac:dyDescent="0.35">
      <c r="A61" s="177" t="s">
        <v>1554</v>
      </c>
      <c r="B61" s="191">
        <v>6</v>
      </c>
      <c r="C61" s="190">
        <f>73.5/0.9*0.915</f>
        <v>74.725000000000009</v>
      </c>
      <c r="D61" s="113">
        <v>13.8</v>
      </c>
      <c r="E61" s="174">
        <f t="shared" si="47"/>
        <v>3126.2680337097677</v>
      </c>
      <c r="F61" s="189">
        <v>4000</v>
      </c>
      <c r="G61" s="189">
        <v>3000</v>
      </c>
      <c r="H61" s="187">
        <v>3000</v>
      </c>
      <c r="I61" s="118" t="s">
        <v>1552</v>
      </c>
      <c r="J61" s="113">
        <v>67.2</v>
      </c>
      <c r="K61" s="113">
        <v>115</v>
      </c>
      <c r="L61" s="113">
        <v>13.2</v>
      </c>
      <c r="M61" s="116" t="s">
        <v>1507</v>
      </c>
      <c r="N61" s="187">
        <v>3000</v>
      </c>
      <c r="O61" s="118">
        <v>600</v>
      </c>
      <c r="P61" s="188">
        <f t="shared" si="46"/>
        <v>5227.2727272727279</v>
      </c>
      <c r="Q61" s="187">
        <v>3000</v>
      </c>
      <c r="R61" s="187">
        <v>4000</v>
      </c>
      <c r="S61" s="186">
        <f t="shared" si="23"/>
        <v>8.7121212121212128</v>
      </c>
      <c r="T61" s="116">
        <v>300</v>
      </c>
      <c r="U61" s="185">
        <f t="shared" si="24"/>
        <v>2613.636363636364</v>
      </c>
      <c r="V61" s="173">
        <f t="shared" si="48"/>
        <v>2939.2377340562771</v>
      </c>
      <c r="W61" s="176">
        <v>5922.5</v>
      </c>
      <c r="X61" s="185" t="s">
        <v>1507</v>
      </c>
      <c r="Y61" s="184">
        <v>337</v>
      </c>
      <c r="Z61" s="169">
        <f t="shared" si="25"/>
        <v>300</v>
      </c>
      <c r="AA61" s="166">
        <f t="shared" si="26"/>
        <v>2613.636363636364</v>
      </c>
      <c r="AB61" s="168" t="s">
        <v>1553</v>
      </c>
      <c r="AC61" s="178">
        <f t="shared" si="27"/>
        <v>3126.2680337097677</v>
      </c>
      <c r="AD61" s="178">
        <f t="shared" si="28"/>
        <v>4000</v>
      </c>
      <c r="AE61" s="178">
        <f t="shared" si="29"/>
        <v>3000</v>
      </c>
      <c r="AF61" s="180">
        <f t="shared" si="30"/>
        <v>3000</v>
      </c>
      <c r="AG61" s="180">
        <f t="shared" si="31"/>
        <v>3000</v>
      </c>
      <c r="AH61" s="183">
        <f t="shared" si="32"/>
        <v>5227.2727272727279</v>
      </c>
      <c r="AI61" s="180">
        <f t="shared" si="33"/>
        <v>3000</v>
      </c>
      <c r="AJ61" s="180">
        <f t="shared" si="34"/>
        <v>4000</v>
      </c>
      <c r="AK61" s="179">
        <f t="shared" si="35"/>
        <v>2613.636363636364</v>
      </c>
      <c r="AL61" s="179">
        <f t="shared" si="36"/>
        <v>2939.2377340562771</v>
      </c>
      <c r="AM61" s="178">
        <f t="shared" si="37"/>
        <v>5922.5</v>
      </c>
      <c r="AN61" s="179" t="str">
        <f t="shared" si="38"/>
        <v>NA</v>
      </c>
      <c r="AO61" s="182">
        <f t="shared" si="39"/>
        <v>337.37337469167699</v>
      </c>
      <c r="AP61" s="166">
        <f t="shared" si="40"/>
        <v>2939.2377340562771</v>
      </c>
      <c r="AQ61" s="165" t="s">
        <v>1465</v>
      </c>
    </row>
    <row r="62" spans="1:43" x14ac:dyDescent="0.35">
      <c r="A62" s="177" t="s">
        <v>2569</v>
      </c>
      <c r="B62" s="116">
        <v>7</v>
      </c>
      <c r="C62" s="117">
        <f>(45/0.8)*0.915</f>
        <v>51.46875</v>
      </c>
      <c r="D62" s="113">
        <v>13.8</v>
      </c>
      <c r="E62" s="174">
        <f t="shared" si="47"/>
        <v>2153.2968599531559</v>
      </c>
      <c r="F62" s="174">
        <v>3000</v>
      </c>
      <c r="G62" s="174">
        <v>2717</v>
      </c>
      <c r="H62" s="176" t="s">
        <v>1507</v>
      </c>
      <c r="J62" s="113">
        <v>50</v>
      </c>
      <c r="K62" s="113">
        <v>115</v>
      </c>
      <c r="L62" s="113">
        <v>13.2</v>
      </c>
      <c r="M62" s="116" t="s">
        <v>1507</v>
      </c>
      <c r="N62" s="176">
        <v>3000</v>
      </c>
      <c r="O62" s="118">
        <v>1200</v>
      </c>
      <c r="P62" s="175">
        <f t="shared" si="46"/>
        <v>10454.545454545456</v>
      </c>
      <c r="Q62" s="176">
        <v>3000</v>
      </c>
      <c r="R62" s="176">
        <v>3000</v>
      </c>
      <c r="S62" s="117">
        <f t="shared" si="23"/>
        <v>8.7121212121212128</v>
      </c>
      <c r="T62" s="116">
        <f>'[1]HS Calculations'!K191</f>
        <v>600</v>
      </c>
      <c r="U62" s="171">
        <f t="shared" si="24"/>
        <v>5227.2727272727279</v>
      </c>
      <c r="V62" s="173">
        <f t="shared" si="48"/>
        <v>2186.9328378394921</v>
      </c>
      <c r="W62" s="172">
        <f t="shared" ref="W62:W67" si="49">630*S62</f>
        <v>5488.636363636364</v>
      </c>
      <c r="X62" s="171" t="s">
        <v>1507</v>
      </c>
      <c r="Y62" s="115" t="s">
        <v>1507</v>
      </c>
      <c r="Z62" s="169">
        <f t="shared" si="25"/>
        <v>247.16103088157962</v>
      </c>
      <c r="AA62" s="166">
        <f t="shared" si="26"/>
        <v>2153.2968599531559</v>
      </c>
      <c r="AB62" s="181" t="s">
        <v>1509</v>
      </c>
      <c r="AC62" s="178">
        <f t="shared" si="27"/>
        <v>2153.2968599531559</v>
      </c>
      <c r="AD62" s="113">
        <f t="shared" si="28"/>
        <v>3000</v>
      </c>
      <c r="AE62" s="113">
        <f t="shared" si="29"/>
        <v>2717</v>
      </c>
      <c r="AF62" s="180" t="str">
        <f t="shared" si="30"/>
        <v>NA</v>
      </c>
      <c r="AG62" s="180">
        <f t="shared" si="31"/>
        <v>3000</v>
      </c>
      <c r="AH62" s="167">
        <f t="shared" si="32"/>
        <v>10454.545454545456</v>
      </c>
      <c r="AI62" s="118">
        <f t="shared" si="33"/>
        <v>3000</v>
      </c>
      <c r="AJ62" s="180">
        <f t="shared" si="34"/>
        <v>3000</v>
      </c>
      <c r="AK62" s="179">
        <f t="shared" si="35"/>
        <v>5227.2727272727279</v>
      </c>
      <c r="AL62" s="114">
        <f t="shared" si="36"/>
        <v>2186.9328378394921</v>
      </c>
      <c r="AM62" s="178">
        <f t="shared" si="37"/>
        <v>5488.636363636364</v>
      </c>
      <c r="AN62" s="114" t="str">
        <f t="shared" si="38"/>
        <v>NA</v>
      </c>
      <c r="AO62" s="114">
        <f t="shared" si="39"/>
        <v>251.02185616940255</v>
      </c>
      <c r="AP62" s="166">
        <f t="shared" si="40"/>
        <v>2186.9328378394921</v>
      </c>
      <c r="AQ62" s="165" t="s">
        <v>1465</v>
      </c>
    </row>
    <row r="63" spans="1:43" x14ac:dyDescent="0.35">
      <c r="A63" s="177" t="s">
        <v>2570</v>
      </c>
      <c r="B63" s="116">
        <v>7</v>
      </c>
      <c r="C63" s="117">
        <f>(76.75/0.9)*0.915</f>
        <v>78.029166666666669</v>
      </c>
      <c r="D63" s="113">
        <v>13.8</v>
      </c>
      <c r="E63" s="174">
        <f t="shared" si="47"/>
        <v>3264.5043753363893</v>
      </c>
      <c r="F63" s="174">
        <v>3000</v>
      </c>
      <c r="G63" s="174">
        <v>3237</v>
      </c>
      <c r="H63" s="176" t="s">
        <v>1507</v>
      </c>
      <c r="J63" s="113">
        <v>50</v>
      </c>
      <c r="K63" s="113">
        <v>115</v>
      </c>
      <c r="L63" s="113">
        <v>13.2</v>
      </c>
      <c r="M63" s="116" t="s">
        <v>1507</v>
      </c>
      <c r="N63" s="176">
        <v>3000</v>
      </c>
      <c r="O63" s="118">
        <v>1200</v>
      </c>
      <c r="P63" s="175">
        <f t="shared" si="46"/>
        <v>10454.545454545456</v>
      </c>
      <c r="Q63" s="176">
        <v>3000</v>
      </c>
      <c r="R63" s="176">
        <v>3000</v>
      </c>
      <c r="S63" s="117">
        <f t="shared" si="23"/>
        <v>8.7121212121212128</v>
      </c>
      <c r="T63" s="116">
        <f>'[1]HS Calculations'!K191</f>
        <v>600</v>
      </c>
      <c r="U63" s="171">
        <f t="shared" si="24"/>
        <v>5227.2727272727279</v>
      </c>
      <c r="V63" s="173">
        <f t="shared" si="48"/>
        <v>2186.9328378394921</v>
      </c>
      <c r="W63" s="172">
        <f t="shared" si="49"/>
        <v>5488.636363636364</v>
      </c>
      <c r="X63" s="171" t="s">
        <v>1507</v>
      </c>
      <c r="Y63" s="115" t="s">
        <v>1507</v>
      </c>
      <c r="Z63" s="169">
        <f t="shared" si="25"/>
        <v>251.02185616940255</v>
      </c>
      <c r="AA63" s="166">
        <f t="shared" si="26"/>
        <v>2186.9328378394921</v>
      </c>
      <c r="AB63" s="181" t="s">
        <v>1465</v>
      </c>
      <c r="AC63" s="178">
        <f t="shared" si="27"/>
        <v>3264.5043753363893</v>
      </c>
      <c r="AD63" s="113">
        <f t="shared" si="28"/>
        <v>3000</v>
      </c>
      <c r="AE63" s="113">
        <f t="shared" si="29"/>
        <v>3237</v>
      </c>
      <c r="AF63" s="180" t="str">
        <f t="shared" si="30"/>
        <v>NA</v>
      </c>
      <c r="AG63" s="180">
        <f t="shared" si="31"/>
        <v>3000</v>
      </c>
      <c r="AH63" s="167">
        <f t="shared" si="32"/>
        <v>10454.545454545456</v>
      </c>
      <c r="AI63" s="118">
        <f t="shared" si="33"/>
        <v>3000</v>
      </c>
      <c r="AJ63" s="180">
        <f t="shared" si="34"/>
        <v>3000</v>
      </c>
      <c r="AK63" s="179">
        <f t="shared" si="35"/>
        <v>5227.2727272727279</v>
      </c>
      <c r="AL63" s="114">
        <f t="shared" si="36"/>
        <v>2186.9328378394921</v>
      </c>
      <c r="AM63" s="178">
        <f t="shared" si="37"/>
        <v>5488.636363636364</v>
      </c>
      <c r="AN63" s="114" t="str">
        <f t="shared" si="38"/>
        <v>NA</v>
      </c>
      <c r="AO63" s="114">
        <f t="shared" si="39"/>
        <v>344.3478260869565</v>
      </c>
      <c r="AP63" s="166">
        <f t="shared" si="40"/>
        <v>3000</v>
      </c>
      <c r="AQ63" s="165" t="s">
        <v>2571</v>
      </c>
    </row>
    <row r="64" spans="1:43" x14ac:dyDescent="0.35">
      <c r="A64" s="177" t="s">
        <v>2569</v>
      </c>
      <c r="B64" s="116">
        <v>8</v>
      </c>
      <c r="C64" s="117">
        <f>(45/0.8)*0.915</f>
        <v>51.46875</v>
      </c>
      <c r="D64" s="113">
        <v>13.8</v>
      </c>
      <c r="E64" s="174">
        <f t="shared" si="47"/>
        <v>2153.2968599531559</v>
      </c>
      <c r="F64" s="174">
        <v>3000</v>
      </c>
      <c r="G64" s="174">
        <v>2717</v>
      </c>
      <c r="H64" s="176" t="s">
        <v>1507</v>
      </c>
      <c r="J64" s="113">
        <v>50</v>
      </c>
      <c r="K64" s="113">
        <v>115</v>
      </c>
      <c r="L64" s="113">
        <v>13.2</v>
      </c>
      <c r="M64" s="116" t="s">
        <v>1507</v>
      </c>
      <c r="N64" s="176">
        <v>3000</v>
      </c>
      <c r="O64" s="118">
        <v>1200</v>
      </c>
      <c r="P64" s="175">
        <f t="shared" si="46"/>
        <v>10454.545454545456</v>
      </c>
      <c r="Q64" s="176">
        <v>3000</v>
      </c>
      <c r="R64" s="176">
        <v>3000</v>
      </c>
      <c r="S64" s="117">
        <f t="shared" si="23"/>
        <v>8.7121212121212128</v>
      </c>
      <c r="T64" s="116">
        <f>'[1]HS Calculations'!K191</f>
        <v>600</v>
      </c>
      <c r="U64" s="171">
        <f t="shared" si="24"/>
        <v>5227.2727272727279</v>
      </c>
      <c r="V64" s="173">
        <f t="shared" si="48"/>
        <v>2186.9328378394921</v>
      </c>
      <c r="W64" s="172">
        <f t="shared" si="49"/>
        <v>5488.636363636364</v>
      </c>
      <c r="X64" s="171" t="s">
        <v>1507</v>
      </c>
      <c r="Y64" s="115" t="s">
        <v>1507</v>
      </c>
      <c r="Z64" s="169">
        <f t="shared" si="25"/>
        <v>247.16103088157962</v>
      </c>
      <c r="AA64" s="166">
        <f t="shared" si="26"/>
        <v>2153.2968599531559</v>
      </c>
      <c r="AB64" s="168" t="s">
        <v>1509</v>
      </c>
      <c r="AC64" s="178">
        <f t="shared" si="27"/>
        <v>2153.2968599531559</v>
      </c>
      <c r="AD64" s="113">
        <f t="shared" si="28"/>
        <v>3000</v>
      </c>
      <c r="AE64" s="113">
        <f t="shared" si="29"/>
        <v>2717</v>
      </c>
      <c r="AF64" s="180" t="str">
        <f t="shared" si="30"/>
        <v>NA</v>
      </c>
      <c r="AG64" s="180">
        <f t="shared" si="31"/>
        <v>3000</v>
      </c>
      <c r="AH64" s="167">
        <f t="shared" si="32"/>
        <v>10454.545454545456</v>
      </c>
      <c r="AI64" s="118">
        <f t="shared" si="33"/>
        <v>3000</v>
      </c>
      <c r="AJ64" s="180">
        <f t="shared" si="34"/>
        <v>3000</v>
      </c>
      <c r="AK64" s="179">
        <f t="shared" si="35"/>
        <v>5227.2727272727279</v>
      </c>
      <c r="AL64" s="114">
        <f t="shared" si="36"/>
        <v>2186.9328378394921</v>
      </c>
      <c r="AM64" s="178">
        <f t="shared" si="37"/>
        <v>5488.636363636364</v>
      </c>
      <c r="AN64" s="114" t="str">
        <f t="shared" si="38"/>
        <v>NA</v>
      </c>
      <c r="AO64" s="114">
        <f t="shared" si="39"/>
        <v>251.02185616940255</v>
      </c>
      <c r="AP64" s="166">
        <f t="shared" si="40"/>
        <v>2186.9328378394921</v>
      </c>
      <c r="AQ64" s="165" t="s">
        <v>1465</v>
      </c>
    </row>
    <row r="65" spans="1:44" x14ac:dyDescent="0.35">
      <c r="A65" s="177" t="s">
        <v>2570</v>
      </c>
      <c r="B65" s="116">
        <v>8</v>
      </c>
      <c r="C65" s="117">
        <f>(76.75/0.9)*0.915</f>
        <v>78.029166666666669</v>
      </c>
      <c r="D65" s="113">
        <v>13.8</v>
      </c>
      <c r="E65" s="174">
        <f t="shared" si="47"/>
        <v>3264.5043753363893</v>
      </c>
      <c r="F65" s="174">
        <v>3000</v>
      </c>
      <c r="G65" s="174">
        <v>3237</v>
      </c>
      <c r="H65" s="176" t="s">
        <v>1507</v>
      </c>
      <c r="J65" s="113">
        <v>50</v>
      </c>
      <c r="K65" s="113">
        <v>115</v>
      </c>
      <c r="L65" s="113">
        <v>13.2</v>
      </c>
      <c r="M65" s="116" t="s">
        <v>1507</v>
      </c>
      <c r="N65" s="176">
        <v>3000</v>
      </c>
      <c r="O65" s="118">
        <v>1200</v>
      </c>
      <c r="P65" s="175">
        <f t="shared" si="46"/>
        <v>10454.545454545456</v>
      </c>
      <c r="Q65" s="176">
        <v>3000</v>
      </c>
      <c r="R65" s="176">
        <v>3000</v>
      </c>
      <c r="S65" s="117">
        <f t="shared" si="23"/>
        <v>8.7121212121212128</v>
      </c>
      <c r="T65" s="116">
        <f>'[1]HS Calculations'!K191</f>
        <v>600</v>
      </c>
      <c r="U65" s="171">
        <f t="shared" si="24"/>
        <v>5227.2727272727279</v>
      </c>
      <c r="V65" s="173">
        <f t="shared" si="48"/>
        <v>2186.9328378394921</v>
      </c>
      <c r="W65" s="172">
        <f t="shared" si="49"/>
        <v>5488.636363636364</v>
      </c>
      <c r="X65" s="171" t="s">
        <v>1507</v>
      </c>
      <c r="Y65" s="115" t="s">
        <v>1507</v>
      </c>
      <c r="Z65" s="169">
        <f t="shared" si="25"/>
        <v>251.02185616940255</v>
      </c>
      <c r="AA65" s="166">
        <f t="shared" si="26"/>
        <v>2186.9328378394921</v>
      </c>
      <c r="AB65" s="168" t="s">
        <v>1465</v>
      </c>
      <c r="AC65" s="178">
        <f t="shared" si="27"/>
        <v>3264.5043753363893</v>
      </c>
      <c r="AD65" s="113">
        <f t="shared" si="28"/>
        <v>3000</v>
      </c>
      <c r="AE65" s="113">
        <f t="shared" si="29"/>
        <v>3237</v>
      </c>
      <c r="AF65" s="180" t="str">
        <f t="shared" si="30"/>
        <v>NA</v>
      </c>
      <c r="AG65" s="180">
        <f t="shared" si="31"/>
        <v>3000</v>
      </c>
      <c r="AH65" s="167">
        <f t="shared" si="32"/>
        <v>10454.545454545456</v>
      </c>
      <c r="AI65" s="118">
        <f t="shared" si="33"/>
        <v>3000</v>
      </c>
      <c r="AJ65" s="180">
        <f t="shared" si="34"/>
        <v>3000</v>
      </c>
      <c r="AK65" s="179">
        <f t="shared" si="35"/>
        <v>5227.2727272727279</v>
      </c>
      <c r="AL65" s="114">
        <f t="shared" si="36"/>
        <v>2186.9328378394921</v>
      </c>
      <c r="AM65" s="178">
        <f t="shared" si="37"/>
        <v>5488.636363636364</v>
      </c>
      <c r="AN65" s="114" t="str">
        <f t="shared" si="38"/>
        <v>NA</v>
      </c>
      <c r="AO65" s="114">
        <f t="shared" si="39"/>
        <v>344.3478260869565</v>
      </c>
      <c r="AP65" s="166">
        <f t="shared" si="40"/>
        <v>3000</v>
      </c>
      <c r="AQ65" s="165" t="s">
        <v>2571</v>
      </c>
    </row>
    <row r="66" spans="1:44" x14ac:dyDescent="0.35">
      <c r="A66" s="177" t="s">
        <v>2572</v>
      </c>
      <c r="B66" s="116" t="s">
        <v>1514</v>
      </c>
      <c r="C66" s="117">
        <f>SUM(C62,C64)</f>
        <v>102.9375</v>
      </c>
      <c r="D66" s="113">
        <v>13.8</v>
      </c>
      <c r="E66" s="174">
        <f t="shared" si="47"/>
        <v>4306.5937199063119</v>
      </c>
      <c r="F66" s="174" t="s">
        <v>1507</v>
      </c>
      <c r="G66" s="174" t="s">
        <v>1507</v>
      </c>
      <c r="H66" s="174" t="s">
        <v>1507</v>
      </c>
      <c r="J66" s="113">
        <v>100</v>
      </c>
      <c r="K66" s="113">
        <v>115</v>
      </c>
      <c r="L66" s="113">
        <v>13.2</v>
      </c>
      <c r="M66" s="116" t="s">
        <v>1507</v>
      </c>
      <c r="N66" s="176" t="s">
        <v>1507</v>
      </c>
      <c r="O66" s="118">
        <v>1199</v>
      </c>
      <c r="P66" s="175">
        <f t="shared" si="46"/>
        <v>10445.833333333334</v>
      </c>
      <c r="Q66" s="174" t="s">
        <v>1507</v>
      </c>
      <c r="R66" s="174" t="s">
        <v>1507</v>
      </c>
      <c r="S66" s="117">
        <f t="shared" si="23"/>
        <v>8.7121212121212128</v>
      </c>
      <c r="T66" s="116">
        <f>'[1]HS Calculations'!K191</f>
        <v>600</v>
      </c>
      <c r="U66" s="171">
        <f t="shared" si="24"/>
        <v>5227.2727272727279</v>
      </c>
      <c r="V66" s="173">
        <f t="shared" si="48"/>
        <v>4373.8656756789842</v>
      </c>
      <c r="W66" s="172">
        <f t="shared" si="49"/>
        <v>5488.636363636364</v>
      </c>
      <c r="X66" s="171" t="s">
        <v>1507</v>
      </c>
      <c r="Y66" s="170">
        <v>502</v>
      </c>
      <c r="Z66" s="169">
        <f t="shared" si="25"/>
        <v>494.32206176315924</v>
      </c>
      <c r="AA66" s="166">
        <f t="shared" si="26"/>
        <v>4306.5937199063119</v>
      </c>
      <c r="AB66" s="168" t="s">
        <v>2535</v>
      </c>
      <c r="AC66" s="113">
        <f t="shared" si="27"/>
        <v>4306.5937199063119</v>
      </c>
      <c r="AD66" s="113" t="str">
        <f t="shared" si="28"/>
        <v>NA</v>
      </c>
      <c r="AE66" s="113" t="str">
        <f t="shared" si="29"/>
        <v>NA</v>
      </c>
      <c r="AF66" s="118" t="str">
        <f t="shared" si="30"/>
        <v>NA</v>
      </c>
      <c r="AG66" s="118" t="str">
        <f t="shared" si="31"/>
        <v>NA</v>
      </c>
      <c r="AH66" s="167">
        <f t="shared" si="32"/>
        <v>10445.833333333334</v>
      </c>
      <c r="AI66" s="118" t="str">
        <f t="shared" si="33"/>
        <v>NA</v>
      </c>
      <c r="AJ66" s="118" t="str">
        <f t="shared" si="34"/>
        <v>NA</v>
      </c>
      <c r="AK66" s="114">
        <f t="shared" si="35"/>
        <v>5227.2727272727279</v>
      </c>
      <c r="AL66" s="114">
        <f t="shared" si="36"/>
        <v>4373.8656756789842</v>
      </c>
      <c r="AM66" s="113">
        <f t="shared" si="37"/>
        <v>5488.636363636364</v>
      </c>
      <c r="AN66" s="114" t="str">
        <f t="shared" si="38"/>
        <v>NA</v>
      </c>
      <c r="AO66" s="114">
        <f t="shared" si="39"/>
        <v>502.04371233880511</v>
      </c>
      <c r="AP66" s="166">
        <f t="shared" si="40"/>
        <v>4373.8656756789842</v>
      </c>
      <c r="AQ66" s="165" t="s">
        <v>1465</v>
      </c>
    </row>
    <row r="67" spans="1:44" ht="16" thickBot="1" x14ac:dyDescent="0.4">
      <c r="A67" s="119" t="s">
        <v>2573</v>
      </c>
      <c r="B67" s="160" t="s">
        <v>1514</v>
      </c>
      <c r="C67" s="117">
        <f>SUM(C63,C65)</f>
        <v>156.05833333333334</v>
      </c>
      <c r="D67" s="151">
        <v>13.8</v>
      </c>
      <c r="E67" s="162">
        <f t="shared" si="47"/>
        <v>6529.0087506727787</v>
      </c>
      <c r="F67" s="162" t="s">
        <v>1507</v>
      </c>
      <c r="G67" s="162" t="s">
        <v>1507</v>
      </c>
      <c r="H67" s="162" t="s">
        <v>1507</v>
      </c>
      <c r="I67" s="152"/>
      <c r="J67" s="151">
        <v>100</v>
      </c>
      <c r="K67" s="151">
        <v>115</v>
      </c>
      <c r="L67" s="151">
        <v>13.2</v>
      </c>
      <c r="M67" s="160" t="s">
        <v>1507</v>
      </c>
      <c r="N67" s="164" t="s">
        <v>1507</v>
      </c>
      <c r="O67" s="152">
        <v>1200</v>
      </c>
      <c r="P67" s="163">
        <f t="shared" si="46"/>
        <v>10454.545454545456</v>
      </c>
      <c r="Q67" s="162" t="s">
        <v>1507</v>
      </c>
      <c r="R67" s="162" t="s">
        <v>1507</v>
      </c>
      <c r="S67" s="161">
        <f t="shared" si="23"/>
        <v>8.7121212121212128</v>
      </c>
      <c r="T67" s="160">
        <f>'[1]HS Calculations'!K191</f>
        <v>600</v>
      </c>
      <c r="U67" s="157">
        <f t="shared" si="24"/>
        <v>5227.2727272727279</v>
      </c>
      <c r="V67" s="159">
        <f t="shared" si="48"/>
        <v>4373.8656756789842</v>
      </c>
      <c r="W67" s="158">
        <f t="shared" si="49"/>
        <v>5488.636363636364</v>
      </c>
      <c r="X67" s="157" t="s">
        <v>1507</v>
      </c>
      <c r="Y67" s="156">
        <v>502</v>
      </c>
      <c r="Z67" s="155">
        <f t="shared" si="25"/>
        <v>502.04371233880511</v>
      </c>
      <c r="AA67" s="148">
        <f t="shared" si="26"/>
        <v>4373.8656756789842</v>
      </c>
      <c r="AB67" s="154" t="s">
        <v>1465</v>
      </c>
      <c r="AC67" s="151">
        <f t="shared" si="27"/>
        <v>6529.0087506727787</v>
      </c>
      <c r="AD67" s="151" t="str">
        <f t="shared" si="28"/>
        <v>NA</v>
      </c>
      <c r="AE67" s="151" t="str">
        <f t="shared" si="29"/>
        <v>NA</v>
      </c>
      <c r="AF67" s="152" t="str">
        <f t="shared" si="30"/>
        <v>NA</v>
      </c>
      <c r="AG67" s="152" t="str">
        <f t="shared" si="31"/>
        <v>NA</v>
      </c>
      <c r="AH67" s="153">
        <f t="shared" si="32"/>
        <v>10454.545454545456</v>
      </c>
      <c r="AI67" s="152" t="str">
        <f t="shared" si="33"/>
        <v>NA</v>
      </c>
      <c r="AJ67" s="152" t="str">
        <f t="shared" si="34"/>
        <v>NA</v>
      </c>
      <c r="AK67" s="150">
        <f t="shared" si="35"/>
        <v>5227.2727272727279</v>
      </c>
      <c r="AL67" s="150">
        <f t="shared" si="36"/>
        <v>4373.8656756789842</v>
      </c>
      <c r="AM67" s="151">
        <f t="shared" si="37"/>
        <v>5488.636363636364</v>
      </c>
      <c r="AN67" s="150" t="str">
        <f t="shared" si="38"/>
        <v>NA</v>
      </c>
      <c r="AO67" s="149">
        <f t="shared" si="39"/>
        <v>600</v>
      </c>
      <c r="AP67" s="148">
        <f t="shared" si="40"/>
        <v>5227.2727272727279</v>
      </c>
      <c r="AQ67" s="147" t="s">
        <v>1747</v>
      </c>
      <c r="AR67" s="146"/>
    </row>
    <row r="68" spans="1:44" x14ac:dyDescent="0.35">
      <c r="A68" s="145"/>
      <c r="C68" s="144"/>
    </row>
    <row r="76" spans="1:44" ht="16" thickBot="1" x14ac:dyDescent="0.4">
      <c r="A76" s="119"/>
    </row>
    <row r="77" spans="1:44" ht="16" thickBot="1" x14ac:dyDescent="0.4">
      <c r="A77" s="119"/>
      <c r="U77" s="116"/>
      <c r="V77" s="143" t="s">
        <v>1555</v>
      </c>
      <c r="W77" s="142" t="s">
        <v>1556</v>
      </c>
      <c r="X77" s="501" t="s">
        <v>1557</v>
      </c>
      <c r="Y77" s="502"/>
      <c r="Z77" s="502"/>
      <c r="AA77" s="502"/>
      <c r="AB77" s="502"/>
      <c r="AC77" s="502"/>
      <c r="AD77" s="502"/>
      <c r="AE77" s="502"/>
      <c r="AF77" s="502"/>
      <c r="AG77" s="502"/>
      <c r="AH77" s="502"/>
      <c r="AI77" s="502"/>
      <c r="AJ77" s="502"/>
      <c r="AK77" s="502"/>
      <c r="AL77" s="502"/>
      <c r="AM77" s="502"/>
      <c r="AN77" s="502"/>
      <c r="AO77" s="502"/>
      <c r="AP77" s="502"/>
      <c r="AQ77" s="503"/>
    </row>
    <row r="78" spans="1:44" ht="16" thickBot="1" x14ac:dyDescent="0.4">
      <c r="A78" s="119"/>
      <c r="U78" s="116"/>
      <c r="V78" s="141" t="s">
        <v>2751</v>
      </c>
      <c r="W78" s="140" t="s">
        <v>2750</v>
      </c>
      <c r="X78" s="504" t="s">
        <v>2749</v>
      </c>
      <c r="Y78" s="505"/>
      <c r="Z78" s="505"/>
      <c r="AA78" s="505"/>
      <c r="AB78" s="505"/>
      <c r="AC78" s="505"/>
      <c r="AD78" s="505"/>
      <c r="AE78" s="505"/>
      <c r="AF78" s="505"/>
      <c r="AG78" s="505"/>
      <c r="AH78" s="505"/>
      <c r="AI78" s="505"/>
      <c r="AJ78" s="505"/>
      <c r="AK78" s="505"/>
      <c r="AL78" s="505"/>
      <c r="AM78" s="505"/>
      <c r="AN78" s="505"/>
      <c r="AO78" s="505"/>
      <c r="AP78" s="505"/>
      <c r="AQ78" s="505"/>
    </row>
    <row r="79" spans="1:44" ht="15.75" customHeight="1" thickBot="1" x14ac:dyDescent="0.4">
      <c r="U79" s="116"/>
      <c r="V79" s="139" t="s">
        <v>2673</v>
      </c>
      <c r="W79" s="139">
        <v>29.3</v>
      </c>
      <c r="X79" s="504" t="s">
        <v>2672</v>
      </c>
      <c r="Y79" s="505"/>
      <c r="Z79" s="505"/>
      <c r="AA79" s="505"/>
      <c r="AB79" s="505"/>
      <c r="AC79" s="505"/>
      <c r="AD79" s="505"/>
      <c r="AE79" s="505"/>
      <c r="AF79" s="505"/>
      <c r="AG79" s="505"/>
      <c r="AH79" s="505"/>
      <c r="AI79" s="505"/>
      <c r="AJ79" s="505"/>
      <c r="AK79" s="505"/>
      <c r="AL79" s="505"/>
      <c r="AM79" s="505"/>
      <c r="AN79" s="505"/>
      <c r="AO79" s="505"/>
      <c r="AP79" s="505"/>
      <c r="AQ79" s="506"/>
    </row>
    <row r="80" spans="1:44" ht="16" thickBot="1" x14ac:dyDescent="0.4">
      <c r="A80" s="136" t="s">
        <v>1558</v>
      </c>
      <c r="B80" s="508" t="s">
        <v>1559</v>
      </c>
      <c r="C80" s="508"/>
      <c r="D80" s="508"/>
      <c r="E80" s="508"/>
      <c r="F80" s="508"/>
      <c r="G80" s="508"/>
      <c r="H80" s="508"/>
      <c r="I80" s="508"/>
      <c r="J80" s="508"/>
      <c r="K80" s="508"/>
      <c r="L80" s="508"/>
      <c r="U80" s="116"/>
      <c r="V80" s="138" t="s">
        <v>2647</v>
      </c>
      <c r="W80" s="137" t="s">
        <v>2646</v>
      </c>
      <c r="X80" s="504" t="s">
        <v>2645</v>
      </c>
      <c r="Y80" s="505"/>
      <c r="Z80" s="505"/>
      <c r="AA80" s="505"/>
      <c r="AB80" s="505"/>
      <c r="AC80" s="505"/>
      <c r="AD80" s="505"/>
      <c r="AE80" s="505"/>
      <c r="AF80" s="505"/>
      <c r="AG80" s="505"/>
      <c r="AH80" s="505"/>
      <c r="AI80" s="505"/>
      <c r="AJ80" s="505"/>
      <c r="AK80" s="505"/>
      <c r="AL80" s="505"/>
      <c r="AM80" s="505"/>
      <c r="AN80" s="505"/>
      <c r="AO80" s="505"/>
      <c r="AP80" s="505"/>
      <c r="AQ80" s="506"/>
    </row>
    <row r="81" spans="1:43" ht="15" customHeight="1" x14ac:dyDescent="0.35">
      <c r="A81" s="113" t="s">
        <v>1509</v>
      </c>
      <c r="B81" s="117" t="s">
        <v>2577</v>
      </c>
      <c r="U81" s="116"/>
      <c r="V81" s="455" t="s">
        <v>2574</v>
      </c>
      <c r="W81" s="455" t="s">
        <v>2575</v>
      </c>
      <c r="X81" s="458" t="s">
        <v>2576</v>
      </c>
      <c r="Y81" s="459"/>
      <c r="Z81" s="459"/>
      <c r="AA81" s="459"/>
      <c r="AB81" s="459"/>
      <c r="AC81" s="459"/>
      <c r="AD81" s="459"/>
      <c r="AE81" s="459"/>
      <c r="AF81" s="459"/>
      <c r="AG81" s="459"/>
      <c r="AH81" s="459"/>
      <c r="AI81" s="459"/>
      <c r="AJ81" s="459"/>
      <c r="AK81" s="459"/>
      <c r="AL81" s="459"/>
      <c r="AM81" s="459"/>
      <c r="AN81" s="459"/>
      <c r="AO81" s="459"/>
      <c r="AP81" s="459"/>
      <c r="AQ81" s="460"/>
    </row>
    <row r="82" spans="1:43" ht="15.75" customHeight="1" x14ac:dyDescent="0.35">
      <c r="B82" s="117" t="s">
        <v>2578</v>
      </c>
      <c r="U82" s="116"/>
      <c r="V82" s="456"/>
      <c r="W82" s="456"/>
      <c r="X82" s="461"/>
      <c r="Y82" s="462"/>
      <c r="Z82" s="462"/>
      <c r="AA82" s="462"/>
      <c r="AB82" s="462"/>
      <c r="AC82" s="462"/>
      <c r="AD82" s="462"/>
      <c r="AE82" s="462"/>
      <c r="AF82" s="462"/>
      <c r="AG82" s="462"/>
      <c r="AH82" s="462"/>
      <c r="AI82" s="462"/>
      <c r="AJ82" s="462"/>
      <c r="AK82" s="462"/>
      <c r="AL82" s="462"/>
      <c r="AM82" s="462"/>
      <c r="AN82" s="462"/>
      <c r="AO82" s="462"/>
      <c r="AP82" s="462"/>
      <c r="AQ82" s="463"/>
    </row>
    <row r="83" spans="1:43" ht="15" customHeight="1" x14ac:dyDescent="0.35">
      <c r="A83" s="113" t="s">
        <v>1561</v>
      </c>
      <c r="B83" s="117" t="s">
        <v>1562</v>
      </c>
      <c r="U83" s="116"/>
      <c r="V83" s="456"/>
      <c r="W83" s="456"/>
      <c r="X83" s="461"/>
      <c r="Y83" s="462"/>
      <c r="Z83" s="462"/>
      <c r="AA83" s="462"/>
      <c r="AB83" s="462"/>
      <c r="AC83" s="462"/>
      <c r="AD83" s="462"/>
      <c r="AE83" s="462"/>
      <c r="AF83" s="462"/>
      <c r="AG83" s="462"/>
      <c r="AH83" s="462"/>
      <c r="AI83" s="462"/>
      <c r="AJ83" s="462"/>
      <c r="AK83" s="462"/>
      <c r="AL83" s="462"/>
      <c r="AM83" s="462"/>
      <c r="AN83" s="462"/>
      <c r="AO83" s="462"/>
      <c r="AP83" s="462"/>
      <c r="AQ83" s="463"/>
    </row>
    <row r="84" spans="1:43" ht="15.75" customHeight="1" x14ac:dyDescent="0.35">
      <c r="A84" s="113" t="s">
        <v>1563</v>
      </c>
      <c r="B84" s="117" t="s">
        <v>2579</v>
      </c>
      <c r="C84" s="113"/>
      <c r="U84" s="116"/>
      <c r="V84" s="456"/>
      <c r="W84" s="456"/>
      <c r="X84" s="461"/>
      <c r="Y84" s="462"/>
      <c r="Z84" s="462"/>
      <c r="AA84" s="462"/>
      <c r="AB84" s="462"/>
      <c r="AC84" s="462"/>
      <c r="AD84" s="462"/>
      <c r="AE84" s="462"/>
      <c r="AF84" s="462"/>
      <c r="AG84" s="462"/>
      <c r="AH84" s="462"/>
      <c r="AI84" s="462"/>
      <c r="AJ84" s="462"/>
      <c r="AK84" s="462"/>
      <c r="AL84" s="462"/>
      <c r="AM84" s="462"/>
      <c r="AN84" s="462"/>
      <c r="AO84" s="462"/>
      <c r="AP84" s="462"/>
      <c r="AQ84" s="463"/>
    </row>
    <row r="85" spans="1:43" ht="15.75" customHeight="1" x14ac:dyDescent="0.35">
      <c r="B85" s="454" t="s">
        <v>2580</v>
      </c>
      <c r="C85" s="454"/>
      <c r="D85" s="454"/>
      <c r="E85" s="454"/>
      <c r="F85" s="454"/>
      <c r="G85" s="454"/>
      <c r="H85" s="454"/>
      <c r="I85" s="454"/>
      <c r="J85" s="454"/>
      <c r="K85" s="454"/>
      <c r="L85" s="454"/>
      <c r="U85" s="116"/>
      <c r="V85" s="456"/>
      <c r="W85" s="456"/>
      <c r="X85" s="461"/>
      <c r="Y85" s="462"/>
      <c r="Z85" s="462"/>
      <c r="AA85" s="462"/>
      <c r="AB85" s="462"/>
      <c r="AC85" s="462"/>
      <c r="AD85" s="462"/>
      <c r="AE85" s="462"/>
      <c r="AF85" s="462"/>
      <c r="AG85" s="462"/>
      <c r="AH85" s="462"/>
      <c r="AI85" s="462"/>
      <c r="AJ85" s="462"/>
      <c r="AK85" s="462"/>
      <c r="AL85" s="462"/>
      <c r="AM85" s="462"/>
      <c r="AN85" s="462"/>
      <c r="AO85" s="462"/>
      <c r="AP85" s="462"/>
      <c r="AQ85" s="463"/>
    </row>
    <row r="86" spans="1:43" ht="15.75" customHeight="1" x14ac:dyDescent="0.35">
      <c r="B86" s="113"/>
      <c r="U86" s="116"/>
      <c r="V86" s="456"/>
      <c r="W86" s="456"/>
      <c r="X86" s="461"/>
      <c r="Y86" s="462"/>
      <c r="Z86" s="462"/>
      <c r="AA86" s="462"/>
      <c r="AB86" s="462"/>
      <c r="AC86" s="462"/>
      <c r="AD86" s="462"/>
      <c r="AE86" s="462"/>
      <c r="AF86" s="462"/>
      <c r="AG86" s="462"/>
      <c r="AH86" s="462"/>
      <c r="AI86" s="462"/>
      <c r="AJ86" s="462"/>
      <c r="AK86" s="462"/>
      <c r="AL86" s="462"/>
      <c r="AM86" s="462"/>
      <c r="AN86" s="462"/>
      <c r="AO86" s="462"/>
      <c r="AP86" s="462"/>
      <c r="AQ86" s="463"/>
    </row>
    <row r="87" spans="1:43" ht="15.75" customHeight="1" x14ac:dyDescent="0.35">
      <c r="A87" s="474" t="s">
        <v>1565</v>
      </c>
      <c r="B87" s="475" t="s">
        <v>1566</v>
      </c>
      <c r="C87" s="475"/>
      <c r="D87" s="475"/>
      <c r="E87" s="475"/>
      <c r="F87" s="475"/>
      <c r="G87" s="475"/>
      <c r="H87" s="475"/>
      <c r="I87" s="475"/>
      <c r="J87" s="475"/>
      <c r="K87" s="475"/>
      <c r="L87" s="475"/>
      <c r="U87" s="116"/>
      <c r="V87" s="456"/>
      <c r="W87" s="456"/>
      <c r="X87" s="461"/>
      <c r="Y87" s="462"/>
      <c r="Z87" s="462"/>
      <c r="AA87" s="462"/>
      <c r="AB87" s="462"/>
      <c r="AC87" s="462"/>
      <c r="AD87" s="462"/>
      <c r="AE87" s="462"/>
      <c r="AF87" s="462"/>
      <c r="AG87" s="462"/>
      <c r="AH87" s="462"/>
      <c r="AI87" s="462"/>
      <c r="AJ87" s="462"/>
      <c r="AK87" s="462"/>
      <c r="AL87" s="462"/>
      <c r="AM87" s="462"/>
      <c r="AN87" s="462"/>
      <c r="AO87" s="462"/>
      <c r="AP87" s="462"/>
      <c r="AQ87" s="463"/>
    </row>
    <row r="88" spans="1:43" ht="15.75" customHeight="1" x14ac:dyDescent="0.35">
      <c r="A88" s="474"/>
      <c r="B88" s="475"/>
      <c r="C88" s="475"/>
      <c r="D88" s="475"/>
      <c r="E88" s="475"/>
      <c r="F88" s="475"/>
      <c r="G88" s="475"/>
      <c r="H88" s="475"/>
      <c r="I88" s="475"/>
      <c r="J88" s="475"/>
      <c r="K88" s="475"/>
      <c r="L88" s="475"/>
      <c r="U88" s="116"/>
      <c r="V88" s="456"/>
      <c r="W88" s="456"/>
      <c r="X88" s="461"/>
      <c r="Y88" s="462"/>
      <c r="Z88" s="462"/>
      <c r="AA88" s="462"/>
      <c r="AB88" s="462"/>
      <c r="AC88" s="462"/>
      <c r="AD88" s="462"/>
      <c r="AE88" s="462"/>
      <c r="AF88" s="462"/>
      <c r="AG88" s="462"/>
      <c r="AH88" s="462"/>
      <c r="AI88" s="462"/>
      <c r="AJ88" s="462"/>
      <c r="AK88" s="462"/>
      <c r="AL88" s="462"/>
      <c r="AM88" s="462"/>
      <c r="AN88" s="462"/>
      <c r="AO88" s="462"/>
      <c r="AP88" s="462"/>
      <c r="AQ88" s="463"/>
    </row>
    <row r="89" spans="1:43" ht="15" customHeight="1" x14ac:dyDescent="0.35">
      <c r="U89" s="116"/>
      <c r="V89" s="456"/>
      <c r="W89" s="456"/>
      <c r="X89" s="461"/>
      <c r="Y89" s="462"/>
      <c r="Z89" s="462"/>
      <c r="AA89" s="462"/>
      <c r="AB89" s="462"/>
      <c r="AC89" s="462"/>
      <c r="AD89" s="462"/>
      <c r="AE89" s="462"/>
      <c r="AF89" s="462"/>
      <c r="AG89" s="462"/>
      <c r="AH89" s="462"/>
      <c r="AI89" s="462"/>
      <c r="AJ89" s="462"/>
      <c r="AK89" s="462"/>
      <c r="AL89" s="462"/>
      <c r="AM89" s="462"/>
      <c r="AN89" s="462"/>
      <c r="AO89" s="462"/>
      <c r="AP89" s="462"/>
      <c r="AQ89" s="463"/>
    </row>
    <row r="90" spans="1:43" ht="15.75" customHeight="1" x14ac:dyDescent="0.35">
      <c r="A90" s="136" t="s">
        <v>1568</v>
      </c>
      <c r="U90" s="116"/>
      <c r="V90" s="457"/>
      <c r="W90" s="457"/>
      <c r="X90" s="464"/>
      <c r="Y90" s="465"/>
      <c r="Z90" s="465"/>
      <c r="AA90" s="465"/>
      <c r="AB90" s="465"/>
      <c r="AC90" s="465"/>
      <c r="AD90" s="465"/>
      <c r="AE90" s="465"/>
      <c r="AF90" s="465"/>
      <c r="AG90" s="465"/>
      <c r="AH90" s="465"/>
      <c r="AI90" s="465"/>
      <c r="AJ90" s="465"/>
      <c r="AK90" s="465"/>
      <c r="AL90" s="465"/>
      <c r="AM90" s="465"/>
      <c r="AN90" s="465"/>
      <c r="AO90" s="465"/>
      <c r="AP90" s="465"/>
      <c r="AQ90" s="466"/>
    </row>
    <row r="91" spans="1:43" ht="15.75" customHeight="1" x14ac:dyDescent="0.35">
      <c r="A91" s="113" t="s">
        <v>1570</v>
      </c>
      <c r="U91" s="116"/>
      <c r="V91" s="476" t="s">
        <v>2581</v>
      </c>
      <c r="W91" s="480" t="s">
        <v>2582</v>
      </c>
      <c r="X91" s="461" t="s">
        <v>2583</v>
      </c>
      <c r="Y91" s="462"/>
      <c r="Z91" s="462"/>
      <c r="AA91" s="462"/>
      <c r="AB91" s="462"/>
      <c r="AC91" s="462"/>
      <c r="AD91" s="462"/>
      <c r="AE91" s="462"/>
      <c r="AF91" s="462"/>
      <c r="AG91" s="462"/>
      <c r="AH91" s="462"/>
      <c r="AI91" s="462"/>
      <c r="AJ91" s="462"/>
      <c r="AK91" s="462"/>
      <c r="AL91" s="462"/>
      <c r="AM91" s="462"/>
      <c r="AN91" s="462"/>
      <c r="AO91" s="462"/>
      <c r="AP91" s="462"/>
      <c r="AQ91" s="463"/>
    </row>
    <row r="92" spans="1:43" ht="15" customHeight="1" x14ac:dyDescent="0.35">
      <c r="A92" s="113" t="s">
        <v>1571</v>
      </c>
      <c r="B92" s="113"/>
      <c r="C92" s="113"/>
      <c r="U92" s="116"/>
      <c r="V92" s="477"/>
      <c r="W92" s="456"/>
      <c r="X92" s="461"/>
      <c r="Y92" s="462"/>
      <c r="Z92" s="462"/>
      <c r="AA92" s="462"/>
      <c r="AB92" s="462"/>
      <c r="AC92" s="462"/>
      <c r="AD92" s="462"/>
      <c r="AE92" s="462"/>
      <c r="AF92" s="462"/>
      <c r="AG92" s="462"/>
      <c r="AH92" s="462"/>
      <c r="AI92" s="462"/>
      <c r="AJ92" s="462"/>
      <c r="AK92" s="462"/>
      <c r="AL92" s="462"/>
      <c r="AM92" s="462"/>
      <c r="AN92" s="462"/>
      <c r="AO92" s="462"/>
      <c r="AP92" s="462"/>
      <c r="AQ92" s="463"/>
    </row>
    <row r="93" spans="1:43" x14ac:dyDescent="0.35">
      <c r="A93" s="113" t="s">
        <v>1573</v>
      </c>
      <c r="U93" s="116"/>
      <c r="V93" s="478"/>
      <c r="W93" s="457"/>
      <c r="X93" s="464"/>
      <c r="Y93" s="465"/>
      <c r="Z93" s="465"/>
      <c r="AA93" s="465"/>
      <c r="AB93" s="465"/>
      <c r="AC93" s="465"/>
      <c r="AD93" s="465"/>
      <c r="AE93" s="465"/>
      <c r="AF93" s="465"/>
      <c r="AG93" s="465"/>
      <c r="AH93" s="465"/>
      <c r="AI93" s="465"/>
      <c r="AJ93" s="465"/>
      <c r="AK93" s="465"/>
      <c r="AL93" s="465"/>
      <c r="AM93" s="465"/>
      <c r="AN93" s="465"/>
      <c r="AO93" s="465"/>
      <c r="AP93" s="465"/>
      <c r="AQ93" s="466"/>
    </row>
    <row r="94" spans="1:43" ht="15" customHeight="1" x14ac:dyDescent="0.35">
      <c r="A94" s="113" t="s">
        <v>2584</v>
      </c>
      <c r="U94" s="116"/>
      <c r="V94" s="479" t="s">
        <v>2542</v>
      </c>
      <c r="W94" s="479" t="s">
        <v>2543</v>
      </c>
      <c r="X94" s="482" t="s">
        <v>2544</v>
      </c>
      <c r="Y94" s="483"/>
      <c r="Z94" s="483"/>
      <c r="AA94" s="483"/>
      <c r="AB94" s="483"/>
      <c r="AC94" s="483"/>
      <c r="AD94" s="483"/>
      <c r="AE94" s="483"/>
      <c r="AF94" s="483"/>
      <c r="AG94" s="483"/>
      <c r="AH94" s="483"/>
      <c r="AI94" s="483"/>
      <c r="AJ94" s="483"/>
      <c r="AK94" s="483"/>
      <c r="AL94" s="483"/>
      <c r="AM94" s="483"/>
      <c r="AN94" s="483"/>
      <c r="AO94" s="483"/>
      <c r="AP94" s="483"/>
      <c r="AQ94" s="484"/>
    </row>
    <row r="95" spans="1:43" x14ac:dyDescent="0.35">
      <c r="U95" s="116"/>
      <c r="V95" s="480"/>
      <c r="W95" s="480"/>
      <c r="X95" s="485"/>
      <c r="Y95" s="474"/>
      <c r="Z95" s="474"/>
      <c r="AA95" s="474"/>
      <c r="AB95" s="474"/>
      <c r="AC95" s="474"/>
      <c r="AD95" s="474"/>
      <c r="AE95" s="474"/>
      <c r="AF95" s="474"/>
      <c r="AG95" s="474"/>
      <c r="AH95" s="474"/>
      <c r="AI95" s="474"/>
      <c r="AJ95" s="474"/>
      <c r="AK95" s="474"/>
      <c r="AL95" s="474"/>
      <c r="AM95" s="474"/>
      <c r="AN95" s="474"/>
      <c r="AO95" s="474"/>
      <c r="AP95" s="474"/>
      <c r="AQ95" s="486"/>
    </row>
    <row r="96" spans="1:43" ht="15" customHeight="1" x14ac:dyDescent="0.35">
      <c r="U96" s="116"/>
      <c r="V96" s="481"/>
      <c r="W96" s="481"/>
      <c r="X96" s="487"/>
      <c r="Y96" s="488"/>
      <c r="Z96" s="488"/>
      <c r="AA96" s="488"/>
      <c r="AB96" s="488"/>
      <c r="AC96" s="488"/>
      <c r="AD96" s="488"/>
      <c r="AE96" s="488"/>
      <c r="AF96" s="488"/>
      <c r="AG96" s="488"/>
      <c r="AH96" s="488"/>
      <c r="AI96" s="488"/>
      <c r="AJ96" s="488"/>
      <c r="AK96" s="488"/>
      <c r="AL96" s="488"/>
      <c r="AM96" s="488"/>
      <c r="AN96" s="488"/>
      <c r="AO96" s="488"/>
      <c r="AP96" s="488"/>
      <c r="AQ96" s="489"/>
    </row>
    <row r="97" spans="21:43" x14ac:dyDescent="0.35">
      <c r="U97" s="116"/>
      <c r="V97" s="122">
        <v>44787</v>
      </c>
      <c r="W97" s="121">
        <v>28.2</v>
      </c>
      <c r="X97" s="451" t="s">
        <v>2545</v>
      </c>
      <c r="Y97" s="452"/>
      <c r="Z97" s="452"/>
      <c r="AA97" s="452"/>
      <c r="AB97" s="452"/>
      <c r="AC97" s="452"/>
      <c r="AD97" s="452"/>
      <c r="AE97" s="452"/>
      <c r="AF97" s="452"/>
      <c r="AG97" s="452"/>
      <c r="AH97" s="452"/>
      <c r="AI97" s="452"/>
      <c r="AJ97" s="452"/>
      <c r="AK97" s="452"/>
      <c r="AL97" s="452"/>
      <c r="AM97" s="452"/>
      <c r="AN97" s="452"/>
      <c r="AO97" s="452"/>
      <c r="AP97" s="452"/>
      <c r="AQ97" s="453"/>
    </row>
    <row r="98" spans="21:43" ht="15.75" customHeight="1" x14ac:dyDescent="0.35">
      <c r="U98" s="116"/>
      <c r="V98" s="122">
        <v>44764</v>
      </c>
      <c r="W98" s="121">
        <v>28.1</v>
      </c>
      <c r="X98" s="451" t="s">
        <v>2546</v>
      </c>
      <c r="Y98" s="452"/>
      <c r="Z98" s="452"/>
      <c r="AA98" s="452"/>
      <c r="AB98" s="452"/>
      <c r="AC98" s="452"/>
      <c r="AD98" s="452"/>
      <c r="AE98" s="452"/>
      <c r="AF98" s="452"/>
      <c r="AG98" s="452"/>
      <c r="AH98" s="452"/>
      <c r="AI98" s="452"/>
      <c r="AJ98" s="452"/>
      <c r="AK98" s="452"/>
      <c r="AL98" s="452"/>
      <c r="AM98" s="452"/>
      <c r="AN98" s="452"/>
      <c r="AO98" s="452"/>
      <c r="AP98" s="452"/>
      <c r="AQ98" s="453"/>
    </row>
    <row r="99" spans="21:43" ht="15" customHeight="1" x14ac:dyDescent="0.35">
      <c r="U99" s="116"/>
      <c r="V99" s="135">
        <v>44683</v>
      </c>
      <c r="W99" s="121">
        <v>28</v>
      </c>
      <c r="X99" s="451" t="s">
        <v>2547</v>
      </c>
      <c r="Y99" s="452"/>
      <c r="Z99" s="452"/>
      <c r="AA99" s="452"/>
      <c r="AB99" s="452"/>
      <c r="AC99" s="452"/>
      <c r="AD99" s="452"/>
      <c r="AE99" s="452"/>
      <c r="AF99" s="452"/>
      <c r="AG99" s="452"/>
      <c r="AH99" s="452"/>
      <c r="AI99" s="452"/>
      <c r="AJ99" s="452"/>
      <c r="AK99" s="452"/>
      <c r="AL99" s="452"/>
      <c r="AM99" s="452"/>
      <c r="AN99" s="452"/>
      <c r="AO99" s="452"/>
      <c r="AP99" s="452"/>
      <c r="AQ99" s="453"/>
    </row>
    <row r="100" spans="21:43" ht="15.75" customHeight="1" x14ac:dyDescent="0.35">
      <c r="U100" s="116"/>
      <c r="V100" s="135">
        <v>44537</v>
      </c>
      <c r="W100" s="134">
        <v>27</v>
      </c>
      <c r="X100" s="451" t="s">
        <v>2346</v>
      </c>
      <c r="Y100" s="452"/>
      <c r="Z100" s="452"/>
      <c r="AA100" s="452"/>
      <c r="AB100" s="452"/>
      <c r="AC100" s="452"/>
      <c r="AD100" s="452"/>
      <c r="AE100" s="452"/>
      <c r="AF100" s="452"/>
      <c r="AG100" s="452"/>
      <c r="AH100" s="452"/>
      <c r="AI100" s="452"/>
      <c r="AJ100" s="452"/>
      <c r="AK100" s="452"/>
      <c r="AL100" s="452"/>
      <c r="AM100" s="452"/>
      <c r="AN100" s="452"/>
      <c r="AO100" s="452"/>
      <c r="AP100" s="452"/>
      <c r="AQ100" s="453"/>
    </row>
    <row r="101" spans="21:43" ht="15.75" customHeight="1" x14ac:dyDescent="0.35">
      <c r="U101" s="116"/>
      <c r="V101" s="449">
        <v>44469</v>
      </c>
      <c r="W101" s="467">
        <v>26</v>
      </c>
      <c r="X101" s="468" t="s">
        <v>2347</v>
      </c>
      <c r="Y101" s="469"/>
      <c r="Z101" s="469"/>
      <c r="AA101" s="469"/>
      <c r="AB101" s="469"/>
      <c r="AC101" s="469"/>
      <c r="AD101" s="469"/>
      <c r="AE101" s="469"/>
      <c r="AF101" s="469"/>
      <c r="AG101" s="469"/>
      <c r="AH101" s="469"/>
      <c r="AI101" s="469"/>
      <c r="AJ101" s="469"/>
      <c r="AK101" s="469"/>
      <c r="AL101" s="469"/>
      <c r="AM101" s="469"/>
      <c r="AN101" s="469"/>
      <c r="AO101" s="469"/>
      <c r="AP101" s="469"/>
      <c r="AQ101" s="470"/>
    </row>
    <row r="102" spans="21:43" ht="15.75" customHeight="1" x14ac:dyDescent="0.35">
      <c r="U102" s="116"/>
      <c r="V102" s="450"/>
      <c r="W102" s="457"/>
      <c r="X102" s="471"/>
      <c r="Y102" s="472"/>
      <c r="Z102" s="472"/>
      <c r="AA102" s="472"/>
      <c r="AB102" s="472"/>
      <c r="AC102" s="472"/>
      <c r="AD102" s="472"/>
      <c r="AE102" s="472"/>
      <c r="AF102" s="472"/>
      <c r="AG102" s="472"/>
      <c r="AH102" s="472"/>
      <c r="AI102" s="472"/>
      <c r="AJ102" s="472"/>
      <c r="AK102" s="472"/>
      <c r="AL102" s="472"/>
      <c r="AM102" s="472"/>
      <c r="AN102" s="472"/>
      <c r="AO102" s="472"/>
      <c r="AP102" s="472"/>
      <c r="AQ102" s="473"/>
    </row>
    <row r="103" spans="21:43" ht="15.75" customHeight="1" x14ac:dyDescent="0.35">
      <c r="U103" s="116"/>
      <c r="V103" s="133">
        <v>44432</v>
      </c>
      <c r="W103" s="126">
        <v>25.2</v>
      </c>
      <c r="X103" s="451" t="s">
        <v>2348</v>
      </c>
      <c r="Y103" s="452"/>
      <c r="Z103" s="452"/>
      <c r="AA103" s="452"/>
      <c r="AB103" s="452"/>
      <c r="AC103" s="452"/>
      <c r="AD103" s="452"/>
      <c r="AE103" s="452"/>
      <c r="AF103" s="452"/>
      <c r="AG103" s="452"/>
      <c r="AH103" s="452"/>
      <c r="AI103" s="452"/>
      <c r="AJ103" s="452"/>
      <c r="AK103" s="452"/>
      <c r="AL103" s="452"/>
      <c r="AM103" s="452"/>
      <c r="AN103" s="452"/>
      <c r="AO103" s="452"/>
      <c r="AP103" s="452"/>
      <c r="AQ103" s="453"/>
    </row>
    <row r="104" spans="21:43" ht="15.75" customHeight="1" x14ac:dyDescent="0.35">
      <c r="U104" s="116"/>
      <c r="V104" s="132">
        <v>43980</v>
      </c>
      <c r="W104" s="131">
        <v>25.1</v>
      </c>
      <c r="X104" s="451" t="s">
        <v>2349</v>
      </c>
      <c r="Y104" s="452"/>
      <c r="Z104" s="452"/>
      <c r="AA104" s="452"/>
      <c r="AB104" s="452"/>
      <c r="AC104" s="452"/>
      <c r="AD104" s="452"/>
      <c r="AE104" s="452"/>
      <c r="AF104" s="452"/>
      <c r="AG104" s="452"/>
      <c r="AH104" s="452"/>
      <c r="AI104" s="452"/>
      <c r="AJ104" s="452"/>
      <c r="AK104" s="452"/>
      <c r="AL104" s="452"/>
      <c r="AM104" s="452"/>
      <c r="AN104" s="452"/>
      <c r="AO104" s="452"/>
      <c r="AP104" s="452"/>
      <c r="AQ104" s="453"/>
    </row>
    <row r="105" spans="21:43" x14ac:dyDescent="0.35">
      <c r="U105" s="116"/>
      <c r="V105" s="490">
        <v>43927</v>
      </c>
      <c r="W105" s="492">
        <v>25</v>
      </c>
      <c r="X105" s="523" t="s">
        <v>1858</v>
      </c>
      <c r="Y105" s="524"/>
      <c r="Z105" s="524"/>
      <c r="AA105" s="524"/>
      <c r="AB105" s="524"/>
      <c r="AC105" s="524"/>
      <c r="AD105" s="524"/>
      <c r="AE105" s="524"/>
      <c r="AF105" s="524"/>
      <c r="AG105" s="524"/>
      <c r="AH105" s="524"/>
      <c r="AI105" s="524"/>
      <c r="AJ105" s="524"/>
      <c r="AK105" s="524"/>
      <c r="AL105" s="524"/>
      <c r="AM105" s="524"/>
      <c r="AN105" s="524"/>
      <c r="AO105" s="524"/>
      <c r="AP105" s="524"/>
      <c r="AQ105" s="525"/>
    </row>
    <row r="106" spans="21:43" ht="15" customHeight="1" x14ac:dyDescent="0.35">
      <c r="U106" s="116"/>
      <c r="V106" s="491"/>
      <c r="W106" s="493"/>
      <c r="X106" s="526"/>
      <c r="Y106" s="527"/>
      <c r="Z106" s="527"/>
      <c r="AA106" s="527"/>
      <c r="AB106" s="527"/>
      <c r="AC106" s="527"/>
      <c r="AD106" s="527"/>
      <c r="AE106" s="527"/>
      <c r="AF106" s="527"/>
      <c r="AG106" s="527"/>
      <c r="AH106" s="527"/>
      <c r="AI106" s="527"/>
      <c r="AJ106" s="527"/>
      <c r="AK106" s="527"/>
      <c r="AL106" s="527"/>
      <c r="AM106" s="527"/>
      <c r="AN106" s="527"/>
      <c r="AO106" s="527"/>
      <c r="AP106" s="527"/>
      <c r="AQ106" s="528"/>
    </row>
    <row r="107" spans="21:43" ht="15" customHeight="1" x14ac:dyDescent="0.35">
      <c r="U107" s="116"/>
      <c r="V107" s="490">
        <v>43482</v>
      </c>
      <c r="W107" s="494">
        <v>24.1</v>
      </c>
      <c r="X107" s="482" t="s">
        <v>1822</v>
      </c>
      <c r="Y107" s="483"/>
      <c r="Z107" s="483"/>
      <c r="AA107" s="483"/>
      <c r="AB107" s="483"/>
      <c r="AC107" s="483"/>
      <c r="AD107" s="483"/>
      <c r="AE107" s="483"/>
      <c r="AF107" s="483"/>
      <c r="AG107" s="483"/>
      <c r="AH107" s="483"/>
      <c r="AI107" s="483"/>
      <c r="AJ107" s="483"/>
      <c r="AK107" s="483"/>
      <c r="AL107" s="483"/>
      <c r="AM107" s="483"/>
      <c r="AN107" s="483"/>
      <c r="AO107" s="483"/>
      <c r="AP107" s="483"/>
      <c r="AQ107" s="484"/>
    </row>
    <row r="108" spans="21:43" ht="15" customHeight="1" x14ac:dyDescent="0.35">
      <c r="U108" s="116"/>
      <c r="V108" s="491"/>
      <c r="W108" s="495"/>
      <c r="X108" s="487"/>
      <c r="Y108" s="488"/>
      <c r="Z108" s="488"/>
      <c r="AA108" s="488"/>
      <c r="AB108" s="488"/>
      <c r="AC108" s="488"/>
      <c r="AD108" s="488"/>
      <c r="AE108" s="488"/>
      <c r="AF108" s="488"/>
      <c r="AG108" s="488"/>
      <c r="AH108" s="488"/>
      <c r="AI108" s="488"/>
      <c r="AJ108" s="488"/>
      <c r="AK108" s="488"/>
      <c r="AL108" s="488"/>
      <c r="AM108" s="488"/>
      <c r="AN108" s="488"/>
      <c r="AO108" s="488"/>
      <c r="AP108" s="488"/>
      <c r="AQ108" s="489"/>
    </row>
    <row r="109" spans="21:43" x14ac:dyDescent="0.35">
      <c r="U109" s="116"/>
      <c r="V109" s="490">
        <v>43371</v>
      </c>
      <c r="W109" s="492">
        <v>24</v>
      </c>
      <c r="X109" s="529" t="s">
        <v>1560</v>
      </c>
      <c r="Y109" s="530"/>
      <c r="Z109" s="530"/>
      <c r="AA109" s="530"/>
      <c r="AB109" s="530"/>
      <c r="AC109" s="530"/>
      <c r="AD109" s="530"/>
      <c r="AE109" s="530"/>
      <c r="AF109" s="530"/>
      <c r="AG109" s="530"/>
      <c r="AH109" s="530"/>
      <c r="AI109" s="530"/>
      <c r="AJ109" s="530"/>
      <c r="AK109" s="530"/>
      <c r="AL109" s="530"/>
      <c r="AM109" s="530"/>
      <c r="AN109" s="530"/>
      <c r="AO109" s="530"/>
      <c r="AP109" s="530"/>
      <c r="AQ109" s="531"/>
    </row>
    <row r="110" spans="21:43" x14ac:dyDescent="0.35">
      <c r="V110" s="490"/>
      <c r="W110" s="492"/>
      <c r="X110" s="461"/>
      <c r="Y110" s="462"/>
      <c r="Z110" s="462"/>
      <c r="AA110" s="462"/>
      <c r="AB110" s="462"/>
      <c r="AC110" s="462"/>
      <c r="AD110" s="462"/>
      <c r="AE110" s="462"/>
      <c r="AF110" s="462"/>
      <c r="AG110" s="462"/>
      <c r="AH110" s="462"/>
      <c r="AI110" s="462"/>
      <c r="AJ110" s="462"/>
      <c r="AK110" s="462"/>
      <c r="AL110" s="462"/>
      <c r="AM110" s="462"/>
      <c r="AN110" s="462"/>
      <c r="AO110" s="462"/>
      <c r="AP110" s="462"/>
      <c r="AQ110" s="463"/>
    </row>
    <row r="111" spans="21:43" ht="15" customHeight="1" x14ac:dyDescent="0.35">
      <c r="U111" s="130"/>
      <c r="V111" s="490"/>
      <c r="W111" s="492"/>
      <c r="X111" s="461"/>
      <c r="Y111" s="462"/>
      <c r="Z111" s="462"/>
      <c r="AA111" s="462"/>
      <c r="AB111" s="462"/>
      <c r="AC111" s="462"/>
      <c r="AD111" s="462"/>
      <c r="AE111" s="462"/>
      <c r="AF111" s="462"/>
      <c r="AG111" s="462"/>
      <c r="AH111" s="462"/>
      <c r="AI111" s="462"/>
      <c r="AJ111" s="462"/>
      <c r="AK111" s="462"/>
      <c r="AL111" s="462"/>
      <c r="AM111" s="462"/>
      <c r="AN111" s="462"/>
      <c r="AO111" s="462"/>
      <c r="AP111" s="462"/>
      <c r="AQ111" s="463"/>
    </row>
    <row r="112" spans="21:43" ht="15" customHeight="1" x14ac:dyDescent="0.35">
      <c r="V112" s="491"/>
      <c r="W112" s="493"/>
      <c r="X112" s="464"/>
      <c r="Y112" s="465"/>
      <c r="Z112" s="465"/>
      <c r="AA112" s="465"/>
      <c r="AB112" s="465"/>
      <c r="AC112" s="465"/>
      <c r="AD112" s="465"/>
      <c r="AE112" s="465"/>
      <c r="AF112" s="465"/>
      <c r="AG112" s="465"/>
      <c r="AH112" s="465"/>
      <c r="AI112" s="465"/>
      <c r="AJ112" s="465"/>
      <c r="AK112" s="465"/>
      <c r="AL112" s="465"/>
      <c r="AM112" s="465"/>
      <c r="AN112" s="465"/>
      <c r="AO112" s="465"/>
      <c r="AP112" s="465"/>
      <c r="AQ112" s="466"/>
    </row>
    <row r="113" spans="21:43" ht="15" customHeight="1" x14ac:dyDescent="0.35">
      <c r="U113" s="130"/>
      <c r="V113" s="490">
        <v>43258</v>
      </c>
      <c r="W113" s="492">
        <v>23</v>
      </c>
      <c r="X113" s="482" t="s">
        <v>1564</v>
      </c>
      <c r="Y113" s="483"/>
      <c r="Z113" s="483"/>
      <c r="AA113" s="483"/>
      <c r="AB113" s="483"/>
      <c r="AC113" s="483"/>
      <c r="AD113" s="483"/>
      <c r="AE113" s="483"/>
      <c r="AF113" s="483"/>
      <c r="AG113" s="483"/>
      <c r="AH113" s="483"/>
      <c r="AI113" s="483"/>
      <c r="AJ113" s="483"/>
      <c r="AK113" s="483"/>
      <c r="AL113" s="483"/>
      <c r="AM113" s="483"/>
      <c r="AN113" s="483"/>
      <c r="AO113" s="483"/>
      <c r="AP113" s="483"/>
      <c r="AQ113" s="484"/>
    </row>
    <row r="114" spans="21:43" ht="15" customHeight="1" x14ac:dyDescent="0.35">
      <c r="V114" s="491"/>
      <c r="W114" s="493"/>
      <c r="X114" s="487"/>
      <c r="Y114" s="488"/>
      <c r="Z114" s="488"/>
      <c r="AA114" s="488"/>
      <c r="AB114" s="488"/>
      <c r="AC114" s="488"/>
      <c r="AD114" s="488"/>
      <c r="AE114" s="488"/>
      <c r="AF114" s="488"/>
      <c r="AG114" s="488"/>
      <c r="AH114" s="488"/>
      <c r="AI114" s="488"/>
      <c r="AJ114" s="488"/>
      <c r="AK114" s="488"/>
      <c r="AL114" s="488"/>
      <c r="AM114" s="488"/>
      <c r="AN114" s="488"/>
      <c r="AO114" s="488"/>
      <c r="AP114" s="488"/>
      <c r="AQ114" s="489"/>
    </row>
    <row r="115" spans="21:43" x14ac:dyDescent="0.35">
      <c r="V115" s="518">
        <v>43000</v>
      </c>
      <c r="W115" s="517">
        <v>22</v>
      </c>
      <c r="X115" s="482" t="s">
        <v>1567</v>
      </c>
      <c r="Y115" s="483"/>
      <c r="Z115" s="483"/>
      <c r="AA115" s="483"/>
      <c r="AB115" s="483"/>
      <c r="AC115" s="483"/>
      <c r="AD115" s="483"/>
      <c r="AE115" s="483"/>
      <c r="AF115" s="483"/>
      <c r="AG115" s="483"/>
      <c r="AH115" s="483"/>
      <c r="AI115" s="483"/>
      <c r="AJ115" s="483"/>
      <c r="AK115" s="483"/>
      <c r="AL115" s="483"/>
      <c r="AM115" s="483"/>
      <c r="AN115" s="483"/>
      <c r="AO115" s="483"/>
      <c r="AP115" s="483"/>
      <c r="AQ115" s="484"/>
    </row>
    <row r="116" spans="21:43" x14ac:dyDescent="0.35">
      <c r="V116" s="490"/>
      <c r="W116" s="492"/>
      <c r="X116" s="485"/>
      <c r="Y116" s="474"/>
      <c r="Z116" s="474"/>
      <c r="AA116" s="474"/>
      <c r="AB116" s="474"/>
      <c r="AC116" s="474"/>
      <c r="AD116" s="474"/>
      <c r="AE116" s="474"/>
      <c r="AF116" s="474"/>
      <c r="AG116" s="474"/>
      <c r="AH116" s="474"/>
      <c r="AI116" s="474"/>
      <c r="AJ116" s="474"/>
      <c r="AK116" s="474"/>
      <c r="AL116" s="474"/>
      <c r="AM116" s="474"/>
      <c r="AN116" s="474"/>
      <c r="AO116" s="474"/>
      <c r="AP116" s="474"/>
      <c r="AQ116" s="486"/>
    </row>
    <row r="117" spans="21:43" ht="15" customHeight="1" x14ac:dyDescent="0.35">
      <c r="V117" s="491"/>
      <c r="W117" s="493"/>
      <c r="X117" s="487"/>
      <c r="Y117" s="488"/>
      <c r="Z117" s="488"/>
      <c r="AA117" s="488"/>
      <c r="AB117" s="488"/>
      <c r="AC117" s="488"/>
      <c r="AD117" s="488"/>
      <c r="AE117" s="488"/>
      <c r="AF117" s="488"/>
      <c r="AG117" s="488"/>
      <c r="AH117" s="488"/>
      <c r="AI117" s="488"/>
      <c r="AJ117" s="488"/>
      <c r="AK117" s="488"/>
      <c r="AL117" s="488"/>
      <c r="AM117" s="488"/>
      <c r="AN117" s="488"/>
      <c r="AO117" s="488"/>
      <c r="AP117" s="488"/>
      <c r="AQ117" s="489"/>
    </row>
    <row r="118" spans="21:43" ht="15" customHeight="1" x14ac:dyDescent="0.35">
      <c r="V118" s="490">
        <v>42626</v>
      </c>
      <c r="W118" s="519">
        <v>21.1</v>
      </c>
      <c r="X118" s="482" t="s">
        <v>1569</v>
      </c>
      <c r="Y118" s="483"/>
      <c r="Z118" s="483"/>
      <c r="AA118" s="483"/>
      <c r="AB118" s="483"/>
      <c r="AC118" s="483"/>
      <c r="AD118" s="483"/>
      <c r="AE118" s="483"/>
      <c r="AF118" s="483"/>
      <c r="AG118" s="483"/>
      <c r="AH118" s="483"/>
      <c r="AI118" s="483"/>
      <c r="AJ118" s="483"/>
      <c r="AK118" s="483"/>
      <c r="AL118" s="483"/>
      <c r="AM118" s="483"/>
      <c r="AN118" s="483"/>
      <c r="AO118" s="483"/>
      <c r="AP118" s="483"/>
      <c r="AQ118" s="484"/>
    </row>
    <row r="119" spans="21:43" ht="15" customHeight="1" x14ac:dyDescent="0.35">
      <c r="V119" s="491"/>
      <c r="W119" s="520"/>
      <c r="X119" s="487"/>
      <c r="Y119" s="488"/>
      <c r="Z119" s="488"/>
      <c r="AA119" s="488"/>
      <c r="AB119" s="488"/>
      <c r="AC119" s="488"/>
      <c r="AD119" s="488"/>
      <c r="AE119" s="488"/>
      <c r="AF119" s="488"/>
      <c r="AG119" s="488"/>
      <c r="AH119" s="488"/>
      <c r="AI119" s="488"/>
      <c r="AJ119" s="488"/>
      <c r="AK119" s="488"/>
      <c r="AL119" s="488"/>
      <c r="AM119" s="488"/>
      <c r="AN119" s="488"/>
      <c r="AO119" s="488"/>
      <c r="AP119" s="488"/>
      <c r="AQ119" s="489"/>
    </row>
    <row r="120" spans="21:43" x14ac:dyDescent="0.35">
      <c r="V120" s="521">
        <v>42565</v>
      </c>
      <c r="W120" s="519">
        <v>21</v>
      </c>
      <c r="X120" s="482" t="s">
        <v>1572</v>
      </c>
      <c r="Y120" s="483"/>
      <c r="Z120" s="483"/>
      <c r="AA120" s="483"/>
      <c r="AB120" s="483"/>
      <c r="AC120" s="483"/>
      <c r="AD120" s="483"/>
      <c r="AE120" s="483"/>
      <c r="AF120" s="483"/>
      <c r="AG120" s="483"/>
      <c r="AH120" s="483"/>
      <c r="AI120" s="483"/>
      <c r="AJ120" s="483"/>
      <c r="AK120" s="483"/>
      <c r="AL120" s="483"/>
      <c r="AM120" s="483"/>
      <c r="AN120" s="483"/>
      <c r="AO120" s="483"/>
      <c r="AP120" s="483"/>
      <c r="AQ120" s="484"/>
    </row>
    <row r="121" spans="21:43" x14ac:dyDescent="0.35">
      <c r="V121" s="522"/>
      <c r="W121" s="520"/>
      <c r="X121" s="487"/>
      <c r="Y121" s="488"/>
      <c r="Z121" s="488"/>
      <c r="AA121" s="488"/>
      <c r="AB121" s="488"/>
      <c r="AC121" s="488"/>
      <c r="AD121" s="488"/>
      <c r="AE121" s="488"/>
      <c r="AF121" s="488"/>
      <c r="AG121" s="488"/>
      <c r="AH121" s="488"/>
      <c r="AI121" s="488"/>
      <c r="AJ121" s="488"/>
      <c r="AK121" s="488"/>
      <c r="AL121" s="488"/>
      <c r="AM121" s="488"/>
      <c r="AN121" s="488"/>
      <c r="AO121" s="488"/>
      <c r="AP121" s="488"/>
      <c r="AQ121" s="489"/>
    </row>
    <row r="122" spans="21:43" x14ac:dyDescent="0.35">
      <c r="V122" s="129">
        <v>42244</v>
      </c>
      <c r="W122" s="121">
        <v>20</v>
      </c>
      <c r="X122" s="451" t="s">
        <v>1574</v>
      </c>
      <c r="Y122" s="452"/>
      <c r="Z122" s="452"/>
      <c r="AA122" s="452"/>
      <c r="AB122" s="452"/>
      <c r="AC122" s="452"/>
      <c r="AD122" s="452"/>
      <c r="AE122" s="452"/>
      <c r="AF122" s="452"/>
      <c r="AG122" s="452"/>
      <c r="AH122" s="452"/>
      <c r="AI122" s="452"/>
      <c r="AJ122" s="452"/>
      <c r="AK122" s="452"/>
      <c r="AL122" s="452"/>
      <c r="AM122" s="452"/>
      <c r="AN122" s="452"/>
      <c r="AO122" s="452"/>
      <c r="AP122" s="452"/>
      <c r="AQ122" s="453"/>
    </row>
    <row r="123" spans="21:43" x14ac:dyDescent="0.35">
      <c r="V123" s="128">
        <v>42173</v>
      </c>
      <c r="W123" s="126">
        <v>19</v>
      </c>
      <c r="X123" s="451" t="s">
        <v>1575</v>
      </c>
      <c r="Y123" s="452"/>
      <c r="Z123" s="452"/>
      <c r="AA123" s="452"/>
      <c r="AB123" s="452"/>
      <c r="AC123" s="452"/>
      <c r="AD123" s="452"/>
      <c r="AE123" s="452"/>
      <c r="AF123" s="452"/>
      <c r="AG123" s="452"/>
      <c r="AH123" s="452"/>
      <c r="AI123" s="452"/>
      <c r="AJ123" s="452"/>
      <c r="AK123" s="452"/>
      <c r="AL123" s="452"/>
      <c r="AM123" s="452"/>
      <c r="AN123" s="452"/>
      <c r="AO123" s="452"/>
      <c r="AP123" s="452"/>
      <c r="AQ123" s="453"/>
    </row>
    <row r="124" spans="21:43" x14ac:dyDescent="0.35">
      <c r="V124" s="127">
        <v>41878</v>
      </c>
      <c r="W124" s="126">
        <v>18</v>
      </c>
      <c r="X124" s="451" t="s">
        <v>1576</v>
      </c>
      <c r="Y124" s="452"/>
      <c r="Z124" s="452"/>
      <c r="AA124" s="452"/>
      <c r="AB124" s="452"/>
      <c r="AC124" s="452"/>
      <c r="AD124" s="452"/>
      <c r="AE124" s="452"/>
      <c r="AF124" s="452"/>
      <c r="AG124" s="452"/>
      <c r="AH124" s="452"/>
      <c r="AI124" s="452"/>
      <c r="AJ124" s="452"/>
      <c r="AK124" s="452"/>
      <c r="AL124" s="452"/>
      <c r="AM124" s="452"/>
      <c r="AN124" s="452"/>
      <c r="AO124" s="452"/>
      <c r="AP124" s="452"/>
      <c r="AQ124" s="453"/>
    </row>
    <row r="125" spans="21:43" x14ac:dyDescent="0.35">
      <c r="V125" s="512">
        <v>41565</v>
      </c>
      <c r="W125" s="513">
        <v>17</v>
      </c>
      <c r="X125" s="482" t="s">
        <v>1577</v>
      </c>
      <c r="Y125" s="483"/>
      <c r="Z125" s="483"/>
      <c r="AA125" s="483"/>
      <c r="AB125" s="483"/>
      <c r="AC125" s="483"/>
      <c r="AD125" s="483"/>
      <c r="AE125" s="483"/>
      <c r="AF125" s="483"/>
      <c r="AG125" s="483"/>
      <c r="AH125" s="483"/>
      <c r="AI125" s="483"/>
      <c r="AJ125" s="483"/>
      <c r="AK125" s="483"/>
      <c r="AL125" s="483"/>
      <c r="AM125" s="483"/>
      <c r="AN125" s="483"/>
      <c r="AO125" s="483"/>
      <c r="AP125" s="483"/>
      <c r="AQ125" s="484"/>
    </row>
    <row r="126" spans="21:43" ht="15" customHeight="1" x14ac:dyDescent="0.35">
      <c r="V126" s="512"/>
      <c r="W126" s="513"/>
      <c r="X126" s="485"/>
      <c r="Y126" s="474"/>
      <c r="Z126" s="474"/>
      <c r="AA126" s="474"/>
      <c r="AB126" s="474"/>
      <c r="AC126" s="474"/>
      <c r="AD126" s="474"/>
      <c r="AE126" s="474"/>
      <c r="AF126" s="474"/>
      <c r="AG126" s="474"/>
      <c r="AH126" s="474"/>
      <c r="AI126" s="474"/>
      <c r="AJ126" s="474"/>
      <c r="AK126" s="474"/>
      <c r="AL126" s="474"/>
      <c r="AM126" s="474"/>
      <c r="AN126" s="474"/>
      <c r="AO126" s="474"/>
      <c r="AP126" s="474"/>
      <c r="AQ126" s="486"/>
    </row>
    <row r="127" spans="21:43" ht="15" customHeight="1" x14ac:dyDescent="0.35">
      <c r="V127" s="512"/>
      <c r="W127" s="513"/>
      <c r="X127" s="485"/>
      <c r="Y127" s="474"/>
      <c r="Z127" s="474"/>
      <c r="AA127" s="474"/>
      <c r="AB127" s="474"/>
      <c r="AC127" s="474"/>
      <c r="AD127" s="474"/>
      <c r="AE127" s="474"/>
      <c r="AF127" s="474"/>
      <c r="AG127" s="474"/>
      <c r="AH127" s="474"/>
      <c r="AI127" s="474"/>
      <c r="AJ127" s="474"/>
      <c r="AK127" s="474"/>
      <c r="AL127" s="474"/>
      <c r="AM127" s="474"/>
      <c r="AN127" s="474"/>
      <c r="AO127" s="474"/>
      <c r="AP127" s="474"/>
      <c r="AQ127" s="486"/>
    </row>
    <row r="128" spans="21:43" x14ac:dyDescent="0.35">
      <c r="V128" s="512"/>
      <c r="W128" s="513"/>
      <c r="X128" s="487"/>
      <c r="Y128" s="488"/>
      <c r="Z128" s="488"/>
      <c r="AA128" s="488"/>
      <c r="AB128" s="488"/>
      <c r="AC128" s="488"/>
      <c r="AD128" s="488"/>
      <c r="AE128" s="488"/>
      <c r="AF128" s="488"/>
      <c r="AG128" s="488"/>
      <c r="AH128" s="488"/>
      <c r="AI128" s="488"/>
      <c r="AJ128" s="488"/>
      <c r="AK128" s="488"/>
      <c r="AL128" s="488"/>
      <c r="AM128" s="488"/>
      <c r="AN128" s="488"/>
      <c r="AO128" s="488"/>
      <c r="AP128" s="488"/>
      <c r="AQ128" s="489"/>
    </row>
    <row r="129" spans="22:43" x14ac:dyDescent="0.35">
      <c r="V129" s="122"/>
      <c r="W129" s="121"/>
      <c r="X129" s="125"/>
      <c r="Y129" s="124"/>
      <c r="Z129" s="124"/>
      <c r="AA129" s="124"/>
      <c r="AB129" s="124"/>
      <c r="AC129" s="124"/>
      <c r="AD129" s="124"/>
      <c r="AE129" s="124"/>
      <c r="AF129" s="124"/>
      <c r="AG129" s="124"/>
      <c r="AH129" s="124"/>
      <c r="AI129" s="124"/>
      <c r="AJ129" s="124"/>
      <c r="AK129" s="124"/>
      <c r="AL129" s="124"/>
      <c r="AM129" s="124"/>
      <c r="AN129" s="124"/>
      <c r="AO129" s="124"/>
      <c r="AP129" s="124"/>
      <c r="AQ129" s="123"/>
    </row>
    <row r="130" spans="22:43" ht="15" customHeight="1" x14ac:dyDescent="0.35">
      <c r="V130" s="122">
        <v>41484</v>
      </c>
      <c r="W130" s="121">
        <v>16</v>
      </c>
      <c r="X130" s="451" t="s">
        <v>1578</v>
      </c>
      <c r="Y130" s="452"/>
      <c r="Z130" s="452"/>
      <c r="AA130" s="452"/>
      <c r="AB130" s="452"/>
      <c r="AC130" s="452"/>
      <c r="AD130" s="452"/>
      <c r="AE130" s="452"/>
      <c r="AF130" s="452"/>
      <c r="AG130" s="452"/>
      <c r="AH130" s="452"/>
      <c r="AI130" s="452"/>
      <c r="AJ130" s="452"/>
      <c r="AK130" s="452"/>
      <c r="AL130" s="452"/>
      <c r="AM130" s="452"/>
      <c r="AN130" s="452"/>
      <c r="AO130" s="452"/>
      <c r="AP130" s="452"/>
      <c r="AQ130" s="453"/>
    </row>
    <row r="131" spans="22:43" x14ac:dyDescent="0.35">
      <c r="V131" s="122">
        <v>41183</v>
      </c>
      <c r="W131" s="121">
        <v>15</v>
      </c>
      <c r="X131" s="451" t="s">
        <v>1579</v>
      </c>
      <c r="Y131" s="452"/>
      <c r="Z131" s="452"/>
      <c r="AA131" s="452"/>
      <c r="AB131" s="452"/>
      <c r="AC131" s="452"/>
      <c r="AD131" s="452"/>
      <c r="AE131" s="452"/>
      <c r="AF131" s="452"/>
      <c r="AG131" s="452"/>
      <c r="AH131" s="452"/>
      <c r="AI131" s="452"/>
      <c r="AJ131" s="452"/>
      <c r="AK131" s="452"/>
      <c r="AL131" s="452"/>
      <c r="AM131" s="452"/>
      <c r="AN131" s="452"/>
      <c r="AO131" s="452"/>
      <c r="AP131" s="452"/>
      <c r="AQ131" s="453"/>
    </row>
    <row r="132" spans="22:43" x14ac:dyDescent="0.35">
      <c r="V132" s="122">
        <v>41032</v>
      </c>
      <c r="W132" s="121">
        <v>14.1</v>
      </c>
      <c r="X132" s="451" t="s">
        <v>1580</v>
      </c>
      <c r="Y132" s="452"/>
      <c r="Z132" s="452"/>
      <c r="AA132" s="452"/>
      <c r="AB132" s="452"/>
      <c r="AC132" s="452"/>
      <c r="AD132" s="452"/>
      <c r="AE132" s="452"/>
      <c r="AF132" s="452"/>
      <c r="AG132" s="452"/>
      <c r="AH132" s="452"/>
      <c r="AI132" s="452"/>
      <c r="AJ132" s="452"/>
      <c r="AK132" s="452"/>
      <c r="AL132" s="452"/>
      <c r="AM132" s="452"/>
      <c r="AN132" s="452"/>
      <c r="AO132" s="452"/>
      <c r="AP132" s="452"/>
      <c r="AQ132" s="453"/>
    </row>
    <row r="133" spans="22:43" x14ac:dyDescent="0.35">
      <c r="V133" s="122">
        <v>41030</v>
      </c>
      <c r="W133" s="121">
        <v>14</v>
      </c>
      <c r="X133" s="514" t="s">
        <v>1581</v>
      </c>
      <c r="Y133" s="515"/>
      <c r="Z133" s="515"/>
      <c r="AA133" s="515"/>
      <c r="AB133" s="515"/>
      <c r="AC133" s="515"/>
      <c r="AD133" s="515"/>
      <c r="AE133" s="515"/>
      <c r="AF133" s="515"/>
      <c r="AG133" s="515"/>
      <c r="AH133" s="515"/>
      <c r="AI133" s="515"/>
      <c r="AJ133" s="515"/>
      <c r="AK133" s="515"/>
      <c r="AL133" s="515"/>
      <c r="AM133" s="515"/>
      <c r="AN133" s="515"/>
      <c r="AO133" s="515"/>
      <c r="AP133" s="515"/>
      <c r="AQ133" s="516"/>
    </row>
    <row r="134" spans="22:43" ht="15" customHeight="1" x14ac:dyDescent="0.35">
      <c r="V134" s="512">
        <v>40913</v>
      </c>
      <c r="W134" s="513">
        <v>13</v>
      </c>
      <c r="X134" s="482" t="s">
        <v>1582</v>
      </c>
      <c r="Y134" s="483"/>
      <c r="Z134" s="483"/>
      <c r="AA134" s="483"/>
      <c r="AB134" s="483"/>
      <c r="AC134" s="483"/>
      <c r="AD134" s="483"/>
      <c r="AE134" s="483"/>
      <c r="AF134" s="483"/>
      <c r="AG134" s="483"/>
      <c r="AH134" s="483"/>
      <c r="AI134" s="483"/>
      <c r="AJ134" s="483"/>
      <c r="AK134" s="483"/>
      <c r="AL134" s="483"/>
      <c r="AM134" s="483"/>
      <c r="AN134" s="483"/>
      <c r="AO134" s="483"/>
      <c r="AP134" s="483"/>
      <c r="AQ134" s="484"/>
    </row>
    <row r="135" spans="22:43" x14ac:dyDescent="0.35">
      <c r="V135" s="512"/>
      <c r="W135" s="513"/>
      <c r="X135" s="487"/>
      <c r="Y135" s="488"/>
      <c r="Z135" s="488"/>
      <c r="AA135" s="488"/>
      <c r="AB135" s="488"/>
      <c r="AC135" s="488"/>
      <c r="AD135" s="488"/>
      <c r="AE135" s="488"/>
      <c r="AF135" s="488"/>
      <c r="AG135" s="488"/>
      <c r="AH135" s="488"/>
      <c r="AI135" s="488"/>
      <c r="AJ135" s="488"/>
      <c r="AK135" s="488"/>
      <c r="AL135" s="488"/>
      <c r="AM135" s="488"/>
      <c r="AN135" s="488"/>
      <c r="AO135" s="488"/>
      <c r="AP135" s="488"/>
      <c r="AQ135" s="489"/>
    </row>
    <row r="136" spans="22:43" x14ac:dyDescent="0.35">
      <c r="V136" s="122">
        <v>40876</v>
      </c>
      <c r="W136" s="121">
        <v>12</v>
      </c>
      <c r="X136" s="451" t="s">
        <v>1583</v>
      </c>
      <c r="Y136" s="452"/>
      <c r="Z136" s="452"/>
      <c r="AA136" s="452"/>
      <c r="AB136" s="452"/>
      <c r="AC136" s="452"/>
      <c r="AD136" s="452"/>
      <c r="AE136" s="452"/>
      <c r="AF136" s="452"/>
      <c r="AG136" s="452"/>
      <c r="AH136" s="452"/>
      <c r="AI136" s="452"/>
      <c r="AJ136" s="452"/>
      <c r="AK136" s="452"/>
      <c r="AL136" s="452"/>
      <c r="AM136" s="452"/>
      <c r="AN136" s="452"/>
      <c r="AO136" s="452"/>
      <c r="AP136" s="452"/>
      <c r="AQ136" s="453"/>
    </row>
    <row r="137" spans="22:43" ht="15" customHeight="1" x14ac:dyDescent="0.35">
      <c r="V137" s="512">
        <v>40631</v>
      </c>
      <c r="W137" s="513">
        <v>11.2</v>
      </c>
      <c r="X137" s="482" t="s">
        <v>1584</v>
      </c>
      <c r="Y137" s="483"/>
      <c r="Z137" s="483"/>
      <c r="AA137" s="483"/>
      <c r="AB137" s="483"/>
      <c r="AC137" s="483"/>
      <c r="AD137" s="483"/>
      <c r="AE137" s="483"/>
      <c r="AF137" s="483"/>
      <c r="AG137" s="483"/>
      <c r="AH137" s="483"/>
      <c r="AI137" s="483"/>
      <c r="AJ137" s="483"/>
      <c r="AK137" s="483"/>
      <c r="AL137" s="483"/>
      <c r="AM137" s="483"/>
      <c r="AN137" s="483"/>
      <c r="AO137" s="483"/>
      <c r="AP137" s="483"/>
      <c r="AQ137" s="484"/>
    </row>
    <row r="138" spans="22:43" x14ac:dyDescent="0.35">
      <c r="V138" s="512"/>
      <c r="W138" s="513"/>
      <c r="X138" s="485"/>
      <c r="Y138" s="474"/>
      <c r="Z138" s="474"/>
      <c r="AA138" s="474"/>
      <c r="AB138" s="474"/>
      <c r="AC138" s="474"/>
      <c r="AD138" s="474"/>
      <c r="AE138" s="474"/>
      <c r="AF138" s="474"/>
      <c r="AG138" s="474"/>
      <c r="AH138" s="474"/>
      <c r="AI138" s="474"/>
      <c r="AJ138" s="474"/>
      <c r="AK138" s="474"/>
      <c r="AL138" s="474"/>
      <c r="AM138" s="474"/>
      <c r="AN138" s="474"/>
      <c r="AO138" s="474"/>
      <c r="AP138" s="474"/>
      <c r="AQ138" s="486"/>
    </row>
    <row r="139" spans="22:43" x14ac:dyDescent="0.35">
      <c r="V139" s="512"/>
      <c r="W139" s="513"/>
      <c r="X139" s="487"/>
      <c r="Y139" s="488"/>
      <c r="Z139" s="488"/>
      <c r="AA139" s="488"/>
      <c r="AB139" s="488"/>
      <c r="AC139" s="488"/>
      <c r="AD139" s="488"/>
      <c r="AE139" s="488"/>
      <c r="AF139" s="488"/>
      <c r="AG139" s="488"/>
      <c r="AH139" s="488"/>
      <c r="AI139" s="488"/>
      <c r="AJ139" s="488"/>
      <c r="AK139" s="488"/>
      <c r="AL139" s="488"/>
      <c r="AM139" s="488"/>
      <c r="AN139" s="488"/>
      <c r="AO139" s="488"/>
      <c r="AP139" s="488"/>
      <c r="AQ139" s="489"/>
    </row>
    <row r="140" spans="22:43" x14ac:dyDescent="0.35">
      <c r="V140" s="122">
        <v>40616</v>
      </c>
      <c r="W140" s="121">
        <v>11.1</v>
      </c>
      <c r="X140" s="451" t="s">
        <v>1583</v>
      </c>
      <c r="Y140" s="452"/>
      <c r="Z140" s="452"/>
      <c r="AA140" s="452"/>
      <c r="AB140" s="452"/>
      <c r="AC140" s="452"/>
      <c r="AD140" s="452"/>
      <c r="AE140" s="452"/>
      <c r="AF140" s="452"/>
      <c r="AG140" s="452"/>
      <c r="AH140" s="452"/>
      <c r="AI140" s="452"/>
      <c r="AJ140" s="452"/>
      <c r="AK140" s="452"/>
      <c r="AL140" s="452"/>
      <c r="AM140" s="452"/>
      <c r="AN140" s="452"/>
      <c r="AO140" s="452"/>
      <c r="AP140" s="452"/>
      <c r="AQ140" s="453"/>
    </row>
    <row r="141" spans="22:43" ht="15" customHeight="1" x14ac:dyDescent="0.35">
      <c r="V141" s="512">
        <v>40567</v>
      </c>
      <c r="W141" s="513">
        <v>11</v>
      </c>
      <c r="X141" s="482" t="s">
        <v>1585</v>
      </c>
      <c r="Y141" s="483"/>
      <c r="Z141" s="483"/>
      <c r="AA141" s="483"/>
      <c r="AB141" s="483"/>
      <c r="AC141" s="483"/>
      <c r="AD141" s="483"/>
      <c r="AE141" s="483"/>
      <c r="AF141" s="483"/>
      <c r="AG141" s="483"/>
      <c r="AH141" s="483"/>
      <c r="AI141" s="483"/>
      <c r="AJ141" s="483"/>
      <c r="AK141" s="483"/>
      <c r="AL141" s="483"/>
      <c r="AM141" s="483"/>
      <c r="AN141" s="483"/>
      <c r="AO141" s="483"/>
      <c r="AP141" s="483"/>
      <c r="AQ141" s="484"/>
    </row>
    <row r="142" spans="22:43" x14ac:dyDescent="0.35">
      <c r="V142" s="512"/>
      <c r="W142" s="513"/>
      <c r="X142" s="485"/>
      <c r="Y142" s="474"/>
      <c r="Z142" s="474"/>
      <c r="AA142" s="474"/>
      <c r="AB142" s="474"/>
      <c r="AC142" s="474"/>
      <c r="AD142" s="474"/>
      <c r="AE142" s="474"/>
      <c r="AF142" s="474"/>
      <c r="AG142" s="474"/>
      <c r="AH142" s="474"/>
      <c r="AI142" s="474"/>
      <c r="AJ142" s="474"/>
      <c r="AK142" s="474"/>
      <c r="AL142" s="474"/>
      <c r="AM142" s="474"/>
      <c r="AN142" s="474"/>
      <c r="AO142" s="474"/>
      <c r="AP142" s="474"/>
      <c r="AQ142" s="486"/>
    </row>
    <row r="143" spans="22:43" x14ac:dyDescent="0.35">
      <c r="V143" s="512"/>
      <c r="W143" s="513"/>
      <c r="X143" s="487"/>
      <c r="Y143" s="488"/>
      <c r="Z143" s="488"/>
      <c r="AA143" s="488"/>
      <c r="AB143" s="488"/>
      <c r="AC143" s="488"/>
      <c r="AD143" s="488"/>
      <c r="AE143" s="488"/>
      <c r="AF143" s="488"/>
      <c r="AG143" s="488"/>
      <c r="AH143" s="488"/>
      <c r="AI143" s="488"/>
      <c r="AJ143" s="488"/>
      <c r="AK143" s="488"/>
      <c r="AL143" s="488"/>
      <c r="AM143" s="488"/>
      <c r="AN143" s="488"/>
      <c r="AO143" s="488"/>
      <c r="AP143" s="488"/>
      <c r="AQ143" s="489"/>
    </row>
    <row r="144" spans="22:43" ht="15" customHeight="1" x14ac:dyDescent="0.35">
      <c r="V144" s="512">
        <v>40479</v>
      </c>
      <c r="W144" s="513">
        <v>10</v>
      </c>
      <c r="X144" s="482" t="s">
        <v>1586</v>
      </c>
      <c r="Y144" s="483"/>
      <c r="Z144" s="483"/>
      <c r="AA144" s="483"/>
      <c r="AB144" s="483"/>
      <c r="AC144" s="483"/>
      <c r="AD144" s="483"/>
      <c r="AE144" s="483"/>
      <c r="AF144" s="483"/>
      <c r="AG144" s="483"/>
      <c r="AH144" s="483"/>
      <c r="AI144" s="483"/>
      <c r="AJ144" s="483"/>
      <c r="AK144" s="483"/>
      <c r="AL144" s="483"/>
      <c r="AM144" s="483"/>
      <c r="AN144" s="483"/>
      <c r="AO144" s="483"/>
      <c r="AP144" s="483"/>
      <c r="AQ144" s="484"/>
    </row>
    <row r="145" spans="22:43" x14ac:dyDescent="0.35">
      <c r="V145" s="512"/>
      <c r="W145" s="513"/>
      <c r="X145" s="487"/>
      <c r="Y145" s="488"/>
      <c r="Z145" s="488"/>
      <c r="AA145" s="488"/>
      <c r="AB145" s="488"/>
      <c r="AC145" s="488"/>
      <c r="AD145" s="488"/>
      <c r="AE145" s="488"/>
      <c r="AF145" s="488"/>
      <c r="AG145" s="488"/>
      <c r="AH145" s="488"/>
      <c r="AI145" s="488"/>
      <c r="AJ145" s="488"/>
      <c r="AK145" s="488"/>
      <c r="AL145" s="488"/>
      <c r="AM145" s="488"/>
      <c r="AN145" s="488"/>
      <c r="AO145" s="488"/>
      <c r="AP145" s="488"/>
      <c r="AQ145" s="489"/>
    </row>
    <row r="146" spans="22:43" x14ac:dyDescent="0.35">
      <c r="V146" s="122">
        <v>40442</v>
      </c>
      <c r="W146" s="121">
        <v>9</v>
      </c>
      <c r="X146" s="451" t="s">
        <v>1587</v>
      </c>
      <c r="Y146" s="452"/>
      <c r="Z146" s="452"/>
      <c r="AA146" s="452"/>
      <c r="AB146" s="452"/>
      <c r="AC146" s="452"/>
      <c r="AD146" s="452"/>
      <c r="AE146" s="452"/>
      <c r="AF146" s="452"/>
      <c r="AG146" s="452"/>
      <c r="AH146" s="452"/>
      <c r="AI146" s="452"/>
      <c r="AJ146" s="452"/>
      <c r="AK146" s="452"/>
      <c r="AL146" s="452"/>
      <c r="AM146" s="452"/>
      <c r="AN146" s="452"/>
      <c r="AO146" s="452"/>
      <c r="AP146" s="452"/>
      <c r="AQ146" s="453"/>
    </row>
    <row r="147" spans="22:43" x14ac:dyDescent="0.35">
      <c r="V147" s="122">
        <v>40242</v>
      </c>
      <c r="W147" s="121">
        <v>8</v>
      </c>
      <c r="X147" s="451" t="s">
        <v>1588</v>
      </c>
      <c r="Y147" s="452"/>
      <c r="Z147" s="452"/>
      <c r="AA147" s="452"/>
      <c r="AB147" s="452"/>
      <c r="AC147" s="452"/>
      <c r="AD147" s="452"/>
      <c r="AE147" s="452"/>
      <c r="AF147" s="452"/>
      <c r="AG147" s="452"/>
      <c r="AH147" s="452"/>
      <c r="AI147" s="452"/>
      <c r="AJ147" s="452"/>
      <c r="AK147" s="452"/>
      <c r="AL147" s="452"/>
      <c r="AM147" s="452"/>
      <c r="AN147" s="452"/>
      <c r="AO147" s="452"/>
      <c r="AP147" s="452"/>
      <c r="AQ147" s="453"/>
    </row>
    <row r="148" spans="22:43" x14ac:dyDescent="0.35">
      <c r="V148" s="512">
        <v>40235</v>
      </c>
      <c r="W148" s="513">
        <v>7</v>
      </c>
      <c r="X148" s="482" t="s">
        <v>1589</v>
      </c>
      <c r="Y148" s="483"/>
      <c r="Z148" s="483"/>
      <c r="AA148" s="483"/>
      <c r="AB148" s="483"/>
      <c r="AC148" s="483"/>
      <c r="AD148" s="483"/>
      <c r="AE148" s="483"/>
      <c r="AF148" s="483"/>
      <c r="AG148" s="483"/>
      <c r="AH148" s="483"/>
      <c r="AI148" s="483"/>
      <c r="AJ148" s="483"/>
      <c r="AK148" s="483"/>
      <c r="AL148" s="483"/>
      <c r="AM148" s="483"/>
      <c r="AN148" s="483"/>
      <c r="AO148" s="483"/>
      <c r="AP148" s="483"/>
      <c r="AQ148" s="484"/>
    </row>
    <row r="149" spans="22:43" ht="15" customHeight="1" x14ac:dyDescent="0.35">
      <c r="V149" s="512"/>
      <c r="W149" s="513"/>
      <c r="X149" s="485"/>
      <c r="Y149" s="474"/>
      <c r="Z149" s="474"/>
      <c r="AA149" s="474"/>
      <c r="AB149" s="474"/>
      <c r="AC149" s="474"/>
      <c r="AD149" s="474"/>
      <c r="AE149" s="474"/>
      <c r="AF149" s="474"/>
      <c r="AG149" s="474"/>
      <c r="AH149" s="474"/>
      <c r="AI149" s="474"/>
      <c r="AJ149" s="474"/>
      <c r="AK149" s="474"/>
      <c r="AL149" s="474"/>
      <c r="AM149" s="474"/>
      <c r="AN149" s="474"/>
      <c r="AO149" s="474"/>
      <c r="AP149" s="474"/>
      <c r="AQ149" s="486"/>
    </row>
    <row r="150" spans="22:43" x14ac:dyDescent="0.35">
      <c r="V150" s="512"/>
      <c r="W150" s="513"/>
      <c r="X150" s="487"/>
      <c r="Y150" s="488"/>
      <c r="Z150" s="488"/>
      <c r="AA150" s="488"/>
      <c r="AB150" s="488"/>
      <c r="AC150" s="488"/>
      <c r="AD150" s="488"/>
      <c r="AE150" s="488"/>
      <c r="AF150" s="488"/>
      <c r="AG150" s="488"/>
      <c r="AH150" s="488"/>
      <c r="AI150" s="488"/>
      <c r="AJ150" s="488"/>
      <c r="AK150" s="488"/>
      <c r="AL150" s="488"/>
      <c r="AM150" s="488"/>
      <c r="AN150" s="488"/>
      <c r="AO150" s="488"/>
      <c r="AP150" s="488"/>
      <c r="AQ150" s="489"/>
    </row>
    <row r="151" spans="22:43" x14ac:dyDescent="0.35">
      <c r="V151" s="512">
        <v>40126</v>
      </c>
      <c r="W151" s="513">
        <v>6</v>
      </c>
      <c r="X151" s="482" t="s">
        <v>1590</v>
      </c>
      <c r="Y151" s="483"/>
      <c r="Z151" s="483"/>
      <c r="AA151" s="483"/>
      <c r="AB151" s="483"/>
      <c r="AC151" s="483"/>
      <c r="AD151" s="483"/>
      <c r="AE151" s="483"/>
      <c r="AF151" s="483"/>
      <c r="AG151" s="483"/>
      <c r="AH151" s="483"/>
      <c r="AI151" s="483"/>
      <c r="AJ151" s="483"/>
      <c r="AK151" s="483"/>
      <c r="AL151" s="483"/>
      <c r="AM151" s="483"/>
      <c r="AN151" s="483"/>
      <c r="AO151" s="483"/>
      <c r="AP151" s="483"/>
      <c r="AQ151" s="484"/>
    </row>
    <row r="152" spans="22:43" x14ac:dyDescent="0.35">
      <c r="V152" s="512"/>
      <c r="W152" s="513"/>
      <c r="X152" s="487"/>
      <c r="Y152" s="488"/>
      <c r="Z152" s="488"/>
      <c r="AA152" s="488"/>
      <c r="AB152" s="488"/>
      <c r="AC152" s="488"/>
      <c r="AD152" s="488"/>
      <c r="AE152" s="488"/>
      <c r="AF152" s="488"/>
      <c r="AG152" s="488"/>
      <c r="AH152" s="488"/>
      <c r="AI152" s="488"/>
      <c r="AJ152" s="488"/>
      <c r="AK152" s="488"/>
      <c r="AL152" s="488"/>
      <c r="AM152" s="488"/>
      <c r="AN152" s="488"/>
      <c r="AO152" s="488"/>
      <c r="AP152" s="488"/>
      <c r="AQ152" s="489"/>
    </row>
    <row r="153" spans="22:43" x14ac:dyDescent="0.35">
      <c r="V153" s="122">
        <v>39972</v>
      </c>
      <c r="W153" s="121">
        <v>5</v>
      </c>
      <c r="X153" s="451" t="s">
        <v>1591</v>
      </c>
      <c r="Y153" s="452"/>
      <c r="Z153" s="452"/>
      <c r="AA153" s="452"/>
      <c r="AB153" s="452"/>
      <c r="AC153" s="452"/>
      <c r="AD153" s="452"/>
      <c r="AE153" s="452"/>
      <c r="AF153" s="452"/>
      <c r="AG153" s="452"/>
      <c r="AH153" s="452"/>
      <c r="AI153" s="452"/>
      <c r="AJ153" s="452"/>
      <c r="AK153" s="452"/>
      <c r="AL153" s="452"/>
      <c r="AM153" s="452"/>
      <c r="AN153" s="452"/>
      <c r="AO153" s="452"/>
      <c r="AP153" s="452"/>
      <c r="AQ153" s="453"/>
    </row>
    <row r="154" spans="22:43" x14ac:dyDescent="0.35">
      <c r="V154" s="122">
        <v>39752</v>
      </c>
      <c r="W154" s="121">
        <v>4</v>
      </c>
      <c r="X154" s="451" t="s">
        <v>1592</v>
      </c>
      <c r="Y154" s="452"/>
      <c r="Z154" s="452"/>
      <c r="AA154" s="452"/>
      <c r="AB154" s="452"/>
      <c r="AC154" s="452"/>
      <c r="AD154" s="452"/>
      <c r="AE154" s="452"/>
      <c r="AF154" s="452"/>
      <c r="AG154" s="452"/>
      <c r="AH154" s="452"/>
      <c r="AI154" s="452"/>
      <c r="AJ154" s="452"/>
      <c r="AK154" s="452"/>
      <c r="AL154" s="452"/>
      <c r="AM154" s="452"/>
      <c r="AN154" s="452"/>
      <c r="AO154" s="452"/>
      <c r="AP154" s="452"/>
      <c r="AQ154" s="453"/>
    </row>
    <row r="155" spans="22:43" x14ac:dyDescent="0.35">
      <c r="V155" s="122">
        <v>39621</v>
      </c>
      <c r="W155" s="121">
        <v>3</v>
      </c>
      <c r="X155" s="451" t="s">
        <v>1593</v>
      </c>
      <c r="Y155" s="452"/>
      <c r="Z155" s="452"/>
      <c r="AA155" s="452"/>
      <c r="AB155" s="452"/>
      <c r="AC155" s="452"/>
      <c r="AD155" s="452"/>
      <c r="AE155" s="452"/>
      <c r="AF155" s="452"/>
      <c r="AG155" s="452"/>
      <c r="AH155" s="452"/>
      <c r="AI155" s="452"/>
      <c r="AJ155" s="452"/>
      <c r="AK155" s="452"/>
      <c r="AL155" s="452"/>
      <c r="AM155" s="452"/>
      <c r="AN155" s="452"/>
      <c r="AO155" s="452"/>
      <c r="AP155" s="452"/>
      <c r="AQ155" s="453"/>
    </row>
    <row r="156" spans="22:43" x14ac:dyDescent="0.35">
      <c r="V156" s="512">
        <v>39254</v>
      </c>
      <c r="W156" s="513">
        <v>2</v>
      </c>
      <c r="X156" s="482" t="s">
        <v>1594</v>
      </c>
      <c r="Y156" s="483"/>
      <c r="Z156" s="483"/>
      <c r="AA156" s="483"/>
      <c r="AB156" s="483"/>
      <c r="AC156" s="483"/>
      <c r="AD156" s="483"/>
      <c r="AE156" s="483"/>
      <c r="AF156" s="483"/>
      <c r="AG156" s="483"/>
      <c r="AH156" s="483"/>
      <c r="AI156" s="483"/>
      <c r="AJ156" s="483"/>
      <c r="AK156" s="483"/>
      <c r="AL156" s="483"/>
      <c r="AM156" s="483"/>
      <c r="AN156" s="483"/>
      <c r="AO156" s="483"/>
      <c r="AP156" s="483"/>
      <c r="AQ156" s="484"/>
    </row>
    <row r="157" spans="22:43" x14ac:dyDescent="0.35">
      <c r="V157" s="512"/>
      <c r="W157" s="513"/>
      <c r="X157" s="487"/>
      <c r="Y157" s="488"/>
      <c r="Z157" s="488"/>
      <c r="AA157" s="488"/>
      <c r="AB157" s="488"/>
      <c r="AC157" s="488"/>
      <c r="AD157" s="488"/>
      <c r="AE157" s="488"/>
      <c r="AF157" s="488"/>
      <c r="AG157" s="488"/>
      <c r="AH157" s="488"/>
      <c r="AI157" s="488"/>
      <c r="AJ157" s="488"/>
      <c r="AK157" s="488"/>
      <c r="AL157" s="488"/>
      <c r="AM157" s="488"/>
      <c r="AN157" s="488"/>
      <c r="AO157" s="488"/>
      <c r="AP157" s="488"/>
      <c r="AQ157" s="489"/>
    </row>
    <row r="158" spans="22:43" x14ac:dyDescent="0.35">
      <c r="V158" s="122">
        <v>39237</v>
      </c>
      <c r="W158" s="121">
        <v>1</v>
      </c>
      <c r="X158" s="451" t="s">
        <v>1595</v>
      </c>
      <c r="Y158" s="452"/>
      <c r="Z158" s="452"/>
      <c r="AA158" s="452"/>
      <c r="AB158" s="452"/>
      <c r="AC158" s="452"/>
      <c r="AD158" s="452"/>
      <c r="AE158" s="452"/>
      <c r="AF158" s="452"/>
      <c r="AG158" s="452"/>
      <c r="AH158" s="452"/>
      <c r="AI158" s="452"/>
      <c r="AJ158" s="452"/>
      <c r="AK158" s="452"/>
      <c r="AL158" s="452"/>
      <c r="AM158" s="452"/>
      <c r="AN158" s="452"/>
      <c r="AO158" s="452"/>
      <c r="AP158" s="452"/>
      <c r="AQ158" s="453"/>
    </row>
    <row r="159" spans="22:43" x14ac:dyDescent="0.35">
      <c r="AA159" s="120"/>
    </row>
    <row r="160" spans="22:43" x14ac:dyDescent="0.35">
      <c r="AA160" s="120"/>
    </row>
    <row r="161" spans="27:27" x14ac:dyDescent="0.35">
      <c r="AA161" s="120"/>
    </row>
    <row r="162" spans="27:27" x14ac:dyDescent="0.35">
      <c r="AA162" s="120"/>
    </row>
    <row r="163" spans="27:27" x14ac:dyDescent="0.35">
      <c r="AA163" s="119"/>
    </row>
  </sheetData>
  <mergeCells count="93">
    <mergeCell ref="X113:AQ114"/>
    <mergeCell ref="X105:AQ106"/>
    <mergeCell ref="X123:AQ123"/>
    <mergeCell ref="X115:AQ117"/>
    <mergeCell ref="X118:AQ119"/>
    <mergeCell ref="X107:AQ108"/>
    <mergeCell ref="X109:AQ112"/>
    <mergeCell ref="W115:W117"/>
    <mergeCell ref="V115:V117"/>
    <mergeCell ref="V118:V119"/>
    <mergeCell ref="W118:W119"/>
    <mergeCell ref="W120:W121"/>
    <mergeCell ref="V120:V121"/>
    <mergeCell ref="X124:AQ124"/>
    <mergeCell ref="X122:AQ122"/>
    <mergeCell ref="X120:AQ121"/>
    <mergeCell ref="V134:V135"/>
    <mergeCell ref="V125:V128"/>
    <mergeCell ref="X133:AQ133"/>
    <mergeCell ref="X132:AQ132"/>
    <mergeCell ref="X131:AQ131"/>
    <mergeCell ref="X130:AQ130"/>
    <mergeCell ref="X134:AQ135"/>
    <mergeCell ref="W125:W128"/>
    <mergeCell ref="W134:W135"/>
    <mergeCell ref="V144:V145"/>
    <mergeCell ref="V137:V139"/>
    <mergeCell ref="V141:V143"/>
    <mergeCell ref="V156:V157"/>
    <mergeCell ref="W156:W157"/>
    <mergeCell ref="V148:V150"/>
    <mergeCell ref="V151:V152"/>
    <mergeCell ref="W148:W150"/>
    <mergeCell ref="W151:W152"/>
    <mergeCell ref="W141:W143"/>
    <mergeCell ref="W137:W139"/>
    <mergeCell ref="W144:W145"/>
    <mergeCell ref="X146:AQ146"/>
    <mergeCell ref="X147:AQ147"/>
    <mergeCell ref="X125:AQ128"/>
    <mergeCell ref="X144:AQ145"/>
    <mergeCell ref="X141:AQ143"/>
    <mergeCell ref="X140:AQ140"/>
    <mergeCell ref="X137:AQ139"/>
    <mergeCell ref="X136:AQ136"/>
    <mergeCell ref="A2:B2"/>
    <mergeCell ref="C2:W2"/>
    <mergeCell ref="B80:L80"/>
    <mergeCell ref="T3:T5"/>
    <mergeCell ref="U3:U5"/>
    <mergeCell ref="X158:AQ158"/>
    <mergeCell ref="X148:AQ150"/>
    <mergeCell ref="X151:AQ152"/>
    <mergeCell ref="X153:AQ153"/>
    <mergeCell ref="X155:AQ155"/>
    <mergeCell ref="X156:AQ157"/>
    <mergeCell ref="X154:AQ154"/>
    <mergeCell ref="X104:AQ104"/>
    <mergeCell ref="X98:AQ98"/>
    <mergeCell ref="Z2:AB2"/>
    <mergeCell ref="AO2:AQ2"/>
    <mergeCell ref="X103:AQ103"/>
    <mergeCell ref="X100:AQ100"/>
    <mergeCell ref="AF2:AJ2"/>
    <mergeCell ref="X77:AQ77"/>
    <mergeCell ref="X78:AQ78"/>
    <mergeCell ref="X79:AQ79"/>
    <mergeCell ref="X80:AQ80"/>
    <mergeCell ref="V109:V112"/>
    <mergeCell ref="V107:V108"/>
    <mergeCell ref="W105:W106"/>
    <mergeCell ref="V113:V114"/>
    <mergeCell ref="W113:W114"/>
    <mergeCell ref="V105:V106"/>
    <mergeCell ref="W109:W112"/>
    <mergeCell ref="W107:W108"/>
    <mergeCell ref="A87:A88"/>
    <mergeCell ref="B87:L88"/>
    <mergeCell ref="V91:V93"/>
    <mergeCell ref="V94:V96"/>
    <mergeCell ref="X91:AQ93"/>
    <mergeCell ref="X94:AQ96"/>
    <mergeCell ref="W91:W93"/>
    <mergeCell ref="W94:W96"/>
    <mergeCell ref="V101:V102"/>
    <mergeCell ref="X99:AQ99"/>
    <mergeCell ref="B85:L85"/>
    <mergeCell ref="V81:V90"/>
    <mergeCell ref="W81:W90"/>
    <mergeCell ref="X81:AQ90"/>
    <mergeCell ref="W101:W102"/>
    <mergeCell ref="X101:AQ102"/>
    <mergeCell ref="X97:AQ97"/>
  </mergeCells>
  <pageMargins left="0.75" right="0.75" top="1" bottom="1" header="0.5" footer="0.5"/>
  <pageSetup paperSize="17" scale="43" fitToHeight="0" orientation="landscape" r:id="rId1"/>
  <headerFooter alignWithMargins="0"/>
  <rowBreaks count="1" manualBreakCount="1">
    <brk id="75" max="16383" man="1"/>
  </rowBreaks>
  <colBreaks count="1" manualBreakCount="1">
    <brk id="20" max="1048575" man="1"/>
  </colBreaks>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98CF2-2BB5-4CC2-AFF5-363478915AF6}">
  <sheetPr>
    <pageSetUpPr fitToPage="1"/>
  </sheetPr>
  <dimension ref="A1:CE437"/>
  <sheetViews>
    <sheetView zoomScaleNormal="100" workbookViewId="0">
      <pane xSplit="1" ySplit="5" topLeftCell="B6" activePane="bottomRight" state="frozen"/>
      <selection pane="topRight" activeCell="B1" sqref="B1"/>
      <selection pane="bottomLeft" activeCell="A6" sqref="A6"/>
      <selection pane="bottomRight" activeCell="M1" sqref="M1"/>
    </sheetView>
  </sheetViews>
  <sheetFormatPr defaultRowHeight="14.5" x14ac:dyDescent="0.35"/>
  <cols>
    <col min="1" max="1" width="25.26953125" style="284" customWidth="1"/>
    <col min="2" max="2" width="21.1796875" style="284" customWidth="1"/>
    <col min="3" max="3" width="41.81640625" style="284" customWidth="1"/>
    <col min="4" max="4" width="11.54296875" style="284" customWidth="1"/>
    <col min="5" max="5" width="11.81640625" style="284" customWidth="1"/>
    <col min="6" max="6" width="13" style="284" customWidth="1"/>
    <col min="7" max="7" width="11.81640625" style="284" customWidth="1"/>
    <col min="8" max="8" width="14.7265625" style="284" customWidth="1"/>
    <col min="9" max="9" width="22.81640625" style="284" customWidth="1"/>
    <col min="10" max="10" width="10.81640625" style="284" customWidth="1"/>
    <col min="11" max="11" width="13" style="284" customWidth="1"/>
    <col min="12" max="12" width="23.81640625" style="284" customWidth="1"/>
    <col min="13" max="21" width="8.7265625" style="284"/>
    <col min="22" max="22" width="13.54296875" style="284" customWidth="1"/>
    <col min="23" max="16384" width="8.7265625" style="284"/>
  </cols>
  <sheetData>
    <row r="1" spans="1:26" ht="15.5" x14ac:dyDescent="0.35">
      <c r="A1" s="560" t="s">
        <v>1596</v>
      </c>
      <c r="B1" s="560"/>
      <c r="C1" s="560"/>
      <c r="D1" s="560"/>
      <c r="E1" s="560"/>
      <c r="F1" s="560"/>
      <c r="G1" s="560"/>
      <c r="H1" s="560"/>
      <c r="I1" s="560"/>
      <c r="J1" s="560"/>
      <c r="K1" s="560"/>
      <c r="L1" s="560"/>
    </row>
    <row r="2" spans="1:26" ht="15" customHeight="1" x14ac:dyDescent="0.35">
      <c r="A2" s="541" t="s">
        <v>1597</v>
      </c>
      <c r="B2" s="541" t="s">
        <v>1494</v>
      </c>
      <c r="C2" s="549" t="s">
        <v>1598</v>
      </c>
      <c r="D2" s="545" t="s">
        <v>1599</v>
      </c>
      <c r="E2" s="545" t="s">
        <v>1600</v>
      </c>
      <c r="F2" s="545" t="s">
        <v>1601</v>
      </c>
      <c r="G2" s="541" t="s">
        <v>1462</v>
      </c>
      <c r="H2" s="541"/>
      <c r="I2" s="541"/>
      <c r="J2" s="541" t="s">
        <v>1463</v>
      </c>
      <c r="K2" s="541"/>
      <c r="L2" s="541"/>
    </row>
    <row r="3" spans="1:26" x14ac:dyDescent="0.35">
      <c r="A3" s="542"/>
      <c r="B3" s="542"/>
      <c r="C3" s="549"/>
      <c r="D3" s="546"/>
      <c r="E3" s="546"/>
      <c r="F3" s="546"/>
      <c r="G3" s="546" t="s">
        <v>1602</v>
      </c>
      <c r="H3" s="546" t="s">
        <v>1603</v>
      </c>
      <c r="I3" s="546" t="s">
        <v>1604</v>
      </c>
      <c r="J3" s="546" t="s">
        <v>1602</v>
      </c>
      <c r="K3" s="546" t="s">
        <v>1603</v>
      </c>
      <c r="L3" s="546" t="s">
        <v>1604</v>
      </c>
    </row>
    <row r="4" spans="1:26" x14ac:dyDescent="0.35">
      <c r="A4" s="542"/>
      <c r="B4" s="542"/>
      <c r="C4" s="549"/>
      <c r="D4" s="546"/>
      <c r="E4" s="546"/>
      <c r="F4" s="546"/>
      <c r="G4" s="546"/>
      <c r="H4" s="546"/>
      <c r="I4" s="546"/>
      <c r="J4" s="546"/>
      <c r="K4" s="546"/>
      <c r="L4" s="546"/>
    </row>
    <row r="5" spans="1:26" x14ac:dyDescent="0.35">
      <c r="A5" s="542"/>
      <c r="B5" s="542"/>
      <c r="C5" s="541"/>
      <c r="D5" s="546"/>
      <c r="E5" s="546"/>
      <c r="F5" s="546"/>
      <c r="G5" s="546"/>
      <c r="H5" s="546"/>
      <c r="I5" s="546"/>
      <c r="J5" s="546"/>
      <c r="K5" s="546"/>
      <c r="L5" s="546"/>
    </row>
    <row r="6" spans="1:26" x14ac:dyDescent="0.35">
      <c r="A6" s="543" t="s">
        <v>1605</v>
      </c>
      <c r="B6" s="345" t="s">
        <v>1606</v>
      </c>
      <c r="C6" s="345" t="s">
        <v>1607</v>
      </c>
      <c r="D6" s="360">
        <f>'E.S. Wind Farms'!H184</f>
        <v>27.082120319502312</v>
      </c>
      <c r="E6" s="361">
        <v>345</v>
      </c>
      <c r="F6" s="361">
        <v>34.5</v>
      </c>
      <c r="G6" s="360">
        <f t="shared" ref="G6:G37" si="0">H6*F6/E6</f>
        <v>45.321360744030414</v>
      </c>
      <c r="H6" s="359">
        <f>'E.S. Wind Farms'!Q184</f>
        <v>453.2136074403042</v>
      </c>
      <c r="I6" s="359" t="str">
        <f>'E.S. Wind Farms'!R184</f>
        <v>Combined Equip MVA</v>
      </c>
      <c r="J6" s="360">
        <f t="shared" ref="J6:J37" si="1">K6*F6/E6</f>
        <v>47.32</v>
      </c>
      <c r="K6" s="359">
        <f>'E.S. Wind Farms'!S184</f>
        <v>473.2</v>
      </c>
      <c r="L6" s="359" t="str">
        <f>'E.S. Wind Farms'!T184</f>
        <v>Underground Cable</v>
      </c>
    </row>
    <row r="7" spans="1:26" x14ac:dyDescent="0.35">
      <c r="A7" s="543"/>
      <c r="B7" s="345" t="s">
        <v>1608</v>
      </c>
      <c r="C7" s="345" t="s">
        <v>1607</v>
      </c>
      <c r="D7" s="360">
        <f>'E.S. Wind Farms'!H185</f>
        <v>20.832400245771009</v>
      </c>
      <c r="E7" s="361">
        <v>345</v>
      </c>
      <c r="F7" s="361">
        <v>34.5</v>
      </c>
      <c r="G7" s="360">
        <f t="shared" si="0"/>
        <v>34.862585187715709</v>
      </c>
      <c r="H7" s="359">
        <f>'E.S. Wind Farms'!Q185</f>
        <v>348.62585187715706</v>
      </c>
      <c r="I7" s="359" t="str">
        <f>'E.S. Wind Farms'!R185</f>
        <v>Combined Equip MVA</v>
      </c>
      <c r="J7" s="360">
        <f t="shared" si="1"/>
        <v>36.15</v>
      </c>
      <c r="K7" s="359">
        <f>'E.S. Wind Farms'!S185</f>
        <v>361.5</v>
      </c>
      <c r="L7" s="359" t="str">
        <f>'E.S. Wind Farms'!T185</f>
        <v>Underground Cable</v>
      </c>
    </row>
    <row r="8" spans="1:26" x14ac:dyDescent="0.35">
      <c r="A8" s="543"/>
      <c r="B8" s="345">
        <v>1101</v>
      </c>
      <c r="C8" s="345" t="s">
        <v>1609</v>
      </c>
      <c r="D8" s="360">
        <f>'E.S. Wind Farms'!C217</f>
        <v>47.914520565273321</v>
      </c>
      <c r="E8" s="361">
        <v>345</v>
      </c>
      <c r="F8" s="361">
        <v>34.5</v>
      </c>
      <c r="G8" s="360">
        <f t="shared" si="0"/>
        <v>80.183945931746138</v>
      </c>
      <c r="H8" s="359">
        <f>'E.S. Wind Farms'!V217</f>
        <v>801.83945931746132</v>
      </c>
      <c r="I8" s="359" t="str">
        <f>'E.S. Wind Farms'!W217</f>
        <v>Combined Equip MVA</v>
      </c>
      <c r="J8" s="360">
        <f t="shared" si="1"/>
        <v>120</v>
      </c>
      <c r="K8" s="359">
        <f>'E.S. Wind Farms'!X217</f>
        <v>1200</v>
      </c>
      <c r="L8" s="359" t="str">
        <f>'E.S. Wind Farms'!Y217</f>
        <v>Reactor</v>
      </c>
    </row>
    <row r="9" spans="1:26" x14ac:dyDescent="0.35">
      <c r="A9" s="543"/>
      <c r="B9" s="345" t="s">
        <v>1610</v>
      </c>
      <c r="C9" s="345" t="s">
        <v>1607</v>
      </c>
      <c r="D9" s="360">
        <f>'E.S. Wind Farms'!H186</f>
        <v>27.379123433740531</v>
      </c>
      <c r="E9" s="361">
        <v>345</v>
      </c>
      <c r="F9" s="361">
        <v>34.5</v>
      </c>
      <c r="G9" s="360">
        <f t="shared" si="0"/>
        <v>45.81838923085823</v>
      </c>
      <c r="H9" s="359">
        <f>'E.S. Wind Farms'!Q186</f>
        <v>458.1838923085823</v>
      </c>
      <c r="I9" s="359" t="str">
        <f>'E.S. Wind Farms'!R186</f>
        <v>Combined Equip MVA</v>
      </c>
      <c r="J9" s="360">
        <f t="shared" si="1"/>
        <v>46.839999999999996</v>
      </c>
      <c r="K9" s="359">
        <f>'E.S. Wind Farms'!S186</f>
        <v>468.4</v>
      </c>
      <c r="L9" s="359" t="str">
        <f>'E.S. Wind Farms'!T186</f>
        <v>Underground Cable</v>
      </c>
    </row>
    <row r="10" spans="1:26" x14ac:dyDescent="0.35">
      <c r="A10" s="543"/>
      <c r="B10" s="345" t="s">
        <v>1611</v>
      </c>
      <c r="C10" s="345" t="s">
        <v>1607</v>
      </c>
      <c r="D10" s="360">
        <f>'E.S. Wind Farms'!H187</f>
        <v>27.379123433740531</v>
      </c>
      <c r="E10" s="361">
        <v>345</v>
      </c>
      <c r="F10" s="361">
        <v>34.5</v>
      </c>
      <c r="G10" s="360">
        <f t="shared" si="0"/>
        <v>45.81838923085823</v>
      </c>
      <c r="H10" s="359">
        <f>'E.S. Wind Farms'!Q187</f>
        <v>458.1838923085823</v>
      </c>
      <c r="I10" s="359" t="str">
        <f>'E.S. Wind Farms'!R187</f>
        <v>Combined Equip MVA</v>
      </c>
      <c r="J10" s="360">
        <f t="shared" si="1"/>
        <v>46.839999999999996</v>
      </c>
      <c r="K10" s="359">
        <f>'E.S. Wind Farms'!S187</f>
        <v>468.4</v>
      </c>
      <c r="L10" s="359" t="str">
        <f>'E.S. Wind Farms'!T187</f>
        <v>Underground Cable</v>
      </c>
    </row>
    <row r="11" spans="1:26" ht="15.5" x14ac:dyDescent="0.35">
      <c r="A11" s="543"/>
      <c r="B11" s="345">
        <v>1102</v>
      </c>
      <c r="C11" s="345" t="s">
        <v>1609</v>
      </c>
      <c r="D11" s="360">
        <f>'E.S. Wind Farms'!C218</f>
        <v>54.758246867481063</v>
      </c>
      <c r="E11" s="361">
        <v>345</v>
      </c>
      <c r="F11" s="361">
        <v>34.5</v>
      </c>
      <c r="G11" s="360">
        <f t="shared" si="0"/>
        <v>91.63677846171646</v>
      </c>
      <c r="H11" s="359">
        <f>'E.S. Wind Farms'!V218</f>
        <v>916.3677846171646</v>
      </c>
      <c r="I11" s="359" t="str">
        <f>'E.S. Wind Farms'!W218</f>
        <v>Combined Equip MVA</v>
      </c>
      <c r="J11" s="360">
        <f t="shared" si="1"/>
        <v>120</v>
      </c>
      <c r="K11" s="359">
        <f>'E.S. Wind Farms'!X218</f>
        <v>1200</v>
      </c>
      <c r="L11" s="359" t="str">
        <f>'E.S. Wind Farms'!Y218</f>
        <v>Reactor*</v>
      </c>
      <c r="U11" s="554"/>
      <c r="V11" s="554"/>
      <c r="W11" s="554"/>
      <c r="X11" s="554"/>
      <c r="Y11" s="554"/>
      <c r="Z11" s="554"/>
    </row>
    <row r="12" spans="1:26" ht="15.5" x14ac:dyDescent="0.35">
      <c r="A12" s="543"/>
      <c r="B12" s="345" t="s">
        <v>1612</v>
      </c>
      <c r="C12" s="345" t="s">
        <v>1607</v>
      </c>
      <c r="D12" s="360">
        <f>'E.S. Wind Farms'!H188</f>
        <v>27.379123433740531</v>
      </c>
      <c r="E12" s="361">
        <v>345</v>
      </c>
      <c r="F12" s="361">
        <v>34.5</v>
      </c>
      <c r="G12" s="360">
        <f t="shared" si="0"/>
        <v>45.81838923085823</v>
      </c>
      <c r="H12" s="359">
        <f>'E.S. Wind Farms'!Q188</f>
        <v>458.1838923085823</v>
      </c>
      <c r="I12" s="359" t="str">
        <f>'E.S. Wind Farms'!R188</f>
        <v>Combined Equip MVA</v>
      </c>
      <c r="J12" s="360">
        <f t="shared" si="1"/>
        <v>46.839999999999996</v>
      </c>
      <c r="K12" s="359">
        <f>'E.S. Wind Farms'!S188</f>
        <v>468.4</v>
      </c>
      <c r="L12" s="359" t="str">
        <f>'E.S. Wind Farms'!T188</f>
        <v>Underground Cable</v>
      </c>
      <c r="U12" s="363"/>
      <c r="V12" s="363"/>
      <c r="W12" s="363"/>
      <c r="X12" s="363"/>
      <c r="Y12" s="363"/>
      <c r="Z12" s="363"/>
    </row>
    <row r="13" spans="1:26" ht="15.5" x14ac:dyDescent="0.35">
      <c r="A13" s="543"/>
      <c r="B13" s="345" t="s">
        <v>1613</v>
      </c>
      <c r="C13" s="345" t="s">
        <v>1607</v>
      </c>
      <c r="D13" s="360">
        <f>'E.S. Wind Farms'!H189</f>
        <v>27.379123433740531</v>
      </c>
      <c r="E13" s="361">
        <v>345</v>
      </c>
      <c r="F13" s="361">
        <v>34.5</v>
      </c>
      <c r="G13" s="360">
        <f t="shared" si="0"/>
        <v>45.81838923085823</v>
      </c>
      <c r="H13" s="359">
        <f>'E.S. Wind Farms'!Q189</f>
        <v>458.1838923085823</v>
      </c>
      <c r="I13" s="359" t="str">
        <f>'E.S. Wind Farms'!R189</f>
        <v>Combined Equip MVA</v>
      </c>
      <c r="J13" s="360">
        <f t="shared" si="1"/>
        <v>46.839999999999996</v>
      </c>
      <c r="K13" s="359">
        <f>'E.S. Wind Farms'!S189</f>
        <v>468.4</v>
      </c>
      <c r="L13" s="359" t="str">
        <f>'E.S. Wind Farms'!T189</f>
        <v>Underground Cable</v>
      </c>
      <c r="U13" s="363"/>
      <c r="V13" s="363"/>
      <c r="W13" s="363"/>
      <c r="X13" s="363"/>
      <c r="Y13" s="363"/>
      <c r="Z13" s="363"/>
    </row>
    <row r="14" spans="1:26" ht="15.5" x14ac:dyDescent="0.35">
      <c r="A14" s="543"/>
      <c r="B14" s="345">
        <v>1103</v>
      </c>
      <c r="C14" s="345" t="s">
        <v>1609</v>
      </c>
      <c r="D14" s="360">
        <f>'E.S. Wind Farms'!C219</f>
        <v>54.758246867481063</v>
      </c>
      <c r="E14" s="361">
        <v>345</v>
      </c>
      <c r="F14" s="361">
        <v>34.5</v>
      </c>
      <c r="G14" s="360">
        <f t="shared" si="0"/>
        <v>91.63677846171646</v>
      </c>
      <c r="H14" s="359">
        <f>'E.S. Wind Farms'!V219</f>
        <v>916.3677846171646</v>
      </c>
      <c r="I14" s="359" t="str">
        <f>'E.S. Wind Farms'!W219</f>
        <v>Combined Equip MVA</v>
      </c>
      <c r="J14" s="360">
        <f t="shared" si="1"/>
        <v>120</v>
      </c>
      <c r="K14" s="359">
        <f>'E.S. Wind Farms'!X219</f>
        <v>1200</v>
      </c>
      <c r="L14" s="359" t="str">
        <f>'E.S. Wind Farms'!Y219</f>
        <v>Reactor*</v>
      </c>
      <c r="U14" s="363"/>
      <c r="V14" s="363"/>
      <c r="W14" s="363"/>
      <c r="X14" s="363"/>
      <c r="Y14" s="363"/>
      <c r="Z14" s="363"/>
    </row>
    <row r="15" spans="1:26" x14ac:dyDescent="0.35">
      <c r="A15" s="543"/>
      <c r="B15" s="345" t="s">
        <v>1614</v>
      </c>
      <c r="C15" s="345" t="s">
        <v>1607</v>
      </c>
      <c r="D15" s="360">
        <f>'E.S. Wind Farms'!H190</f>
        <v>27.379123433740531</v>
      </c>
      <c r="E15" s="361">
        <v>345</v>
      </c>
      <c r="F15" s="361">
        <v>34.5</v>
      </c>
      <c r="G15" s="360">
        <f t="shared" si="0"/>
        <v>45.81838923085823</v>
      </c>
      <c r="H15" s="359">
        <f>'E.S. Wind Farms'!Q190</f>
        <v>458.1838923085823</v>
      </c>
      <c r="I15" s="359" t="str">
        <f>'E.S. Wind Farms'!R190</f>
        <v>Combined Equip MVA</v>
      </c>
      <c r="J15" s="360">
        <f t="shared" si="1"/>
        <v>46.839999999999996</v>
      </c>
      <c r="K15" s="359">
        <f>'E.S. Wind Farms'!S190</f>
        <v>468.4</v>
      </c>
      <c r="L15" s="359" t="str">
        <f>'E.S. Wind Farms'!T190</f>
        <v>Underground Cable</v>
      </c>
    </row>
    <row r="16" spans="1:26" x14ac:dyDescent="0.35">
      <c r="A16" s="543"/>
      <c r="B16" s="345" t="s">
        <v>1615</v>
      </c>
      <c r="C16" s="345" t="s">
        <v>1607</v>
      </c>
      <c r="D16" s="360">
        <f>'E.S. Wind Farms'!H191</f>
        <v>27.379123433740531</v>
      </c>
      <c r="E16" s="361">
        <v>345</v>
      </c>
      <c r="F16" s="361">
        <v>34.5</v>
      </c>
      <c r="G16" s="360">
        <f t="shared" si="0"/>
        <v>45.81838923085823</v>
      </c>
      <c r="H16" s="359">
        <f>'E.S. Wind Farms'!Q191</f>
        <v>458.1838923085823</v>
      </c>
      <c r="I16" s="359" t="str">
        <f>'E.S. Wind Farms'!R191</f>
        <v>Combined Equip MVA</v>
      </c>
      <c r="J16" s="360">
        <f t="shared" si="1"/>
        <v>46.839999999999996</v>
      </c>
      <c r="K16" s="359">
        <f>'E.S. Wind Farms'!S191</f>
        <v>468.4</v>
      </c>
      <c r="L16" s="359" t="str">
        <f>'E.S. Wind Farms'!T191</f>
        <v>Underground Cable</v>
      </c>
    </row>
    <row r="17" spans="1:12" x14ac:dyDescent="0.35">
      <c r="A17" s="543"/>
      <c r="B17" s="345">
        <v>1104</v>
      </c>
      <c r="C17" s="345" t="s">
        <v>1609</v>
      </c>
      <c r="D17" s="360">
        <f>'E.S. Wind Farms'!C220</f>
        <v>54.758246867481063</v>
      </c>
      <c r="E17" s="361">
        <v>345</v>
      </c>
      <c r="F17" s="361">
        <v>34.5</v>
      </c>
      <c r="G17" s="360">
        <f t="shared" si="0"/>
        <v>91.63677846171646</v>
      </c>
      <c r="H17" s="359">
        <f>'E.S. Wind Farms'!V220</f>
        <v>916.3677846171646</v>
      </c>
      <c r="I17" s="359" t="str">
        <f>'E.S. Wind Farms'!W220</f>
        <v>Combined Equip MVA</v>
      </c>
      <c r="J17" s="360">
        <f t="shared" si="1"/>
        <v>120</v>
      </c>
      <c r="K17" s="359">
        <f>'E.S. Wind Farms'!X220</f>
        <v>1200</v>
      </c>
      <c r="L17" s="359" t="str">
        <f>'E.S. Wind Farms'!Y220</f>
        <v>Reactor*</v>
      </c>
    </row>
    <row r="18" spans="1:12" x14ac:dyDescent="0.35">
      <c r="A18" s="543"/>
      <c r="B18" s="345" t="s">
        <v>1616</v>
      </c>
      <c r="C18" s="345" t="s">
        <v>1617</v>
      </c>
      <c r="D18" s="360">
        <f>'E.S. Wind Farms'!C234</f>
        <v>21.7</v>
      </c>
      <c r="E18" s="361">
        <v>345</v>
      </c>
      <c r="F18" s="361">
        <v>34.5</v>
      </c>
      <c r="G18" s="360">
        <f t="shared" si="0"/>
        <v>36.314495192506897</v>
      </c>
      <c r="H18" s="359">
        <f>'E.S. Wind Farms'!K234</f>
        <v>363.14495192506899</v>
      </c>
      <c r="I18" s="359" t="str">
        <f>'E.S. Wind Farms'!L234</f>
        <v>Combined Equip MVA</v>
      </c>
      <c r="J18" s="360">
        <f t="shared" si="1"/>
        <v>60</v>
      </c>
      <c r="K18" s="362">
        <f>'E.S. Wind Farms'!M234</f>
        <v>600</v>
      </c>
      <c r="L18" s="362" t="str">
        <f>'E.S. Wind Farms'!N234</f>
        <v>Switcher</v>
      </c>
    </row>
    <row r="19" spans="1:12" x14ac:dyDescent="0.35">
      <c r="A19" s="543"/>
      <c r="B19" s="345" t="s">
        <v>1618</v>
      </c>
      <c r="C19" s="345" t="s">
        <v>1617</v>
      </c>
      <c r="D19" s="360">
        <f>'E.S. Wind Farms'!C235</f>
        <v>21.7</v>
      </c>
      <c r="E19" s="361">
        <v>345</v>
      </c>
      <c r="F19" s="361">
        <v>34.5</v>
      </c>
      <c r="G19" s="360">
        <f t="shared" si="0"/>
        <v>36.314495192506897</v>
      </c>
      <c r="H19" s="359">
        <f>'E.S. Wind Farms'!K235</f>
        <v>363.14495192506899</v>
      </c>
      <c r="I19" s="359" t="str">
        <f>'E.S. Wind Farms'!L235</f>
        <v>Combined Equip MVA</v>
      </c>
      <c r="J19" s="360">
        <f t="shared" si="1"/>
        <v>60</v>
      </c>
      <c r="K19" s="362">
        <f>'E.S. Wind Farms'!M235</f>
        <v>600</v>
      </c>
      <c r="L19" s="362" t="str">
        <f>'E.S. Wind Farms'!N235</f>
        <v>Switcher</v>
      </c>
    </row>
    <row r="20" spans="1:12" x14ac:dyDescent="0.35">
      <c r="A20" s="543"/>
      <c r="B20" s="345" t="s">
        <v>1619</v>
      </c>
      <c r="C20" s="345" t="s">
        <v>1617</v>
      </c>
      <c r="D20" s="360">
        <f>'E.S. Wind Farms'!C236</f>
        <v>21.7</v>
      </c>
      <c r="E20" s="361">
        <v>345</v>
      </c>
      <c r="F20" s="361">
        <v>34.5</v>
      </c>
      <c r="G20" s="360">
        <f t="shared" si="0"/>
        <v>36.314495192506897</v>
      </c>
      <c r="H20" s="359">
        <f>'E.S. Wind Farms'!K236</f>
        <v>363.14495192506899</v>
      </c>
      <c r="I20" s="359" t="str">
        <f>'E.S. Wind Farms'!L236</f>
        <v>Combined Equip MVA</v>
      </c>
      <c r="J20" s="360">
        <f t="shared" si="1"/>
        <v>60</v>
      </c>
      <c r="K20" s="362">
        <f>'E.S. Wind Farms'!M236</f>
        <v>600</v>
      </c>
      <c r="L20" s="362" t="str">
        <f>'E.S. Wind Farms'!N236</f>
        <v>Switcher</v>
      </c>
    </row>
    <row r="21" spans="1:12" x14ac:dyDescent="0.35">
      <c r="A21" s="543"/>
      <c r="B21" s="345" t="s">
        <v>1620</v>
      </c>
      <c r="C21" s="345" t="s">
        <v>1621</v>
      </c>
      <c r="D21" s="360">
        <f>'E.S. Wind Farms'!C256</f>
        <v>65.099999999999994</v>
      </c>
      <c r="E21" s="361">
        <v>345</v>
      </c>
      <c r="F21" s="361">
        <v>34.5</v>
      </c>
      <c r="G21" s="360">
        <f t="shared" si="0"/>
        <v>108.94348557752068</v>
      </c>
      <c r="H21" s="359">
        <f>'E.S. Wind Farms'!L256</f>
        <v>1089.4348557752069</v>
      </c>
      <c r="I21" s="359" t="str">
        <f>'E.S. Wind Farms'!M256</f>
        <v>Combined Equip MVA</v>
      </c>
      <c r="J21" s="360">
        <f t="shared" si="1"/>
        <v>147.1</v>
      </c>
      <c r="K21" s="359">
        <f>'E.S. Wind Farms'!N256</f>
        <v>1471</v>
      </c>
      <c r="L21" s="359" t="str">
        <f>'E.S. Wind Farms'!O256</f>
        <v>Relay Trip Setpoint</v>
      </c>
    </row>
    <row r="22" spans="1:12" x14ac:dyDescent="0.35">
      <c r="A22" s="543"/>
      <c r="B22" s="345" t="s">
        <v>1622</v>
      </c>
      <c r="C22" s="345" t="s">
        <v>1623</v>
      </c>
      <c r="D22" s="360">
        <f>'E.S. Wind Farms'!C247</f>
        <v>23</v>
      </c>
      <c r="E22" s="361">
        <v>345</v>
      </c>
      <c r="F22" s="361">
        <v>34.5</v>
      </c>
      <c r="G22" s="360">
        <f t="shared" si="0"/>
        <v>38.490017945975055</v>
      </c>
      <c r="H22" s="359">
        <f>'E.S. Wind Farms'!M247</f>
        <v>384.90017945975052</v>
      </c>
      <c r="I22" s="359" t="str">
        <f>'E.S. Wind Farms'!N247</f>
        <v>Combined Equip MVA</v>
      </c>
      <c r="J22" s="360">
        <f t="shared" si="1"/>
        <v>60</v>
      </c>
      <c r="K22" s="359">
        <f>'E.S. Wind Farms'!O247</f>
        <v>600</v>
      </c>
      <c r="L22" s="359" t="str">
        <f>'E.S. Wind Farms'!P247</f>
        <v>Switcher</v>
      </c>
    </row>
    <row r="23" spans="1:12" x14ac:dyDescent="0.35">
      <c r="A23" s="543"/>
      <c r="B23" s="345" t="s">
        <v>1624</v>
      </c>
      <c r="C23" s="345" t="s">
        <v>1623</v>
      </c>
      <c r="D23" s="360">
        <f>'E.S. Wind Farms'!C248</f>
        <v>23</v>
      </c>
      <c r="E23" s="361">
        <v>345</v>
      </c>
      <c r="F23" s="361">
        <v>34.5</v>
      </c>
      <c r="G23" s="360">
        <f t="shared" si="0"/>
        <v>38.490017945975055</v>
      </c>
      <c r="H23" s="359">
        <f>'E.S. Wind Farms'!M248</f>
        <v>384.90017945975052</v>
      </c>
      <c r="I23" s="359" t="str">
        <f>'E.S. Wind Farms'!N248</f>
        <v>Combined Equip MVA</v>
      </c>
      <c r="J23" s="360">
        <f t="shared" si="1"/>
        <v>60</v>
      </c>
      <c r="K23" s="359">
        <f>'E.S. Wind Farms'!O248</f>
        <v>600</v>
      </c>
      <c r="L23" s="359" t="str">
        <f>'E.S. Wind Farms'!P248</f>
        <v>Switcher</v>
      </c>
    </row>
    <row r="24" spans="1:12" x14ac:dyDescent="0.35">
      <c r="A24" s="543"/>
      <c r="B24" s="345" t="s">
        <v>1625</v>
      </c>
      <c r="C24" s="345" t="s">
        <v>1626</v>
      </c>
      <c r="D24" s="360">
        <f>'E.S. Wind Farms'!C258</f>
        <v>46</v>
      </c>
      <c r="E24" s="361">
        <v>345</v>
      </c>
      <c r="F24" s="361">
        <v>34.5</v>
      </c>
      <c r="G24" s="360">
        <f t="shared" si="0"/>
        <v>76.980035891950109</v>
      </c>
      <c r="H24" s="359">
        <f>'E.S. Wind Farms'!L258</f>
        <v>769.80035891950104</v>
      </c>
      <c r="I24" s="359" t="str">
        <f>'E.S. Wind Farms'!M258</f>
        <v>Combined Equip MVA</v>
      </c>
      <c r="J24" s="360">
        <f t="shared" si="1"/>
        <v>77</v>
      </c>
      <c r="K24" s="359">
        <f>'E.S. Wind Farms'!N258</f>
        <v>770</v>
      </c>
      <c r="L24" s="359" t="str">
        <f>'E.S. Wind Farms'!O258</f>
        <v>Underground Cable</v>
      </c>
    </row>
    <row r="25" spans="1:12" x14ac:dyDescent="0.35">
      <c r="A25" s="543"/>
      <c r="B25" s="345">
        <v>1150</v>
      </c>
      <c r="C25" s="345" t="s">
        <v>1627</v>
      </c>
      <c r="D25" s="360">
        <f>'E.S. Wind Farms'!C266</f>
        <v>65.099999999999994</v>
      </c>
      <c r="E25" s="361">
        <v>345</v>
      </c>
      <c r="F25" s="361">
        <v>34.5</v>
      </c>
      <c r="G25" s="360">
        <f t="shared" si="0"/>
        <v>108.94348557752068</v>
      </c>
      <c r="H25" s="359">
        <f>'E.S. Wind Farms'!Q266</f>
        <v>1089.4348557752069</v>
      </c>
      <c r="I25" s="359" t="str">
        <f>'E.S. Wind Farms'!R266</f>
        <v>Combined Equip MVA</v>
      </c>
      <c r="J25" s="360">
        <f t="shared" si="1"/>
        <v>147.1</v>
      </c>
      <c r="K25" s="359">
        <f>'E.S. Wind Farms'!S266</f>
        <v>1471</v>
      </c>
      <c r="L25" s="359" t="str">
        <f>'E.S. Wind Farms'!T266</f>
        <v>Relay Trip Setpoint</v>
      </c>
    </row>
    <row r="26" spans="1:12" x14ac:dyDescent="0.35">
      <c r="A26" s="543"/>
      <c r="B26" s="345" t="s">
        <v>1628</v>
      </c>
      <c r="C26" s="345" t="s">
        <v>1607</v>
      </c>
      <c r="D26" s="360">
        <f>'E.S. Wind Farms'!H192</f>
        <v>27.355091098367776</v>
      </c>
      <c r="E26" s="361">
        <v>345</v>
      </c>
      <c r="F26" s="361">
        <v>34.5</v>
      </c>
      <c r="G26" s="360">
        <f t="shared" si="0"/>
        <v>45.778171621302526</v>
      </c>
      <c r="H26" s="359">
        <f>'E.S. Wind Farms'!Q192</f>
        <v>457.78171621302528</v>
      </c>
      <c r="I26" s="359" t="str">
        <f>'E.S. Wind Farms'!R192</f>
        <v>Combined Equip MVA</v>
      </c>
      <c r="J26" s="360">
        <f t="shared" si="1"/>
        <v>47.32</v>
      </c>
      <c r="K26" s="359">
        <f>'E.S. Wind Farms'!S192</f>
        <v>473.2</v>
      </c>
      <c r="L26" s="359" t="str">
        <f>'E.S. Wind Farms'!T192</f>
        <v>Underground Cable</v>
      </c>
    </row>
    <row r="27" spans="1:12" x14ac:dyDescent="0.35">
      <c r="A27" s="543"/>
      <c r="B27" s="345" t="s">
        <v>1629</v>
      </c>
      <c r="C27" s="345" t="s">
        <v>1607</v>
      </c>
      <c r="D27" s="360">
        <f>'E.S. Wind Farms'!H193</f>
        <v>27.307614341058798</v>
      </c>
      <c r="E27" s="361">
        <v>345</v>
      </c>
      <c r="F27" s="361">
        <v>34.5</v>
      </c>
      <c r="G27" s="360">
        <f t="shared" si="0"/>
        <v>45.698720263005171</v>
      </c>
      <c r="H27" s="359">
        <f>'E.S. Wind Farms'!Q193</f>
        <v>456.98720263005168</v>
      </c>
      <c r="I27" s="359" t="str">
        <f>'E.S. Wind Farms'!R193</f>
        <v>Combined Equip MVA</v>
      </c>
      <c r="J27" s="360">
        <f t="shared" si="1"/>
        <v>47.32</v>
      </c>
      <c r="K27" s="359">
        <f>'E.S. Wind Farms'!S193</f>
        <v>473.2</v>
      </c>
      <c r="L27" s="359" t="str">
        <f>'E.S. Wind Farms'!T193</f>
        <v>Underground Cable</v>
      </c>
    </row>
    <row r="28" spans="1:12" x14ac:dyDescent="0.35">
      <c r="A28" s="543"/>
      <c r="B28" s="345">
        <v>1201</v>
      </c>
      <c r="C28" s="345" t="s">
        <v>1609</v>
      </c>
      <c r="D28" s="360">
        <f>'E.S. Wind Farms'!C221</f>
        <v>54.662705439426574</v>
      </c>
      <c r="E28" s="361">
        <v>345</v>
      </c>
      <c r="F28" s="361">
        <v>34.5</v>
      </c>
      <c r="G28" s="360">
        <f t="shared" si="0"/>
        <v>91.47689188430769</v>
      </c>
      <c r="H28" s="359">
        <f>'E.S. Wind Farms'!V221</f>
        <v>914.7689188430769</v>
      </c>
      <c r="I28" s="359" t="str">
        <f>'E.S. Wind Farms'!W221</f>
        <v>Combined Equip MVA</v>
      </c>
      <c r="J28" s="360">
        <f t="shared" si="1"/>
        <v>120</v>
      </c>
      <c r="K28" s="359">
        <f>'E.S. Wind Farms'!X221</f>
        <v>1200</v>
      </c>
      <c r="L28" s="359" t="str">
        <f>'E.S. Wind Farms'!Y221</f>
        <v>Reactor*</v>
      </c>
    </row>
    <row r="29" spans="1:12" x14ac:dyDescent="0.35">
      <c r="A29" s="543"/>
      <c r="B29" s="345" t="s">
        <v>1630</v>
      </c>
      <c r="C29" s="345" t="s">
        <v>1607</v>
      </c>
      <c r="D29" s="360">
        <f>'E.S. Wind Farms'!H194</f>
        <v>27.379123433740531</v>
      </c>
      <c r="E29" s="361">
        <v>345</v>
      </c>
      <c r="F29" s="361">
        <v>34.5</v>
      </c>
      <c r="G29" s="360">
        <f t="shared" si="0"/>
        <v>45.81838923085823</v>
      </c>
      <c r="H29" s="359">
        <f>'E.S. Wind Farms'!Q194</f>
        <v>458.1838923085823</v>
      </c>
      <c r="I29" s="359" t="str">
        <f>'E.S. Wind Farms'!R194</f>
        <v>Combined Equip MVA</v>
      </c>
      <c r="J29" s="360">
        <f t="shared" si="1"/>
        <v>47.32</v>
      </c>
      <c r="K29" s="359">
        <f>'E.S. Wind Farms'!S194</f>
        <v>473.2</v>
      </c>
      <c r="L29" s="359" t="str">
        <f>'E.S. Wind Farms'!T194</f>
        <v>Underground Cable</v>
      </c>
    </row>
    <row r="30" spans="1:12" x14ac:dyDescent="0.35">
      <c r="A30" s="543"/>
      <c r="B30" s="345" t="s">
        <v>1631</v>
      </c>
      <c r="C30" s="345" t="s">
        <v>1607</v>
      </c>
      <c r="D30" s="360">
        <f>'E.S. Wind Farms'!H195</f>
        <v>23.166950597780449</v>
      </c>
      <c r="E30" s="361">
        <v>345</v>
      </c>
      <c r="F30" s="361">
        <v>34.5</v>
      </c>
      <c r="G30" s="360">
        <f t="shared" si="0"/>
        <v>38.769406272264654</v>
      </c>
      <c r="H30" s="359">
        <f>'E.S. Wind Farms'!Q195</f>
        <v>387.69406272264649</v>
      </c>
      <c r="I30" s="359" t="str">
        <f>'E.S. Wind Farms'!R195</f>
        <v>Combined Equip MVA</v>
      </c>
      <c r="J30" s="360">
        <f t="shared" si="1"/>
        <v>40.36</v>
      </c>
      <c r="K30" s="359">
        <f>'E.S. Wind Farms'!S195</f>
        <v>403.6</v>
      </c>
      <c r="L30" s="359" t="str">
        <f>'E.S. Wind Farms'!T195</f>
        <v>Underground Cable</v>
      </c>
    </row>
    <row r="31" spans="1:12" x14ac:dyDescent="0.35">
      <c r="A31" s="543"/>
      <c r="B31" s="345">
        <v>1202</v>
      </c>
      <c r="C31" s="345" t="s">
        <v>1609</v>
      </c>
      <c r="D31" s="360">
        <f>'E.S. Wind Farms'!C222</f>
        <v>50.54607403152098</v>
      </c>
      <c r="E31" s="361">
        <v>345</v>
      </c>
      <c r="F31" s="361">
        <v>34.5</v>
      </c>
      <c r="G31" s="360">
        <f t="shared" si="0"/>
        <v>84.587795503122877</v>
      </c>
      <c r="H31" s="359">
        <f>'E.S. Wind Farms'!V222</f>
        <v>845.87795503122868</v>
      </c>
      <c r="I31" s="359" t="str">
        <f>'E.S. Wind Farms'!W222</f>
        <v>Combined Equip MVA</v>
      </c>
      <c r="J31" s="360">
        <f t="shared" si="1"/>
        <v>120</v>
      </c>
      <c r="K31" s="359">
        <f>'E.S. Wind Farms'!X222</f>
        <v>1200</v>
      </c>
      <c r="L31" s="359" t="str">
        <f>'E.S. Wind Farms'!Y222</f>
        <v>Reactor*</v>
      </c>
    </row>
    <row r="32" spans="1:12" x14ac:dyDescent="0.35">
      <c r="A32" s="543"/>
      <c r="B32" s="345" t="s">
        <v>1632</v>
      </c>
      <c r="C32" s="345" t="s">
        <v>1607</v>
      </c>
      <c r="D32" s="360">
        <f>'E.S. Wind Farms'!H196</f>
        <v>27.379123433740531</v>
      </c>
      <c r="E32" s="361">
        <v>345</v>
      </c>
      <c r="F32" s="361">
        <v>34.5</v>
      </c>
      <c r="G32" s="360">
        <f t="shared" si="0"/>
        <v>45.81838923085823</v>
      </c>
      <c r="H32" s="359">
        <f>'E.S. Wind Farms'!Q196</f>
        <v>458.1838923085823</v>
      </c>
      <c r="I32" s="359" t="str">
        <f>'E.S. Wind Farms'!R196</f>
        <v>Combined Equip MVA</v>
      </c>
      <c r="J32" s="360">
        <f t="shared" si="1"/>
        <v>47.32</v>
      </c>
      <c r="K32" s="359">
        <f>'E.S. Wind Farms'!S196</f>
        <v>473.2</v>
      </c>
      <c r="L32" s="359" t="str">
        <f>'E.S. Wind Farms'!T196</f>
        <v>Underground Cable</v>
      </c>
    </row>
    <row r="33" spans="1:12" x14ac:dyDescent="0.35">
      <c r="A33" s="543"/>
      <c r="B33" s="345" t="s">
        <v>1633</v>
      </c>
      <c r="C33" s="345" t="s">
        <v>1609</v>
      </c>
      <c r="D33" s="360">
        <f>'E.S. Wind Farms'!C223</f>
        <v>27.379123433740531</v>
      </c>
      <c r="E33" s="361">
        <v>345</v>
      </c>
      <c r="F33" s="361">
        <v>34.5</v>
      </c>
      <c r="G33" s="360">
        <f t="shared" si="0"/>
        <v>45.81838923085823</v>
      </c>
      <c r="H33" s="359">
        <f>'E.S. Wind Farms'!V223</f>
        <v>458.1838923085823</v>
      </c>
      <c r="I33" s="359" t="str">
        <f>'E.S. Wind Farms'!W223</f>
        <v>Combined Equip MVA</v>
      </c>
      <c r="J33" s="360">
        <f t="shared" si="1"/>
        <v>120</v>
      </c>
      <c r="K33" s="359">
        <f>'E.S. Wind Farms'!X223</f>
        <v>1200</v>
      </c>
      <c r="L33" s="359" t="str">
        <f>'E.S. Wind Farms'!Y223</f>
        <v>Reactor*</v>
      </c>
    </row>
    <row r="34" spans="1:12" x14ac:dyDescent="0.35">
      <c r="A34" s="543"/>
      <c r="B34" s="345" t="s">
        <v>1634</v>
      </c>
      <c r="C34" s="345" t="s">
        <v>1607</v>
      </c>
      <c r="D34" s="360">
        <f>'E.S. Wind Farms'!H197</f>
        <v>27.379123433740531</v>
      </c>
      <c r="E34" s="361">
        <v>345</v>
      </c>
      <c r="F34" s="361">
        <v>34.5</v>
      </c>
      <c r="G34" s="360">
        <f t="shared" si="0"/>
        <v>45.81838923085823</v>
      </c>
      <c r="H34" s="359">
        <f>'E.S. Wind Farms'!Q197</f>
        <v>458.1838923085823</v>
      </c>
      <c r="I34" s="359" t="str">
        <f>'E.S. Wind Farms'!R197</f>
        <v>Combined Equip MVA</v>
      </c>
      <c r="J34" s="360">
        <f t="shared" si="1"/>
        <v>47.32</v>
      </c>
      <c r="K34" s="359">
        <f>'E.S. Wind Farms'!S197</f>
        <v>473.2</v>
      </c>
      <c r="L34" s="359" t="str">
        <f>'E.S. Wind Farms'!T197</f>
        <v>Underground Cable</v>
      </c>
    </row>
    <row r="35" spans="1:12" ht="15.75" customHeight="1" x14ac:dyDescent="0.35">
      <c r="A35" s="543"/>
      <c r="B35" s="345" t="s">
        <v>1635</v>
      </c>
      <c r="C35" s="345" t="s">
        <v>1607</v>
      </c>
      <c r="D35" s="360">
        <f>'E.S. Wind Farms'!H198</f>
        <v>27.307614341058798</v>
      </c>
      <c r="E35" s="361">
        <v>345</v>
      </c>
      <c r="F35" s="361">
        <v>34.5</v>
      </c>
      <c r="G35" s="360">
        <f t="shared" si="0"/>
        <v>45.698720263005171</v>
      </c>
      <c r="H35" s="359">
        <f>'E.S. Wind Farms'!Q198</f>
        <v>456.98720263005168</v>
      </c>
      <c r="I35" s="359" t="str">
        <f>'E.S. Wind Farms'!R198</f>
        <v>Combined Equip MVA</v>
      </c>
      <c r="J35" s="360">
        <f t="shared" si="1"/>
        <v>47.32</v>
      </c>
      <c r="K35" s="359">
        <f>'E.S. Wind Farms'!S198</f>
        <v>473.2</v>
      </c>
      <c r="L35" s="359" t="str">
        <f>'E.S. Wind Farms'!T198</f>
        <v>Underground Cable</v>
      </c>
    </row>
    <row r="36" spans="1:12" x14ac:dyDescent="0.35">
      <c r="A36" s="543"/>
      <c r="B36" s="345">
        <v>1204</v>
      </c>
      <c r="C36" s="345" t="s">
        <v>1609</v>
      </c>
      <c r="D36" s="360">
        <f>'E.S. Wind Farms'!C224</f>
        <v>54.686737774799326</v>
      </c>
      <c r="E36" s="361">
        <v>345</v>
      </c>
      <c r="F36" s="361">
        <v>34.5</v>
      </c>
      <c r="G36" s="360">
        <f t="shared" si="0"/>
        <v>91.517109493863387</v>
      </c>
      <c r="H36" s="359">
        <f>'E.S. Wind Farms'!V224</f>
        <v>915.17109493863381</v>
      </c>
      <c r="I36" s="359" t="str">
        <f>'E.S. Wind Farms'!W224</f>
        <v>Combined Equip MVA</v>
      </c>
      <c r="J36" s="360">
        <f t="shared" si="1"/>
        <v>120</v>
      </c>
      <c r="K36" s="359">
        <f>'E.S. Wind Farms'!X224</f>
        <v>1200</v>
      </c>
      <c r="L36" s="359" t="str">
        <f>'E.S. Wind Farms'!Y224</f>
        <v>Reactor</v>
      </c>
    </row>
    <row r="37" spans="1:12" x14ac:dyDescent="0.35">
      <c r="A37" s="543"/>
      <c r="B37" s="345" t="s">
        <v>1636</v>
      </c>
      <c r="C37" s="345" t="s">
        <v>1617</v>
      </c>
      <c r="D37" s="360">
        <f>'E.S. Wind Farms'!C237</f>
        <v>21.7</v>
      </c>
      <c r="E37" s="361">
        <v>345</v>
      </c>
      <c r="F37" s="361">
        <v>34.5</v>
      </c>
      <c r="G37" s="360">
        <f t="shared" si="0"/>
        <v>36.314495192506897</v>
      </c>
      <c r="H37" s="359">
        <f>'E.S. Wind Farms'!K237</f>
        <v>363.14495192506899</v>
      </c>
      <c r="I37" s="359" t="str">
        <f>'E.S. Wind Farms'!L237</f>
        <v>Combined Equip MVA</v>
      </c>
      <c r="J37" s="360">
        <f t="shared" si="1"/>
        <v>60</v>
      </c>
      <c r="K37" s="359">
        <f>'E.S. Wind Farms'!M237</f>
        <v>600</v>
      </c>
      <c r="L37" s="359" t="str">
        <f>'E.S. Wind Farms'!N237</f>
        <v>Switcher</v>
      </c>
    </row>
    <row r="38" spans="1:12" x14ac:dyDescent="0.35">
      <c r="A38" s="543"/>
      <c r="B38" s="345" t="s">
        <v>1637</v>
      </c>
      <c r="C38" s="345" t="s">
        <v>1617</v>
      </c>
      <c r="D38" s="360">
        <f>'E.S. Wind Farms'!C238</f>
        <v>21.7</v>
      </c>
      <c r="E38" s="361">
        <v>345</v>
      </c>
      <c r="F38" s="361">
        <v>34.5</v>
      </c>
      <c r="G38" s="360">
        <f t="shared" ref="G38:G69" si="2">H38*F38/E38</f>
        <v>36.314495192506897</v>
      </c>
      <c r="H38" s="359">
        <f>'E.S. Wind Farms'!K238</f>
        <v>363.14495192506899</v>
      </c>
      <c r="I38" s="359" t="str">
        <f>'E.S. Wind Farms'!L238</f>
        <v>Combined Equip MVA</v>
      </c>
      <c r="J38" s="360">
        <f t="shared" ref="J38:J69" si="3">K38*F38/E38</f>
        <v>60</v>
      </c>
      <c r="K38" s="359">
        <f>'E.S. Wind Farms'!M238</f>
        <v>600</v>
      </c>
      <c r="L38" s="359" t="str">
        <f>'E.S. Wind Farms'!N238</f>
        <v>Switcher</v>
      </c>
    </row>
    <row r="39" spans="1:12" x14ac:dyDescent="0.35">
      <c r="A39" s="543"/>
      <c r="B39" s="345" t="s">
        <v>1638</v>
      </c>
      <c r="C39" s="345" t="s">
        <v>1617</v>
      </c>
      <c r="D39" s="360">
        <f>'E.S. Wind Farms'!C239</f>
        <v>21.7</v>
      </c>
      <c r="E39" s="361">
        <v>345</v>
      </c>
      <c r="F39" s="361">
        <v>34.5</v>
      </c>
      <c r="G39" s="360">
        <f t="shared" si="2"/>
        <v>36.314495192506897</v>
      </c>
      <c r="H39" s="359">
        <f>'E.S. Wind Farms'!K239</f>
        <v>363.14495192506899</v>
      </c>
      <c r="I39" s="359" t="str">
        <f>'E.S. Wind Farms'!L239</f>
        <v>Combined Equip MVA</v>
      </c>
      <c r="J39" s="360">
        <f t="shared" si="3"/>
        <v>60</v>
      </c>
      <c r="K39" s="359">
        <f>'E.S. Wind Farms'!M239</f>
        <v>600</v>
      </c>
      <c r="L39" s="359" t="str">
        <f>'E.S. Wind Farms'!N239</f>
        <v>Switcher</v>
      </c>
    </row>
    <row r="40" spans="1:12" x14ac:dyDescent="0.35">
      <c r="A40" s="543"/>
      <c r="B40" s="345" t="s">
        <v>1639</v>
      </c>
      <c r="C40" s="345" t="s">
        <v>1621</v>
      </c>
      <c r="D40" s="360">
        <f>'E.S. Wind Farms'!C257</f>
        <v>65.099999999999994</v>
      </c>
      <c r="E40" s="361">
        <v>345</v>
      </c>
      <c r="F40" s="361">
        <v>34.5</v>
      </c>
      <c r="G40" s="360">
        <f t="shared" si="2"/>
        <v>108.94348557752068</v>
      </c>
      <c r="H40" s="359">
        <f>'E.S. Wind Farms'!L257</f>
        <v>1089.4348557752069</v>
      </c>
      <c r="I40" s="359" t="str">
        <f>'E.S. Wind Farms'!M257</f>
        <v>Combined Equip MVA</v>
      </c>
      <c r="J40" s="360">
        <f t="shared" si="3"/>
        <v>147.1</v>
      </c>
      <c r="K40" s="359">
        <f>'E.S. Wind Farms'!N257</f>
        <v>1471</v>
      </c>
      <c r="L40" s="359" t="str">
        <f>'E.S. Wind Farms'!O257</f>
        <v>Relay Trip Setpoint</v>
      </c>
    </row>
    <row r="41" spans="1:12" x14ac:dyDescent="0.35">
      <c r="A41" s="543"/>
      <c r="B41" s="345" t="s">
        <v>1640</v>
      </c>
      <c r="C41" s="345" t="s">
        <v>1623</v>
      </c>
      <c r="D41" s="360">
        <f>'E.S. Wind Farms'!C249</f>
        <v>23</v>
      </c>
      <c r="E41" s="361">
        <v>345</v>
      </c>
      <c r="F41" s="361">
        <v>34.5</v>
      </c>
      <c r="G41" s="360">
        <f t="shared" si="2"/>
        <v>38.490017945975055</v>
      </c>
      <c r="H41" s="359">
        <f>'E.S. Wind Farms'!M249</f>
        <v>384.90017945975052</v>
      </c>
      <c r="I41" s="359" t="str">
        <f>'E.S. Wind Farms'!N249</f>
        <v>Combined Equip MVA</v>
      </c>
      <c r="J41" s="360">
        <f t="shared" si="3"/>
        <v>38.5</v>
      </c>
      <c r="K41" s="359">
        <f>'E.S. Wind Farms'!O249</f>
        <v>385</v>
      </c>
      <c r="L41" s="359" t="str">
        <f>'E.S. Wind Farms'!P249</f>
        <v>Underground Cable</v>
      </c>
    </row>
    <row r="42" spans="1:12" x14ac:dyDescent="0.35">
      <c r="A42" s="543"/>
      <c r="B42" s="345" t="s">
        <v>1641</v>
      </c>
      <c r="C42" s="345" t="s">
        <v>1626</v>
      </c>
      <c r="D42" s="360">
        <f>'E.S. Wind Farms'!C259</f>
        <v>23</v>
      </c>
      <c r="E42" s="361">
        <v>345</v>
      </c>
      <c r="F42" s="361">
        <v>34.5</v>
      </c>
      <c r="G42" s="360">
        <f t="shared" si="2"/>
        <v>38.490017945975055</v>
      </c>
      <c r="H42" s="359">
        <f>'E.S. Wind Farms'!L259</f>
        <v>384.90017945975052</v>
      </c>
      <c r="I42" s="359" t="str">
        <f>'E.S. Wind Farms'!M259</f>
        <v>Combined Equip MVA</v>
      </c>
      <c r="J42" s="360">
        <f t="shared" si="3"/>
        <v>38.5</v>
      </c>
      <c r="K42" s="359">
        <f>'E.S. Wind Farms'!N259</f>
        <v>385</v>
      </c>
      <c r="L42" s="359" t="str">
        <f>'E.S. Wind Farms'!O259</f>
        <v>Underground Cable</v>
      </c>
    </row>
    <row r="43" spans="1:12" x14ac:dyDescent="0.35">
      <c r="A43" s="543"/>
      <c r="B43" s="345">
        <v>1250</v>
      </c>
      <c r="C43" s="345" t="s">
        <v>1627</v>
      </c>
      <c r="D43" s="360">
        <f>'E.S. Wind Farms'!C267</f>
        <v>65.099999999999994</v>
      </c>
      <c r="E43" s="361">
        <v>345</v>
      </c>
      <c r="F43" s="361">
        <v>34.5</v>
      </c>
      <c r="G43" s="360">
        <f t="shared" si="2"/>
        <v>108.94348557752068</v>
      </c>
      <c r="H43" s="359">
        <f>'E.S. Wind Farms'!Q267</f>
        <v>1089.4348557752069</v>
      </c>
      <c r="I43" s="359" t="str">
        <f>'E.S. Wind Farms'!R267</f>
        <v>Combined Equip MVA</v>
      </c>
      <c r="J43" s="360">
        <f t="shared" si="3"/>
        <v>147.1</v>
      </c>
      <c r="K43" s="359">
        <f>'E.S. Wind Farms'!S267</f>
        <v>1471</v>
      </c>
      <c r="L43" s="359" t="str">
        <f>'E.S. Wind Farms'!T267</f>
        <v>Relay Trip Setpoint</v>
      </c>
    </row>
    <row r="44" spans="1:12" x14ac:dyDescent="0.35">
      <c r="A44" s="543"/>
      <c r="B44" s="345" t="s">
        <v>1642</v>
      </c>
      <c r="C44" s="345" t="s">
        <v>1643</v>
      </c>
      <c r="D44" s="360">
        <f>'E.S. Wind Farms'!C280</f>
        <v>238.03223043109097</v>
      </c>
      <c r="E44" s="361">
        <v>345</v>
      </c>
      <c r="F44" s="361">
        <v>34.5</v>
      </c>
      <c r="G44" s="360">
        <f t="shared" si="2"/>
        <v>398.34194873970262</v>
      </c>
      <c r="H44" s="359">
        <f>'E.S. Wind Farms'!K280</f>
        <v>3983.4194873970264</v>
      </c>
      <c r="I44" s="359" t="str">
        <f>'E.S. Wind Farms'!L280</f>
        <v>Combined Equip MVA</v>
      </c>
      <c r="J44" s="360">
        <f t="shared" si="3"/>
        <v>415.03497673795903</v>
      </c>
      <c r="K44" s="359">
        <f>'E.S. Wind Farms'!M280</f>
        <v>4150.34976737959</v>
      </c>
      <c r="L44" s="359" t="str">
        <f>'E.S. Wind Farms'!N280</f>
        <v>Main Power Transformer</v>
      </c>
    </row>
    <row r="45" spans="1:12" x14ac:dyDescent="0.35">
      <c r="A45" s="543"/>
      <c r="B45" s="345" t="s">
        <v>1644</v>
      </c>
      <c r="C45" s="345" t="s">
        <v>1645</v>
      </c>
      <c r="D45" s="360">
        <f>'E.S. Wind Farms'!C273</f>
        <v>238.03223043109097</v>
      </c>
      <c r="E45" s="361">
        <v>345</v>
      </c>
      <c r="F45" s="361">
        <v>34.5</v>
      </c>
      <c r="G45" s="360">
        <f t="shared" si="2"/>
        <v>398.34194873970262</v>
      </c>
      <c r="H45" s="359">
        <f>'E.S. Wind Farms'!AV273</f>
        <v>3983.4194873970264</v>
      </c>
      <c r="I45" s="358" t="str">
        <f>'E.S. Wind Farms'!AW273</f>
        <v>Combined Equip MVA</v>
      </c>
      <c r="J45" s="360">
        <f t="shared" si="3"/>
        <v>415.03497673795903</v>
      </c>
      <c r="K45" s="359">
        <f>'E.S. Wind Farms'!BW273</f>
        <v>4150.34976737959</v>
      </c>
      <c r="L45" s="359" t="str">
        <f>'E.S. Wind Farms'!BX273</f>
        <v>Main Power Transformer</v>
      </c>
    </row>
    <row r="46" spans="1:12" x14ac:dyDescent="0.35">
      <c r="A46" s="543"/>
      <c r="B46" s="345" t="s">
        <v>1646</v>
      </c>
      <c r="C46" s="345" t="s">
        <v>1645</v>
      </c>
      <c r="D46" s="360">
        <f>'E.S. Wind Farms'!C274</f>
        <v>215.83125780108867</v>
      </c>
      <c r="E46" s="361">
        <v>345</v>
      </c>
      <c r="F46" s="361">
        <v>34.5</v>
      </c>
      <c r="G46" s="360">
        <f t="shared" si="2"/>
        <v>361.18908635070744</v>
      </c>
      <c r="H46" s="359">
        <f>'E.S. Wind Farms'!AV274</f>
        <v>3611.8908635070748</v>
      </c>
      <c r="I46" s="358" t="str">
        <f>'E.S. Wind Farms'!AW274</f>
        <v>Combined Equip MVA</v>
      </c>
      <c r="J46" s="360">
        <f t="shared" si="3"/>
        <v>415.03497673795903</v>
      </c>
      <c r="K46" s="359">
        <f>'E.S. Wind Farms'!BW274</f>
        <v>4150.34976737959</v>
      </c>
      <c r="L46" s="359" t="str">
        <f>'E.S. Wind Farms'!BX274</f>
        <v>Main Power Transformer</v>
      </c>
    </row>
    <row r="47" spans="1:12" x14ac:dyDescent="0.35">
      <c r="A47" s="543"/>
      <c r="B47" s="345" t="s">
        <v>1647</v>
      </c>
      <c r="C47" s="345" t="s">
        <v>1648</v>
      </c>
      <c r="D47" s="360">
        <f>'E.S. Wind Farms'!C286</f>
        <v>362.54204060219001</v>
      </c>
      <c r="E47" s="361">
        <v>345</v>
      </c>
      <c r="F47" s="361">
        <v>34.5</v>
      </c>
      <c r="G47" s="360">
        <f t="shared" si="2"/>
        <v>415.03497673795903</v>
      </c>
      <c r="H47" s="359">
        <f>'E.S. Wind Farms'!J286</f>
        <v>4150.34976737959</v>
      </c>
      <c r="I47" s="359" t="str">
        <f>'E.S. Wind Farms'!K286</f>
        <v>Main Power Transformer</v>
      </c>
      <c r="J47" s="360">
        <f t="shared" si="3"/>
        <v>450</v>
      </c>
      <c r="K47" s="359">
        <f>'E.S. Wind Farms'!L286</f>
        <v>4500</v>
      </c>
      <c r="L47" s="359" t="str">
        <f>'E.S. Wind Farms'!M286</f>
        <v>Metering CT</v>
      </c>
    </row>
    <row r="48" spans="1:12" x14ac:dyDescent="0.35">
      <c r="A48" s="543"/>
      <c r="B48" s="345" t="s">
        <v>1649</v>
      </c>
      <c r="C48" s="345" t="s">
        <v>1648</v>
      </c>
      <c r="D48" s="360">
        <f>'E.S. Wind Farms'!C287</f>
        <v>362.54204060219001</v>
      </c>
      <c r="E48" s="361">
        <v>345</v>
      </c>
      <c r="F48" s="361">
        <v>34.5</v>
      </c>
      <c r="G48" s="360">
        <f t="shared" si="2"/>
        <v>415.03497673795903</v>
      </c>
      <c r="H48" s="359">
        <f>'E.S. Wind Farms'!J287</f>
        <v>4150.34976737959</v>
      </c>
      <c r="I48" s="359" t="str">
        <f>'E.S. Wind Farms'!K287</f>
        <v>Main Power Transformer</v>
      </c>
      <c r="J48" s="360">
        <f t="shared" si="3"/>
        <v>450</v>
      </c>
      <c r="K48" s="359">
        <f>'E.S. Wind Farms'!L287</f>
        <v>4500</v>
      </c>
      <c r="L48" s="359" t="str">
        <f>'E.S. Wind Farms'!M287</f>
        <v>Metering CT</v>
      </c>
    </row>
    <row r="49" spans="1:12" x14ac:dyDescent="0.35">
      <c r="A49" s="543"/>
      <c r="B49" s="346" t="s">
        <v>2350</v>
      </c>
      <c r="C49" s="345" t="s">
        <v>1650</v>
      </c>
      <c r="D49" s="360">
        <f>'E.S. Wind Farms'!B293</f>
        <v>457.29760225603223</v>
      </c>
      <c r="E49" s="361">
        <v>345</v>
      </c>
      <c r="F49" s="361">
        <v>34.5</v>
      </c>
      <c r="G49" s="360">
        <f t="shared" si="2"/>
        <v>765.27795293417569</v>
      </c>
      <c r="H49" s="359">
        <f>'E.S. Wind Farms'!Y293</f>
        <v>7652.7795293417566</v>
      </c>
      <c r="I49" s="358" t="str">
        <f>'E.S. Wind Farms'!Z293</f>
        <v>Combined Equip MVA</v>
      </c>
      <c r="J49" s="360">
        <f t="shared" si="3"/>
        <v>830.06995347591806</v>
      </c>
      <c r="K49" s="359">
        <f>'E.S. Wind Farms'!AA293</f>
        <v>8300.6995347591801</v>
      </c>
      <c r="L49" s="359" t="str">
        <f>'E.S. Wind Farms'!AB293</f>
        <v>Main Power Transformer</v>
      </c>
    </row>
    <row r="50" spans="1:12" x14ac:dyDescent="0.35">
      <c r="A50" s="550" t="s">
        <v>1651</v>
      </c>
      <c r="B50" s="345" t="s">
        <v>1652</v>
      </c>
      <c r="C50" s="345" t="s">
        <v>1607</v>
      </c>
      <c r="D50" s="360">
        <f>'E.S. Wind Farms'!H199</f>
        <v>4.2121728359600823</v>
      </c>
      <c r="E50" s="361">
        <v>345</v>
      </c>
      <c r="F50" s="361">
        <v>34.5</v>
      </c>
      <c r="G50" s="360">
        <f t="shared" si="2"/>
        <v>7.048982958593573</v>
      </c>
      <c r="H50" s="359">
        <f>'E.S. Wind Farms'!Q199</f>
        <v>70.489829585935738</v>
      </c>
      <c r="I50" s="359" t="str">
        <f>'E.S. Wind Farms'!R199</f>
        <v>Combined Equip MVA</v>
      </c>
      <c r="J50" s="360">
        <f t="shared" si="3"/>
        <v>23.25</v>
      </c>
      <c r="K50" s="359">
        <f>'E.S. Wind Farms'!S199</f>
        <v>232.5</v>
      </c>
      <c r="L50" s="359" t="str">
        <f>'E.S. Wind Farms'!T199</f>
        <v>Underground Cable</v>
      </c>
    </row>
    <row r="51" spans="1:12" x14ac:dyDescent="0.35">
      <c r="A51" s="550"/>
      <c r="B51" s="345" t="s">
        <v>1653</v>
      </c>
      <c r="C51" s="345" t="s">
        <v>1607</v>
      </c>
      <c r="D51" s="360">
        <f>'E.S. Wind Farms'!H200</f>
        <v>23.166950597780449</v>
      </c>
      <c r="E51" s="361">
        <v>345</v>
      </c>
      <c r="F51" s="361">
        <v>34.5</v>
      </c>
      <c r="G51" s="360">
        <f t="shared" si="2"/>
        <v>38.769406272264654</v>
      </c>
      <c r="H51" s="359">
        <f>'E.S. Wind Farms'!Q200</f>
        <v>387.69406272264649</v>
      </c>
      <c r="I51" s="359" t="str">
        <f>'E.S. Wind Farms'!R200</f>
        <v>Combined Equip MVA</v>
      </c>
      <c r="J51" s="360">
        <f t="shared" si="3"/>
        <v>40.380000000000003</v>
      </c>
      <c r="K51" s="359">
        <f>'E.S. Wind Farms'!S200</f>
        <v>403.8</v>
      </c>
      <c r="L51" s="359" t="str">
        <f>'E.S. Wind Farms'!T200</f>
        <v>Underground Cable</v>
      </c>
    </row>
    <row r="52" spans="1:12" ht="15.75" customHeight="1" x14ac:dyDescent="0.35">
      <c r="A52" s="550"/>
      <c r="B52" s="345" t="s">
        <v>1654</v>
      </c>
      <c r="C52" s="345" t="s">
        <v>1607</v>
      </c>
      <c r="D52" s="360">
        <f>'E.S. Wind Farms'!H201</f>
        <v>27.379123433740531</v>
      </c>
      <c r="E52" s="361">
        <v>345</v>
      </c>
      <c r="F52" s="361">
        <v>34.5</v>
      </c>
      <c r="G52" s="360">
        <f t="shared" si="2"/>
        <v>45.81838923085823</v>
      </c>
      <c r="H52" s="359">
        <f>'E.S. Wind Farms'!Q201</f>
        <v>458.1838923085823</v>
      </c>
      <c r="I52" s="359" t="str">
        <f>'E.S. Wind Farms'!R201</f>
        <v>Combined Equip MVA</v>
      </c>
      <c r="J52" s="360">
        <f t="shared" si="3"/>
        <v>120</v>
      </c>
      <c r="K52" s="359">
        <f>'E.S. Wind Farms'!S201</f>
        <v>1200</v>
      </c>
      <c r="L52" s="359" t="str">
        <f>'E.S. Wind Farms'!T201</f>
        <v>Disconnect Switch*</v>
      </c>
    </row>
    <row r="53" spans="1:12" x14ac:dyDescent="0.35">
      <c r="A53" s="550"/>
      <c r="B53" s="345" t="s">
        <v>1655</v>
      </c>
      <c r="C53" s="345" t="s">
        <v>1607</v>
      </c>
      <c r="D53" s="360">
        <f>'E.S. Wind Farms'!H202</f>
        <v>23.166950597780449</v>
      </c>
      <c r="E53" s="361">
        <v>345</v>
      </c>
      <c r="F53" s="361">
        <v>34.5</v>
      </c>
      <c r="G53" s="360">
        <f t="shared" si="2"/>
        <v>38.769406272264654</v>
      </c>
      <c r="H53" s="359">
        <f>'E.S. Wind Farms'!Q202</f>
        <v>387.69406272264649</v>
      </c>
      <c r="I53" s="359" t="str">
        <f>'E.S. Wind Farms'!R202</f>
        <v>Combined Equip MVA</v>
      </c>
      <c r="J53" s="360">
        <f t="shared" si="3"/>
        <v>40.380000000000003</v>
      </c>
      <c r="K53" s="359">
        <f>'E.S. Wind Farms'!S202</f>
        <v>403.8</v>
      </c>
      <c r="L53" s="359" t="str">
        <f>'E.S. Wind Farms'!T202</f>
        <v>Underground Cable</v>
      </c>
    </row>
    <row r="54" spans="1:12" x14ac:dyDescent="0.35">
      <c r="A54" s="550"/>
      <c r="B54" s="345">
        <v>2101</v>
      </c>
      <c r="C54" s="345" t="s">
        <v>1609</v>
      </c>
      <c r="D54" s="360">
        <f>'E.S. Wind Farms'!C225</f>
        <v>50.54607403152098</v>
      </c>
      <c r="E54" s="361">
        <v>345</v>
      </c>
      <c r="F54" s="361">
        <v>34.5</v>
      </c>
      <c r="G54" s="360">
        <f t="shared" si="2"/>
        <v>84.587795503122877</v>
      </c>
      <c r="H54" s="359">
        <f>'E.S. Wind Farms'!V225</f>
        <v>845.87795503122868</v>
      </c>
      <c r="I54" s="359" t="str">
        <f>'E.S. Wind Farms'!W225</f>
        <v>Combined Equip MVA</v>
      </c>
      <c r="J54" s="360">
        <f t="shared" si="3"/>
        <v>120</v>
      </c>
      <c r="K54" s="359">
        <f>'E.S. Wind Farms'!X225</f>
        <v>1200</v>
      </c>
      <c r="L54" s="359" t="str">
        <f>'E.S. Wind Farms'!Y225</f>
        <v>Reactor</v>
      </c>
    </row>
    <row r="55" spans="1:12" x14ac:dyDescent="0.35">
      <c r="A55" s="550"/>
      <c r="B55" s="345" t="s">
        <v>1656</v>
      </c>
      <c r="C55" s="345" t="s">
        <v>1607</v>
      </c>
      <c r="D55" s="360">
        <f>'E.S. Wind Farms'!H203</f>
        <v>23.166950597780449</v>
      </c>
      <c r="E55" s="361">
        <v>345</v>
      </c>
      <c r="F55" s="361">
        <v>34.5</v>
      </c>
      <c r="G55" s="360">
        <f t="shared" si="2"/>
        <v>38.769406272264654</v>
      </c>
      <c r="H55" s="359">
        <f>'E.S. Wind Farms'!Q203</f>
        <v>387.69406272264649</v>
      </c>
      <c r="I55" s="359" t="str">
        <f>'E.S. Wind Farms'!R203</f>
        <v>Combined Equip MVA</v>
      </c>
      <c r="J55" s="360">
        <f t="shared" si="3"/>
        <v>40.380000000000003</v>
      </c>
      <c r="K55" s="359">
        <f>'E.S. Wind Farms'!S203</f>
        <v>403.8</v>
      </c>
      <c r="L55" s="359" t="str">
        <f>'E.S. Wind Farms'!T203</f>
        <v>Underground Cable</v>
      </c>
    </row>
    <row r="56" spans="1:12" x14ac:dyDescent="0.35">
      <c r="A56" s="550"/>
      <c r="B56" s="345" t="s">
        <v>1657</v>
      </c>
      <c r="C56" s="345" t="s">
        <v>1607</v>
      </c>
      <c r="D56" s="360">
        <f>'E.S. Wind Farms'!H204</f>
        <v>23.166950597780449</v>
      </c>
      <c r="E56" s="361">
        <v>345</v>
      </c>
      <c r="F56" s="361">
        <v>34.5</v>
      </c>
      <c r="G56" s="360">
        <f t="shared" si="2"/>
        <v>38.769406272264654</v>
      </c>
      <c r="H56" s="359">
        <f>'E.S. Wind Farms'!Q204</f>
        <v>387.69406272264649</v>
      </c>
      <c r="I56" s="359" t="str">
        <f>'E.S. Wind Farms'!R204</f>
        <v>Combined Equip MVA</v>
      </c>
      <c r="J56" s="360">
        <f t="shared" si="3"/>
        <v>40.380000000000003</v>
      </c>
      <c r="K56" s="359">
        <f>'E.S. Wind Farms'!S204</f>
        <v>403.8</v>
      </c>
      <c r="L56" s="359" t="str">
        <f>'E.S. Wind Farms'!T204</f>
        <v>Underground Cable</v>
      </c>
    </row>
    <row r="57" spans="1:12" x14ac:dyDescent="0.35">
      <c r="A57" s="550"/>
      <c r="B57" s="345">
        <v>2102</v>
      </c>
      <c r="C57" s="345" t="s">
        <v>1609</v>
      </c>
      <c r="D57" s="360">
        <f>'E.S. Wind Farms'!C226</f>
        <v>46.333901195560898</v>
      </c>
      <c r="E57" s="361">
        <v>345</v>
      </c>
      <c r="F57" s="361">
        <v>34.5</v>
      </c>
      <c r="G57" s="360">
        <f t="shared" si="2"/>
        <v>77.538812544529307</v>
      </c>
      <c r="H57" s="359">
        <f>'E.S. Wind Farms'!V226</f>
        <v>775.38812544529299</v>
      </c>
      <c r="I57" s="359" t="str">
        <f>'E.S. Wind Farms'!W226</f>
        <v>Combined Equip MVA</v>
      </c>
      <c r="J57" s="360">
        <f t="shared" si="3"/>
        <v>120</v>
      </c>
      <c r="K57" s="359">
        <f>'E.S. Wind Farms'!X226</f>
        <v>1200</v>
      </c>
      <c r="L57" s="359" t="str">
        <f>'E.S. Wind Farms'!Y226</f>
        <v>Reactor*</v>
      </c>
    </row>
    <row r="58" spans="1:12" x14ac:dyDescent="0.35">
      <c r="A58" s="550"/>
      <c r="B58" s="345" t="s">
        <v>1658</v>
      </c>
      <c r="C58" s="345" t="s">
        <v>1607</v>
      </c>
      <c r="D58" s="360">
        <f>'E.S. Wind Farms'!H205</f>
        <v>23.166950597780449</v>
      </c>
      <c r="E58" s="361">
        <v>345</v>
      </c>
      <c r="F58" s="361">
        <v>34.5</v>
      </c>
      <c r="G58" s="360">
        <f t="shared" si="2"/>
        <v>38.769406272264654</v>
      </c>
      <c r="H58" s="359">
        <f>'E.S. Wind Farms'!Q205</f>
        <v>387.69406272264649</v>
      </c>
      <c r="I58" s="359" t="str">
        <f>'E.S. Wind Farms'!R205</f>
        <v>Combined Equip MVA</v>
      </c>
      <c r="J58" s="360">
        <f t="shared" si="3"/>
        <v>40.380000000000003</v>
      </c>
      <c r="K58" s="359">
        <f>'E.S. Wind Farms'!S205</f>
        <v>403.8</v>
      </c>
      <c r="L58" s="359" t="str">
        <f>'E.S. Wind Farms'!T205</f>
        <v>Underground Cable</v>
      </c>
    </row>
    <row r="59" spans="1:12" x14ac:dyDescent="0.35">
      <c r="A59" s="550"/>
      <c r="B59" s="345" t="s">
        <v>1659</v>
      </c>
      <c r="C59" s="345" t="s">
        <v>1607</v>
      </c>
      <c r="D59" s="360">
        <f>'E.S. Wind Farms'!H206</f>
        <v>16.848691343840329</v>
      </c>
      <c r="E59" s="361">
        <v>345</v>
      </c>
      <c r="F59" s="361">
        <v>34.5</v>
      </c>
      <c r="G59" s="360">
        <f t="shared" si="2"/>
        <v>28.195931834374292</v>
      </c>
      <c r="H59" s="359">
        <f>'E.S. Wind Farms'!Q206</f>
        <v>281.95931834374295</v>
      </c>
      <c r="I59" s="359" t="str">
        <f>'E.S. Wind Farms'!R206</f>
        <v>Combined Equip MVA</v>
      </c>
      <c r="J59" s="360">
        <f t="shared" si="3"/>
        <v>30.919999999999998</v>
      </c>
      <c r="K59" s="359">
        <f>'E.S. Wind Farms'!S206</f>
        <v>309.2</v>
      </c>
      <c r="L59" s="359" t="str">
        <f>'E.S. Wind Farms'!T206</f>
        <v>Underground Cable</v>
      </c>
    </row>
    <row r="60" spans="1:12" x14ac:dyDescent="0.35">
      <c r="A60" s="550"/>
      <c r="B60" s="345">
        <v>2103</v>
      </c>
      <c r="C60" s="345" t="s">
        <v>1609</v>
      </c>
      <c r="D60" s="360">
        <f>'E.S. Wind Farms'!C227</f>
        <v>40.015641941620778</v>
      </c>
      <c r="E60" s="361">
        <v>345</v>
      </c>
      <c r="F60" s="361">
        <v>34.5</v>
      </c>
      <c r="G60" s="360">
        <f t="shared" si="2"/>
        <v>66.965338106638953</v>
      </c>
      <c r="H60" s="359">
        <f>'E.S. Wind Farms'!V227</f>
        <v>669.65338106638956</v>
      </c>
      <c r="I60" s="359" t="str">
        <f>'E.S. Wind Farms'!W227</f>
        <v>Combined Equip MVA</v>
      </c>
      <c r="J60" s="360">
        <f t="shared" si="3"/>
        <v>120</v>
      </c>
      <c r="K60" s="359">
        <f>'E.S. Wind Farms'!X227</f>
        <v>1200</v>
      </c>
      <c r="L60" s="359" t="str">
        <f>'E.S. Wind Farms'!Y227</f>
        <v>Reactor*</v>
      </c>
    </row>
    <row r="61" spans="1:12" x14ac:dyDescent="0.35">
      <c r="A61" s="550"/>
      <c r="B61" s="345" t="s">
        <v>1660</v>
      </c>
      <c r="C61" s="345" t="s">
        <v>1607</v>
      </c>
      <c r="D61" s="360">
        <f>'E.S. Wind Farms'!H207</f>
        <v>21.060864179800411</v>
      </c>
      <c r="E61" s="361">
        <v>345</v>
      </c>
      <c r="F61" s="361">
        <v>34.5</v>
      </c>
      <c r="G61" s="360">
        <f t="shared" si="2"/>
        <v>35.244914792967876</v>
      </c>
      <c r="H61" s="359">
        <f>'E.S. Wind Farms'!Q207</f>
        <v>352.4491479296787</v>
      </c>
      <c r="I61" s="359" t="str">
        <f>'E.S. Wind Farms'!R207</f>
        <v>Combined Equip MVA</v>
      </c>
      <c r="J61" s="360">
        <f t="shared" si="3"/>
        <v>36.450000000000003</v>
      </c>
      <c r="K61" s="359">
        <f>'E.S. Wind Farms'!S207</f>
        <v>364.5</v>
      </c>
      <c r="L61" s="359" t="str">
        <f>'E.S. Wind Farms'!T207</f>
        <v>Underground Cable</v>
      </c>
    </row>
    <row r="62" spans="1:12" x14ac:dyDescent="0.35">
      <c r="A62" s="550"/>
      <c r="B62" s="345" t="s">
        <v>1661</v>
      </c>
      <c r="C62" s="345" t="s">
        <v>1607</v>
      </c>
      <c r="D62" s="360">
        <f>'E.S. Wind Farms'!H208</f>
        <v>21.060864179800411</v>
      </c>
      <c r="E62" s="361">
        <v>345</v>
      </c>
      <c r="F62" s="361">
        <v>34.5</v>
      </c>
      <c r="G62" s="360">
        <f t="shared" si="2"/>
        <v>35.244914792967876</v>
      </c>
      <c r="H62" s="359">
        <f>'E.S. Wind Farms'!Q208</f>
        <v>352.4491479296787</v>
      </c>
      <c r="I62" s="359" t="str">
        <f>'E.S. Wind Farms'!R208</f>
        <v>Combined Equip MVA</v>
      </c>
      <c r="J62" s="360">
        <f t="shared" si="3"/>
        <v>36.450000000000003</v>
      </c>
      <c r="K62" s="359">
        <f>'E.S. Wind Farms'!S208</f>
        <v>364.5</v>
      </c>
      <c r="L62" s="359" t="str">
        <f>'E.S. Wind Farms'!T208</f>
        <v>Underground Cable</v>
      </c>
    </row>
    <row r="63" spans="1:12" x14ac:dyDescent="0.35">
      <c r="A63" s="550"/>
      <c r="B63" s="345">
        <v>2104</v>
      </c>
      <c r="C63" s="345" t="s">
        <v>1609</v>
      </c>
      <c r="D63" s="360">
        <f>'E.S. Wind Farms'!C228</f>
        <v>42.121728359600823</v>
      </c>
      <c r="E63" s="361">
        <v>345</v>
      </c>
      <c r="F63" s="361">
        <v>34.5</v>
      </c>
      <c r="G63" s="360">
        <f t="shared" si="2"/>
        <v>70.489829585935752</v>
      </c>
      <c r="H63" s="359">
        <f>'E.S. Wind Farms'!V228</f>
        <v>704.8982958593574</v>
      </c>
      <c r="I63" s="359" t="str">
        <f>'E.S. Wind Farms'!W228</f>
        <v>Combined Equip MVA</v>
      </c>
      <c r="J63" s="360">
        <f t="shared" si="3"/>
        <v>120</v>
      </c>
      <c r="K63" s="359">
        <f>'E.S. Wind Farms'!X228</f>
        <v>1200</v>
      </c>
      <c r="L63" s="359" t="str">
        <f>'E.S. Wind Farms'!Y228</f>
        <v>Reactor*</v>
      </c>
    </row>
    <row r="64" spans="1:12" x14ac:dyDescent="0.35">
      <c r="A64" s="550"/>
      <c r="B64" s="345" t="s">
        <v>1662</v>
      </c>
      <c r="C64" s="345" t="s">
        <v>1607</v>
      </c>
      <c r="D64" s="360">
        <f>'E.S. Wind Farms'!H209</f>
        <v>23.166950597780449</v>
      </c>
      <c r="E64" s="361">
        <v>345</v>
      </c>
      <c r="F64" s="361">
        <v>34.5</v>
      </c>
      <c r="G64" s="360">
        <f t="shared" si="2"/>
        <v>38.769406272264654</v>
      </c>
      <c r="H64" s="359">
        <f>'E.S. Wind Farms'!Q209</f>
        <v>387.69406272264649</v>
      </c>
      <c r="I64" s="359" t="str">
        <f>'E.S. Wind Farms'!R209</f>
        <v>Combined Equip MVA</v>
      </c>
      <c r="J64" s="360">
        <f t="shared" si="3"/>
        <v>40.380000000000003</v>
      </c>
      <c r="K64" s="359">
        <f>'E.S. Wind Farms'!S209</f>
        <v>403.8</v>
      </c>
      <c r="L64" s="359" t="str">
        <f>'E.S. Wind Farms'!T209</f>
        <v>Underground Cable</v>
      </c>
    </row>
    <row r="65" spans="1:40" ht="15.75" customHeight="1" x14ac:dyDescent="0.35">
      <c r="A65" s="550"/>
      <c r="B65" s="345" t="s">
        <v>1663</v>
      </c>
      <c r="C65" s="345" t="s">
        <v>1607</v>
      </c>
      <c r="D65" s="360">
        <f>'E.S. Wind Farms'!H210</f>
        <v>23.166950597780449</v>
      </c>
      <c r="E65" s="361">
        <v>345</v>
      </c>
      <c r="F65" s="361">
        <v>34.5</v>
      </c>
      <c r="G65" s="360">
        <f t="shared" si="2"/>
        <v>38.769406272264654</v>
      </c>
      <c r="H65" s="359">
        <f>'E.S. Wind Farms'!Q210</f>
        <v>387.69406272264649</v>
      </c>
      <c r="I65" s="359" t="str">
        <f>'E.S. Wind Farms'!R210</f>
        <v>Combined Equip MVA</v>
      </c>
      <c r="J65" s="360">
        <f t="shared" si="3"/>
        <v>40.380000000000003</v>
      </c>
      <c r="K65" s="359">
        <f>'E.S. Wind Farms'!S210</f>
        <v>403.8</v>
      </c>
      <c r="L65" s="359" t="str">
        <f>'E.S. Wind Farms'!T210</f>
        <v>Underground Cable</v>
      </c>
    </row>
    <row r="66" spans="1:40" x14ac:dyDescent="0.35">
      <c r="A66" s="550"/>
      <c r="B66" s="345" t="s">
        <v>1664</v>
      </c>
      <c r="C66" s="345" t="s">
        <v>1607</v>
      </c>
      <c r="D66" s="360">
        <f>'E.S. Wind Farms'!H211</f>
        <v>6.3182592539401234</v>
      </c>
      <c r="E66" s="361">
        <v>345</v>
      </c>
      <c r="F66" s="361">
        <v>34.5</v>
      </c>
      <c r="G66" s="360">
        <f t="shared" si="2"/>
        <v>10.57347443789036</v>
      </c>
      <c r="H66" s="359">
        <f>'E.S. Wind Farms'!Q211</f>
        <v>105.7347443789036</v>
      </c>
      <c r="I66" s="359" t="str">
        <f>'E.S. Wind Farms'!R211</f>
        <v>Combined Equip MVA</v>
      </c>
      <c r="J66" s="360">
        <f t="shared" si="3"/>
        <v>23.25</v>
      </c>
      <c r="K66" s="359">
        <f>'E.S. Wind Farms'!S211</f>
        <v>232.5</v>
      </c>
      <c r="L66" s="359" t="str">
        <f>'E.S. Wind Farms'!T211</f>
        <v>Underground Cable</v>
      </c>
    </row>
    <row r="67" spans="1:40" x14ac:dyDescent="0.35">
      <c r="A67" s="550"/>
      <c r="B67" s="345" t="s">
        <v>1665</v>
      </c>
      <c r="C67" s="345" t="s">
        <v>1607</v>
      </c>
      <c r="D67" s="360">
        <f>'E.S. Wind Farms'!H212</f>
        <v>29.485209851720576</v>
      </c>
      <c r="E67" s="361">
        <v>345</v>
      </c>
      <c r="F67" s="361">
        <v>34.5</v>
      </c>
      <c r="G67" s="360">
        <f t="shared" si="2"/>
        <v>49.342880710155022</v>
      </c>
      <c r="H67" s="359">
        <f>'E.S. Wind Farms'!Q212</f>
        <v>493.42880710155021</v>
      </c>
      <c r="I67" s="359" t="str">
        <f>'E.S. Wind Farms'!R212</f>
        <v>Combined Equip MVA</v>
      </c>
      <c r="J67" s="360">
        <f t="shared" si="3"/>
        <v>120</v>
      </c>
      <c r="K67" s="359">
        <f>'E.S. Wind Farms'!S212</f>
        <v>1200</v>
      </c>
      <c r="L67" s="359" t="str">
        <f>'E.S. Wind Farms'!T212</f>
        <v>Disconnect Switch*</v>
      </c>
    </row>
    <row r="68" spans="1:40" x14ac:dyDescent="0.35">
      <c r="A68" s="550"/>
      <c r="B68" s="345">
        <v>2105</v>
      </c>
      <c r="C68" s="345" t="s">
        <v>1609</v>
      </c>
      <c r="D68" s="360">
        <f>'E.S. Wind Farms'!C229</f>
        <v>52.652160449501025</v>
      </c>
      <c r="E68" s="361">
        <v>345</v>
      </c>
      <c r="F68" s="361">
        <v>34.5</v>
      </c>
      <c r="G68" s="360">
        <f t="shared" si="2"/>
        <v>88.112286982419675</v>
      </c>
      <c r="H68" s="359">
        <f>'E.S. Wind Farms'!V229</f>
        <v>881.12286982419675</v>
      </c>
      <c r="I68" s="359" t="str">
        <f>'E.S. Wind Farms'!W229</f>
        <v>Combined Equip MVA</v>
      </c>
      <c r="J68" s="360">
        <f t="shared" si="3"/>
        <v>120</v>
      </c>
      <c r="K68" s="359">
        <f>'E.S. Wind Farms'!X229</f>
        <v>1200</v>
      </c>
      <c r="L68" s="359" t="str">
        <f>'E.S. Wind Farms'!Y229</f>
        <v>Reactor*</v>
      </c>
    </row>
    <row r="69" spans="1:40" ht="15.75" customHeight="1" x14ac:dyDescent="0.35">
      <c r="A69" s="550"/>
      <c r="B69" s="349" t="s">
        <v>1666</v>
      </c>
      <c r="C69" s="345" t="s">
        <v>1617</v>
      </c>
      <c r="D69" s="360">
        <f>'E.S. Wind Farms'!C240</f>
        <v>17</v>
      </c>
      <c r="E69" s="361">
        <v>345</v>
      </c>
      <c r="F69" s="361">
        <v>34.5</v>
      </c>
      <c r="G69" s="360">
        <f t="shared" si="2"/>
        <v>28.449143699198956</v>
      </c>
      <c r="H69" s="359">
        <f>'E.S. Wind Farms'!K240</f>
        <v>284.49143699198953</v>
      </c>
      <c r="I69" s="359" t="str">
        <f>'E.S. Wind Farms'!L240</f>
        <v>Combined Equip MVA</v>
      </c>
      <c r="J69" s="360">
        <f t="shared" si="3"/>
        <v>60</v>
      </c>
      <c r="K69" s="362">
        <f>'E.S. Wind Farms'!M240</f>
        <v>600</v>
      </c>
      <c r="L69" s="362" t="str">
        <f>'E.S. Wind Farms'!N240</f>
        <v>Switcher</v>
      </c>
    </row>
    <row r="70" spans="1:40" ht="15.75" customHeight="1" x14ac:dyDescent="0.35">
      <c r="A70" s="550"/>
      <c r="B70" s="349" t="s">
        <v>1667</v>
      </c>
      <c r="C70" s="345" t="s">
        <v>1617</v>
      </c>
      <c r="D70" s="360">
        <f>'E.S. Wind Farms'!C241</f>
        <v>17</v>
      </c>
      <c r="E70" s="361">
        <v>345</v>
      </c>
      <c r="F70" s="361">
        <v>34.5</v>
      </c>
      <c r="G70" s="360">
        <f t="shared" ref="G70:G78" si="4">H70*F70/E70</f>
        <v>28.449143699198956</v>
      </c>
      <c r="H70" s="359">
        <f>'E.S. Wind Farms'!K241</f>
        <v>284.49143699198953</v>
      </c>
      <c r="I70" s="359" t="str">
        <f>'E.S. Wind Farms'!L241</f>
        <v>Combined Equip MVA</v>
      </c>
      <c r="J70" s="360">
        <f t="shared" ref="J70:J78" si="5">K70*F70/E70</f>
        <v>60</v>
      </c>
      <c r="K70" s="362">
        <f>'E.S. Wind Farms'!M241</f>
        <v>600</v>
      </c>
      <c r="L70" s="362" t="str">
        <f>'E.S. Wind Farms'!N241</f>
        <v>Switcher</v>
      </c>
    </row>
    <row r="71" spans="1:40" ht="15.75" customHeight="1" x14ac:dyDescent="0.35">
      <c r="A71" s="550"/>
      <c r="B71" s="349" t="s">
        <v>1668</v>
      </c>
      <c r="C71" s="345" t="s">
        <v>1617</v>
      </c>
      <c r="D71" s="360">
        <f>'E.S. Wind Farms'!C242</f>
        <v>17</v>
      </c>
      <c r="E71" s="361">
        <v>345</v>
      </c>
      <c r="F71" s="361">
        <v>34.5</v>
      </c>
      <c r="G71" s="360">
        <f t="shared" si="4"/>
        <v>28.449143699198956</v>
      </c>
      <c r="H71" s="359">
        <f>'E.S. Wind Farms'!K242</f>
        <v>284.49143699198953</v>
      </c>
      <c r="I71" s="359" t="str">
        <f>'E.S. Wind Farms'!L242</f>
        <v>Combined Equip MVA</v>
      </c>
      <c r="J71" s="360">
        <f t="shared" si="5"/>
        <v>60</v>
      </c>
      <c r="K71" s="362">
        <f>'E.S. Wind Farms'!M242</f>
        <v>600</v>
      </c>
      <c r="L71" s="362" t="str">
        <f>'E.S. Wind Farms'!N242</f>
        <v>Switcher</v>
      </c>
    </row>
    <row r="72" spans="1:40" ht="15.75" customHeight="1" x14ac:dyDescent="0.35">
      <c r="A72" s="550"/>
      <c r="B72" s="349" t="s">
        <v>1669</v>
      </c>
      <c r="C72" s="345" t="s">
        <v>1621</v>
      </c>
      <c r="D72" s="360">
        <f>'E.S. Wind Farms'!C260</f>
        <v>51</v>
      </c>
      <c r="E72" s="361">
        <v>345</v>
      </c>
      <c r="F72" s="361">
        <v>34.5</v>
      </c>
      <c r="G72" s="360">
        <f t="shared" si="4"/>
        <v>85.347431097596854</v>
      </c>
      <c r="H72" s="359">
        <f>'E.S. Wind Farms'!L260</f>
        <v>853.47431097596859</v>
      </c>
      <c r="I72" s="359" t="str">
        <f>'E.S. Wind Farms'!M260</f>
        <v>Combined Equip MVA</v>
      </c>
      <c r="J72" s="360">
        <f t="shared" si="5"/>
        <v>114.3</v>
      </c>
      <c r="K72" s="359">
        <f>'E.S. Wind Farms'!N260</f>
        <v>1143</v>
      </c>
      <c r="L72" s="359" t="str">
        <f>'E.S. Wind Farms'!O260</f>
        <v>Underground Cable</v>
      </c>
    </row>
    <row r="73" spans="1:40" x14ac:dyDescent="0.35">
      <c r="A73" s="550"/>
      <c r="B73" s="345" t="s">
        <v>1670</v>
      </c>
      <c r="C73" s="345" t="s">
        <v>1623</v>
      </c>
      <c r="D73" s="360">
        <f>'E.S. Wind Farms'!C250</f>
        <v>24</v>
      </c>
      <c r="E73" s="361">
        <v>345</v>
      </c>
      <c r="F73" s="361">
        <v>34.5</v>
      </c>
      <c r="G73" s="360">
        <f t="shared" si="4"/>
        <v>40.163496987104402</v>
      </c>
      <c r="H73" s="359">
        <f>'E.S. Wind Farms'!M250</f>
        <v>401.63496987104406</v>
      </c>
      <c r="I73" s="359" t="str">
        <f>'E.S. Wind Farms'!N250</f>
        <v>Combined Equip MVA</v>
      </c>
      <c r="J73" s="360">
        <f t="shared" si="5"/>
        <v>60</v>
      </c>
      <c r="K73" s="359">
        <f>'E.S. Wind Farms'!O250</f>
        <v>600</v>
      </c>
      <c r="L73" s="359" t="str">
        <f>'E.S. Wind Farms'!P250</f>
        <v>Switcher</v>
      </c>
    </row>
    <row r="74" spans="1:40" ht="15.75" customHeight="1" x14ac:dyDescent="0.35">
      <c r="A74" s="550"/>
      <c r="B74" s="345" t="s">
        <v>1671</v>
      </c>
      <c r="C74" s="345" t="s">
        <v>1623</v>
      </c>
      <c r="D74" s="360">
        <f>'E.S. Wind Farms'!C251</f>
        <v>24</v>
      </c>
      <c r="E74" s="361">
        <v>345</v>
      </c>
      <c r="F74" s="361">
        <v>34.5</v>
      </c>
      <c r="G74" s="360">
        <f t="shared" si="4"/>
        <v>40.163496987104402</v>
      </c>
      <c r="H74" s="359">
        <f>'E.S. Wind Farms'!M251</f>
        <v>401.63496987104406</v>
      </c>
      <c r="I74" s="359" t="str">
        <f>'E.S. Wind Farms'!N251</f>
        <v>Combined Equip MVA</v>
      </c>
      <c r="J74" s="360">
        <f t="shared" si="5"/>
        <v>60</v>
      </c>
      <c r="K74" s="359">
        <f>'E.S. Wind Farms'!O251</f>
        <v>600</v>
      </c>
      <c r="L74" s="359" t="str">
        <f>'E.S. Wind Farms'!P251</f>
        <v>Switcher</v>
      </c>
    </row>
    <row r="75" spans="1:40" x14ac:dyDescent="0.35">
      <c r="A75" s="550"/>
      <c r="B75" s="345" t="s">
        <v>1672</v>
      </c>
      <c r="C75" s="345" t="s">
        <v>1626</v>
      </c>
      <c r="D75" s="360">
        <f>'E.S. Wind Farms'!C261</f>
        <v>48</v>
      </c>
      <c r="E75" s="361">
        <v>345</v>
      </c>
      <c r="F75" s="361">
        <v>35.5</v>
      </c>
      <c r="G75" s="360">
        <f t="shared" si="4"/>
        <v>82.655312640127917</v>
      </c>
      <c r="H75" s="359">
        <f>'E.S. Wind Farms'!L261</f>
        <v>803.26993974208813</v>
      </c>
      <c r="I75" s="359" t="str">
        <f>'E.S. Wind Farms'!M261</f>
        <v>Combined Equip MVA</v>
      </c>
      <c r="J75" s="360">
        <f t="shared" si="5"/>
        <v>82.936231884057975</v>
      </c>
      <c r="K75" s="359">
        <f>'E.S. Wind Farms'!N261</f>
        <v>806</v>
      </c>
      <c r="L75" s="359" t="str">
        <f>'E.S. Wind Farms'!O261</f>
        <v>Underground Cable</v>
      </c>
    </row>
    <row r="76" spans="1:40" x14ac:dyDescent="0.35">
      <c r="A76" s="550"/>
      <c r="B76" s="345">
        <v>2150</v>
      </c>
      <c r="C76" s="345" t="s">
        <v>1627</v>
      </c>
      <c r="D76" s="360">
        <f>'E.S. Wind Farms'!C268</f>
        <v>51</v>
      </c>
      <c r="E76" s="361">
        <v>345</v>
      </c>
      <c r="F76" s="361">
        <v>34.5</v>
      </c>
      <c r="G76" s="360">
        <f t="shared" si="4"/>
        <v>85.347431097596854</v>
      </c>
      <c r="H76" s="359">
        <f>'E.S. Wind Farms'!Q268</f>
        <v>853.47431097596859</v>
      </c>
      <c r="I76" s="359" t="str">
        <f>'E.S. Wind Farms'!R268</f>
        <v>Combined Equip MVA</v>
      </c>
      <c r="J76" s="360">
        <f t="shared" si="5"/>
        <v>123</v>
      </c>
      <c r="K76" s="359">
        <f>'E.S. Wind Farms'!S268</f>
        <v>1230</v>
      </c>
      <c r="L76" s="359" t="str">
        <f>'E.S. Wind Farms'!T268</f>
        <v>Relay Trip Setpoint</v>
      </c>
    </row>
    <row r="77" spans="1:40" x14ac:dyDescent="0.35">
      <c r="A77" s="550"/>
      <c r="B77" s="345" t="s">
        <v>1673</v>
      </c>
      <c r="C77" s="345" t="s">
        <v>1674</v>
      </c>
      <c r="D77" s="360">
        <f>'E.S. Wind Farms'!C275</f>
        <v>252.34294125257398</v>
      </c>
      <c r="E77" s="361">
        <v>345</v>
      </c>
      <c r="F77" s="361">
        <v>34.5</v>
      </c>
      <c r="G77" s="360">
        <f t="shared" si="4"/>
        <v>415.03497673795903</v>
      </c>
      <c r="H77" s="359">
        <f>'E.S. Wind Farms'!AV275</f>
        <v>4150.34976737959</v>
      </c>
      <c r="I77" s="358" t="str">
        <f>'E.S. Wind Farms'!AW275</f>
        <v>Main Power Transformer</v>
      </c>
      <c r="J77" s="360">
        <f t="shared" si="5"/>
        <v>422.2906233631175</v>
      </c>
      <c r="K77" s="359">
        <f>'E.S. Wind Farms'!AX275</f>
        <v>4222.9062336311745</v>
      </c>
      <c r="L77" s="358" t="str">
        <f>'E.S. Wind Farms'!BX275</f>
        <v>Combined Equip MVA</v>
      </c>
    </row>
    <row r="78" spans="1:40" ht="15" thickBot="1" x14ac:dyDescent="0.4">
      <c r="A78" s="551"/>
      <c r="B78" s="353" t="s">
        <v>2351</v>
      </c>
      <c r="C78" s="352" t="s">
        <v>1675</v>
      </c>
      <c r="D78" s="356">
        <f>'E.S. Wind Farms'!B294</f>
        <v>252.34294125257398</v>
      </c>
      <c r="E78" s="357">
        <v>345</v>
      </c>
      <c r="F78" s="357">
        <v>34.5</v>
      </c>
      <c r="G78" s="356">
        <f t="shared" si="4"/>
        <v>415.03497673795903</v>
      </c>
      <c r="H78" s="355">
        <f>'E.S. Wind Farms'!Y294</f>
        <v>4150.34976737959</v>
      </c>
      <c r="I78" s="354" t="str">
        <f>'E.S. Wind Farms'!Z294</f>
        <v>Main Power Transformer</v>
      </c>
      <c r="J78" s="356">
        <f t="shared" si="5"/>
        <v>422.29062336311739</v>
      </c>
      <c r="K78" s="355">
        <f>'E.S. Wind Farms'!AA294</f>
        <v>4222.9062336311736</v>
      </c>
      <c r="L78" s="354" t="str">
        <f>'E.S. Wind Farms'!AB294</f>
        <v>Combined Equip MVA</v>
      </c>
    </row>
    <row r="79" spans="1:40" x14ac:dyDescent="0.35">
      <c r="A79" s="562" t="s">
        <v>1861</v>
      </c>
      <c r="B79" s="350" t="s">
        <v>1652</v>
      </c>
      <c r="C79" s="350" t="s">
        <v>1607</v>
      </c>
      <c r="D79" s="342">
        <f>H312</f>
        <v>23.610376722958065</v>
      </c>
      <c r="E79" s="341">
        <v>345</v>
      </c>
      <c r="F79" s="341">
        <v>34.5</v>
      </c>
      <c r="G79" s="342">
        <f t="shared" ref="G79:G110" si="6">H79/10</f>
        <v>39.511470599038589</v>
      </c>
      <c r="H79" s="351">
        <f>Q312</f>
        <v>395.11470599038591</v>
      </c>
      <c r="I79" s="351" t="str">
        <f>R312</f>
        <v>Combined Equip MVA</v>
      </c>
      <c r="J79" s="342">
        <f t="shared" ref="J79:J110" si="7">K79/10</f>
        <v>42.29</v>
      </c>
      <c r="K79" s="351">
        <f>S312</f>
        <v>422.9</v>
      </c>
      <c r="L79" s="351" t="str">
        <f>T312</f>
        <v>Underground Cable</v>
      </c>
      <c r="M79" s="285"/>
      <c r="N79" s="285"/>
      <c r="O79" s="285"/>
      <c r="P79" s="285"/>
      <c r="Q79" s="285"/>
      <c r="R79" s="285"/>
      <c r="S79" s="285"/>
      <c r="T79" s="285"/>
      <c r="U79" s="285"/>
      <c r="V79" s="285"/>
      <c r="W79" s="285"/>
      <c r="X79" s="285"/>
      <c r="Y79" s="285"/>
      <c r="Z79" s="285"/>
      <c r="AA79" s="285"/>
      <c r="AB79" s="285"/>
      <c r="AC79" s="285"/>
      <c r="AD79" s="285"/>
      <c r="AE79" s="285"/>
      <c r="AF79" s="285"/>
      <c r="AG79" s="285"/>
      <c r="AH79" s="285"/>
      <c r="AI79" s="285"/>
      <c r="AJ79" s="285"/>
      <c r="AK79" s="285"/>
      <c r="AL79" s="285"/>
      <c r="AM79" s="285"/>
      <c r="AN79" s="285"/>
    </row>
    <row r="80" spans="1:40" x14ac:dyDescent="0.35">
      <c r="A80" s="543"/>
      <c r="B80" s="345" t="s">
        <v>1653</v>
      </c>
      <c r="C80" s="345" t="s">
        <v>1607</v>
      </c>
      <c r="D80" s="342">
        <f>H313</f>
        <v>23.157566797917262</v>
      </c>
      <c r="E80" s="344">
        <v>345</v>
      </c>
      <c r="F80" s="344">
        <v>34.5</v>
      </c>
      <c r="G80" s="340">
        <f t="shared" si="6"/>
        <v>38.753702679867459</v>
      </c>
      <c r="H80" s="339">
        <f>Q313</f>
        <v>387.53702679867456</v>
      </c>
      <c r="I80" s="339" t="str">
        <f>R313</f>
        <v>Combined Equip MVA</v>
      </c>
      <c r="J80" s="340">
        <f t="shared" si="7"/>
        <v>42.29</v>
      </c>
      <c r="K80" s="339">
        <f>S313</f>
        <v>422.9</v>
      </c>
      <c r="L80" s="339" t="str">
        <f>T313</f>
        <v>Underground Cable</v>
      </c>
      <c r="M80" s="285"/>
      <c r="N80" s="285"/>
      <c r="O80" s="285"/>
      <c r="P80" s="285"/>
      <c r="Q80" s="285"/>
      <c r="R80" s="285"/>
      <c r="S80" s="285"/>
      <c r="T80" s="285"/>
      <c r="U80" s="285"/>
      <c r="V80" s="285"/>
      <c r="W80" s="285"/>
      <c r="X80" s="285"/>
      <c r="Y80" s="285"/>
      <c r="Z80" s="285"/>
      <c r="AA80" s="285"/>
      <c r="AB80" s="285"/>
      <c r="AC80" s="285"/>
      <c r="AD80" s="285"/>
      <c r="AE80" s="285"/>
      <c r="AF80" s="285"/>
      <c r="AG80" s="285"/>
      <c r="AH80" s="285"/>
      <c r="AI80" s="285"/>
      <c r="AJ80" s="285"/>
      <c r="AK80" s="285"/>
      <c r="AL80" s="285"/>
      <c r="AM80" s="285"/>
      <c r="AN80" s="285"/>
    </row>
    <row r="81" spans="1:40" x14ac:dyDescent="0.35">
      <c r="A81" s="543"/>
      <c r="B81" s="345">
        <v>2101</v>
      </c>
      <c r="C81" s="345" t="s">
        <v>1609</v>
      </c>
      <c r="D81" s="340">
        <f>C344</f>
        <v>46.767943520875328</v>
      </c>
      <c r="E81" s="344">
        <v>345</v>
      </c>
      <c r="F81" s="344">
        <v>34.5</v>
      </c>
      <c r="G81" s="340">
        <f t="shared" si="6"/>
        <v>78.265173278906047</v>
      </c>
      <c r="H81" s="339">
        <f>Q344</f>
        <v>782.65173278906047</v>
      </c>
      <c r="I81" s="339" t="str">
        <f>R344</f>
        <v>Combined Equip MVA</v>
      </c>
      <c r="J81" s="340">
        <f t="shared" si="7"/>
        <v>101.4</v>
      </c>
      <c r="K81" s="339">
        <f>S344</f>
        <v>1014</v>
      </c>
      <c r="L81" s="339" t="str">
        <f>T344</f>
        <v>Jumper: DS to Main Bus*</v>
      </c>
      <c r="M81" s="285"/>
      <c r="N81" s="285"/>
      <c r="O81" s="285"/>
      <c r="P81" s="285"/>
      <c r="Q81" s="285"/>
      <c r="R81" s="285"/>
      <c r="S81" s="285"/>
      <c r="T81" s="285"/>
      <c r="U81" s="285"/>
      <c r="V81" s="285"/>
      <c r="W81" s="285"/>
      <c r="X81" s="285"/>
      <c r="Y81" s="285"/>
      <c r="Z81" s="285"/>
      <c r="AA81" s="285"/>
      <c r="AB81" s="285"/>
      <c r="AC81" s="285"/>
      <c r="AD81" s="285"/>
      <c r="AE81" s="285"/>
      <c r="AF81" s="285"/>
      <c r="AG81" s="285"/>
      <c r="AH81" s="285"/>
      <c r="AI81" s="285"/>
      <c r="AJ81" s="285"/>
      <c r="AK81" s="285"/>
      <c r="AL81" s="285"/>
      <c r="AM81" s="285"/>
      <c r="AN81" s="285"/>
    </row>
    <row r="82" spans="1:40" x14ac:dyDescent="0.35">
      <c r="A82" s="543"/>
      <c r="B82" s="345" t="s">
        <v>1656</v>
      </c>
      <c r="C82" s="345" t="s">
        <v>1607</v>
      </c>
      <c r="D82" s="340">
        <f>H314</f>
        <v>23.610376722958065</v>
      </c>
      <c r="E82" s="344">
        <v>345</v>
      </c>
      <c r="F82" s="344">
        <v>34.5</v>
      </c>
      <c r="G82" s="340">
        <f t="shared" si="6"/>
        <v>39.511470599038589</v>
      </c>
      <c r="H82" s="339">
        <f>Q314</f>
        <v>395.11470599038591</v>
      </c>
      <c r="I82" s="339" t="str">
        <f>R314</f>
        <v>Combined Equip MVA</v>
      </c>
      <c r="J82" s="340">
        <f t="shared" si="7"/>
        <v>42.29</v>
      </c>
      <c r="K82" s="339">
        <f>S314</f>
        <v>422.9</v>
      </c>
      <c r="L82" s="339" t="str">
        <f>T314</f>
        <v>Underground Cable</v>
      </c>
      <c r="M82" s="285"/>
      <c r="N82" s="285"/>
      <c r="O82" s="285"/>
      <c r="P82" s="285"/>
      <c r="Q82" s="285"/>
      <c r="R82" s="285"/>
      <c r="S82" s="285"/>
      <c r="T82" s="285"/>
      <c r="U82" s="285"/>
      <c r="V82" s="285"/>
      <c r="W82" s="285"/>
      <c r="X82" s="285"/>
      <c r="Y82" s="285"/>
      <c r="Z82" s="285"/>
      <c r="AA82" s="285"/>
      <c r="AB82" s="285"/>
      <c r="AC82" s="285"/>
      <c r="AD82" s="285"/>
      <c r="AE82" s="285"/>
      <c r="AF82" s="285"/>
      <c r="AG82" s="285"/>
      <c r="AH82" s="285"/>
      <c r="AI82" s="285"/>
      <c r="AJ82" s="285"/>
      <c r="AK82" s="285"/>
      <c r="AL82" s="285"/>
      <c r="AM82" s="285"/>
      <c r="AN82" s="285"/>
    </row>
    <row r="83" spans="1:40" x14ac:dyDescent="0.35">
      <c r="A83" s="543"/>
      <c r="B83" s="345" t="s">
        <v>1657</v>
      </c>
      <c r="C83" s="345" t="s">
        <v>1607</v>
      </c>
      <c r="D83" s="340">
        <f>H315</f>
        <v>22.91564027034811</v>
      </c>
      <c r="E83" s="344">
        <v>345</v>
      </c>
      <c r="F83" s="344">
        <v>34.5</v>
      </c>
      <c r="G83" s="340">
        <f t="shared" si="6"/>
        <v>38.34884370648728</v>
      </c>
      <c r="H83" s="339">
        <f>Q315</f>
        <v>383.48843706487281</v>
      </c>
      <c r="I83" s="339" t="str">
        <f>R315</f>
        <v>Combined Equip MVA</v>
      </c>
      <c r="J83" s="340">
        <f t="shared" si="7"/>
        <v>42.29</v>
      </c>
      <c r="K83" s="339">
        <f>S315</f>
        <v>422.9</v>
      </c>
      <c r="L83" s="339" t="str">
        <f>T315</f>
        <v>Underground Cable</v>
      </c>
      <c r="M83" s="285"/>
      <c r="N83" s="285"/>
      <c r="O83" s="285"/>
      <c r="P83" s="285"/>
      <c r="Q83" s="285"/>
      <c r="R83" s="285"/>
      <c r="S83" s="285"/>
      <c r="T83" s="285"/>
      <c r="U83" s="285"/>
      <c r="V83" s="285"/>
      <c r="W83" s="285"/>
      <c r="X83" s="285"/>
      <c r="Y83" s="285"/>
      <c r="Z83" s="285"/>
      <c r="AA83" s="285"/>
      <c r="AB83" s="285"/>
      <c r="AC83" s="285"/>
      <c r="AD83" s="285"/>
      <c r="AE83" s="285"/>
      <c r="AF83" s="285"/>
      <c r="AG83" s="285"/>
      <c r="AH83" s="285"/>
      <c r="AI83" s="285"/>
      <c r="AJ83" s="285"/>
      <c r="AK83" s="285"/>
      <c r="AL83" s="285"/>
      <c r="AM83" s="285"/>
      <c r="AN83" s="285"/>
    </row>
    <row r="84" spans="1:40" x14ac:dyDescent="0.35">
      <c r="A84" s="543"/>
      <c r="B84" s="345">
        <v>2102</v>
      </c>
      <c r="C84" s="345" t="s">
        <v>1609</v>
      </c>
      <c r="D84" s="340">
        <f>C345</f>
        <v>46.526016993306172</v>
      </c>
      <c r="E84" s="344">
        <v>345</v>
      </c>
      <c r="F84" s="344">
        <v>34.5</v>
      </c>
      <c r="G84" s="340">
        <f t="shared" si="6"/>
        <v>77.860314305525861</v>
      </c>
      <c r="H84" s="339">
        <f>Q345</f>
        <v>778.60314305525867</v>
      </c>
      <c r="I84" s="339" t="str">
        <f>R345</f>
        <v>Combined Equip MVA</v>
      </c>
      <c r="J84" s="340">
        <f t="shared" si="7"/>
        <v>101.4</v>
      </c>
      <c r="K84" s="339">
        <f>S345</f>
        <v>1014</v>
      </c>
      <c r="L84" s="339" t="str">
        <f>T345</f>
        <v>Jumper: DS to Main Bus*</v>
      </c>
      <c r="M84" s="285"/>
      <c r="N84" s="285"/>
      <c r="O84" s="285"/>
      <c r="P84" s="285"/>
      <c r="Q84" s="285"/>
      <c r="R84" s="285"/>
      <c r="S84" s="285"/>
      <c r="T84" s="285"/>
      <c r="U84" s="285"/>
      <c r="V84" s="285"/>
      <c r="W84" s="285"/>
      <c r="X84" s="285"/>
      <c r="Y84" s="285"/>
      <c r="Z84" s="285"/>
      <c r="AA84" s="285"/>
      <c r="AB84" s="285"/>
      <c r="AC84" s="285"/>
      <c r="AD84" s="285"/>
      <c r="AE84" s="285"/>
      <c r="AF84" s="285"/>
      <c r="AG84" s="285"/>
      <c r="AH84" s="285"/>
      <c r="AI84" s="285"/>
      <c r="AJ84" s="285"/>
      <c r="AK84" s="285"/>
      <c r="AL84" s="285"/>
      <c r="AM84" s="285"/>
      <c r="AN84" s="285"/>
    </row>
    <row r="85" spans="1:40" x14ac:dyDescent="0.35">
      <c r="A85" s="543"/>
      <c r="B85" s="345" t="s">
        <v>1658</v>
      </c>
      <c r="C85" s="345" t="s">
        <v>1607</v>
      </c>
      <c r="D85" s="340">
        <f>H316</f>
        <v>9.2630267191669056</v>
      </c>
      <c r="E85" s="344">
        <v>345</v>
      </c>
      <c r="F85" s="344">
        <v>34.5</v>
      </c>
      <c r="G85" s="340">
        <f t="shared" si="6"/>
        <v>15.501481071946987</v>
      </c>
      <c r="H85" s="339">
        <f>Q316</f>
        <v>155.01481071946986</v>
      </c>
      <c r="I85" s="339" t="str">
        <f>R316</f>
        <v>Combined Equip MVA</v>
      </c>
      <c r="J85" s="340">
        <f t="shared" si="7"/>
        <v>31.660000000000004</v>
      </c>
      <c r="K85" s="339">
        <f>S316</f>
        <v>316.60000000000002</v>
      </c>
      <c r="L85" s="339" t="str">
        <f>T316</f>
        <v>Underground Cable</v>
      </c>
      <c r="M85" s="285"/>
      <c r="N85" s="285"/>
      <c r="O85" s="285"/>
      <c r="P85" s="285"/>
      <c r="Q85" s="285"/>
      <c r="R85" s="285"/>
      <c r="S85" s="285"/>
      <c r="T85" s="285"/>
      <c r="U85" s="285"/>
      <c r="V85" s="285"/>
      <c r="W85" s="285"/>
      <c r="X85" s="285"/>
      <c r="Y85" s="285"/>
      <c r="Z85" s="285"/>
      <c r="AA85" s="285"/>
      <c r="AB85" s="285"/>
      <c r="AC85" s="285"/>
      <c r="AD85" s="285"/>
      <c r="AE85" s="285"/>
      <c r="AF85" s="285"/>
      <c r="AG85" s="285"/>
      <c r="AH85" s="285"/>
      <c r="AI85" s="285"/>
      <c r="AJ85" s="285"/>
      <c r="AK85" s="285"/>
      <c r="AL85" s="285"/>
      <c r="AM85" s="285"/>
      <c r="AN85" s="285"/>
    </row>
    <row r="86" spans="1:40" x14ac:dyDescent="0.35">
      <c r="A86" s="543"/>
      <c r="B86" s="345" t="s">
        <v>1659</v>
      </c>
      <c r="C86" s="345" t="s">
        <v>1607</v>
      </c>
      <c r="D86" s="340">
        <f>H317</f>
        <v>23.157566797917262</v>
      </c>
      <c r="E86" s="344">
        <v>345</v>
      </c>
      <c r="F86" s="344">
        <v>34.5</v>
      </c>
      <c r="G86" s="340">
        <f t="shared" si="6"/>
        <v>38.753702679867459</v>
      </c>
      <c r="H86" s="339">
        <f>Q317</f>
        <v>387.53702679867456</v>
      </c>
      <c r="I86" s="339" t="str">
        <f>R317</f>
        <v>Combined Equip MVA</v>
      </c>
      <c r="J86" s="340">
        <f t="shared" si="7"/>
        <v>42.29</v>
      </c>
      <c r="K86" s="339">
        <f>S317</f>
        <v>422.9</v>
      </c>
      <c r="L86" s="339" t="str">
        <f>T317</f>
        <v>Underground Cable</v>
      </c>
      <c r="M86" s="285"/>
      <c r="N86" s="285"/>
      <c r="O86" s="285"/>
      <c r="P86" s="285"/>
      <c r="Q86" s="285"/>
      <c r="R86" s="285"/>
      <c r="S86" s="285"/>
      <c r="T86" s="285"/>
      <c r="U86" s="285"/>
      <c r="V86" s="285"/>
      <c r="W86" s="285"/>
      <c r="X86" s="285"/>
      <c r="Y86" s="285"/>
      <c r="Z86" s="285"/>
      <c r="AA86" s="285"/>
      <c r="AB86" s="285"/>
      <c r="AC86" s="285"/>
      <c r="AD86" s="285"/>
      <c r="AE86" s="285"/>
      <c r="AF86" s="285"/>
      <c r="AG86" s="285"/>
      <c r="AH86" s="285"/>
      <c r="AI86" s="285"/>
      <c r="AJ86" s="285"/>
      <c r="AK86" s="285"/>
      <c r="AL86" s="285"/>
      <c r="AM86" s="285"/>
      <c r="AN86" s="285"/>
    </row>
    <row r="87" spans="1:40" x14ac:dyDescent="0.35">
      <c r="A87" s="543"/>
      <c r="B87" s="345">
        <v>2103</v>
      </c>
      <c r="C87" s="345" t="s">
        <v>1609</v>
      </c>
      <c r="D87" s="340">
        <f>C346</f>
        <v>32.420593517084171</v>
      </c>
      <c r="E87" s="344">
        <v>345</v>
      </c>
      <c r="F87" s="344">
        <v>34.5</v>
      </c>
      <c r="G87" s="340">
        <f t="shared" si="6"/>
        <v>54.255183751814442</v>
      </c>
      <c r="H87" s="339">
        <f>Q346</f>
        <v>542.55183751814445</v>
      </c>
      <c r="I87" s="339" t="str">
        <f>R346</f>
        <v>Combined Equip MVA</v>
      </c>
      <c r="J87" s="340">
        <f t="shared" si="7"/>
        <v>101.4</v>
      </c>
      <c r="K87" s="339">
        <f>S346</f>
        <v>1014</v>
      </c>
      <c r="L87" s="339" t="str">
        <f>T346</f>
        <v>Jumper: DS to Main Bus*</v>
      </c>
      <c r="M87" s="285"/>
      <c r="N87" s="285"/>
      <c r="O87" s="285"/>
      <c r="P87" s="285"/>
      <c r="Q87" s="285"/>
      <c r="R87" s="285"/>
      <c r="S87" s="285"/>
      <c r="T87" s="285"/>
      <c r="U87" s="285"/>
      <c r="V87" s="285"/>
      <c r="W87" s="285"/>
      <c r="X87" s="285"/>
      <c r="Y87" s="285"/>
      <c r="Z87" s="285"/>
      <c r="AA87" s="285"/>
      <c r="AB87" s="285"/>
      <c r="AC87" s="285"/>
      <c r="AD87" s="285"/>
      <c r="AE87" s="285"/>
      <c r="AF87" s="285"/>
      <c r="AG87" s="285"/>
      <c r="AH87" s="285"/>
      <c r="AI87" s="285"/>
      <c r="AJ87" s="285"/>
      <c r="AK87" s="285"/>
      <c r="AL87" s="285"/>
      <c r="AM87" s="285"/>
      <c r="AN87" s="285"/>
    </row>
    <row r="88" spans="1:40" x14ac:dyDescent="0.35">
      <c r="A88" s="543"/>
      <c r="B88" s="345" t="s">
        <v>1862</v>
      </c>
      <c r="C88" s="345" t="s">
        <v>1617</v>
      </c>
      <c r="D88" s="340">
        <f>C361</f>
        <v>12.5</v>
      </c>
      <c r="E88" s="344">
        <v>345</v>
      </c>
      <c r="F88" s="344">
        <v>34.5</v>
      </c>
      <c r="G88" s="340">
        <f t="shared" si="6"/>
        <v>20.918488014116878</v>
      </c>
      <c r="H88" s="339">
        <f>N361</f>
        <v>209.18488014116878</v>
      </c>
      <c r="I88" s="339" t="str">
        <f>O361</f>
        <v>Combined Equip MVA</v>
      </c>
      <c r="J88" s="340">
        <f t="shared" si="7"/>
        <v>20.918488014116878</v>
      </c>
      <c r="K88" s="339">
        <f>P361</f>
        <v>209.18488014116878</v>
      </c>
      <c r="L88" s="339" t="str">
        <f>Q361</f>
        <v>Jumper: Cap to Switcher</v>
      </c>
      <c r="M88" s="285"/>
      <c r="N88" s="285"/>
      <c r="O88" s="285"/>
      <c r="P88" s="285"/>
      <c r="Q88" s="285"/>
      <c r="R88" s="285"/>
      <c r="S88" s="285"/>
      <c r="T88" s="285"/>
      <c r="U88" s="285"/>
      <c r="V88" s="285"/>
      <c r="W88" s="285"/>
      <c r="X88" s="285"/>
      <c r="Y88" s="285"/>
      <c r="Z88" s="285"/>
      <c r="AA88" s="285"/>
      <c r="AB88" s="285"/>
      <c r="AC88" s="285"/>
      <c r="AD88" s="285"/>
      <c r="AE88" s="285"/>
      <c r="AF88" s="285"/>
      <c r="AG88" s="285"/>
      <c r="AH88" s="285"/>
      <c r="AI88" s="285"/>
      <c r="AJ88" s="285"/>
      <c r="AK88" s="285"/>
      <c r="AL88" s="285"/>
      <c r="AM88" s="285"/>
      <c r="AN88" s="285"/>
    </row>
    <row r="89" spans="1:40" x14ac:dyDescent="0.35">
      <c r="A89" s="543"/>
      <c r="B89" s="345" t="s">
        <v>1666</v>
      </c>
      <c r="C89" s="345" t="s">
        <v>1617</v>
      </c>
      <c r="D89" s="340">
        <f>C362</f>
        <v>12.5</v>
      </c>
      <c r="E89" s="344">
        <v>345</v>
      </c>
      <c r="F89" s="344">
        <v>34.5</v>
      </c>
      <c r="G89" s="340">
        <f t="shared" si="6"/>
        <v>20.918488014116878</v>
      </c>
      <c r="H89" s="339">
        <f>N362</f>
        <v>209.18488014116878</v>
      </c>
      <c r="I89" s="339" t="str">
        <f>O362</f>
        <v>Combined Equip MVA</v>
      </c>
      <c r="J89" s="340">
        <f t="shared" si="7"/>
        <v>20.918488014116878</v>
      </c>
      <c r="K89" s="339">
        <f>P362</f>
        <v>209.18488014116878</v>
      </c>
      <c r="L89" s="339" t="str">
        <f>Q362</f>
        <v>Jumper: Cap to Switcher</v>
      </c>
      <c r="M89" s="285"/>
      <c r="N89" s="285"/>
      <c r="O89" s="285"/>
      <c r="P89" s="285"/>
      <c r="Q89" s="285"/>
      <c r="R89" s="285"/>
      <c r="S89" s="285"/>
      <c r="T89" s="285"/>
      <c r="U89" s="285"/>
      <c r="V89" s="285"/>
      <c r="W89" s="285"/>
      <c r="X89" s="285"/>
      <c r="Y89" s="285"/>
      <c r="Z89" s="285"/>
      <c r="AA89" s="285"/>
      <c r="AB89" s="285"/>
      <c r="AC89" s="285"/>
      <c r="AD89" s="285"/>
      <c r="AE89" s="285"/>
      <c r="AF89" s="285"/>
      <c r="AG89" s="285"/>
      <c r="AH89" s="285"/>
      <c r="AI89" s="285"/>
      <c r="AJ89" s="285"/>
      <c r="AK89" s="285"/>
      <c r="AL89" s="285"/>
      <c r="AM89" s="285"/>
      <c r="AN89" s="285"/>
    </row>
    <row r="90" spans="1:40" x14ac:dyDescent="0.35">
      <c r="A90" s="543"/>
      <c r="B90" s="345" t="s">
        <v>1863</v>
      </c>
      <c r="C90" s="345" t="s">
        <v>1621</v>
      </c>
      <c r="D90" s="340">
        <f>C396</f>
        <v>25</v>
      </c>
      <c r="E90" s="344">
        <v>345</v>
      </c>
      <c r="F90" s="344">
        <v>34.5</v>
      </c>
      <c r="G90" s="340">
        <f t="shared" si="6"/>
        <v>41.836976028233757</v>
      </c>
      <c r="H90" s="339">
        <f>J383</f>
        <v>418.36976028233755</v>
      </c>
      <c r="I90" s="339" t="str">
        <f>K383</f>
        <v>Combined Equip MVA</v>
      </c>
      <c r="J90" s="340">
        <f t="shared" si="7"/>
        <v>63.6</v>
      </c>
      <c r="K90" s="339">
        <f>L383</f>
        <v>636</v>
      </c>
      <c r="L90" s="339" t="str">
        <f>M383</f>
        <v>Relay Amps</v>
      </c>
      <c r="M90" s="285"/>
      <c r="N90" s="285"/>
      <c r="O90" s="285"/>
      <c r="P90" s="285"/>
      <c r="Q90" s="285"/>
      <c r="R90" s="285"/>
      <c r="S90" s="285"/>
      <c r="T90" s="285"/>
      <c r="U90" s="285"/>
      <c r="V90" s="285"/>
      <c r="W90" s="285"/>
      <c r="X90" s="285"/>
      <c r="Y90" s="285"/>
      <c r="Z90" s="285"/>
      <c r="AA90" s="285"/>
      <c r="AB90" s="285"/>
      <c r="AC90" s="285"/>
      <c r="AD90" s="285"/>
      <c r="AE90" s="285"/>
      <c r="AF90" s="285"/>
      <c r="AG90" s="285"/>
      <c r="AH90" s="285"/>
      <c r="AI90" s="285"/>
      <c r="AJ90" s="285"/>
      <c r="AK90" s="285"/>
      <c r="AL90" s="285"/>
      <c r="AM90" s="285"/>
      <c r="AN90" s="285"/>
    </row>
    <row r="91" spans="1:40" x14ac:dyDescent="0.35">
      <c r="A91" s="543"/>
      <c r="B91" s="345" t="s">
        <v>1670</v>
      </c>
      <c r="C91" s="345" t="s">
        <v>1623</v>
      </c>
      <c r="D91" s="340">
        <f>C374</f>
        <v>13</v>
      </c>
      <c r="E91" s="344">
        <v>345</v>
      </c>
      <c r="F91" s="344">
        <v>34.5</v>
      </c>
      <c r="G91" s="340">
        <f t="shared" si="6"/>
        <v>21.755227534681552</v>
      </c>
      <c r="H91" s="339">
        <f>P374</f>
        <v>217.55227534681552</v>
      </c>
      <c r="I91" s="339" t="str">
        <f>Q374</f>
        <v>Combined Equip MVA</v>
      </c>
      <c r="J91" s="340">
        <f t="shared" si="7"/>
        <v>60</v>
      </c>
      <c r="K91" s="339">
        <f>R374</f>
        <v>600</v>
      </c>
      <c r="L91" s="339" t="str">
        <f>S374</f>
        <v>Switcher</v>
      </c>
      <c r="M91" s="285"/>
      <c r="N91" s="285"/>
      <c r="O91" s="285"/>
      <c r="P91" s="285"/>
      <c r="Q91" s="285"/>
      <c r="R91" s="285"/>
      <c r="S91" s="285"/>
      <c r="T91" s="285"/>
      <c r="U91" s="285"/>
      <c r="V91" s="285"/>
      <c r="W91" s="285"/>
      <c r="X91" s="285"/>
      <c r="Y91" s="285"/>
      <c r="Z91" s="285"/>
      <c r="AA91" s="285"/>
      <c r="AB91" s="285"/>
      <c r="AC91" s="285"/>
      <c r="AD91" s="285"/>
      <c r="AE91" s="285"/>
      <c r="AF91" s="285"/>
      <c r="AG91" s="285"/>
      <c r="AH91" s="285"/>
      <c r="AI91" s="285"/>
      <c r="AJ91" s="285"/>
      <c r="AK91" s="285"/>
      <c r="AL91" s="285"/>
      <c r="AM91" s="285"/>
      <c r="AN91" s="285"/>
    </row>
    <row r="92" spans="1:40" x14ac:dyDescent="0.35">
      <c r="A92" s="543"/>
      <c r="B92" s="345" t="s">
        <v>1864</v>
      </c>
      <c r="C92" s="345" t="s">
        <v>1626</v>
      </c>
      <c r="D92" s="340">
        <f>C384</f>
        <v>13</v>
      </c>
      <c r="E92" s="344">
        <v>345</v>
      </c>
      <c r="F92" s="344">
        <v>34.5</v>
      </c>
      <c r="G92" s="340">
        <f t="shared" si="6"/>
        <v>21.755227534681552</v>
      </c>
      <c r="H92" s="339">
        <f>J384</f>
        <v>217.55227534681552</v>
      </c>
      <c r="I92" s="339" t="str">
        <f>K384</f>
        <v>Combined Equip MVA</v>
      </c>
      <c r="J92" s="340">
        <f t="shared" si="7"/>
        <v>63.6</v>
      </c>
      <c r="K92" s="339">
        <f>L384</f>
        <v>636</v>
      </c>
      <c r="L92" s="339" t="str">
        <f>M384</f>
        <v>Relay Amps</v>
      </c>
      <c r="M92" s="285"/>
      <c r="N92" s="285"/>
      <c r="O92" s="285"/>
      <c r="P92" s="285"/>
      <c r="Q92" s="285"/>
      <c r="R92" s="285"/>
      <c r="S92" s="285"/>
      <c r="T92" s="285"/>
      <c r="U92" s="285"/>
      <c r="V92" s="285"/>
      <c r="W92" s="285"/>
      <c r="X92" s="285"/>
      <c r="Y92" s="285"/>
      <c r="Z92" s="285"/>
      <c r="AA92" s="285"/>
      <c r="AB92" s="285"/>
      <c r="AC92" s="285"/>
      <c r="AD92" s="285"/>
      <c r="AE92" s="285"/>
      <c r="AF92" s="285"/>
      <c r="AG92" s="285"/>
      <c r="AH92" s="285"/>
      <c r="AI92" s="285"/>
      <c r="AJ92" s="285"/>
      <c r="AK92" s="285"/>
      <c r="AL92" s="285"/>
      <c r="AM92" s="285"/>
      <c r="AN92" s="285"/>
    </row>
    <row r="93" spans="1:40" x14ac:dyDescent="0.35">
      <c r="A93" s="543"/>
      <c r="B93" s="345">
        <v>2150</v>
      </c>
      <c r="C93" s="345" t="s">
        <v>1627</v>
      </c>
      <c r="D93" s="340">
        <f>C396</f>
        <v>25</v>
      </c>
      <c r="E93" s="344">
        <v>345</v>
      </c>
      <c r="F93" s="344">
        <v>34.5</v>
      </c>
      <c r="G93" s="340">
        <f t="shared" si="6"/>
        <v>41.836976028233757</v>
      </c>
      <c r="H93" s="339">
        <f>Q396</f>
        <v>418.36976028233755</v>
      </c>
      <c r="I93" s="339" t="str">
        <f>R396</f>
        <v>Combined Equip MVA</v>
      </c>
      <c r="J93" s="340">
        <f t="shared" si="7"/>
        <v>63.6</v>
      </c>
      <c r="K93" s="339">
        <f>S396</f>
        <v>636</v>
      </c>
      <c r="L93" s="339" t="str">
        <f>T396</f>
        <v>Relay Amps</v>
      </c>
      <c r="M93" s="285"/>
      <c r="N93" s="285"/>
      <c r="O93" s="285"/>
      <c r="P93" s="285"/>
      <c r="Q93" s="285"/>
      <c r="R93" s="285"/>
      <c r="S93" s="285"/>
      <c r="T93" s="285"/>
      <c r="U93" s="285"/>
      <c r="V93" s="285"/>
      <c r="W93" s="285"/>
      <c r="X93" s="285"/>
      <c r="Y93" s="285"/>
      <c r="Z93" s="285"/>
      <c r="AA93" s="285"/>
      <c r="AB93" s="285"/>
      <c r="AC93" s="285"/>
      <c r="AD93" s="285"/>
      <c r="AE93" s="285"/>
      <c r="AF93" s="285"/>
      <c r="AG93" s="285"/>
      <c r="AH93" s="285"/>
      <c r="AI93" s="285"/>
      <c r="AJ93" s="285"/>
      <c r="AK93" s="285"/>
      <c r="AL93" s="285"/>
      <c r="AM93" s="285"/>
      <c r="AN93" s="285"/>
    </row>
    <row r="94" spans="1:40" x14ac:dyDescent="0.35">
      <c r="A94" s="543"/>
      <c r="B94" s="345" t="s">
        <v>1865</v>
      </c>
      <c r="C94" s="345" t="s">
        <v>1607</v>
      </c>
      <c r="D94" s="340">
        <f>H318</f>
        <v>23.157566797917262</v>
      </c>
      <c r="E94" s="344">
        <v>345</v>
      </c>
      <c r="F94" s="344">
        <v>34.5</v>
      </c>
      <c r="G94" s="340">
        <f t="shared" si="6"/>
        <v>38.753702679867459</v>
      </c>
      <c r="H94" s="339">
        <f>Q318</f>
        <v>387.53702679867456</v>
      </c>
      <c r="I94" s="339" t="str">
        <f>R318</f>
        <v>Combined Equip MVA</v>
      </c>
      <c r="J94" s="340">
        <f t="shared" si="7"/>
        <v>42.29</v>
      </c>
      <c r="K94" s="339">
        <f>S318</f>
        <v>422.9</v>
      </c>
      <c r="L94" s="339" t="str">
        <f>T318</f>
        <v>Underground Cable</v>
      </c>
      <c r="M94" s="285"/>
      <c r="N94" s="285"/>
      <c r="O94" s="285"/>
      <c r="P94" s="285"/>
      <c r="Q94" s="285"/>
      <c r="R94" s="285"/>
      <c r="S94" s="285"/>
      <c r="T94" s="285"/>
      <c r="U94" s="285"/>
      <c r="V94" s="285"/>
      <c r="W94" s="285"/>
      <c r="X94" s="285"/>
      <c r="Y94" s="285"/>
      <c r="Z94" s="285"/>
      <c r="AA94" s="285"/>
      <c r="AB94" s="285"/>
      <c r="AC94" s="285"/>
      <c r="AD94" s="285"/>
      <c r="AE94" s="285"/>
      <c r="AF94" s="285"/>
      <c r="AG94" s="285"/>
      <c r="AH94" s="285"/>
      <c r="AI94" s="285"/>
      <c r="AJ94" s="285"/>
      <c r="AK94" s="285"/>
      <c r="AL94" s="285"/>
      <c r="AM94" s="285"/>
      <c r="AN94" s="285"/>
    </row>
    <row r="95" spans="1:40" x14ac:dyDescent="0.35">
      <c r="A95" s="543"/>
      <c r="B95" s="345" t="s">
        <v>1866</v>
      </c>
      <c r="C95" s="345" t="s">
        <v>1607</v>
      </c>
      <c r="D95" s="340">
        <f>H319</f>
        <v>23.157566797917262</v>
      </c>
      <c r="E95" s="344">
        <v>345</v>
      </c>
      <c r="F95" s="344">
        <v>34.5</v>
      </c>
      <c r="G95" s="340">
        <f t="shared" si="6"/>
        <v>38.753702679867459</v>
      </c>
      <c r="H95" s="339">
        <f>Q319</f>
        <v>387.53702679867456</v>
      </c>
      <c r="I95" s="339" t="str">
        <f>R319</f>
        <v>Combined Equip MVA</v>
      </c>
      <c r="J95" s="340">
        <f t="shared" si="7"/>
        <v>42.29</v>
      </c>
      <c r="K95" s="339">
        <f>S319</f>
        <v>422.9</v>
      </c>
      <c r="L95" s="339" t="str">
        <f>T319</f>
        <v>Underground Cable</v>
      </c>
      <c r="M95" s="285"/>
      <c r="N95" s="285"/>
      <c r="O95" s="285"/>
      <c r="P95" s="285"/>
      <c r="Q95" s="285"/>
      <c r="R95" s="285"/>
      <c r="S95" s="285"/>
      <c r="T95" s="285"/>
      <c r="U95" s="285"/>
      <c r="V95" s="285"/>
      <c r="W95" s="285"/>
      <c r="X95" s="285"/>
      <c r="Y95" s="285"/>
      <c r="Z95" s="285"/>
      <c r="AA95" s="285"/>
      <c r="AB95" s="285"/>
      <c r="AC95" s="285"/>
      <c r="AD95" s="285"/>
      <c r="AE95" s="285"/>
      <c r="AF95" s="285"/>
      <c r="AG95" s="285"/>
      <c r="AH95" s="285"/>
      <c r="AI95" s="285"/>
      <c r="AJ95" s="285"/>
      <c r="AK95" s="285"/>
      <c r="AL95" s="285"/>
      <c r="AM95" s="285"/>
      <c r="AN95" s="285"/>
    </row>
    <row r="96" spans="1:40" x14ac:dyDescent="0.35">
      <c r="A96" s="543"/>
      <c r="B96" s="345">
        <v>2201</v>
      </c>
      <c r="C96" s="345" t="s">
        <v>1609</v>
      </c>
      <c r="D96" s="340">
        <f>C347</f>
        <v>46.315133595834524</v>
      </c>
      <c r="E96" s="344">
        <v>345</v>
      </c>
      <c r="F96" s="344">
        <v>34.5</v>
      </c>
      <c r="G96" s="340">
        <f t="shared" si="6"/>
        <v>77.507405359734918</v>
      </c>
      <c r="H96" s="339">
        <f>Q347</f>
        <v>775.07405359734912</v>
      </c>
      <c r="I96" s="339" t="str">
        <f>R347</f>
        <v>Combined Equip MVA</v>
      </c>
      <c r="J96" s="340">
        <f t="shared" si="7"/>
        <v>101.4</v>
      </c>
      <c r="K96" s="339">
        <f>S347</f>
        <v>1014</v>
      </c>
      <c r="L96" s="339" t="str">
        <f>T347</f>
        <v>Jumper: DS to Main Bus*</v>
      </c>
      <c r="M96" s="285"/>
      <c r="N96" s="285"/>
      <c r="O96" s="285"/>
      <c r="P96" s="285"/>
      <c r="Q96" s="285"/>
      <c r="R96" s="285"/>
      <c r="S96" s="285"/>
      <c r="T96" s="285"/>
      <c r="U96" s="285"/>
      <c r="V96" s="285"/>
      <c r="W96" s="285"/>
      <c r="X96" s="285"/>
      <c r="Y96" s="285"/>
      <c r="Z96" s="285"/>
      <c r="AA96" s="285"/>
      <c r="AB96" s="285"/>
      <c r="AC96" s="285"/>
      <c r="AD96" s="285"/>
      <c r="AE96" s="285"/>
      <c r="AF96" s="285"/>
      <c r="AG96" s="285"/>
      <c r="AH96" s="285"/>
      <c r="AI96" s="285"/>
      <c r="AJ96" s="285"/>
      <c r="AK96" s="285"/>
      <c r="AL96" s="285"/>
      <c r="AM96" s="285"/>
      <c r="AN96" s="285"/>
    </row>
    <row r="97" spans="1:40" x14ac:dyDescent="0.35">
      <c r="A97" s="543"/>
      <c r="B97" s="345" t="s">
        <v>1867</v>
      </c>
      <c r="C97" s="345" t="s">
        <v>1607</v>
      </c>
      <c r="D97" s="340">
        <f>H320</f>
        <v>23.157566797917262</v>
      </c>
      <c r="E97" s="344">
        <v>345</v>
      </c>
      <c r="F97" s="344">
        <v>34.5</v>
      </c>
      <c r="G97" s="340">
        <f t="shared" si="6"/>
        <v>38.753702679867459</v>
      </c>
      <c r="H97" s="339">
        <f>Q320</f>
        <v>387.53702679867456</v>
      </c>
      <c r="I97" s="339" t="str">
        <f>R320</f>
        <v>Combined Equip MVA</v>
      </c>
      <c r="J97" s="340">
        <f t="shared" si="7"/>
        <v>42.29</v>
      </c>
      <c r="K97" s="339">
        <f>S320</f>
        <v>422.9</v>
      </c>
      <c r="L97" s="339" t="str">
        <f>T320</f>
        <v>Underground Cable</v>
      </c>
      <c r="M97" s="285"/>
      <c r="N97" s="285"/>
      <c r="O97" s="285"/>
      <c r="P97" s="285"/>
      <c r="Q97" s="285"/>
      <c r="R97" s="285"/>
      <c r="S97" s="285"/>
      <c r="T97" s="285"/>
      <c r="U97" s="285"/>
      <c r="V97" s="285"/>
      <c r="W97" s="285"/>
      <c r="X97" s="285"/>
      <c r="Y97" s="285"/>
      <c r="Z97" s="285"/>
      <c r="AA97" s="285"/>
      <c r="AB97" s="285"/>
      <c r="AC97" s="285"/>
      <c r="AD97" s="285"/>
      <c r="AE97" s="285"/>
      <c r="AF97" s="285"/>
      <c r="AG97" s="285"/>
      <c r="AH97" s="285"/>
      <c r="AI97" s="285"/>
      <c r="AJ97" s="285"/>
      <c r="AK97" s="285"/>
      <c r="AL97" s="285"/>
      <c r="AM97" s="285"/>
      <c r="AN97" s="285"/>
    </row>
    <row r="98" spans="1:40" x14ac:dyDescent="0.35">
      <c r="A98" s="543"/>
      <c r="B98" s="345">
        <v>2202</v>
      </c>
      <c r="C98" s="345" t="s">
        <v>1609</v>
      </c>
      <c r="D98" s="340">
        <f>C348</f>
        <v>23.157566797917262</v>
      </c>
      <c r="E98" s="344">
        <v>345</v>
      </c>
      <c r="F98" s="344">
        <v>34.5</v>
      </c>
      <c r="G98" s="340">
        <f t="shared" si="6"/>
        <v>38.753702679867459</v>
      </c>
      <c r="H98" s="339">
        <f>Q348</f>
        <v>387.53702679867456</v>
      </c>
      <c r="I98" s="339" t="str">
        <f>R348</f>
        <v>Combined Equip MVA</v>
      </c>
      <c r="J98" s="340">
        <f t="shared" si="7"/>
        <v>101.4</v>
      </c>
      <c r="K98" s="339">
        <f>S348</f>
        <v>1014</v>
      </c>
      <c r="L98" s="339" t="str">
        <f>T348</f>
        <v>Jumper: DS to Main Bus*</v>
      </c>
      <c r="M98" s="285"/>
      <c r="N98" s="285"/>
      <c r="O98" s="285"/>
      <c r="P98" s="285"/>
      <c r="Q98" s="285"/>
      <c r="R98" s="285"/>
      <c r="S98" s="285"/>
      <c r="T98" s="285"/>
      <c r="U98" s="285"/>
      <c r="V98" s="285"/>
      <c r="W98" s="285"/>
      <c r="X98" s="285"/>
      <c r="Y98" s="285"/>
      <c r="Z98" s="285"/>
      <c r="AA98" s="285"/>
      <c r="AB98" s="285"/>
      <c r="AC98" s="285"/>
      <c r="AD98" s="285"/>
      <c r="AE98" s="285"/>
      <c r="AF98" s="285"/>
      <c r="AG98" s="285"/>
      <c r="AH98" s="285"/>
      <c r="AI98" s="285"/>
      <c r="AJ98" s="285"/>
      <c r="AK98" s="285"/>
      <c r="AL98" s="285"/>
      <c r="AM98" s="285"/>
      <c r="AN98" s="285"/>
    </row>
    <row r="99" spans="1:40" x14ac:dyDescent="0.35">
      <c r="A99" s="543"/>
      <c r="B99" s="345" t="s">
        <v>1868</v>
      </c>
      <c r="C99" s="345" t="s">
        <v>1607</v>
      </c>
      <c r="D99" s="340">
        <f>H321</f>
        <v>23.157566797917262</v>
      </c>
      <c r="E99" s="344">
        <v>345</v>
      </c>
      <c r="F99" s="344">
        <v>34.5</v>
      </c>
      <c r="G99" s="340">
        <f t="shared" si="6"/>
        <v>38.753702679867459</v>
      </c>
      <c r="H99" s="339">
        <f>Q321</f>
        <v>387.53702679867456</v>
      </c>
      <c r="I99" s="339" t="str">
        <f>R321</f>
        <v>Combined Equip MVA</v>
      </c>
      <c r="J99" s="340">
        <f t="shared" si="7"/>
        <v>42.29</v>
      </c>
      <c r="K99" s="339">
        <f>S321</f>
        <v>422.9</v>
      </c>
      <c r="L99" s="339" t="str">
        <f>T321</f>
        <v>Underground Cable</v>
      </c>
      <c r="M99" s="285"/>
      <c r="N99" s="285"/>
      <c r="O99" s="285"/>
      <c r="P99" s="285"/>
      <c r="Q99" s="285"/>
      <c r="R99" s="285"/>
      <c r="S99" s="285"/>
      <c r="T99" s="285"/>
      <c r="U99" s="285"/>
      <c r="V99" s="285"/>
      <c r="W99" s="285"/>
      <c r="X99" s="285"/>
      <c r="Y99" s="285"/>
      <c r="Z99" s="285"/>
      <c r="AA99" s="285"/>
      <c r="AB99" s="285"/>
      <c r="AC99" s="285"/>
      <c r="AD99" s="285"/>
      <c r="AE99" s="285"/>
      <c r="AF99" s="285"/>
      <c r="AG99" s="285"/>
      <c r="AH99" s="285"/>
      <c r="AI99" s="285"/>
      <c r="AJ99" s="285"/>
      <c r="AK99" s="285"/>
      <c r="AL99" s="285"/>
      <c r="AM99" s="285"/>
      <c r="AN99" s="285"/>
    </row>
    <row r="100" spans="1:40" x14ac:dyDescent="0.35">
      <c r="A100" s="543"/>
      <c r="B100" s="345" t="s">
        <v>1869</v>
      </c>
      <c r="C100" s="345" t="s">
        <v>1607</v>
      </c>
      <c r="D100" s="340">
        <f>H322</f>
        <v>23.157566797917262</v>
      </c>
      <c r="E100" s="344">
        <v>345</v>
      </c>
      <c r="F100" s="344">
        <v>34.5</v>
      </c>
      <c r="G100" s="340">
        <f t="shared" si="6"/>
        <v>38.753702679867459</v>
      </c>
      <c r="H100" s="339">
        <f>Q322</f>
        <v>387.53702679867456</v>
      </c>
      <c r="I100" s="339" t="str">
        <f>R322</f>
        <v>Combined Equip MVA</v>
      </c>
      <c r="J100" s="340">
        <f t="shared" si="7"/>
        <v>42.29</v>
      </c>
      <c r="K100" s="339">
        <f>S322</f>
        <v>422.9</v>
      </c>
      <c r="L100" s="339" t="str">
        <f>T322</f>
        <v>Underground Cable</v>
      </c>
      <c r="M100" s="285"/>
      <c r="N100" s="285"/>
      <c r="O100" s="285"/>
      <c r="P100" s="285"/>
      <c r="Q100" s="285"/>
      <c r="R100" s="285"/>
      <c r="S100" s="285"/>
      <c r="T100" s="285"/>
      <c r="U100" s="285"/>
      <c r="V100" s="285"/>
      <c r="W100" s="285"/>
      <c r="X100" s="285"/>
      <c r="Y100" s="285"/>
      <c r="Z100" s="285"/>
      <c r="AA100" s="285"/>
      <c r="AB100" s="285"/>
      <c r="AC100" s="285"/>
      <c r="AD100" s="285"/>
      <c r="AE100" s="285"/>
      <c r="AF100" s="285"/>
      <c r="AG100" s="285"/>
      <c r="AH100" s="285"/>
      <c r="AI100" s="285"/>
      <c r="AJ100" s="285"/>
      <c r="AK100" s="285"/>
      <c r="AL100" s="285"/>
      <c r="AM100" s="285"/>
      <c r="AN100" s="285"/>
    </row>
    <row r="101" spans="1:40" x14ac:dyDescent="0.35">
      <c r="A101" s="543"/>
      <c r="B101" s="345">
        <v>2203</v>
      </c>
      <c r="C101" s="345" t="s">
        <v>1609</v>
      </c>
      <c r="D101" s="340">
        <f>C349</f>
        <v>46.315133595834524</v>
      </c>
      <c r="E101" s="344">
        <v>345</v>
      </c>
      <c r="F101" s="344">
        <v>34.5</v>
      </c>
      <c r="G101" s="340">
        <f t="shared" si="6"/>
        <v>77.507405359734918</v>
      </c>
      <c r="H101" s="339">
        <f>Q349</f>
        <v>775.07405359734912</v>
      </c>
      <c r="I101" s="339" t="str">
        <f>R349</f>
        <v>Combined Equip MVA</v>
      </c>
      <c r="J101" s="340">
        <f t="shared" si="7"/>
        <v>101.4</v>
      </c>
      <c r="K101" s="339">
        <f>S349</f>
        <v>1014</v>
      </c>
      <c r="L101" s="339" t="str">
        <f>T349</f>
        <v>Jumper: DS to Main Bus*</v>
      </c>
      <c r="M101" s="285"/>
      <c r="N101" s="285"/>
      <c r="O101" s="285"/>
      <c r="P101" s="285"/>
      <c r="Q101" s="285"/>
      <c r="R101" s="285"/>
      <c r="S101" s="285"/>
      <c r="T101" s="285"/>
      <c r="U101" s="285"/>
      <c r="V101" s="285"/>
      <c r="W101" s="285"/>
      <c r="X101" s="285"/>
      <c r="Y101" s="285"/>
      <c r="Z101" s="285"/>
      <c r="AA101" s="285"/>
      <c r="AB101" s="285"/>
      <c r="AC101" s="285"/>
      <c r="AD101" s="285"/>
      <c r="AE101" s="285"/>
      <c r="AF101" s="285"/>
      <c r="AG101" s="285"/>
      <c r="AH101" s="285"/>
      <c r="AI101" s="285"/>
      <c r="AJ101" s="285"/>
      <c r="AK101" s="285"/>
      <c r="AL101" s="285"/>
      <c r="AM101" s="285"/>
      <c r="AN101" s="285"/>
    </row>
    <row r="102" spans="1:40" x14ac:dyDescent="0.35">
      <c r="A102" s="543"/>
      <c r="B102" s="345" t="s">
        <v>1870</v>
      </c>
      <c r="C102" s="345" t="s">
        <v>1617</v>
      </c>
      <c r="D102" s="340">
        <f>C363</f>
        <v>12.5</v>
      </c>
      <c r="E102" s="344">
        <v>345</v>
      </c>
      <c r="F102" s="344">
        <v>34.5</v>
      </c>
      <c r="G102" s="340">
        <f t="shared" si="6"/>
        <v>20.918488014116878</v>
      </c>
      <c r="H102" s="339">
        <f>N363</f>
        <v>209.18488014116878</v>
      </c>
      <c r="I102" s="339" t="str">
        <f>O363</f>
        <v>Combined Equip MVA</v>
      </c>
      <c r="J102" s="340">
        <f t="shared" si="7"/>
        <v>20.918488014116878</v>
      </c>
      <c r="K102" s="339">
        <f>P363</f>
        <v>209.18488014116878</v>
      </c>
      <c r="L102" s="339" t="str">
        <f>Q363</f>
        <v>Jumper: Cap to Switcher</v>
      </c>
      <c r="M102" s="285"/>
      <c r="N102" s="285"/>
      <c r="O102" s="285"/>
      <c r="P102" s="285"/>
      <c r="Q102" s="285"/>
      <c r="R102" s="285"/>
      <c r="S102" s="285"/>
      <c r="T102" s="285"/>
      <c r="U102" s="285"/>
      <c r="V102" s="285"/>
      <c r="W102" s="285"/>
      <c r="X102" s="285"/>
      <c r="Y102" s="285"/>
      <c r="Z102" s="285"/>
      <c r="AA102" s="285"/>
      <c r="AB102" s="285"/>
      <c r="AC102" s="285"/>
      <c r="AD102" s="285"/>
      <c r="AE102" s="285"/>
      <c r="AF102" s="285"/>
      <c r="AG102" s="285"/>
      <c r="AH102" s="285"/>
      <c r="AI102" s="285"/>
      <c r="AJ102" s="285"/>
      <c r="AK102" s="285"/>
      <c r="AL102" s="285"/>
      <c r="AM102" s="285"/>
      <c r="AN102" s="285"/>
    </row>
    <row r="103" spans="1:40" x14ac:dyDescent="0.35">
      <c r="A103" s="543"/>
      <c r="B103" s="345" t="s">
        <v>1871</v>
      </c>
      <c r="C103" s="345" t="s">
        <v>1617</v>
      </c>
      <c r="D103" s="340">
        <f>C364</f>
        <v>12.5</v>
      </c>
      <c r="E103" s="344">
        <v>345</v>
      </c>
      <c r="F103" s="344">
        <v>34.5</v>
      </c>
      <c r="G103" s="340">
        <f t="shared" si="6"/>
        <v>20.918488014116878</v>
      </c>
      <c r="H103" s="339">
        <f>N364</f>
        <v>209.18488014116878</v>
      </c>
      <c r="I103" s="339" t="str">
        <f>O364</f>
        <v>Combined Equip MVA</v>
      </c>
      <c r="J103" s="340">
        <f t="shared" si="7"/>
        <v>20.918488014116878</v>
      </c>
      <c r="K103" s="339">
        <f>P364</f>
        <v>209.18488014116878</v>
      </c>
      <c r="L103" s="339" t="str">
        <f>Q364</f>
        <v>Jumper: Cap to Switcher</v>
      </c>
      <c r="M103" s="285"/>
      <c r="N103" s="285"/>
      <c r="O103" s="285"/>
      <c r="P103" s="285"/>
      <c r="Q103" s="285"/>
      <c r="R103" s="285"/>
      <c r="S103" s="285"/>
      <c r="T103" s="285"/>
      <c r="U103" s="285"/>
      <c r="V103" s="285"/>
      <c r="W103" s="285"/>
      <c r="X103" s="285"/>
      <c r="Y103" s="285"/>
      <c r="Z103" s="285"/>
      <c r="AA103" s="285"/>
      <c r="AB103" s="285"/>
      <c r="AC103" s="285"/>
      <c r="AD103" s="285"/>
      <c r="AE103" s="285"/>
      <c r="AF103" s="285"/>
      <c r="AG103" s="285"/>
      <c r="AH103" s="285"/>
      <c r="AI103" s="285"/>
      <c r="AJ103" s="285"/>
      <c r="AK103" s="285"/>
      <c r="AL103" s="285"/>
      <c r="AM103" s="285"/>
      <c r="AN103" s="285"/>
    </row>
    <row r="104" spans="1:40" x14ac:dyDescent="0.35">
      <c r="A104" s="543"/>
      <c r="B104" s="345" t="s">
        <v>1872</v>
      </c>
      <c r="C104" s="345" t="s">
        <v>1621</v>
      </c>
      <c r="D104" s="340">
        <f>C397</f>
        <v>25</v>
      </c>
      <c r="E104" s="344">
        <v>345</v>
      </c>
      <c r="F104" s="344">
        <v>34.5</v>
      </c>
      <c r="G104" s="340">
        <f t="shared" si="6"/>
        <v>41.836976028233757</v>
      </c>
      <c r="H104" s="339">
        <f>J385</f>
        <v>418.36976028233755</v>
      </c>
      <c r="I104" s="339" t="str">
        <f>K385</f>
        <v>Combined Equip MVA</v>
      </c>
      <c r="J104" s="340">
        <f t="shared" si="7"/>
        <v>63.6</v>
      </c>
      <c r="K104" s="339">
        <f>L385</f>
        <v>636</v>
      </c>
      <c r="L104" s="339" t="str">
        <f>M385</f>
        <v>Relay Amps</v>
      </c>
      <c r="M104" s="285"/>
      <c r="N104" s="285"/>
      <c r="O104" s="285"/>
      <c r="P104" s="285"/>
      <c r="Q104" s="285"/>
      <c r="R104" s="285"/>
      <c r="S104" s="285"/>
      <c r="T104" s="285"/>
      <c r="U104" s="285"/>
      <c r="V104" s="285"/>
      <c r="W104" s="285"/>
      <c r="X104" s="285"/>
      <c r="Y104" s="285"/>
      <c r="Z104" s="285"/>
      <c r="AA104" s="285"/>
      <c r="AB104" s="285"/>
      <c r="AC104" s="285"/>
      <c r="AD104" s="285"/>
      <c r="AE104" s="285"/>
      <c r="AF104" s="285"/>
      <c r="AG104" s="285"/>
      <c r="AH104" s="285"/>
      <c r="AI104" s="285"/>
      <c r="AJ104" s="285"/>
      <c r="AK104" s="285"/>
      <c r="AL104" s="285"/>
      <c r="AM104" s="285"/>
      <c r="AN104" s="285"/>
    </row>
    <row r="105" spans="1:40" x14ac:dyDescent="0.35">
      <c r="A105" s="543"/>
      <c r="B105" s="345" t="s">
        <v>1873</v>
      </c>
      <c r="C105" s="345" t="s">
        <v>1623</v>
      </c>
      <c r="D105" s="340">
        <f>C375</f>
        <v>13</v>
      </c>
      <c r="E105" s="344">
        <v>345</v>
      </c>
      <c r="F105" s="344">
        <v>34.5</v>
      </c>
      <c r="G105" s="340">
        <f t="shared" si="6"/>
        <v>21.755227534681552</v>
      </c>
      <c r="H105" s="339">
        <f>P375</f>
        <v>217.55227534681552</v>
      </c>
      <c r="I105" s="339" t="str">
        <f>Q375</f>
        <v>Combined Equip MVA</v>
      </c>
      <c r="J105" s="340">
        <f t="shared" si="7"/>
        <v>60</v>
      </c>
      <c r="K105" s="339">
        <f>R375</f>
        <v>600</v>
      </c>
      <c r="L105" s="339" t="str">
        <f>S375</f>
        <v>Switcher</v>
      </c>
      <c r="M105" s="285"/>
      <c r="N105" s="285"/>
      <c r="O105" s="285"/>
      <c r="P105" s="285"/>
      <c r="Q105" s="285"/>
      <c r="R105" s="285"/>
      <c r="S105" s="285"/>
      <c r="T105" s="285"/>
      <c r="U105" s="285"/>
      <c r="V105" s="285"/>
      <c r="W105" s="285"/>
      <c r="X105" s="285"/>
      <c r="Y105" s="285"/>
      <c r="Z105" s="285"/>
      <c r="AA105" s="285"/>
      <c r="AB105" s="285"/>
      <c r="AC105" s="285"/>
      <c r="AD105" s="285"/>
      <c r="AE105" s="285"/>
      <c r="AF105" s="285"/>
      <c r="AG105" s="285"/>
      <c r="AH105" s="285"/>
      <c r="AI105" s="285"/>
      <c r="AJ105" s="285"/>
      <c r="AK105" s="285"/>
      <c r="AL105" s="285"/>
      <c r="AM105" s="285"/>
      <c r="AN105" s="285"/>
    </row>
    <row r="106" spans="1:40" x14ac:dyDescent="0.35">
      <c r="A106" s="543"/>
      <c r="B106" s="345" t="s">
        <v>1874</v>
      </c>
      <c r="C106" s="345" t="s">
        <v>1626</v>
      </c>
      <c r="D106" s="340">
        <f>C385</f>
        <v>25</v>
      </c>
      <c r="E106" s="344">
        <v>345</v>
      </c>
      <c r="F106" s="344">
        <v>34.5</v>
      </c>
      <c r="G106" s="340">
        <f t="shared" si="6"/>
        <v>21.755227534681552</v>
      </c>
      <c r="H106" s="339">
        <f>J386</f>
        <v>217.55227534681552</v>
      </c>
      <c r="I106" s="339" t="str">
        <f>K386</f>
        <v>Combined Equip MVA</v>
      </c>
      <c r="J106" s="340">
        <f t="shared" si="7"/>
        <v>63.6</v>
      </c>
      <c r="K106" s="339">
        <f>L386</f>
        <v>636</v>
      </c>
      <c r="L106" s="339" t="str">
        <f>M386</f>
        <v>Relay Amps</v>
      </c>
      <c r="M106" s="285"/>
      <c r="N106" s="285"/>
      <c r="O106" s="285"/>
      <c r="P106" s="285"/>
      <c r="Q106" s="285"/>
      <c r="R106" s="285"/>
      <c r="S106" s="285"/>
      <c r="T106" s="285"/>
      <c r="U106" s="285"/>
      <c r="V106" s="285"/>
      <c r="W106" s="285"/>
      <c r="X106" s="285"/>
      <c r="Y106" s="285"/>
      <c r="Z106" s="285"/>
      <c r="AA106" s="285"/>
      <c r="AB106" s="285"/>
      <c r="AC106" s="285"/>
      <c r="AD106" s="285"/>
      <c r="AE106" s="285"/>
      <c r="AF106" s="285"/>
      <c r="AG106" s="285"/>
      <c r="AH106" s="285"/>
      <c r="AI106" s="285"/>
      <c r="AJ106" s="285"/>
      <c r="AK106" s="285"/>
      <c r="AL106" s="285"/>
      <c r="AM106" s="285"/>
      <c r="AN106" s="285"/>
    </row>
    <row r="107" spans="1:40" x14ac:dyDescent="0.35">
      <c r="A107" s="543"/>
      <c r="B107" s="345">
        <v>2250</v>
      </c>
      <c r="C107" s="345" t="s">
        <v>1627</v>
      </c>
      <c r="D107" s="340">
        <f>C397</f>
        <v>25</v>
      </c>
      <c r="E107" s="344">
        <v>345</v>
      </c>
      <c r="F107" s="344">
        <v>34.5</v>
      </c>
      <c r="G107" s="340">
        <f t="shared" si="6"/>
        <v>41.836976028233757</v>
      </c>
      <c r="H107" s="339">
        <f>Q397</f>
        <v>418.36976028233755</v>
      </c>
      <c r="I107" s="339" t="str">
        <f>R397</f>
        <v>Combined Equip MVA</v>
      </c>
      <c r="J107" s="340">
        <f t="shared" si="7"/>
        <v>63.6</v>
      </c>
      <c r="K107" s="339">
        <f>S397</f>
        <v>636</v>
      </c>
      <c r="L107" s="339" t="str">
        <f>T397</f>
        <v>Relay Amps</v>
      </c>
      <c r="M107" s="285"/>
      <c r="N107" s="285"/>
      <c r="O107" s="285"/>
      <c r="P107" s="285"/>
      <c r="Q107" s="285"/>
      <c r="R107" s="285"/>
      <c r="S107" s="285"/>
      <c r="T107" s="285"/>
      <c r="U107" s="285"/>
      <c r="V107" s="285"/>
      <c r="W107" s="285"/>
      <c r="X107" s="285"/>
      <c r="Y107" s="285"/>
      <c r="Z107" s="285"/>
      <c r="AA107" s="285"/>
      <c r="AB107" s="285"/>
      <c r="AC107" s="285"/>
      <c r="AD107" s="285"/>
      <c r="AE107" s="285"/>
      <c r="AF107" s="285"/>
      <c r="AG107" s="285"/>
      <c r="AH107" s="285"/>
      <c r="AI107" s="285"/>
      <c r="AJ107" s="285"/>
      <c r="AK107" s="285"/>
      <c r="AL107" s="285"/>
      <c r="AM107" s="285"/>
      <c r="AN107" s="285"/>
    </row>
    <row r="108" spans="1:40" x14ac:dyDescent="0.35">
      <c r="A108" s="543"/>
      <c r="B108" s="345">
        <v>2001</v>
      </c>
      <c r="C108" s="345" t="s">
        <v>1875</v>
      </c>
      <c r="D108" s="340">
        <f>C414</f>
        <v>133.13058665836337</v>
      </c>
      <c r="E108" s="344">
        <v>345</v>
      </c>
      <c r="F108" s="344">
        <v>34.5</v>
      </c>
      <c r="G108" s="340">
        <f t="shared" si="6"/>
        <v>222.7912465060258</v>
      </c>
      <c r="H108" s="339">
        <f>R414</f>
        <v>2227.912465060258</v>
      </c>
      <c r="I108" s="339" t="str">
        <f>S414</f>
        <v>Combined Equip MVA</v>
      </c>
      <c r="J108" s="340">
        <f t="shared" si="7"/>
        <v>261.06273041617862</v>
      </c>
      <c r="K108" s="339">
        <f>T414</f>
        <v>2610.6273041617865</v>
      </c>
      <c r="L108" s="339" t="str">
        <f>U414</f>
        <v>Main Power Transformer</v>
      </c>
      <c r="M108" s="285"/>
      <c r="N108" s="285"/>
      <c r="O108" s="285"/>
      <c r="P108" s="285"/>
      <c r="Q108" s="285"/>
      <c r="R108" s="285"/>
      <c r="S108" s="285"/>
      <c r="T108" s="285"/>
      <c r="U108" s="285"/>
      <c r="V108" s="285"/>
      <c r="W108" s="285"/>
      <c r="X108" s="285"/>
      <c r="Y108" s="285"/>
      <c r="Z108" s="285"/>
      <c r="AA108" s="285"/>
      <c r="AB108" s="285"/>
      <c r="AC108" s="285"/>
      <c r="AD108" s="285"/>
      <c r="AE108" s="285"/>
      <c r="AF108" s="285"/>
      <c r="AG108" s="285"/>
      <c r="AH108" s="285"/>
      <c r="AI108" s="285"/>
      <c r="AJ108" s="285"/>
      <c r="AK108" s="285"/>
      <c r="AL108" s="285"/>
      <c r="AM108" s="285"/>
      <c r="AN108" s="285"/>
    </row>
    <row r="109" spans="1:40" x14ac:dyDescent="0.35">
      <c r="A109" s="543"/>
      <c r="B109" s="345" t="s">
        <v>1876</v>
      </c>
      <c r="C109" s="345" t="s">
        <v>1645</v>
      </c>
      <c r="D109" s="340">
        <f>C405</f>
        <v>133.13058665836337</v>
      </c>
      <c r="E109" s="344">
        <v>345</v>
      </c>
      <c r="F109" s="344">
        <v>34.5</v>
      </c>
      <c r="G109" s="340">
        <f t="shared" si="6"/>
        <v>222.7912465060258</v>
      </c>
      <c r="H109" s="339">
        <f>AI405</f>
        <v>2227.912465060258</v>
      </c>
      <c r="I109" s="339" t="str">
        <f>AJ405</f>
        <v>Combined Equip MVA</v>
      </c>
      <c r="J109" s="340">
        <f t="shared" si="7"/>
        <v>261.06273041617862</v>
      </c>
      <c r="K109" s="339">
        <f>AK405</f>
        <v>2610.6273041617865</v>
      </c>
      <c r="L109" s="339" t="str">
        <f>AL405</f>
        <v>Main Power Transformer</v>
      </c>
      <c r="M109" s="285"/>
      <c r="N109" s="285"/>
      <c r="O109" s="285"/>
      <c r="P109" s="285"/>
      <c r="Q109" s="285"/>
      <c r="R109" s="285"/>
      <c r="S109" s="285"/>
      <c r="T109" s="285"/>
      <c r="U109" s="285"/>
      <c r="V109" s="285"/>
      <c r="W109" s="285"/>
      <c r="X109" s="285"/>
      <c r="Y109" s="285"/>
      <c r="Z109" s="285"/>
      <c r="AA109" s="285"/>
      <c r="AB109" s="285"/>
      <c r="AC109" s="285"/>
      <c r="AD109" s="285"/>
      <c r="AE109" s="285"/>
      <c r="AF109" s="285"/>
      <c r="AG109" s="285"/>
      <c r="AH109" s="285"/>
      <c r="AI109" s="285"/>
      <c r="AJ109" s="285"/>
      <c r="AK109" s="285"/>
      <c r="AL109" s="285"/>
      <c r="AM109" s="285"/>
      <c r="AN109" s="285"/>
    </row>
    <row r="110" spans="1:40" x14ac:dyDescent="0.35">
      <c r="A110" s="543"/>
      <c r="B110" s="345" t="s">
        <v>1877</v>
      </c>
      <c r="C110" s="345" t="s">
        <v>1645</v>
      </c>
      <c r="D110" s="340">
        <f>C406</f>
        <v>125.85437020620301</v>
      </c>
      <c r="E110" s="344">
        <v>345</v>
      </c>
      <c r="F110" s="344">
        <v>34.5</v>
      </c>
      <c r="G110" s="340">
        <f t="shared" si="6"/>
        <v>210.61465077461489</v>
      </c>
      <c r="H110" s="339">
        <f>AI406</f>
        <v>2106.1465077461489</v>
      </c>
      <c r="I110" s="339" t="str">
        <f>AJ406</f>
        <v>Combined Equip MVA</v>
      </c>
      <c r="J110" s="340">
        <f t="shared" si="7"/>
        <v>261.06273041617862</v>
      </c>
      <c r="K110" s="339">
        <f>AK406</f>
        <v>2610.6273041617865</v>
      </c>
      <c r="L110" s="339" t="str">
        <f>AL406</f>
        <v>Main Power Transformer</v>
      </c>
      <c r="M110" s="285"/>
      <c r="N110" s="285"/>
      <c r="O110" s="285"/>
      <c r="P110" s="285"/>
      <c r="Q110" s="285"/>
      <c r="R110" s="285"/>
      <c r="S110" s="285"/>
      <c r="T110" s="285"/>
      <c r="U110" s="285"/>
      <c r="V110" s="285"/>
      <c r="W110" s="285"/>
      <c r="X110" s="285"/>
      <c r="Y110" s="285"/>
      <c r="Z110" s="285"/>
      <c r="AA110" s="285"/>
      <c r="AB110" s="285"/>
      <c r="AC110" s="285"/>
      <c r="AD110" s="285"/>
      <c r="AE110" s="285"/>
      <c r="AF110" s="285"/>
      <c r="AG110" s="285"/>
      <c r="AH110" s="285"/>
      <c r="AI110" s="285"/>
      <c r="AJ110" s="285"/>
      <c r="AK110" s="285"/>
      <c r="AL110" s="285"/>
      <c r="AM110" s="285"/>
      <c r="AN110" s="285"/>
    </row>
    <row r="111" spans="1:40" x14ac:dyDescent="0.35">
      <c r="A111" s="543"/>
      <c r="B111" s="345" t="s">
        <v>1876</v>
      </c>
      <c r="C111" s="345" t="s">
        <v>1648</v>
      </c>
      <c r="D111" s="340">
        <f>C421</f>
        <v>258.98495686456636</v>
      </c>
      <c r="E111" s="344">
        <v>345</v>
      </c>
      <c r="F111" s="344">
        <v>34.5</v>
      </c>
      <c r="G111" s="340">
        <f t="shared" ref="G111:G142" si="8">H111/10</f>
        <v>261.06273041617862</v>
      </c>
      <c r="H111" s="339">
        <f>J421</f>
        <v>2610.6273041617865</v>
      </c>
      <c r="I111" s="339" t="str">
        <f>K421</f>
        <v>Main Power Transformer</v>
      </c>
      <c r="J111" s="340">
        <f t="shared" ref="J111:J142" si="9">K111/10</f>
        <v>524</v>
      </c>
      <c r="K111" s="339">
        <f>L421</f>
        <v>5240</v>
      </c>
      <c r="L111" s="339" t="str">
        <f>M421</f>
        <v>LS XFMR CT</v>
      </c>
      <c r="M111" s="285"/>
      <c r="N111" s="285"/>
      <c r="O111" s="285"/>
      <c r="P111" s="285"/>
      <c r="Q111" s="285"/>
      <c r="R111" s="285"/>
      <c r="S111" s="285"/>
      <c r="T111" s="285"/>
      <c r="U111" s="285"/>
      <c r="V111" s="285"/>
      <c r="W111" s="285"/>
      <c r="X111" s="285"/>
      <c r="Y111" s="285"/>
      <c r="Z111" s="285"/>
      <c r="AA111" s="285"/>
      <c r="AB111" s="285"/>
      <c r="AC111" s="285"/>
      <c r="AD111" s="285"/>
      <c r="AE111" s="285"/>
      <c r="AF111" s="285"/>
      <c r="AG111" s="285"/>
      <c r="AH111" s="285"/>
      <c r="AI111" s="285"/>
      <c r="AJ111" s="285"/>
      <c r="AK111" s="285"/>
      <c r="AL111" s="285"/>
      <c r="AM111" s="285"/>
      <c r="AN111" s="285"/>
    </row>
    <row r="112" spans="1:40" x14ac:dyDescent="0.35">
      <c r="A112" s="543"/>
      <c r="B112" s="345" t="s">
        <v>1877</v>
      </c>
      <c r="C112" s="345" t="s">
        <v>1648</v>
      </c>
      <c r="D112" s="340">
        <f>C422</f>
        <v>258.98495686456636</v>
      </c>
      <c r="E112" s="344">
        <v>345</v>
      </c>
      <c r="F112" s="344">
        <v>34.5</v>
      </c>
      <c r="G112" s="340">
        <f t="shared" si="8"/>
        <v>261.06273041617862</v>
      </c>
      <c r="H112" s="339">
        <f>J422</f>
        <v>2610.6273041617865</v>
      </c>
      <c r="I112" s="339" t="str">
        <f>K422</f>
        <v>Main Power Transformer</v>
      </c>
      <c r="J112" s="340">
        <f t="shared" si="9"/>
        <v>524</v>
      </c>
      <c r="K112" s="339">
        <f>L422</f>
        <v>5240</v>
      </c>
      <c r="L112" s="339" t="str">
        <f>M422</f>
        <v>LS XFMR CT</v>
      </c>
      <c r="M112" s="285"/>
      <c r="N112" s="285"/>
      <c r="O112" s="285"/>
      <c r="P112" s="285"/>
      <c r="Q112" s="285"/>
      <c r="R112" s="285"/>
      <c r="S112" s="285"/>
      <c r="T112" s="285"/>
      <c r="U112" s="285"/>
      <c r="V112" s="285"/>
      <c r="W112" s="285"/>
      <c r="X112" s="285"/>
      <c r="Y112" s="285"/>
      <c r="Z112" s="285"/>
      <c r="AA112" s="285"/>
      <c r="AB112" s="285"/>
      <c r="AC112" s="285"/>
      <c r="AD112" s="285"/>
      <c r="AE112" s="285"/>
      <c r="AF112" s="285"/>
      <c r="AG112" s="285"/>
      <c r="AH112" s="285"/>
      <c r="AI112" s="285"/>
      <c r="AJ112" s="285"/>
      <c r="AK112" s="285"/>
      <c r="AL112" s="285"/>
      <c r="AM112" s="285"/>
      <c r="AN112" s="285"/>
    </row>
    <row r="113" spans="1:40" x14ac:dyDescent="0.35">
      <c r="A113" s="543"/>
      <c r="B113" s="346" t="s">
        <v>2352</v>
      </c>
      <c r="C113" s="345" t="s">
        <v>1878</v>
      </c>
      <c r="D113" s="340">
        <f>C430</f>
        <v>258.98495686456636</v>
      </c>
      <c r="E113" s="344">
        <v>345</v>
      </c>
      <c r="F113" s="344">
        <v>34.5</v>
      </c>
      <c r="G113" s="340">
        <f t="shared" si="8"/>
        <v>433.4058972806406</v>
      </c>
      <c r="H113" s="339">
        <f>M430</f>
        <v>4334.058972806406</v>
      </c>
      <c r="I113" s="339" t="str">
        <f>N430</f>
        <v>Combined Equip MVA</v>
      </c>
      <c r="J113" s="340">
        <f t="shared" si="9"/>
        <v>522.20000000000005</v>
      </c>
      <c r="K113" s="563">
        <f>O430</f>
        <v>5222</v>
      </c>
      <c r="L113" s="337" t="str">
        <f>P430</f>
        <v>Main Power Transformer</v>
      </c>
      <c r="M113" s="285"/>
      <c r="N113" s="285"/>
      <c r="O113" s="285"/>
      <c r="P113" s="285"/>
      <c r="Q113" s="285"/>
      <c r="R113" s="285"/>
      <c r="S113" s="285"/>
      <c r="T113" s="285"/>
      <c r="U113" s="285"/>
      <c r="V113" s="285"/>
      <c r="W113" s="285"/>
      <c r="X113" s="285"/>
      <c r="Y113" s="285"/>
      <c r="Z113" s="285"/>
      <c r="AA113" s="285"/>
      <c r="AB113" s="285"/>
      <c r="AC113" s="285"/>
      <c r="AD113" s="285"/>
      <c r="AE113" s="285"/>
      <c r="AF113" s="285"/>
      <c r="AG113" s="285"/>
      <c r="AH113" s="285"/>
      <c r="AI113" s="285"/>
      <c r="AJ113" s="285"/>
      <c r="AK113" s="285"/>
      <c r="AL113" s="285"/>
      <c r="AM113" s="285"/>
      <c r="AN113" s="285"/>
    </row>
    <row r="114" spans="1:40" x14ac:dyDescent="0.35">
      <c r="A114" s="561" t="s">
        <v>1879</v>
      </c>
      <c r="B114" s="345" t="s">
        <v>1606</v>
      </c>
      <c r="C114" s="345" t="s">
        <v>1607</v>
      </c>
      <c r="D114" s="340">
        <f>H323</f>
        <v>18.526053438333811</v>
      </c>
      <c r="E114" s="344">
        <v>345</v>
      </c>
      <c r="F114" s="344">
        <v>34.5</v>
      </c>
      <c r="G114" s="340">
        <f t="shared" si="8"/>
        <v>31.002962143893974</v>
      </c>
      <c r="H114" s="339">
        <f t="shared" ref="H114:I116" si="10">Q323</f>
        <v>310.02962143893973</v>
      </c>
      <c r="I114" s="339" t="str">
        <f t="shared" si="10"/>
        <v>Combined Equip MVA</v>
      </c>
      <c r="J114" s="340">
        <f t="shared" si="9"/>
        <v>34.86</v>
      </c>
      <c r="K114" s="339">
        <f t="shared" ref="K114:L116" si="11">S323</f>
        <v>348.6</v>
      </c>
      <c r="L114" s="339" t="str">
        <f t="shared" si="11"/>
        <v>Underground Cable</v>
      </c>
      <c r="M114" s="285"/>
      <c r="N114" s="285"/>
      <c r="O114" s="285"/>
      <c r="P114" s="285"/>
      <c r="Q114" s="285"/>
      <c r="R114" s="285"/>
      <c r="S114" s="285"/>
      <c r="T114" s="285"/>
      <c r="U114" s="285"/>
      <c r="V114" s="285"/>
      <c r="W114" s="285"/>
      <c r="X114" s="285"/>
      <c r="Y114" s="285"/>
      <c r="Z114" s="285"/>
      <c r="AA114" s="285"/>
      <c r="AB114" s="285"/>
      <c r="AC114" s="285"/>
      <c r="AD114" s="285"/>
      <c r="AE114" s="285"/>
      <c r="AF114" s="285"/>
      <c r="AG114" s="285"/>
      <c r="AH114" s="285"/>
      <c r="AI114" s="285"/>
      <c r="AJ114" s="285"/>
      <c r="AK114" s="285"/>
      <c r="AL114" s="285"/>
      <c r="AM114" s="285"/>
      <c r="AN114" s="285"/>
    </row>
    <row r="115" spans="1:40" x14ac:dyDescent="0.35">
      <c r="A115" s="552"/>
      <c r="B115" s="350" t="s">
        <v>1608</v>
      </c>
      <c r="C115" s="345" t="s">
        <v>1607</v>
      </c>
      <c r="D115" s="342">
        <f>H324</f>
        <v>18.526053438333811</v>
      </c>
      <c r="E115" s="344">
        <v>345</v>
      </c>
      <c r="F115" s="341">
        <v>34.5</v>
      </c>
      <c r="G115" s="340">
        <f t="shared" si="8"/>
        <v>31.002962143893974</v>
      </c>
      <c r="H115" s="339">
        <f t="shared" si="10"/>
        <v>310.02962143893973</v>
      </c>
      <c r="I115" s="339" t="str">
        <f t="shared" si="10"/>
        <v>Combined Equip MVA</v>
      </c>
      <c r="J115" s="340">
        <f t="shared" si="9"/>
        <v>34.86</v>
      </c>
      <c r="K115" s="339">
        <f t="shared" si="11"/>
        <v>348.6</v>
      </c>
      <c r="L115" s="339" t="str">
        <f t="shared" si="11"/>
        <v>Underground Cable</v>
      </c>
      <c r="M115" s="285"/>
      <c r="N115" s="285"/>
      <c r="O115" s="285"/>
      <c r="P115" s="285"/>
      <c r="Q115" s="285"/>
      <c r="R115" s="285"/>
      <c r="S115" s="285"/>
      <c r="T115" s="285"/>
      <c r="U115" s="285"/>
      <c r="V115" s="285"/>
      <c r="W115" s="285"/>
      <c r="X115" s="285"/>
      <c r="Y115" s="285"/>
      <c r="Z115" s="285"/>
      <c r="AA115" s="285"/>
      <c r="AB115" s="285"/>
      <c r="AC115" s="285"/>
      <c r="AD115" s="285"/>
      <c r="AE115" s="285"/>
      <c r="AF115" s="285"/>
      <c r="AG115" s="285"/>
      <c r="AH115" s="285"/>
      <c r="AI115" s="285"/>
      <c r="AJ115" s="285"/>
      <c r="AK115" s="285"/>
      <c r="AL115" s="285"/>
      <c r="AM115" s="285"/>
      <c r="AN115" s="285"/>
    </row>
    <row r="116" spans="1:40" x14ac:dyDescent="0.35">
      <c r="A116" s="552"/>
      <c r="B116" s="350" t="s">
        <v>1880</v>
      </c>
      <c r="C116" s="345" t="s">
        <v>1607</v>
      </c>
      <c r="D116" s="342">
        <f>H325</f>
        <v>16.210296758542086</v>
      </c>
      <c r="E116" s="344">
        <v>345</v>
      </c>
      <c r="F116" s="341">
        <v>34.5</v>
      </c>
      <c r="G116" s="340">
        <f t="shared" si="8"/>
        <v>27.127591875907221</v>
      </c>
      <c r="H116" s="339">
        <f t="shared" si="10"/>
        <v>271.27591875907223</v>
      </c>
      <c r="I116" s="339" t="str">
        <f t="shared" si="10"/>
        <v>Combined Equip MVA</v>
      </c>
      <c r="J116" s="340">
        <f t="shared" si="9"/>
        <v>34.86</v>
      </c>
      <c r="K116" s="339">
        <f t="shared" si="11"/>
        <v>348.6</v>
      </c>
      <c r="L116" s="339" t="str">
        <f t="shared" si="11"/>
        <v>Underground Cable</v>
      </c>
      <c r="M116" s="285"/>
      <c r="N116" s="285"/>
      <c r="O116" s="285"/>
      <c r="P116" s="285"/>
      <c r="Q116" s="285"/>
      <c r="R116" s="285"/>
      <c r="S116" s="285"/>
      <c r="T116" s="285"/>
      <c r="U116" s="285"/>
      <c r="V116" s="285"/>
      <c r="W116" s="285"/>
      <c r="X116" s="285"/>
      <c r="Y116" s="285"/>
      <c r="Z116" s="285"/>
      <c r="AA116" s="285"/>
      <c r="AB116" s="285"/>
      <c r="AC116" s="285"/>
      <c r="AD116" s="285"/>
      <c r="AE116" s="285"/>
      <c r="AF116" s="285"/>
      <c r="AG116" s="285"/>
      <c r="AH116" s="285"/>
      <c r="AI116" s="285"/>
      <c r="AJ116" s="285"/>
      <c r="AK116" s="285"/>
      <c r="AL116" s="285"/>
      <c r="AM116" s="285"/>
      <c r="AN116" s="285"/>
    </row>
    <row r="117" spans="1:40" x14ac:dyDescent="0.35">
      <c r="A117" s="552"/>
      <c r="B117" s="345">
        <v>1101</v>
      </c>
      <c r="C117" s="345" t="s">
        <v>1609</v>
      </c>
      <c r="D117" s="340">
        <f>C350</f>
        <v>53.262403635209708</v>
      </c>
      <c r="E117" s="344">
        <v>345</v>
      </c>
      <c r="F117" s="341">
        <v>34.5</v>
      </c>
      <c r="G117" s="340">
        <f t="shared" si="8"/>
        <v>89.133516163695163</v>
      </c>
      <c r="H117" s="339">
        <f>Q350</f>
        <v>891.33516163695163</v>
      </c>
      <c r="I117" s="339" t="str">
        <f>R350</f>
        <v>Combined Equip MVA</v>
      </c>
      <c r="J117" s="340">
        <f t="shared" si="9"/>
        <v>101.4</v>
      </c>
      <c r="K117" s="339">
        <f>S350</f>
        <v>1014</v>
      </c>
      <c r="L117" s="339" t="str">
        <f>T350</f>
        <v>Jumper: DS to Main Bus*</v>
      </c>
      <c r="M117" s="285"/>
      <c r="N117" s="285"/>
      <c r="O117" s="285"/>
      <c r="P117" s="285"/>
      <c r="Q117" s="285"/>
      <c r="R117" s="285"/>
      <c r="S117" s="285"/>
      <c r="T117" s="285"/>
      <c r="U117" s="285"/>
      <c r="V117" s="285"/>
      <c r="W117" s="285"/>
      <c r="X117" s="285"/>
      <c r="Y117" s="285"/>
      <c r="Z117" s="285"/>
      <c r="AA117" s="285"/>
      <c r="AB117" s="285"/>
      <c r="AC117" s="285"/>
      <c r="AD117" s="285"/>
      <c r="AE117" s="285"/>
      <c r="AF117" s="285"/>
      <c r="AG117" s="285"/>
      <c r="AH117" s="285"/>
      <c r="AI117" s="285"/>
      <c r="AJ117" s="285"/>
      <c r="AK117" s="285"/>
      <c r="AL117" s="285"/>
      <c r="AM117" s="285"/>
      <c r="AN117" s="285"/>
    </row>
    <row r="118" spans="1:40" x14ac:dyDescent="0.35">
      <c r="A118" s="552"/>
      <c r="B118" s="345" t="s">
        <v>1610</v>
      </c>
      <c r="C118" s="345" t="s">
        <v>1607</v>
      </c>
      <c r="D118" s="340">
        <f>H326</f>
        <v>18.526053438333811</v>
      </c>
      <c r="E118" s="344">
        <v>345</v>
      </c>
      <c r="F118" s="341">
        <v>34.5</v>
      </c>
      <c r="G118" s="340">
        <f t="shared" si="8"/>
        <v>31.002962143893974</v>
      </c>
      <c r="H118" s="339">
        <f>Q326</f>
        <v>310.02962143893973</v>
      </c>
      <c r="I118" s="339" t="str">
        <f>R326</f>
        <v>Combined Equip MVA</v>
      </c>
      <c r="J118" s="340">
        <f t="shared" si="9"/>
        <v>34.86</v>
      </c>
      <c r="K118" s="339">
        <f>S326</f>
        <v>348.6</v>
      </c>
      <c r="L118" s="339" t="str">
        <f>T326</f>
        <v>Underground Cable</v>
      </c>
      <c r="M118" s="285"/>
      <c r="N118" s="285"/>
      <c r="O118" s="285"/>
      <c r="P118" s="285"/>
      <c r="Q118" s="285"/>
      <c r="R118" s="285"/>
      <c r="S118" s="285"/>
      <c r="T118" s="285"/>
      <c r="U118" s="285"/>
      <c r="V118" s="285"/>
      <c r="W118" s="285"/>
      <c r="X118" s="285"/>
      <c r="Y118" s="285"/>
      <c r="Z118" s="285"/>
      <c r="AA118" s="285"/>
      <c r="AB118" s="285"/>
      <c r="AC118" s="285"/>
      <c r="AD118" s="285"/>
      <c r="AE118" s="285"/>
      <c r="AF118" s="285"/>
      <c r="AG118" s="285"/>
      <c r="AH118" s="285"/>
      <c r="AI118" s="285"/>
      <c r="AJ118" s="285"/>
      <c r="AK118" s="285"/>
      <c r="AL118" s="285"/>
      <c r="AM118" s="285"/>
      <c r="AN118" s="285"/>
    </row>
    <row r="119" spans="1:40" x14ac:dyDescent="0.35">
      <c r="A119" s="552"/>
      <c r="B119" s="345" t="s">
        <v>1611</v>
      </c>
      <c r="C119" s="345" t="s">
        <v>1607</v>
      </c>
      <c r="D119" s="340">
        <f>H327</f>
        <v>18.526053438333811</v>
      </c>
      <c r="E119" s="344">
        <v>345</v>
      </c>
      <c r="F119" s="341">
        <v>34.5</v>
      </c>
      <c r="G119" s="340">
        <f t="shared" si="8"/>
        <v>31.002962143893974</v>
      </c>
      <c r="H119" s="339">
        <f>Q327</f>
        <v>310.02962143893973</v>
      </c>
      <c r="I119" s="339" t="str">
        <f>R327</f>
        <v>Combined Equip MVA</v>
      </c>
      <c r="J119" s="340">
        <f t="shared" si="9"/>
        <v>34.86</v>
      </c>
      <c r="K119" s="339">
        <f>S327</f>
        <v>348.6</v>
      </c>
      <c r="L119" s="339" t="str">
        <f>T327</f>
        <v>Underground Cable</v>
      </c>
      <c r="M119" s="285"/>
      <c r="N119" s="285"/>
      <c r="O119" s="285"/>
      <c r="P119" s="285"/>
      <c r="Q119" s="285"/>
      <c r="R119" s="285"/>
      <c r="S119" s="285"/>
      <c r="T119" s="285"/>
      <c r="U119" s="285"/>
      <c r="V119" s="285"/>
      <c r="W119" s="285"/>
      <c r="X119" s="285"/>
      <c r="Y119" s="285"/>
      <c r="Z119" s="285"/>
      <c r="AA119" s="285"/>
      <c r="AB119" s="285"/>
      <c r="AC119" s="285"/>
      <c r="AD119" s="285"/>
      <c r="AE119" s="285"/>
      <c r="AF119" s="285"/>
      <c r="AG119" s="285"/>
      <c r="AH119" s="285"/>
      <c r="AI119" s="285"/>
      <c r="AJ119" s="285"/>
      <c r="AK119" s="285"/>
      <c r="AL119" s="285"/>
      <c r="AM119" s="285"/>
      <c r="AN119" s="285"/>
    </row>
    <row r="120" spans="1:40" x14ac:dyDescent="0.35">
      <c r="A120" s="552"/>
      <c r="B120" s="345">
        <v>1102</v>
      </c>
      <c r="C120" s="345" t="s">
        <v>1609</v>
      </c>
      <c r="D120" s="340">
        <f>C351</f>
        <v>37.052106876667622</v>
      </c>
      <c r="E120" s="344">
        <v>345</v>
      </c>
      <c r="F120" s="341">
        <v>34.5</v>
      </c>
      <c r="G120" s="340">
        <f t="shared" si="8"/>
        <v>62.005924287787948</v>
      </c>
      <c r="H120" s="339">
        <f>Q351</f>
        <v>620.05924287787946</v>
      </c>
      <c r="I120" s="339" t="str">
        <f>R351</f>
        <v>Combined Equip MVA</v>
      </c>
      <c r="J120" s="340">
        <f t="shared" si="9"/>
        <v>101.4</v>
      </c>
      <c r="K120" s="339">
        <f>S351</f>
        <v>1014</v>
      </c>
      <c r="L120" s="339" t="str">
        <f>T351</f>
        <v>Jumper: DS to Main Bus*</v>
      </c>
      <c r="M120" s="285"/>
      <c r="N120" s="285"/>
      <c r="O120" s="285"/>
      <c r="P120" s="285"/>
      <c r="Q120" s="285"/>
      <c r="R120" s="285"/>
      <c r="S120" s="285"/>
      <c r="T120" s="285"/>
      <c r="U120" s="285"/>
      <c r="V120" s="285"/>
      <c r="W120" s="285"/>
      <c r="X120" s="285"/>
      <c r="Y120" s="285"/>
      <c r="Z120" s="285"/>
      <c r="AA120" s="285"/>
      <c r="AB120" s="285"/>
      <c r="AC120" s="285"/>
      <c r="AD120" s="285"/>
      <c r="AE120" s="285"/>
      <c r="AF120" s="285"/>
      <c r="AG120" s="285"/>
      <c r="AH120" s="285"/>
      <c r="AI120" s="285"/>
      <c r="AJ120" s="285"/>
      <c r="AK120" s="285"/>
      <c r="AL120" s="285"/>
      <c r="AM120" s="285"/>
      <c r="AN120" s="285"/>
    </row>
    <row r="121" spans="1:40" x14ac:dyDescent="0.35">
      <c r="A121" s="552"/>
      <c r="B121" s="345" t="s">
        <v>1612</v>
      </c>
      <c r="C121" s="345" t="s">
        <v>1607</v>
      </c>
      <c r="D121" s="340">
        <f>H328</f>
        <v>16.210296758542086</v>
      </c>
      <c r="E121" s="344">
        <v>345</v>
      </c>
      <c r="F121" s="341">
        <v>34.5</v>
      </c>
      <c r="G121" s="340">
        <f t="shared" si="8"/>
        <v>27.127591875907221</v>
      </c>
      <c r="H121" s="339">
        <f t="shared" ref="H121:I123" si="12">Q328</f>
        <v>271.27591875907223</v>
      </c>
      <c r="I121" s="339" t="str">
        <f t="shared" si="12"/>
        <v>Combined Equip MVA</v>
      </c>
      <c r="J121" s="340">
        <f t="shared" si="9"/>
        <v>34.86</v>
      </c>
      <c r="K121" s="339">
        <f t="shared" ref="K121:L123" si="13">S328</f>
        <v>348.6</v>
      </c>
      <c r="L121" s="339" t="str">
        <f t="shared" si="13"/>
        <v>Underground Cable</v>
      </c>
      <c r="M121" s="285"/>
      <c r="N121" s="285"/>
      <c r="O121" s="285"/>
      <c r="P121" s="285"/>
      <c r="Q121" s="285"/>
      <c r="R121" s="285"/>
      <c r="S121" s="285"/>
      <c r="T121" s="285"/>
      <c r="U121" s="285"/>
      <c r="V121" s="285"/>
      <c r="W121" s="285"/>
      <c r="X121" s="285"/>
      <c r="Y121" s="285"/>
      <c r="Z121" s="285"/>
      <c r="AA121" s="285"/>
      <c r="AB121" s="285"/>
      <c r="AC121" s="285"/>
      <c r="AD121" s="285"/>
      <c r="AE121" s="285"/>
      <c r="AF121" s="285"/>
      <c r="AG121" s="285"/>
      <c r="AH121" s="285"/>
      <c r="AI121" s="285"/>
      <c r="AJ121" s="285"/>
      <c r="AK121" s="285"/>
      <c r="AL121" s="285"/>
      <c r="AM121" s="285"/>
      <c r="AN121" s="285"/>
    </row>
    <row r="122" spans="1:40" x14ac:dyDescent="0.35">
      <c r="A122" s="552"/>
      <c r="B122" s="345" t="s">
        <v>1613</v>
      </c>
      <c r="C122" s="345" t="s">
        <v>1607</v>
      </c>
      <c r="D122" s="340">
        <f>H329</f>
        <v>18.526053438333811</v>
      </c>
      <c r="E122" s="344">
        <v>345</v>
      </c>
      <c r="F122" s="341">
        <v>34.5</v>
      </c>
      <c r="G122" s="340">
        <f t="shared" si="8"/>
        <v>31.002962143893974</v>
      </c>
      <c r="H122" s="339">
        <f t="shared" si="12"/>
        <v>310.02962143893973</v>
      </c>
      <c r="I122" s="339" t="str">
        <f t="shared" si="12"/>
        <v>Combined Equip MVA</v>
      </c>
      <c r="J122" s="340">
        <f t="shared" si="9"/>
        <v>34.86</v>
      </c>
      <c r="K122" s="339">
        <f t="shared" si="13"/>
        <v>348.6</v>
      </c>
      <c r="L122" s="339" t="str">
        <f t="shared" si="13"/>
        <v>Underground Cable</v>
      </c>
      <c r="M122" s="285"/>
      <c r="N122" s="285"/>
      <c r="O122" s="285"/>
      <c r="P122" s="285"/>
      <c r="Q122" s="285"/>
      <c r="R122" s="285"/>
      <c r="S122" s="285"/>
      <c r="T122" s="285"/>
      <c r="U122" s="285"/>
      <c r="V122" s="285"/>
      <c r="W122" s="285"/>
      <c r="X122" s="285"/>
      <c r="Y122" s="285"/>
      <c r="Z122" s="285"/>
      <c r="AA122" s="285"/>
      <c r="AB122" s="285"/>
      <c r="AC122" s="285"/>
      <c r="AD122" s="285"/>
      <c r="AE122" s="285"/>
      <c r="AF122" s="285"/>
      <c r="AG122" s="285"/>
      <c r="AH122" s="285"/>
      <c r="AI122" s="285"/>
      <c r="AJ122" s="285"/>
      <c r="AK122" s="285"/>
      <c r="AL122" s="285"/>
      <c r="AM122" s="285"/>
      <c r="AN122" s="285"/>
    </row>
    <row r="123" spans="1:40" x14ac:dyDescent="0.35">
      <c r="A123" s="552"/>
      <c r="B123" s="345" t="s">
        <v>1881</v>
      </c>
      <c r="C123" s="345" t="s">
        <v>1607</v>
      </c>
      <c r="D123" s="340">
        <f>H330</f>
        <v>18.526053438333811</v>
      </c>
      <c r="E123" s="344">
        <v>345</v>
      </c>
      <c r="F123" s="341">
        <v>34.5</v>
      </c>
      <c r="G123" s="340">
        <f t="shared" si="8"/>
        <v>31.002962143893974</v>
      </c>
      <c r="H123" s="339">
        <f t="shared" si="12"/>
        <v>310.02962143893973</v>
      </c>
      <c r="I123" s="339" t="str">
        <f t="shared" si="12"/>
        <v>Combined Equip MVA</v>
      </c>
      <c r="J123" s="340">
        <f t="shared" si="9"/>
        <v>42.29</v>
      </c>
      <c r="K123" s="339">
        <f t="shared" si="13"/>
        <v>422.9</v>
      </c>
      <c r="L123" s="339" t="str">
        <f t="shared" si="13"/>
        <v>Underground Cable</v>
      </c>
      <c r="M123" s="285"/>
      <c r="N123" s="285"/>
      <c r="O123" s="285"/>
      <c r="P123" s="285"/>
      <c r="Q123" s="285"/>
      <c r="R123" s="285"/>
      <c r="S123" s="285"/>
      <c r="T123" s="285"/>
      <c r="U123" s="285"/>
      <c r="V123" s="285"/>
      <c r="W123" s="285"/>
      <c r="X123" s="285"/>
      <c r="Y123" s="285"/>
      <c r="Z123" s="285"/>
      <c r="AA123" s="285"/>
      <c r="AB123" s="285"/>
      <c r="AC123" s="285"/>
      <c r="AD123" s="285"/>
      <c r="AE123" s="285"/>
      <c r="AF123" s="285"/>
      <c r="AG123" s="285"/>
      <c r="AH123" s="285"/>
      <c r="AI123" s="285"/>
      <c r="AJ123" s="285"/>
      <c r="AK123" s="285"/>
      <c r="AL123" s="285"/>
      <c r="AM123" s="285"/>
      <c r="AN123" s="285"/>
    </row>
    <row r="124" spans="1:40" x14ac:dyDescent="0.35">
      <c r="A124" s="552"/>
      <c r="B124" s="345">
        <v>1103</v>
      </c>
      <c r="C124" s="345" t="s">
        <v>1609</v>
      </c>
      <c r="D124" s="340">
        <f>C352</f>
        <v>53.262403635209708</v>
      </c>
      <c r="E124" s="344">
        <v>345</v>
      </c>
      <c r="F124" s="341">
        <v>34.5</v>
      </c>
      <c r="G124" s="340">
        <f t="shared" si="8"/>
        <v>89.133516163695163</v>
      </c>
      <c r="H124" s="339">
        <f>Q352</f>
        <v>891.33516163695163</v>
      </c>
      <c r="I124" s="339" t="str">
        <f>R352</f>
        <v>Combined Equip MVA</v>
      </c>
      <c r="J124" s="340">
        <f t="shared" si="9"/>
        <v>101.4</v>
      </c>
      <c r="K124" s="339">
        <f>S352</f>
        <v>1014</v>
      </c>
      <c r="L124" s="339" t="str">
        <f>T352</f>
        <v>Jumper: DS to Main Bus*</v>
      </c>
      <c r="M124" s="285"/>
      <c r="N124" s="285"/>
      <c r="O124" s="285"/>
      <c r="P124" s="285"/>
      <c r="Q124" s="285"/>
      <c r="R124" s="285"/>
      <c r="S124" s="285"/>
      <c r="T124" s="285"/>
      <c r="U124" s="285"/>
      <c r="V124" s="285"/>
      <c r="W124" s="285"/>
      <c r="X124" s="285"/>
      <c r="Y124" s="285"/>
      <c r="Z124" s="285"/>
      <c r="AA124" s="285"/>
      <c r="AB124" s="285"/>
      <c r="AC124" s="285"/>
      <c r="AD124" s="285"/>
      <c r="AE124" s="285"/>
      <c r="AF124" s="285"/>
      <c r="AG124" s="285"/>
      <c r="AH124" s="285"/>
      <c r="AI124" s="285"/>
      <c r="AJ124" s="285"/>
      <c r="AK124" s="285"/>
      <c r="AL124" s="285"/>
      <c r="AM124" s="285"/>
      <c r="AN124" s="285"/>
    </row>
    <row r="125" spans="1:40" x14ac:dyDescent="0.35">
      <c r="A125" s="552"/>
      <c r="B125" s="349" t="s">
        <v>1882</v>
      </c>
      <c r="C125" s="345" t="s">
        <v>1617</v>
      </c>
      <c r="D125" s="340">
        <f>C365</f>
        <v>16.5</v>
      </c>
      <c r="E125" s="344">
        <v>345</v>
      </c>
      <c r="F125" s="341">
        <v>34.5</v>
      </c>
      <c r="G125" s="340">
        <f t="shared" si="8"/>
        <v>27.612404178634279</v>
      </c>
      <c r="H125" s="339">
        <f>N365</f>
        <v>276.12404178634279</v>
      </c>
      <c r="I125" s="339" t="str">
        <f>O365</f>
        <v>Combined Equip MVA</v>
      </c>
      <c r="J125" s="340">
        <f t="shared" si="9"/>
        <v>27.612404178634279</v>
      </c>
      <c r="K125" s="339">
        <f>P365</f>
        <v>276.12404178634279</v>
      </c>
      <c r="L125" s="339" t="str">
        <f>Q365</f>
        <v>Jumper: Cap to Switcher</v>
      </c>
      <c r="M125" s="285"/>
      <c r="N125" s="285"/>
      <c r="O125" s="285"/>
      <c r="P125" s="285"/>
      <c r="Q125" s="285"/>
      <c r="R125" s="285"/>
      <c r="S125" s="285"/>
      <c r="T125" s="285"/>
      <c r="U125" s="285"/>
      <c r="V125" s="285"/>
      <c r="W125" s="285"/>
      <c r="X125" s="285"/>
      <c r="Y125" s="285"/>
      <c r="Z125" s="285"/>
      <c r="AA125" s="285"/>
      <c r="AB125" s="285"/>
      <c r="AC125" s="285"/>
      <c r="AD125" s="285"/>
      <c r="AE125" s="285"/>
      <c r="AF125" s="285"/>
      <c r="AG125" s="285"/>
      <c r="AH125" s="285"/>
      <c r="AI125" s="285"/>
      <c r="AJ125" s="285"/>
      <c r="AK125" s="285"/>
      <c r="AL125" s="285"/>
      <c r="AM125" s="285"/>
      <c r="AN125" s="285"/>
    </row>
    <row r="126" spans="1:40" x14ac:dyDescent="0.35">
      <c r="A126" s="552"/>
      <c r="B126" s="349" t="s">
        <v>1616</v>
      </c>
      <c r="C126" s="345" t="s">
        <v>1617</v>
      </c>
      <c r="D126" s="340">
        <f>C366</f>
        <v>16.5</v>
      </c>
      <c r="E126" s="344">
        <v>345</v>
      </c>
      <c r="F126" s="341">
        <v>34.5</v>
      </c>
      <c r="G126" s="340">
        <f t="shared" si="8"/>
        <v>27.612404178634279</v>
      </c>
      <c r="H126" s="339">
        <f>N366</f>
        <v>276.12404178634279</v>
      </c>
      <c r="I126" s="339" t="str">
        <f>O366</f>
        <v>Combined Equip MVA</v>
      </c>
      <c r="J126" s="340">
        <f t="shared" si="9"/>
        <v>27.612404178634279</v>
      </c>
      <c r="K126" s="339">
        <f>P366</f>
        <v>276.12404178634279</v>
      </c>
      <c r="L126" s="339" t="str">
        <f>Q366</f>
        <v>Jumper: Cap to Switcher</v>
      </c>
      <c r="M126" s="285"/>
      <c r="N126" s="285"/>
      <c r="O126" s="285"/>
      <c r="P126" s="285"/>
      <c r="Q126" s="285"/>
      <c r="R126" s="285"/>
      <c r="S126" s="285"/>
      <c r="T126" s="285"/>
      <c r="U126" s="285"/>
      <c r="V126" s="285"/>
      <c r="W126" s="285"/>
      <c r="X126" s="285"/>
      <c r="Y126" s="285"/>
      <c r="Z126" s="285"/>
      <c r="AA126" s="285"/>
      <c r="AB126" s="285"/>
      <c r="AC126" s="285"/>
      <c r="AD126" s="285"/>
      <c r="AE126" s="285"/>
      <c r="AF126" s="285"/>
      <c r="AG126" s="285"/>
      <c r="AH126" s="285"/>
      <c r="AI126" s="285"/>
      <c r="AJ126" s="285"/>
      <c r="AK126" s="285"/>
      <c r="AL126" s="285"/>
      <c r="AM126" s="285"/>
      <c r="AN126" s="285"/>
    </row>
    <row r="127" spans="1:40" x14ac:dyDescent="0.35">
      <c r="A127" s="552"/>
      <c r="B127" s="345" t="s">
        <v>1883</v>
      </c>
      <c r="C127" s="345" t="s">
        <v>1621</v>
      </c>
      <c r="D127" s="340">
        <f>C398</f>
        <v>33</v>
      </c>
      <c r="E127" s="344">
        <v>345</v>
      </c>
      <c r="F127" s="341">
        <v>34.5</v>
      </c>
      <c r="G127" s="340">
        <f t="shared" si="8"/>
        <v>55.224808357268557</v>
      </c>
      <c r="H127" s="339">
        <f>J387</f>
        <v>552.24808357268557</v>
      </c>
      <c r="I127" s="339" t="str">
        <f>K387</f>
        <v>Combined Equip MVA</v>
      </c>
      <c r="J127" s="340">
        <f t="shared" si="9"/>
        <v>79.599999999999994</v>
      </c>
      <c r="K127" s="339">
        <f>L387</f>
        <v>796</v>
      </c>
      <c r="L127" s="339" t="str">
        <f>M387</f>
        <v>Relay Amps</v>
      </c>
      <c r="M127" s="285"/>
      <c r="N127" s="285"/>
      <c r="O127" s="285"/>
      <c r="P127" s="285"/>
      <c r="Q127" s="285"/>
      <c r="R127" s="285"/>
      <c r="S127" s="285"/>
      <c r="T127" s="285"/>
      <c r="U127" s="285"/>
      <c r="V127" s="285"/>
      <c r="W127" s="285"/>
      <c r="X127" s="285"/>
      <c r="Y127" s="285"/>
      <c r="Z127" s="285"/>
      <c r="AA127" s="285"/>
      <c r="AB127" s="285"/>
      <c r="AC127" s="285"/>
      <c r="AD127" s="285"/>
      <c r="AE127" s="285"/>
      <c r="AF127" s="285"/>
      <c r="AG127" s="285"/>
      <c r="AH127" s="285"/>
      <c r="AI127" s="285"/>
      <c r="AJ127" s="285"/>
      <c r="AK127" s="285"/>
      <c r="AL127" s="285"/>
      <c r="AM127" s="285"/>
      <c r="AN127" s="285"/>
    </row>
    <row r="128" spans="1:40" x14ac:dyDescent="0.35">
      <c r="A128" s="552"/>
      <c r="B128" s="345" t="s">
        <v>1622</v>
      </c>
      <c r="C128" s="345" t="s">
        <v>1623</v>
      </c>
      <c r="D128" s="340">
        <f>C376</f>
        <v>12</v>
      </c>
      <c r="E128" s="344">
        <v>345</v>
      </c>
      <c r="F128" s="341">
        <v>34.5</v>
      </c>
      <c r="G128" s="340">
        <f t="shared" si="8"/>
        <v>20.081748493552205</v>
      </c>
      <c r="H128" s="339">
        <f>P376</f>
        <v>200.81748493552203</v>
      </c>
      <c r="I128" s="339" t="str">
        <f>Q376</f>
        <v>Combined Equip MVA</v>
      </c>
      <c r="J128" s="340">
        <f t="shared" si="9"/>
        <v>60</v>
      </c>
      <c r="K128" s="339">
        <f>R376</f>
        <v>600</v>
      </c>
      <c r="L128" s="339" t="str">
        <f>S376</f>
        <v>Switcher</v>
      </c>
      <c r="M128" s="285"/>
      <c r="N128" s="285"/>
      <c r="O128" s="285"/>
      <c r="P128" s="285"/>
      <c r="Q128" s="285"/>
      <c r="R128" s="285"/>
      <c r="S128" s="285"/>
      <c r="T128" s="285"/>
      <c r="U128" s="285"/>
      <c r="V128" s="285"/>
      <c r="W128" s="285"/>
      <c r="X128" s="285"/>
      <c r="Y128" s="285"/>
      <c r="Z128" s="285"/>
      <c r="AA128" s="285"/>
      <c r="AB128" s="285"/>
      <c r="AC128" s="285"/>
      <c r="AD128" s="285"/>
      <c r="AE128" s="285"/>
      <c r="AF128" s="285"/>
      <c r="AG128" s="285"/>
      <c r="AH128" s="285"/>
      <c r="AI128" s="285"/>
      <c r="AJ128" s="285"/>
      <c r="AK128" s="285"/>
      <c r="AL128" s="285"/>
      <c r="AM128" s="285"/>
      <c r="AN128" s="285"/>
    </row>
    <row r="129" spans="1:40" x14ac:dyDescent="0.35">
      <c r="A129" s="552"/>
      <c r="B129" s="345" t="s">
        <v>1884</v>
      </c>
      <c r="C129" s="345" t="s">
        <v>1626</v>
      </c>
      <c r="D129" s="340">
        <f>C388</f>
        <v>12</v>
      </c>
      <c r="E129" s="344">
        <v>345</v>
      </c>
      <c r="F129" s="341">
        <v>34.5</v>
      </c>
      <c r="G129" s="340">
        <f t="shared" si="8"/>
        <v>20.081748493552205</v>
      </c>
      <c r="H129" s="339">
        <f>J388</f>
        <v>200.81748493552203</v>
      </c>
      <c r="I129" s="339" t="str">
        <f>K388</f>
        <v>Combined Equip MVA</v>
      </c>
      <c r="J129" s="340">
        <f t="shared" si="9"/>
        <v>79.599999999999994</v>
      </c>
      <c r="K129" s="339">
        <f>L388</f>
        <v>796</v>
      </c>
      <c r="L129" s="339" t="str">
        <f>M388</f>
        <v>Relay Amps</v>
      </c>
      <c r="M129" s="285"/>
      <c r="N129" s="285"/>
      <c r="O129" s="285"/>
      <c r="P129" s="285"/>
      <c r="Q129" s="285"/>
      <c r="R129" s="285"/>
      <c r="S129" s="285"/>
      <c r="T129" s="285"/>
      <c r="U129" s="285"/>
      <c r="V129" s="285"/>
      <c r="W129" s="285"/>
      <c r="X129" s="285"/>
      <c r="Y129" s="285"/>
      <c r="Z129" s="285"/>
      <c r="AA129" s="285"/>
      <c r="AB129" s="285"/>
      <c r="AC129" s="285"/>
      <c r="AD129" s="285"/>
      <c r="AE129" s="285"/>
      <c r="AF129" s="285"/>
      <c r="AG129" s="285"/>
      <c r="AH129" s="285"/>
      <c r="AI129" s="285"/>
      <c r="AJ129" s="285"/>
      <c r="AK129" s="285"/>
      <c r="AL129" s="285"/>
      <c r="AM129" s="285"/>
      <c r="AN129" s="285"/>
    </row>
    <row r="130" spans="1:40" x14ac:dyDescent="0.35">
      <c r="A130" s="552"/>
      <c r="B130" s="285">
        <v>1150</v>
      </c>
      <c r="C130" s="344" t="s">
        <v>1627</v>
      </c>
      <c r="D130" s="285">
        <f>C398</f>
        <v>33</v>
      </c>
      <c r="E130" s="344">
        <v>345</v>
      </c>
      <c r="F130" s="341">
        <v>34.5</v>
      </c>
      <c r="G130" s="340">
        <f t="shared" si="8"/>
        <v>55.224808357268557</v>
      </c>
      <c r="H130" s="339">
        <f>Q398</f>
        <v>552.24808357268557</v>
      </c>
      <c r="I130" s="339" t="str">
        <f>R398</f>
        <v>Combined Equip MVA</v>
      </c>
      <c r="J130" s="340">
        <f t="shared" si="9"/>
        <v>79.599999999999994</v>
      </c>
      <c r="K130" s="348">
        <f>S398</f>
        <v>796</v>
      </c>
      <c r="L130" s="348" t="str">
        <f>T398</f>
        <v>Relay Amps</v>
      </c>
      <c r="M130" s="285"/>
      <c r="N130" s="285"/>
      <c r="O130" s="285"/>
      <c r="P130" s="285"/>
      <c r="Q130" s="285"/>
      <c r="R130" s="285"/>
      <c r="S130" s="285"/>
      <c r="T130" s="285"/>
      <c r="U130" s="285"/>
      <c r="V130" s="285"/>
      <c r="W130" s="285"/>
      <c r="X130" s="285"/>
      <c r="Y130" s="285"/>
      <c r="Z130" s="285"/>
      <c r="AA130" s="285"/>
      <c r="AB130" s="285"/>
      <c r="AC130" s="285"/>
      <c r="AD130" s="285"/>
      <c r="AE130" s="285"/>
      <c r="AF130" s="285"/>
      <c r="AG130" s="285"/>
      <c r="AH130" s="285"/>
      <c r="AI130" s="285"/>
      <c r="AJ130" s="285"/>
      <c r="AK130" s="285"/>
      <c r="AL130" s="285"/>
      <c r="AM130" s="285"/>
      <c r="AN130" s="285"/>
    </row>
    <row r="131" spans="1:40" x14ac:dyDescent="0.35">
      <c r="A131" s="552"/>
      <c r="B131" s="345" t="s">
        <v>1628</v>
      </c>
      <c r="C131" s="345" t="s">
        <v>1607</v>
      </c>
      <c r="D131" s="340">
        <f>H331</f>
        <v>23.157566797917262</v>
      </c>
      <c r="E131" s="344">
        <v>345</v>
      </c>
      <c r="F131" s="341">
        <v>34.5</v>
      </c>
      <c r="G131" s="340">
        <f t="shared" si="8"/>
        <v>38.753702679867459</v>
      </c>
      <c r="H131" s="339">
        <f>Q331</f>
        <v>387.53702679867456</v>
      </c>
      <c r="I131" s="339" t="str">
        <f>R331</f>
        <v>Combined Equip MVA</v>
      </c>
      <c r="J131" s="340">
        <f t="shared" si="9"/>
        <v>42.29</v>
      </c>
      <c r="K131" s="339">
        <f>S331</f>
        <v>422.9</v>
      </c>
      <c r="L131" s="339" t="str">
        <f>T331</f>
        <v>Underground Cable</v>
      </c>
      <c r="M131" s="285"/>
      <c r="N131" s="285"/>
      <c r="O131" s="285"/>
      <c r="P131" s="285"/>
      <c r="Q131" s="285"/>
      <c r="R131" s="285"/>
      <c r="S131" s="285"/>
      <c r="T131" s="285"/>
      <c r="U131" s="285"/>
      <c r="V131" s="285"/>
      <c r="W131" s="285"/>
      <c r="X131" s="285"/>
      <c r="Y131" s="285"/>
      <c r="Z131" s="285"/>
      <c r="AA131" s="285"/>
      <c r="AB131" s="285"/>
      <c r="AC131" s="285"/>
      <c r="AD131" s="285"/>
      <c r="AE131" s="285"/>
      <c r="AF131" s="285"/>
      <c r="AG131" s="285"/>
      <c r="AH131" s="285"/>
      <c r="AI131" s="285"/>
      <c r="AJ131" s="285"/>
      <c r="AK131" s="285"/>
      <c r="AL131" s="285"/>
      <c r="AM131" s="285"/>
      <c r="AN131" s="285"/>
    </row>
    <row r="132" spans="1:40" x14ac:dyDescent="0.35">
      <c r="A132" s="552"/>
      <c r="B132" s="345" t="s">
        <v>1629</v>
      </c>
      <c r="C132" s="345" t="s">
        <v>1607</v>
      </c>
      <c r="D132" s="340">
        <f>H332</f>
        <v>23.157566797917262</v>
      </c>
      <c r="E132" s="344">
        <v>345</v>
      </c>
      <c r="F132" s="341">
        <v>34.5</v>
      </c>
      <c r="G132" s="340">
        <f t="shared" si="8"/>
        <v>38.753702679867459</v>
      </c>
      <c r="H132" s="339">
        <f>Q332</f>
        <v>387.53702679867456</v>
      </c>
      <c r="I132" s="339" t="str">
        <f>R332</f>
        <v>Combined Equip MVA</v>
      </c>
      <c r="J132" s="340">
        <f t="shared" si="9"/>
        <v>42.29</v>
      </c>
      <c r="K132" s="339">
        <f>S332</f>
        <v>422.9</v>
      </c>
      <c r="L132" s="339" t="str">
        <f>T332</f>
        <v>Underground Cable</v>
      </c>
      <c r="M132" s="285"/>
      <c r="N132" s="285"/>
      <c r="O132" s="285"/>
      <c r="P132" s="285"/>
      <c r="Q132" s="285"/>
      <c r="R132" s="285"/>
      <c r="S132" s="285"/>
      <c r="T132" s="285"/>
      <c r="U132" s="285"/>
      <c r="V132" s="285"/>
      <c r="W132" s="285"/>
      <c r="X132" s="285"/>
      <c r="Y132" s="285"/>
      <c r="Z132" s="285"/>
      <c r="AA132" s="285"/>
      <c r="AB132" s="285"/>
      <c r="AC132" s="285"/>
      <c r="AD132" s="285"/>
      <c r="AE132" s="285"/>
      <c r="AF132" s="285"/>
      <c r="AG132" s="285"/>
      <c r="AH132" s="285"/>
      <c r="AI132" s="285"/>
      <c r="AJ132" s="285"/>
      <c r="AK132" s="285"/>
      <c r="AL132" s="285"/>
      <c r="AM132" s="285"/>
      <c r="AN132" s="285"/>
    </row>
    <row r="133" spans="1:40" x14ac:dyDescent="0.35">
      <c r="A133" s="552"/>
      <c r="B133" s="345">
        <v>1201</v>
      </c>
      <c r="C133" s="345" t="s">
        <v>1609</v>
      </c>
      <c r="D133" s="340">
        <f>C353</f>
        <v>46.315133595834524</v>
      </c>
      <c r="E133" s="344">
        <v>345</v>
      </c>
      <c r="F133" s="341">
        <v>34.5</v>
      </c>
      <c r="G133" s="340">
        <f t="shared" si="8"/>
        <v>77.507405359734918</v>
      </c>
      <c r="H133" s="339">
        <f>Q353</f>
        <v>775.07405359734912</v>
      </c>
      <c r="I133" s="339" t="str">
        <f>R353</f>
        <v>Combined Equip MVA</v>
      </c>
      <c r="J133" s="340">
        <f t="shared" si="9"/>
        <v>101.4</v>
      </c>
      <c r="K133" s="339">
        <f>S353</f>
        <v>1014</v>
      </c>
      <c r="L133" s="339" t="str">
        <f>T353</f>
        <v>Jumper: DS to Main Bus*</v>
      </c>
      <c r="M133" s="285"/>
      <c r="N133" s="285"/>
      <c r="O133" s="285"/>
      <c r="P133" s="285"/>
      <c r="Q133" s="285"/>
      <c r="R133" s="285"/>
      <c r="S133" s="285"/>
      <c r="T133" s="285"/>
      <c r="U133" s="285"/>
      <c r="V133" s="285"/>
      <c r="W133" s="285"/>
      <c r="X133" s="285"/>
      <c r="Y133" s="285"/>
      <c r="Z133" s="285"/>
      <c r="AA133" s="285"/>
      <c r="AB133" s="285"/>
      <c r="AC133" s="285"/>
      <c r="AD133" s="285"/>
      <c r="AE133" s="285"/>
      <c r="AF133" s="285"/>
      <c r="AG133" s="285"/>
      <c r="AH133" s="285"/>
      <c r="AI133" s="285"/>
      <c r="AJ133" s="285"/>
      <c r="AK133" s="285"/>
      <c r="AL133" s="285"/>
      <c r="AM133" s="285"/>
      <c r="AN133" s="285"/>
    </row>
    <row r="134" spans="1:40" x14ac:dyDescent="0.35">
      <c r="A134" s="552"/>
      <c r="B134" s="345" t="s">
        <v>1630</v>
      </c>
      <c r="C134" s="345" t="s">
        <v>1607</v>
      </c>
      <c r="D134" s="340">
        <f>H333</f>
        <v>23.157566797917262</v>
      </c>
      <c r="E134" s="344">
        <v>345</v>
      </c>
      <c r="F134" s="341">
        <v>34.5</v>
      </c>
      <c r="G134" s="340">
        <f t="shared" si="8"/>
        <v>38.753702679867459</v>
      </c>
      <c r="H134" s="339">
        <f>Q333</f>
        <v>387.53702679867456</v>
      </c>
      <c r="I134" s="339" t="str">
        <f>R333</f>
        <v>Combined Equip MVA</v>
      </c>
      <c r="J134" s="340">
        <f t="shared" si="9"/>
        <v>42.29</v>
      </c>
      <c r="K134" s="339">
        <f>S333</f>
        <v>422.9</v>
      </c>
      <c r="L134" s="339" t="str">
        <f>T333</f>
        <v>Underground Cable</v>
      </c>
      <c r="M134" s="285"/>
      <c r="N134" s="285"/>
      <c r="O134" s="285"/>
      <c r="P134" s="285"/>
      <c r="Q134" s="285"/>
      <c r="R134" s="285"/>
      <c r="S134" s="285"/>
      <c r="T134" s="285"/>
      <c r="U134" s="285"/>
      <c r="V134" s="285"/>
      <c r="W134" s="285"/>
      <c r="X134" s="285"/>
      <c r="Y134" s="285"/>
      <c r="Z134" s="285"/>
      <c r="AA134" s="285"/>
      <c r="AB134" s="285"/>
      <c r="AC134" s="285"/>
      <c r="AD134" s="285"/>
      <c r="AE134" s="285"/>
      <c r="AF134" s="285"/>
      <c r="AG134" s="285"/>
      <c r="AH134" s="285"/>
      <c r="AI134" s="285"/>
      <c r="AJ134" s="285"/>
      <c r="AK134" s="285"/>
      <c r="AL134" s="285"/>
      <c r="AM134" s="285"/>
      <c r="AN134" s="285"/>
    </row>
    <row r="135" spans="1:40" x14ac:dyDescent="0.35">
      <c r="A135" s="552"/>
      <c r="B135" s="345" t="s">
        <v>1631</v>
      </c>
      <c r="C135" s="345" t="s">
        <v>1607</v>
      </c>
      <c r="D135" s="340">
        <f>H334</f>
        <v>23.157566797917262</v>
      </c>
      <c r="E135" s="344">
        <v>345</v>
      </c>
      <c r="F135" s="341">
        <v>34.5</v>
      </c>
      <c r="G135" s="340">
        <f t="shared" si="8"/>
        <v>38.753702679867459</v>
      </c>
      <c r="H135" s="339">
        <f>Q334</f>
        <v>387.53702679867456</v>
      </c>
      <c r="I135" s="339" t="str">
        <f>R334</f>
        <v>Combined Equip MVA</v>
      </c>
      <c r="J135" s="340">
        <f t="shared" si="9"/>
        <v>42.29</v>
      </c>
      <c r="K135" s="339">
        <f>S334</f>
        <v>422.9</v>
      </c>
      <c r="L135" s="339" t="str">
        <f>T334</f>
        <v>Underground Cable</v>
      </c>
      <c r="M135" s="285"/>
      <c r="N135" s="285"/>
      <c r="O135" s="285"/>
      <c r="P135" s="285"/>
      <c r="Q135" s="285"/>
      <c r="R135" s="285"/>
      <c r="S135" s="285"/>
      <c r="T135" s="285"/>
      <c r="U135" s="285"/>
      <c r="V135" s="285"/>
      <c r="W135" s="285"/>
      <c r="X135" s="285"/>
      <c r="Y135" s="285"/>
      <c r="Z135" s="285"/>
      <c r="AA135" s="285"/>
      <c r="AB135" s="285"/>
      <c r="AC135" s="285"/>
      <c r="AD135" s="285"/>
      <c r="AE135" s="285"/>
      <c r="AF135" s="285"/>
      <c r="AG135" s="285"/>
      <c r="AH135" s="285"/>
      <c r="AI135" s="285"/>
      <c r="AJ135" s="285"/>
      <c r="AK135" s="285"/>
      <c r="AL135" s="285"/>
      <c r="AM135" s="285"/>
      <c r="AN135" s="285"/>
    </row>
    <row r="136" spans="1:40" x14ac:dyDescent="0.35">
      <c r="A136" s="552"/>
      <c r="B136" s="345">
        <v>1202</v>
      </c>
      <c r="C136" s="345" t="s">
        <v>1609</v>
      </c>
      <c r="D136" s="340">
        <f>C354</f>
        <v>46.315133595834524</v>
      </c>
      <c r="E136" s="344">
        <v>345</v>
      </c>
      <c r="F136" s="341">
        <v>34.5</v>
      </c>
      <c r="G136" s="340">
        <f t="shared" si="8"/>
        <v>77.507405359734918</v>
      </c>
      <c r="H136" s="339">
        <f>Q354</f>
        <v>775.07405359734912</v>
      </c>
      <c r="I136" s="339" t="str">
        <f>R354</f>
        <v>Combined Equip MVA</v>
      </c>
      <c r="J136" s="340">
        <f t="shared" si="9"/>
        <v>101.4</v>
      </c>
      <c r="K136" s="339">
        <f>S354</f>
        <v>1014</v>
      </c>
      <c r="L136" s="339" t="str">
        <f>T354</f>
        <v>Jumper: DS to Main Bus*</v>
      </c>
      <c r="M136" s="285"/>
      <c r="N136" s="285"/>
      <c r="O136" s="285"/>
      <c r="P136" s="285"/>
      <c r="Q136" s="285"/>
      <c r="R136" s="285"/>
      <c r="S136" s="285"/>
      <c r="T136" s="285"/>
      <c r="U136" s="285"/>
      <c r="V136" s="285"/>
      <c r="W136" s="285"/>
      <c r="X136" s="285"/>
      <c r="Y136" s="285"/>
      <c r="Z136" s="285"/>
      <c r="AA136" s="285"/>
      <c r="AB136" s="285"/>
      <c r="AC136" s="285"/>
      <c r="AD136" s="285"/>
      <c r="AE136" s="285"/>
      <c r="AF136" s="285"/>
      <c r="AG136" s="285"/>
      <c r="AH136" s="285"/>
      <c r="AI136" s="285"/>
      <c r="AJ136" s="285"/>
      <c r="AK136" s="285"/>
      <c r="AL136" s="285"/>
      <c r="AM136" s="285"/>
      <c r="AN136" s="285"/>
    </row>
    <row r="137" spans="1:40" x14ac:dyDescent="0.35">
      <c r="A137" s="552"/>
      <c r="B137" s="345" t="s">
        <v>1885</v>
      </c>
      <c r="C137" s="345" t="s">
        <v>1607</v>
      </c>
      <c r="D137" s="340">
        <f>H335</f>
        <v>23.157566797917262</v>
      </c>
      <c r="E137" s="344">
        <v>345</v>
      </c>
      <c r="F137" s="341">
        <v>34.5</v>
      </c>
      <c r="G137" s="340">
        <f t="shared" si="8"/>
        <v>38.753702679867459</v>
      </c>
      <c r="H137" s="339">
        <f>Q335</f>
        <v>387.53702679867456</v>
      </c>
      <c r="I137" s="339" t="str">
        <f>R335</f>
        <v>Combined Equip MVA</v>
      </c>
      <c r="J137" s="340">
        <f t="shared" si="9"/>
        <v>42.29</v>
      </c>
      <c r="K137" s="339">
        <f>S335</f>
        <v>422.9</v>
      </c>
      <c r="L137" s="339" t="str">
        <f>T335</f>
        <v>Underground Cable</v>
      </c>
      <c r="M137" s="285"/>
      <c r="N137" s="285"/>
      <c r="O137" s="285"/>
      <c r="P137" s="285"/>
      <c r="Q137" s="285"/>
      <c r="R137" s="285"/>
      <c r="S137" s="285"/>
      <c r="T137" s="285"/>
      <c r="U137" s="285"/>
      <c r="V137" s="285"/>
      <c r="W137" s="285"/>
      <c r="X137" s="285"/>
      <c r="Y137" s="285"/>
      <c r="Z137" s="285"/>
      <c r="AA137" s="285"/>
      <c r="AB137" s="285"/>
      <c r="AC137" s="285"/>
      <c r="AD137" s="285"/>
      <c r="AE137" s="285"/>
      <c r="AF137" s="285"/>
      <c r="AG137" s="285"/>
      <c r="AH137" s="285"/>
      <c r="AI137" s="285"/>
      <c r="AJ137" s="285"/>
      <c r="AK137" s="285"/>
      <c r="AL137" s="285"/>
      <c r="AM137" s="285"/>
      <c r="AN137" s="285"/>
    </row>
    <row r="138" spans="1:40" x14ac:dyDescent="0.35">
      <c r="A138" s="552"/>
      <c r="B138" s="345" t="s">
        <v>1886</v>
      </c>
      <c r="C138" s="345" t="s">
        <v>1607</v>
      </c>
      <c r="D138" s="340">
        <f>H336</f>
        <v>23.157566797917262</v>
      </c>
      <c r="E138" s="344">
        <v>345</v>
      </c>
      <c r="F138" s="341">
        <v>34.5</v>
      </c>
      <c r="G138" s="340">
        <f t="shared" si="8"/>
        <v>38.753702679867459</v>
      </c>
      <c r="H138" s="339">
        <f>Q336</f>
        <v>387.53702679867456</v>
      </c>
      <c r="I138" s="339" t="str">
        <f>R336</f>
        <v>Combined Equip MVA</v>
      </c>
      <c r="J138" s="340">
        <f t="shared" si="9"/>
        <v>42.29</v>
      </c>
      <c r="K138" s="339">
        <f>S336</f>
        <v>422.9</v>
      </c>
      <c r="L138" s="339" t="str">
        <f>T336</f>
        <v>Underground Cable</v>
      </c>
      <c r="M138" s="285"/>
      <c r="N138" s="285"/>
      <c r="O138" s="285"/>
      <c r="P138" s="285"/>
      <c r="Q138" s="285"/>
      <c r="R138" s="285"/>
      <c r="S138" s="285"/>
      <c r="T138" s="285"/>
      <c r="U138" s="285"/>
      <c r="V138" s="285"/>
      <c r="W138" s="285"/>
      <c r="X138" s="285"/>
      <c r="Y138" s="285"/>
      <c r="Z138" s="285"/>
      <c r="AA138" s="285"/>
      <c r="AB138" s="285"/>
      <c r="AC138" s="285"/>
      <c r="AD138" s="285"/>
      <c r="AE138" s="285"/>
      <c r="AF138" s="285"/>
      <c r="AG138" s="285"/>
      <c r="AH138" s="285"/>
      <c r="AI138" s="285"/>
      <c r="AJ138" s="285"/>
      <c r="AK138" s="285"/>
      <c r="AL138" s="285"/>
      <c r="AM138" s="285"/>
      <c r="AN138" s="285"/>
    </row>
    <row r="139" spans="1:40" x14ac:dyDescent="0.35">
      <c r="A139" s="552"/>
      <c r="B139" s="349">
        <v>1203</v>
      </c>
      <c r="C139" s="345" t="s">
        <v>1609</v>
      </c>
      <c r="D139" s="340">
        <f>C355</f>
        <v>46.315133595834524</v>
      </c>
      <c r="E139" s="344">
        <v>345</v>
      </c>
      <c r="F139" s="341">
        <v>34.5</v>
      </c>
      <c r="G139" s="340">
        <f t="shared" si="8"/>
        <v>77.507405359734918</v>
      </c>
      <c r="H139" s="339">
        <f>Q355</f>
        <v>775.07405359734912</v>
      </c>
      <c r="I139" s="339" t="str">
        <f>R355</f>
        <v>Combined Equip MVA</v>
      </c>
      <c r="J139" s="340">
        <f t="shared" si="9"/>
        <v>101.4</v>
      </c>
      <c r="K139" s="339">
        <f>S355</f>
        <v>1014</v>
      </c>
      <c r="L139" s="339" t="str">
        <f>T355</f>
        <v>Jumper: DS to Main Bus*</v>
      </c>
      <c r="M139" s="285"/>
      <c r="N139" s="285"/>
      <c r="O139" s="285"/>
      <c r="P139" s="285"/>
      <c r="Q139" s="285"/>
      <c r="R139" s="285"/>
      <c r="S139" s="285"/>
      <c r="T139" s="285"/>
      <c r="U139" s="285"/>
      <c r="V139" s="285"/>
      <c r="W139" s="285"/>
      <c r="X139" s="285"/>
      <c r="Y139" s="285"/>
      <c r="Z139" s="285"/>
      <c r="AA139" s="285"/>
      <c r="AB139" s="285"/>
      <c r="AC139" s="285"/>
      <c r="AD139" s="285"/>
      <c r="AE139" s="285"/>
      <c r="AF139" s="285"/>
      <c r="AG139" s="285"/>
      <c r="AH139" s="285"/>
      <c r="AI139" s="285"/>
      <c r="AJ139" s="285"/>
      <c r="AK139" s="285"/>
      <c r="AL139" s="285"/>
      <c r="AM139" s="285"/>
      <c r="AN139" s="285"/>
    </row>
    <row r="140" spans="1:40" x14ac:dyDescent="0.35">
      <c r="A140" s="552"/>
      <c r="B140" s="349" t="s">
        <v>1887</v>
      </c>
      <c r="C140" s="345" t="s">
        <v>1617</v>
      </c>
      <c r="D140" s="340">
        <f>C367</f>
        <v>16.5</v>
      </c>
      <c r="E140" s="344">
        <v>345</v>
      </c>
      <c r="F140" s="341">
        <v>34.5</v>
      </c>
      <c r="G140" s="340">
        <f t="shared" si="8"/>
        <v>27.612404178634279</v>
      </c>
      <c r="H140" s="339">
        <f>N367</f>
        <v>276.12404178634279</v>
      </c>
      <c r="I140" s="339" t="str">
        <f>O367</f>
        <v>Combined Equip MVA</v>
      </c>
      <c r="J140" s="340">
        <f t="shared" si="9"/>
        <v>27.612404178634279</v>
      </c>
      <c r="K140" s="339">
        <f>P367</f>
        <v>276.12404178634279</v>
      </c>
      <c r="L140" s="339" t="str">
        <f>Q367</f>
        <v>Jumper: Cap to Switcher</v>
      </c>
      <c r="M140" s="285"/>
      <c r="N140" s="285"/>
      <c r="O140" s="285"/>
      <c r="P140" s="285"/>
      <c r="Q140" s="285"/>
      <c r="R140" s="285"/>
      <c r="S140" s="285"/>
      <c r="T140" s="285"/>
      <c r="U140" s="285"/>
      <c r="V140" s="285"/>
      <c r="W140" s="285"/>
      <c r="X140" s="285"/>
      <c r="Y140" s="285"/>
      <c r="Z140" s="285"/>
      <c r="AA140" s="285"/>
      <c r="AB140" s="285"/>
      <c r="AC140" s="285"/>
      <c r="AD140" s="285"/>
      <c r="AE140" s="285"/>
      <c r="AF140" s="285"/>
      <c r="AG140" s="285"/>
      <c r="AH140" s="285"/>
      <c r="AI140" s="285"/>
      <c r="AJ140" s="285"/>
      <c r="AK140" s="285"/>
      <c r="AL140" s="285"/>
      <c r="AM140" s="285"/>
      <c r="AN140" s="285"/>
    </row>
    <row r="141" spans="1:40" x14ac:dyDescent="0.35">
      <c r="A141" s="552"/>
      <c r="B141" s="349" t="s">
        <v>1636</v>
      </c>
      <c r="C141" s="345" t="s">
        <v>1617</v>
      </c>
      <c r="D141" s="340">
        <f>C368</f>
        <v>16.5</v>
      </c>
      <c r="E141" s="344">
        <v>345</v>
      </c>
      <c r="F141" s="341">
        <v>34.5</v>
      </c>
      <c r="G141" s="340">
        <f t="shared" si="8"/>
        <v>27.612404178634279</v>
      </c>
      <c r="H141" s="339">
        <f>N368</f>
        <v>276.12404178634279</v>
      </c>
      <c r="I141" s="339" t="str">
        <f>O368</f>
        <v>Combined Equip MVA</v>
      </c>
      <c r="J141" s="340">
        <f t="shared" si="9"/>
        <v>27.612404178634279</v>
      </c>
      <c r="K141" s="339">
        <f>P368</f>
        <v>276.12404178634279</v>
      </c>
      <c r="L141" s="339" t="str">
        <f>Q368</f>
        <v>Jumper: Cap to Switcher</v>
      </c>
      <c r="M141" s="285"/>
      <c r="N141" s="285"/>
      <c r="O141" s="285"/>
      <c r="P141" s="285"/>
      <c r="Q141" s="285"/>
      <c r="R141" s="285"/>
      <c r="S141" s="285"/>
      <c r="T141" s="285"/>
      <c r="U141" s="285"/>
      <c r="V141" s="285"/>
      <c r="W141" s="285"/>
      <c r="X141" s="285"/>
      <c r="Y141" s="285"/>
      <c r="Z141" s="285"/>
      <c r="AA141" s="285"/>
      <c r="AB141" s="285"/>
      <c r="AC141" s="285"/>
      <c r="AD141" s="285"/>
      <c r="AE141" s="285"/>
      <c r="AF141" s="285"/>
      <c r="AG141" s="285"/>
      <c r="AH141" s="285"/>
      <c r="AI141" s="285"/>
      <c r="AJ141" s="285"/>
      <c r="AK141" s="285"/>
      <c r="AL141" s="285"/>
      <c r="AM141" s="285"/>
      <c r="AN141" s="285"/>
    </row>
    <row r="142" spans="1:40" x14ac:dyDescent="0.35">
      <c r="A142" s="552"/>
      <c r="B142" s="345" t="s">
        <v>1888</v>
      </c>
      <c r="C142" s="345" t="s">
        <v>1621</v>
      </c>
      <c r="D142" s="340">
        <f>C389</f>
        <v>33</v>
      </c>
      <c r="E142" s="344">
        <v>345</v>
      </c>
      <c r="F142" s="341">
        <v>34.5</v>
      </c>
      <c r="G142" s="340">
        <f t="shared" si="8"/>
        <v>55.224808357268557</v>
      </c>
      <c r="H142" s="339">
        <f>J389</f>
        <v>552.24808357268557</v>
      </c>
      <c r="I142" s="339" t="str">
        <f>K389</f>
        <v>Combined Equip MVA</v>
      </c>
      <c r="J142" s="340">
        <f t="shared" si="9"/>
        <v>79.599999999999994</v>
      </c>
      <c r="K142" s="339">
        <f>L389</f>
        <v>796</v>
      </c>
      <c r="L142" s="339" t="str">
        <f>M389</f>
        <v>Relay Amps</v>
      </c>
      <c r="M142" s="285"/>
      <c r="N142" s="285"/>
      <c r="O142" s="285"/>
      <c r="P142" s="285"/>
      <c r="Q142" s="285"/>
      <c r="R142" s="285"/>
      <c r="S142" s="285"/>
      <c r="T142" s="285"/>
      <c r="U142" s="285"/>
      <c r="V142" s="285"/>
      <c r="W142" s="285"/>
      <c r="X142" s="285"/>
      <c r="Y142" s="285"/>
      <c r="Z142" s="285"/>
      <c r="AA142" s="285"/>
      <c r="AB142" s="285"/>
      <c r="AC142" s="285"/>
      <c r="AD142" s="285"/>
      <c r="AE142" s="285"/>
      <c r="AF142" s="285"/>
      <c r="AG142" s="285"/>
      <c r="AH142" s="285"/>
      <c r="AI142" s="285"/>
      <c r="AJ142" s="285"/>
      <c r="AK142" s="285"/>
      <c r="AL142" s="285"/>
      <c r="AM142" s="285"/>
      <c r="AN142" s="285"/>
    </row>
    <row r="143" spans="1:40" x14ac:dyDescent="0.35">
      <c r="A143" s="552"/>
      <c r="B143" s="345" t="s">
        <v>1640</v>
      </c>
      <c r="C143" s="345" t="s">
        <v>1623</v>
      </c>
      <c r="D143" s="340">
        <f>C377</f>
        <v>12</v>
      </c>
      <c r="E143" s="344">
        <v>345</v>
      </c>
      <c r="F143" s="341">
        <v>34.5</v>
      </c>
      <c r="G143" s="340">
        <f t="shared" ref="G143:G152" si="14">H143/10</f>
        <v>20.081748493552205</v>
      </c>
      <c r="H143" s="339">
        <f>P377</f>
        <v>200.81748493552203</v>
      </c>
      <c r="I143" s="339" t="str">
        <f>Q377</f>
        <v>Combined Equip MVA</v>
      </c>
      <c r="J143" s="340">
        <f t="shared" ref="J143:J152" si="15">K143/10</f>
        <v>60</v>
      </c>
      <c r="K143" s="339">
        <f>R377</f>
        <v>600</v>
      </c>
      <c r="L143" s="339" t="str">
        <f>S377</f>
        <v>Switcher</v>
      </c>
      <c r="M143" s="285"/>
      <c r="N143" s="285"/>
      <c r="O143" s="285"/>
      <c r="P143" s="285"/>
      <c r="Q143" s="285"/>
      <c r="R143" s="285"/>
      <c r="S143" s="285"/>
      <c r="T143" s="285"/>
      <c r="U143" s="285"/>
      <c r="V143" s="285"/>
      <c r="W143" s="285"/>
      <c r="X143" s="285"/>
      <c r="Y143" s="285"/>
      <c r="Z143" s="285"/>
      <c r="AA143" s="285"/>
      <c r="AB143" s="285"/>
      <c r="AC143" s="285"/>
      <c r="AD143" s="285"/>
      <c r="AE143" s="285"/>
      <c r="AF143" s="285"/>
      <c r="AG143" s="285"/>
      <c r="AH143" s="285"/>
      <c r="AI143" s="285"/>
      <c r="AJ143" s="285"/>
      <c r="AK143" s="285"/>
      <c r="AL143" s="285"/>
      <c r="AM143" s="285"/>
      <c r="AN143" s="285"/>
    </row>
    <row r="144" spans="1:40" x14ac:dyDescent="0.35">
      <c r="A144" s="552"/>
      <c r="B144" s="345" t="s">
        <v>1889</v>
      </c>
      <c r="C144" s="345" t="s">
        <v>1626</v>
      </c>
      <c r="D144" s="340">
        <f>C390</f>
        <v>12</v>
      </c>
      <c r="E144" s="344">
        <v>345</v>
      </c>
      <c r="F144" s="341">
        <v>34.5</v>
      </c>
      <c r="G144" s="340">
        <f t="shared" si="14"/>
        <v>20.081748493552205</v>
      </c>
      <c r="H144" s="339">
        <f>J390</f>
        <v>200.81748493552203</v>
      </c>
      <c r="I144" s="339" t="str">
        <f>K390</f>
        <v>Combined Equip MVA</v>
      </c>
      <c r="J144" s="340">
        <f t="shared" si="15"/>
        <v>79.599999999999994</v>
      </c>
      <c r="K144" s="339">
        <f>L390</f>
        <v>796</v>
      </c>
      <c r="L144" s="339" t="str">
        <f>M390</f>
        <v>Relay Amps</v>
      </c>
      <c r="M144" s="285"/>
      <c r="N144" s="285"/>
      <c r="O144" s="285"/>
      <c r="P144" s="285"/>
      <c r="Q144" s="285"/>
      <c r="R144" s="285"/>
      <c r="S144" s="285"/>
      <c r="T144" s="285"/>
      <c r="U144" s="285"/>
      <c r="V144" s="285"/>
      <c r="W144" s="285"/>
      <c r="X144" s="285"/>
      <c r="Y144" s="285"/>
      <c r="Z144" s="285"/>
      <c r="AA144" s="285"/>
      <c r="AB144" s="285"/>
      <c r="AC144" s="285"/>
      <c r="AD144" s="285"/>
      <c r="AE144" s="285"/>
      <c r="AF144" s="285"/>
      <c r="AG144" s="285"/>
      <c r="AH144" s="285"/>
      <c r="AI144" s="285"/>
      <c r="AJ144" s="285"/>
      <c r="AK144" s="285"/>
      <c r="AL144" s="285"/>
      <c r="AM144" s="285"/>
      <c r="AN144" s="285"/>
    </row>
    <row r="145" spans="1:40" x14ac:dyDescent="0.35">
      <c r="A145" s="552"/>
      <c r="B145" s="285">
        <v>1250</v>
      </c>
      <c r="C145" s="344" t="s">
        <v>1627</v>
      </c>
      <c r="D145" s="285">
        <f>C399</f>
        <v>33</v>
      </c>
      <c r="E145" s="344">
        <v>345</v>
      </c>
      <c r="F145" s="341">
        <v>34.5</v>
      </c>
      <c r="G145" s="340">
        <f t="shared" si="14"/>
        <v>55.224808357268557</v>
      </c>
      <c r="H145" s="339">
        <f>Q399</f>
        <v>552.24808357268557</v>
      </c>
      <c r="I145" s="339" t="str">
        <f>R399</f>
        <v>Combined Equip MVA</v>
      </c>
      <c r="J145" s="340">
        <f t="shared" si="15"/>
        <v>79.599999999999994</v>
      </c>
      <c r="K145" s="348">
        <f>S399</f>
        <v>796</v>
      </c>
      <c r="L145" s="348" t="str">
        <f>T399</f>
        <v>Relay Amps</v>
      </c>
      <c r="M145" s="285"/>
      <c r="N145" s="285"/>
      <c r="O145" s="285"/>
      <c r="P145" s="285"/>
      <c r="Q145" s="285"/>
      <c r="R145" s="285"/>
      <c r="S145" s="285"/>
      <c r="T145" s="285"/>
      <c r="U145" s="285"/>
      <c r="V145" s="285"/>
      <c r="W145" s="285"/>
      <c r="X145" s="285"/>
      <c r="Y145" s="285"/>
      <c r="Z145" s="285"/>
      <c r="AA145" s="285"/>
      <c r="AB145" s="285"/>
      <c r="AC145" s="285"/>
      <c r="AD145" s="285"/>
      <c r="AE145" s="285"/>
      <c r="AF145" s="285"/>
      <c r="AG145" s="285"/>
      <c r="AH145" s="285"/>
      <c r="AI145" s="285"/>
      <c r="AJ145" s="285"/>
      <c r="AK145" s="285"/>
      <c r="AL145" s="285"/>
      <c r="AM145" s="285"/>
      <c r="AN145" s="285"/>
    </row>
    <row r="146" spans="1:40" x14ac:dyDescent="0.35">
      <c r="A146" s="552"/>
      <c r="B146" s="345">
        <v>1001</v>
      </c>
      <c r="C146" s="345" t="s">
        <v>1875</v>
      </c>
      <c r="D146" s="340">
        <f>C415</f>
        <v>157.04090637792436</v>
      </c>
      <c r="E146" s="344">
        <v>345</v>
      </c>
      <c r="F146" s="341">
        <v>34.5</v>
      </c>
      <c r="G146" s="340">
        <f t="shared" si="14"/>
        <v>261.06273041617862</v>
      </c>
      <c r="H146" s="339">
        <f>R415</f>
        <v>2610.6273041617865</v>
      </c>
      <c r="I146" s="339" t="str">
        <f>S415</f>
        <v>Main Power Transformer</v>
      </c>
      <c r="J146" s="340">
        <f t="shared" si="15"/>
        <v>262.80466542341287</v>
      </c>
      <c r="K146" s="339">
        <f>T415</f>
        <v>2628.0466542341287</v>
      </c>
      <c r="L146" s="339" t="str">
        <f>U415</f>
        <v>Combined Equip MVA</v>
      </c>
      <c r="M146" s="285"/>
      <c r="N146" s="285"/>
      <c r="O146" s="285"/>
      <c r="P146" s="285"/>
      <c r="Q146" s="285"/>
      <c r="R146" s="285"/>
      <c r="S146" s="285"/>
      <c r="T146" s="285"/>
      <c r="U146" s="285"/>
      <c r="V146" s="285"/>
      <c r="W146" s="285"/>
      <c r="X146" s="285"/>
      <c r="Y146" s="285"/>
      <c r="Z146" s="285"/>
      <c r="AA146" s="285"/>
      <c r="AB146" s="285"/>
      <c r="AC146" s="285"/>
      <c r="AD146" s="285"/>
      <c r="AE146" s="285"/>
      <c r="AF146" s="285"/>
      <c r="AG146" s="285"/>
      <c r="AH146" s="285"/>
      <c r="AI146" s="285"/>
      <c r="AJ146" s="285"/>
      <c r="AK146" s="285"/>
      <c r="AL146" s="285"/>
      <c r="AM146" s="285"/>
      <c r="AN146" s="285"/>
    </row>
    <row r="147" spans="1:40" x14ac:dyDescent="0.35">
      <c r="A147" s="552"/>
      <c r="B147" s="345" t="s">
        <v>1876</v>
      </c>
      <c r="C147" s="345" t="s">
        <v>1645</v>
      </c>
      <c r="D147" s="340">
        <f>C407</f>
        <v>157.04090637792436</v>
      </c>
      <c r="E147" s="344">
        <v>345</v>
      </c>
      <c r="F147" s="341">
        <v>34.5</v>
      </c>
      <c r="G147" s="340">
        <f t="shared" si="14"/>
        <v>261.06273041617862</v>
      </c>
      <c r="H147" s="339">
        <f>AI407</f>
        <v>2610.6273041617865</v>
      </c>
      <c r="I147" s="339" t="str">
        <f>AJ407</f>
        <v>Main Power Transformer</v>
      </c>
      <c r="J147" s="340">
        <f t="shared" si="15"/>
        <v>262.80466542341287</v>
      </c>
      <c r="K147" s="339">
        <f>AK407</f>
        <v>2628.0466542341287</v>
      </c>
      <c r="L147" s="339" t="str">
        <f>AL407</f>
        <v>Combined Equip MVA</v>
      </c>
      <c r="M147" s="285"/>
      <c r="N147" s="285"/>
      <c r="O147" s="285"/>
      <c r="P147" s="285"/>
      <c r="Q147" s="285"/>
      <c r="R147" s="285"/>
      <c r="S147" s="285"/>
      <c r="T147" s="285"/>
      <c r="U147" s="285"/>
      <c r="V147" s="285"/>
      <c r="W147" s="285"/>
      <c r="X147" s="285"/>
      <c r="Y147" s="285"/>
      <c r="Z147" s="285"/>
      <c r="AA147" s="285"/>
      <c r="AB147" s="285"/>
      <c r="AC147" s="285"/>
      <c r="AD147" s="285"/>
      <c r="AE147" s="285"/>
      <c r="AF147" s="285"/>
      <c r="AG147" s="285"/>
      <c r="AH147" s="285"/>
      <c r="AI147" s="285"/>
      <c r="AJ147" s="285"/>
      <c r="AK147" s="285"/>
      <c r="AL147" s="285"/>
      <c r="AM147" s="285"/>
      <c r="AN147" s="285"/>
    </row>
    <row r="148" spans="1:40" x14ac:dyDescent="0.35">
      <c r="A148" s="552"/>
      <c r="B148" s="345" t="s">
        <v>1877</v>
      </c>
      <c r="C148" s="345" t="s">
        <v>1645</v>
      </c>
      <c r="D148" s="340">
        <f>C408</f>
        <v>152.5054241658309</v>
      </c>
      <c r="E148" s="344">
        <v>345</v>
      </c>
      <c r="F148" s="341">
        <v>34.5</v>
      </c>
      <c r="G148" s="340">
        <f t="shared" si="14"/>
        <v>255.21463100005948</v>
      </c>
      <c r="H148" s="339">
        <f>AI408</f>
        <v>2552.1463100005949</v>
      </c>
      <c r="I148" s="339" t="str">
        <f>AJ408</f>
        <v>Combined Equip MVA</v>
      </c>
      <c r="J148" s="340">
        <f t="shared" si="15"/>
        <v>261.06273041617862</v>
      </c>
      <c r="K148" s="339">
        <f>AK408</f>
        <v>2610.6273041617865</v>
      </c>
      <c r="L148" s="339" t="str">
        <f>AL408</f>
        <v>Main Power Transformer</v>
      </c>
      <c r="M148" s="285"/>
      <c r="N148" s="285"/>
      <c r="O148" s="285"/>
      <c r="P148" s="285"/>
      <c r="Q148" s="285"/>
      <c r="R148" s="285"/>
      <c r="S148" s="285"/>
      <c r="T148" s="285"/>
      <c r="U148" s="285"/>
      <c r="V148" s="285"/>
      <c r="W148" s="285"/>
      <c r="X148" s="285"/>
      <c r="Y148" s="285"/>
      <c r="Z148" s="285"/>
      <c r="AA148" s="285"/>
      <c r="AB148" s="285"/>
      <c r="AC148" s="285"/>
      <c r="AD148" s="285"/>
      <c r="AE148" s="285"/>
      <c r="AF148" s="285"/>
      <c r="AG148" s="285"/>
      <c r="AH148" s="285"/>
      <c r="AI148" s="285"/>
      <c r="AJ148" s="285"/>
      <c r="AK148" s="285"/>
      <c r="AL148" s="285"/>
      <c r="AM148" s="285"/>
      <c r="AN148" s="285"/>
    </row>
    <row r="149" spans="1:40" x14ac:dyDescent="0.35">
      <c r="A149" s="552"/>
      <c r="B149" s="345" t="s">
        <v>1876</v>
      </c>
      <c r="C149" s="345" t="s">
        <v>1648</v>
      </c>
      <c r="D149" s="340">
        <f>C423</f>
        <v>309.54633054375529</v>
      </c>
      <c r="E149" s="344">
        <v>345</v>
      </c>
      <c r="F149" s="341">
        <v>34.5</v>
      </c>
      <c r="G149" s="340">
        <f t="shared" si="14"/>
        <v>261.06273041617862</v>
      </c>
      <c r="H149" s="339">
        <f>J423</f>
        <v>2610.6273041617865</v>
      </c>
      <c r="I149" s="339" t="str">
        <f>K423</f>
        <v>Main Power Transformer</v>
      </c>
      <c r="J149" s="340">
        <f t="shared" si="15"/>
        <v>524</v>
      </c>
      <c r="K149" s="347">
        <f>L423</f>
        <v>5240</v>
      </c>
      <c r="L149" s="347" t="str">
        <f>M423</f>
        <v>LS XFMR CT</v>
      </c>
      <c r="M149" s="285"/>
      <c r="N149" s="285"/>
      <c r="O149" s="285"/>
      <c r="P149" s="285"/>
      <c r="Q149" s="285"/>
      <c r="R149" s="285"/>
      <c r="S149" s="285"/>
      <c r="T149" s="285"/>
      <c r="U149" s="285"/>
      <c r="V149" s="285"/>
      <c r="W149" s="285"/>
      <c r="X149" s="285"/>
      <c r="Y149" s="285"/>
      <c r="Z149" s="285"/>
      <c r="AA149" s="285"/>
      <c r="AB149" s="285"/>
      <c r="AC149" s="285"/>
      <c r="AD149" s="285"/>
      <c r="AE149" s="285"/>
      <c r="AF149" s="285"/>
      <c r="AG149" s="285"/>
      <c r="AH149" s="285"/>
      <c r="AI149" s="285"/>
      <c r="AJ149" s="285"/>
      <c r="AK149" s="285"/>
      <c r="AL149" s="285"/>
      <c r="AM149" s="285"/>
      <c r="AN149" s="285"/>
    </row>
    <row r="150" spans="1:40" x14ac:dyDescent="0.35">
      <c r="A150" s="552"/>
      <c r="B150" s="345" t="s">
        <v>1877</v>
      </c>
      <c r="C150" s="345" t="s">
        <v>1648</v>
      </c>
      <c r="D150" s="340">
        <f>C424</f>
        <v>309.54633054375529</v>
      </c>
      <c r="E150" s="344">
        <v>345</v>
      </c>
      <c r="F150" s="341">
        <v>34.5</v>
      </c>
      <c r="G150" s="340">
        <f t="shared" si="14"/>
        <v>261.06273041617862</v>
      </c>
      <c r="H150" s="339">
        <f>J424</f>
        <v>2610.6273041617865</v>
      </c>
      <c r="I150" s="339" t="str">
        <f>K424</f>
        <v>Main Power Transformer</v>
      </c>
      <c r="J150" s="340">
        <f t="shared" si="15"/>
        <v>524</v>
      </c>
      <c r="K150" s="347">
        <f>L424</f>
        <v>5240</v>
      </c>
      <c r="L150" s="347" t="str">
        <f>M424</f>
        <v>LS XFMR CT</v>
      </c>
      <c r="M150" s="285"/>
      <c r="N150" s="285"/>
      <c r="O150" s="285"/>
      <c r="P150" s="285"/>
      <c r="Q150" s="285"/>
      <c r="R150" s="285"/>
      <c r="S150" s="285"/>
      <c r="T150" s="285"/>
      <c r="U150" s="285"/>
      <c r="V150" s="285"/>
      <c r="W150" s="285"/>
      <c r="X150" s="285"/>
      <c r="Y150" s="285"/>
      <c r="Z150" s="285"/>
      <c r="AA150" s="285"/>
      <c r="AB150" s="285"/>
      <c r="AC150" s="285"/>
      <c r="AD150" s="285"/>
      <c r="AE150" s="285"/>
      <c r="AF150" s="285"/>
      <c r="AG150" s="285"/>
      <c r="AH150" s="285"/>
      <c r="AI150" s="285"/>
      <c r="AJ150" s="285"/>
      <c r="AK150" s="285"/>
      <c r="AL150" s="285"/>
      <c r="AM150" s="285"/>
      <c r="AN150" s="285"/>
    </row>
    <row r="151" spans="1:40" x14ac:dyDescent="0.35">
      <c r="A151" s="553"/>
      <c r="B151" s="346" t="s">
        <v>2353</v>
      </c>
      <c r="C151" s="345" t="s">
        <v>1890</v>
      </c>
      <c r="D151" s="340">
        <f>SUM(C407:C408)</f>
        <v>309.54633054375529</v>
      </c>
      <c r="E151" s="344">
        <v>345</v>
      </c>
      <c r="F151" s="341">
        <v>34.5</v>
      </c>
      <c r="G151" s="340">
        <f t="shared" si="14"/>
        <v>518.01929642347238</v>
      </c>
      <c r="H151" s="339">
        <f>M436</f>
        <v>5180.1929642347241</v>
      </c>
      <c r="I151" s="339" t="str">
        <f>N436</f>
        <v>Combined Equip MVA</v>
      </c>
      <c r="J151" s="340">
        <f t="shared" si="15"/>
        <v>522.20000000000005</v>
      </c>
      <c r="K151" s="339">
        <f>O436</f>
        <v>5222</v>
      </c>
      <c r="L151" s="339" t="str">
        <f>P436</f>
        <v>Main Power Transformer</v>
      </c>
      <c r="M151" s="285"/>
      <c r="N151" s="285"/>
      <c r="O151" s="285"/>
      <c r="P151" s="285"/>
      <c r="Q151" s="285"/>
      <c r="R151" s="285"/>
      <c r="S151" s="285"/>
      <c r="T151" s="285"/>
      <c r="U151" s="285"/>
      <c r="V151" s="285"/>
      <c r="W151" s="285"/>
      <c r="X151" s="285"/>
      <c r="Y151" s="285"/>
      <c r="Z151" s="285"/>
      <c r="AA151" s="285"/>
      <c r="AB151" s="285"/>
      <c r="AC151" s="285"/>
      <c r="AD151" s="285"/>
      <c r="AE151" s="285"/>
      <c r="AF151" s="285"/>
      <c r="AG151" s="285"/>
      <c r="AH151" s="285"/>
      <c r="AI151" s="285"/>
      <c r="AJ151" s="285"/>
      <c r="AK151" s="285"/>
      <c r="AL151" s="285"/>
      <c r="AM151" s="285"/>
      <c r="AN151" s="285"/>
    </row>
    <row r="152" spans="1:40" x14ac:dyDescent="0.35">
      <c r="A152" s="344" t="s">
        <v>1891</v>
      </c>
      <c r="B152" s="343" t="s">
        <v>2354</v>
      </c>
      <c r="C152" s="341" t="s">
        <v>1892</v>
      </c>
      <c r="D152" s="342">
        <f>D113+D151</f>
        <v>568.53128740832165</v>
      </c>
      <c r="E152" s="341">
        <v>345</v>
      </c>
      <c r="F152" s="341">
        <v>34.5</v>
      </c>
      <c r="G152" s="340">
        <f t="shared" si="14"/>
        <v>951.42519370411287</v>
      </c>
      <c r="H152" s="339">
        <f>W433</f>
        <v>9514.2519370411283</v>
      </c>
      <c r="I152" s="339" t="str">
        <f>X433</f>
        <v>Combined Equip MVA</v>
      </c>
      <c r="J152" s="340">
        <f t="shared" si="15"/>
        <v>1200</v>
      </c>
      <c r="K152" s="339">
        <f>Y433</f>
        <v>12000</v>
      </c>
      <c r="L152" s="339" t="str">
        <f>Z433</f>
        <v>Disconnect*</v>
      </c>
      <c r="M152" s="285"/>
      <c r="N152" s="285"/>
      <c r="O152" s="285"/>
      <c r="P152" s="285"/>
      <c r="Q152" s="285"/>
      <c r="R152" s="285"/>
      <c r="S152" s="285"/>
      <c r="T152" s="285"/>
      <c r="U152" s="285"/>
      <c r="V152" s="285"/>
      <c r="W152" s="285"/>
      <c r="X152" s="285"/>
      <c r="Y152" s="285"/>
      <c r="Z152" s="285"/>
      <c r="AA152" s="285"/>
      <c r="AB152" s="285"/>
      <c r="AC152" s="285"/>
      <c r="AD152" s="285"/>
      <c r="AE152" s="285"/>
      <c r="AF152" s="285"/>
      <c r="AG152" s="285"/>
      <c r="AH152" s="285"/>
      <c r="AI152" s="285"/>
      <c r="AJ152" s="285"/>
      <c r="AK152" s="285"/>
      <c r="AL152" s="285"/>
      <c r="AM152" s="285"/>
      <c r="AN152" s="285"/>
    </row>
    <row r="154" spans="1:40" x14ac:dyDescent="0.35">
      <c r="A154" s="284" t="s">
        <v>1676</v>
      </c>
      <c r="K154" s="284" t="s">
        <v>1410</v>
      </c>
    </row>
    <row r="155" spans="1:40" x14ac:dyDescent="0.35">
      <c r="A155" s="284" t="s">
        <v>1677</v>
      </c>
    </row>
    <row r="156" spans="1:40" ht="16.5" x14ac:dyDescent="0.35">
      <c r="A156" s="338" t="s">
        <v>2753</v>
      </c>
    </row>
    <row r="157" spans="1:40" x14ac:dyDescent="0.35">
      <c r="A157" s="284" t="s">
        <v>1893</v>
      </c>
    </row>
    <row r="158" spans="1:40" x14ac:dyDescent="0.35">
      <c r="A158" s="284" t="s">
        <v>1894</v>
      </c>
    </row>
    <row r="160" spans="1:40" x14ac:dyDescent="0.35">
      <c r="A160" s="337" t="s">
        <v>1555</v>
      </c>
      <c r="B160" s="337" t="s">
        <v>1556</v>
      </c>
      <c r="C160" s="556" t="s">
        <v>1557</v>
      </c>
      <c r="D160" s="557"/>
      <c r="E160" s="557"/>
      <c r="F160" s="557"/>
      <c r="G160" s="557"/>
      <c r="H160" s="557"/>
      <c r="I160" s="557"/>
      <c r="J160" s="557"/>
      <c r="K160" s="558"/>
      <c r="L160" s="310"/>
      <c r="M160" s="310"/>
      <c r="N160" s="310"/>
      <c r="O160" s="310"/>
      <c r="P160" s="310"/>
      <c r="Q160" s="310"/>
      <c r="R160" s="310"/>
      <c r="S160" s="310"/>
      <c r="T160" s="310"/>
      <c r="U160" s="310"/>
    </row>
    <row r="161" spans="1:21" ht="15" customHeight="1" x14ac:dyDescent="0.35">
      <c r="A161" s="334">
        <v>43335</v>
      </c>
      <c r="B161" s="333">
        <v>1</v>
      </c>
      <c r="C161" s="547" t="s">
        <v>1678</v>
      </c>
      <c r="D161" s="547"/>
      <c r="E161" s="547"/>
      <c r="F161" s="547"/>
      <c r="G161" s="547"/>
      <c r="H161" s="547"/>
      <c r="I161" s="547"/>
      <c r="J161" s="547"/>
      <c r="K161" s="547"/>
      <c r="L161" s="331"/>
      <c r="M161" s="331"/>
      <c r="N161" s="331"/>
      <c r="O161" s="331"/>
      <c r="P161" s="331"/>
      <c r="Q161" s="331"/>
      <c r="R161" s="331"/>
      <c r="S161" s="331"/>
      <c r="T161" s="331"/>
      <c r="U161" s="331"/>
    </row>
    <row r="162" spans="1:21" ht="15" customHeight="1" x14ac:dyDescent="0.35">
      <c r="A162" s="334">
        <v>43371</v>
      </c>
      <c r="B162" s="333">
        <v>2</v>
      </c>
      <c r="C162" s="547" t="s">
        <v>1679</v>
      </c>
      <c r="D162" s="547"/>
      <c r="E162" s="547"/>
      <c r="F162" s="547"/>
      <c r="G162" s="547"/>
      <c r="H162" s="547"/>
      <c r="I162" s="547"/>
      <c r="J162" s="547"/>
      <c r="K162" s="547"/>
      <c r="L162" s="331"/>
      <c r="M162" s="331"/>
      <c r="N162" s="331"/>
      <c r="O162" s="331"/>
      <c r="P162" s="331"/>
      <c r="Q162" s="331"/>
      <c r="R162" s="331"/>
      <c r="S162" s="331"/>
      <c r="T162" s="331"/>
      <c r="U162" s="331"/>
    </row>
    <row r="163" spans="1:21" ht="15" customHeight="1" x14ac:dyDescent="0.35">
      <c r="A163" s="334">
        <v>43636</v>
      </c>
      <c r="B163" s="333">
        <v>3</v>
      </c>
      <c r="C163" s="547" t="s">
        <v>1680</v>
      </c>
      <c r="D163" s="547"/>
      <c r="E163" s="547"/>
      <c r="F163" s="547"/>
      <c r="G163" s="547"/>
      <c r="H163" s="547"/>
      <c r="I163" s="547"/>
      <c r="J163" s="547"/>
      <c r="K163" s="547"/>
      <c r="L163" s="331"/>
      <c r="M163" s="331"/>
      <c r="N163" s="331"/>
      <c r="O163" s="331"/>
      <c r="P163" s="331"/>
      <c r="Q163" s="331"/>
      <c r="R163" s="331"/>
      <c r="S163" s="331"/>
      <c r="T163" s="331"/>
      <c r="U163" s="331"/>
    </row>
    <row r="164" spans="1:21" ht="15" customHeight="1" x14ac:dyDescent="0.35">
      <c r="A164" s="334">
        <v>43721</v>
      </c>
      <c r="B164" s="333">
        <v>4</v>
      </c>
      <c r="C164" s="547" t="s">
        <v>1821</v>
      </c>
      <c r="D164" s="547"/>
      <c r="E164" s="547"/>
      <c r="F164" s="547"/>
      <c r="G164" s="547"/>
      <c r="H164" s="547"/>
      <c r="I164" s="547"/>
      <c r="J164" s="547"/>
      <c r="K164" s="547"/>
      <c r="L164" s="331"/>
      <c r="M164" s="331"/>
      <c r="N164" s="331"/>
      <c r="O164" s="331"/>
      <c r="P164" s="331"/>
      <c r="Q164" s="331"/>
      <c r="R164" s="331"/>
      <c r="S164" s="331"/>
      <c r="T164" s="331"/>
      <c r="U164" s="331"/>
    </row>
    <row r="165" spans="1:21" ht="15" customHeight="1" x14ac:dyDescent="0.35">
      <c r="A165" s="334">
        <v>43787</v>
      </c>
      <c r="B165" s="333">
        <v>5</v>
      </c>
      <c r="C165" s="547" t="s">
        <v>1823</v>
      </c>
      <c r="D165" s="547"/>
      <c r="E165" s="547"/>
      <c r="F165" s="547"/>
      <c r="G165" s="547"/>
      <c r="H165" s="547"/>
      <c r="I165" s="547"/>
      <c r="J165" s="547"/>
      <c r="K165" s="547"/>
      <c r="L165" s="331"/>
      <c r="M165" s="331"/>
      <c r="N165" s="331"/>
      <c r="O165" s="331"/>
      <c r="P165" s="331"/>
      <c r="Q165" s="331"/>
      <c r="R165" s="331"/>
      <c r="S165" s="331"/>
      <c r="T165" s="331"/>
      <c r="U165" s="331"/>
    </row>
    <row r="166" spans="1:21" ht="15" customHeight="1" x14ac:dyDescent="0.35">
      <c r="A166" s="334">
        <v>43920</v>
      </c>
      <c r="B166" s="333">
        <v>6</v>
      </c>
      <c r="C166" s="547" t="s">
        <v>1859</v>
      </c>
      <c r="D166" s="547"/>
      <c r="E166" s="547"/>
      <c r="F166" s="547"/>
      <c r="G166" s="547"/>
      <c r="H166" s="547"/>
      <c r="I166" s="547"/>
      <c r="J166" s="547"/>
      <c r="K166" s="547"/>
      <c r="L166" s="331"/>
      <c r="M166" s="331"/>
      <c r="N166" s="331"/>
      <c r="O166" s="331"/>
      <c r="P166" s="331"/>
      <c r="Q166" s="331"/>
      <c r="R166" s="331"/>
      <c r="S166" s="331"/>
      <c r="T166" s="331"/>
      <c r="U166" s="331"/>
    </row>
    <row r="167" spans="1:21" ht="15" customHeight="1" x14ac:dyDescent="0.35">
      <c r="A167" s="336">
        <v>44064</v>
      </c>
      <c r="B167" s="335">
        <v>7</v>
      </c>
      <c r="C167" s="547" t="s">
        <v>1895</v>
      </c>
      <c r="D167" s="547"/>
      <c r="E167" s="547"/>
      <c r="F167" s="547"/>
      <c r="G167" s="547"/>
      <c r="H167" s="547"/>
      <c r="I167" s="547"/>
      <c r="J167" s="547"/>
      <c r="K167" s="547"/>
      <c r="L167" s="331"/>
      <c r="M167" s="331"/>
      <c r="N167" s="331"/>
      <c r="O167" s="331"/>
      <c r="P167" s="331"/>
      <c r="Q167" s="331"/>
      <c r="R167" s="331"/>
      <c r="S167" s="331"/>
      <c r="T167" s="331"/>
      <c r="U167" s="331"/>
    </row>
    <row r="168" spans="1:21" ht="15" customHeight="1" x14ac:dyDescent="0.35">
      <c r="A168" s="334">
        <v>44435</v>
      </c>
      <c r="B168" s="333">
        <v>8</v>
      </c>
      <c r="C168" s="547" t="s">
        <v>2355</v>
      </c>
      <c r="D168" s="547"/>
      <c r="E168" s="547"/>
      <c r="F168" s="547"/>
      <c r="G168" s="547"/>
      <c r="H168" s="547"/>
      <c r="I168" s="547"/>
      <c r="J168" s="547"/>
      <c r="K168" s="547"/>
      <c r="L168" s="331"/>
      <c r="M168" s="331"/>
      <c r="N168" s="331"/>
      <c r="O168" s="331"/>
      <c r="P168" s="331"/>
      <c r="Q168" s="331"/>
      <c r="R168" s="331"/>
      <c r="S168" s="331"/>
      <c r="T168" s="331"/>
      <c r="U168" s="331"/>
    </row>
    <row r="169" spans="1:21" ht="15" customHeight="1" x14ac:dyDescent="0.35">
      <c r="A169" s="334">
        <v>45120</v>
      </c>
      <c r="B169" s="333">
        <v>9</v>
      </c>
      <c r="C169" s="547" t="s">
        <v>2560</v>
      </c>
      <c r="D169" s="547"/>
      <c r="E169" s="547"/>
      <c r="F169" s="547"/>
      <c r="G169" s="547"/>
      <c r="H169" s="547"/>
      <c r="I169" s="547"/>
      <c r="J169" s="547"/>
      <c r="K169" s="547"/>
      <c r="L169" s="331"/>
      <c r="M169" s="331"/>
      <c r="N169" s="331"/>
      <c r="O169" s="331"/>
      <c r="P169" s="331"/>
      <c r="Q169" s="331"/>
      <c r="R169" s="331"/>
      <c r="S169" s="331"/>
      <c r="T169" s="331"/>
      <c r="U169" s="331"/>
    </row>
    <row r="170" spans="1:21" ht="15" customHeight="1" x14ac:dyDescent="0.35">
      <c r="A170" s="330"/>
      <c r="B170" s="311"/>
      <c r="C170" s="331"/>
      <c r="D170" s="331"/>
      <c r="E170" s="331"/>
      <c r="F170" s="331"/>
      <c r="G170" s="331"/>
      <c r="H170" s="331"/>
      <c r="I170" s="331"/>
      <c r="J170" s="331"/>
      <c r="K170" s="331"/>
      <c r="L170" s="331"/>
      <c r="M170" s="331"/>
      <c r="N170" s="331"/>
      <c r="O170" s="331"/>
      <c r="P170" s="331"/>
      <c r="Q170" s="331"/>
      <c r="R170" s="331"/>
      <c r="S170" s="331"/>
      <c r="T170" s="331"/>
      <c r="U170" s="331"/>
    </row>
    <row r="171" spans="1:21" ht="15" customHeight="1" x14ac:dyDescent="0.35">
      <c r="A171" s="332" t="s">
        <v>1896</v>
      </c>
      <c r="B171" s="311"/>
      <c r="C171" s="331"/>
      <c r="D171" s="331"/>
      <c r="E171" s="331"/>
      <c r="F171" s="331"/>
      <c r="G171" s="331"/>
      <c r="H171" s="331"/>
      <c r="I171" s="331"/>
      <c r="J171" s="331"/>
      <c r="K171" s="331"/>
      <c r="L171" s="331"/>
      <c r="M171" s="331"/>
      <c r="N171" s="331"/>
      <c r="O171" s="331"/>
      <c r="P171" s="331"/>
      <c r="Q171" s="331"/>
      <c r="R171" s="331"/>
      <c r="S171" s="331"/>
      <c r="T171" s="331"/>
      <c r="U171" s="331"/>
    </row>
    <row r="172" spans="1:21" ht="15" customHeight="1" x14ac:dyDescent="0.35">
      <c r="A172" s="330"/>
      <c r="B172" s="311"/>
      <c r="C172" s="331"/>
      <c r="D172" s="331"/>
      <c r="E172" s="331"/>
      <c r="F172" s="331"/>
      <c r="G172" s="331"/>
      <c r="H172" s="331"/>
      <c r="I172" s="331"/>
      <c r="J172" s="331"/>
      <c r="K172" s="331"/>
      <c r="L172" s="331"/>
      <c r="M172" s="331"/>
      <c r="N172" s="331"/>
      <c r="O172" s="331"/>
      <c r="P172" s="331"/>
      <c r="Q172" s="331"/>
      <c r="R172" s="331"/>
      <c r="S172" s="331"/>
      <c r="T172" s="331"/>
      <c r="U172" s="331"/>
    </row>
    <row r="173" spans="1:21" ht="15" customHeight="1" x14ac:dyDescent="0.35">
      <c r="A173" s="332" t="s">
        <v>1681</v>
      </c>
      <c r="B173" s="311"/>
      <c r="C173" s="331"/>
      <c r="D173" s="331"/>
      <c r="E173" s="331"/>
      <c r="F173" s="331"/>
      <c r="G173" s="331"/>
      <c r="H173" s="331"/>
      <c r="I173" s="331"/>
      <c r="J173" s="331"/>
      <c r="K173" s="331"/>
      <c r="L173" s="331"/>
      <c r="M173" s="331"/>
      <c r="N173" s="331"/>
      <c r="O173" s="331"/>
      <c r="P173" s="331"/>
      <c r="Q173" s="331"/>
      <c r="R173" s="331"/>
      <c r="S173" s="331"/>
      <c r="T173" s="331"/>
      <c r="U173" s="331"/>
    </row>
    <row r="174" spans="1:21" ht="15" customHeight="1" x14ac:dyDescent="0.35">
      <c r="A174" s="548" t="s">
        <v>1682</v>
      </c>
      <c r="B174" s="548"/>
      <c r="C174" s="331"/>
      <c r="D174" s="548" t="s">
        <v>1683</v>
      </c>
      <c r="E174" s="548"/>
      <c r="F174" s="331"/>
      <c r="G174" s="331"/>
      <c r="H174" s="331"/>
      <c r="I174" s="331"/>
      <c r="J174" s="331"/>
      <c r="K174" s="331"/>
      <c r="L174" s="331"/>
      <c r="M174" s="331"/>
      <c r="N174" s="331"/>
      <c r="O174" s="331"/>
      <c r="P174" s="331"/>
      <c r="Q174" s="331"/>
      <c r="R174" s="331"/>
      <c r="S174" s="331"/>
      <c r="T174" s="331"/>
      <c r="U174" s="331"/>
    </row>
    <row r="175" spans="1:21" x14ac:dyDescent="0.35">
      <c r="A175" s="284" t="s">
        <v>1684</v>
      </c>
      <c r="B175" s="284">
        <v>2</v>
      </c>
      <c r="D175" s="284" t="s">
        <v>1684</v>
      </c>
      <c r="E175" s="284">
        <v>2</v>
      </c>
    </row>
    <row r="176" spans="1:21" x14ac:dyDescent="0.35">
      <c r="A176" s="284" t="s">
        <v>1685</v>
      </c>
      <c r="B176" s="284">
        <v>0.66</v>
      </c>
      <c r="D176" s="284" t="s">
        <v>1685</v>
      </c>
      <c r="E176" s="284">
        <v>0.58299999999999996</v>
      </c>
    </row>
    <row r="177" spans="1:83" x14ac:dyDescent="0.35">
      <c r="A177" s="330" t="s">
        <v>1686</v>
      </c>
      <c r="B177" s="329">
        <v>0.66</v>
      </c>
      <c r="D177" s="330" t="s">
        <v>1686</v>
      </c>
      <c r="E177" s="329">
        <v>0.40600000000000003</v>
      </c>
    </row>
    <row r="178" spans="1:83" x14ac:dyDescent="0.35">
      <c r="A178" s="284" t="s">
        <v>1687</v>
      </c>
      <c r="B178" s="284">
        <f>SQRT(B175^2+B176^2)</f>
        <v>2.1060864179800411</v>
      </c>
      <c r="D178" s="284" t="s">
        <v>1687</v>
      </c>
      <c r="E178" s="284">
        <f>SQRT(E175^2+E176^2)</f>
        <v>2.0832400245771008</v>
      </c>
    </row>
    <row r="179" spans="1:83" x14ac:dyDescent="0.35">
      <c r="A179" s="284" t="s">
        <v>1688</v>
      </c>
      <c r="B179" s="284">
        <f>SQRT(B175^2+B177^2)</f>
        <v>2.1060864179800411</v>
      </c>
      <c r="D179" s="284" t="s">
        <v>1688</v>
      </c>
      <c r="E179" s="284">
        <f>SQRT(E175^2+E177^2)</f>
        <v>2.0407929831318024</v>
      </c>
    </row>
    <row r="181" spans="1:83" x14ac:dyDescent="0.35">
      <c r="A181" s="310" t="s">
        <v>1689</v>
      </c>
      <c r="B181" s="290"/>
      <c r="C181" s="290"/>
      <c r="D181" s="290"/>
      <c r="E181" s="290"/>
      <c r="F181" s="290"/>
      <c r="G181" s="290"/>
      <c r="H181" s="290"/>
      <c r="I181" s="290"/>
      <c r="J181" s="290"/>
      <c r="K181" s="290"/>
      <c r="L181" s="290"/>
      <c r="M181" s="290"/>
      <c r="N181" s="290"/>
      <c r="O181" s="290"/>
      <c r="P181" s="290"/>
      <c r="Q181" s="290"/>
      <c r="R181" s="290"/>
      <c r="S181" s="290"/>
      <c r="T181" s="290"/>
      <c r="U181" s="290"/>
      <c r="V181" s="290"/>
      <c r="W181" s="290"/>
      <c r="X181" s="290"/>
      <c r="Y181" s="290"/>
      <c r="Z181" s="290"/>
      <c r="AA181" s="290"/>
      <c r="AB181" s="290"/>
      <c r="AC181" s="290"/>
      <c r="AD181" s="290"/>
      <c r="AE181" s="290"/>
      <c r="AF181" s="290"/>
      <c r="AG181" s="290"/>
      <c r="AH181" s="290"/>
      <c r="AI181" s="290"/>
      <c r="AJ181" s="290"/>
      <c r="AK181" s="290"/>
      <c r="AL181" s="290"/>
      <c r="AM181" s="290"/>
      <c r="AN181" s="290"/>
      <c r="AO181" s="290"/>
      <c r="AP181" s="290"/>
      <c r="AQ181" s="290"/>
      <c r="AR181" s="290"/>
      <c r="AS181" s="290"/>
      <c r="AT181" s="290"/>
      <c r="AU181" s="290"/>
      <c r="AV181" s="290"/>
      <c r="AW181" s="290"/>
      <c r="AX181" s="290"/>
      <c r="AY181" s="290"/>
      <c r="AZ181" s="290"/>
      <c r="BA181" s="290"/>
      <c r="BB181" s="290"/>
      <c r="BC181" s="290"/>
      <c r="BD181" s="290"/>
      <c r="BE181" s="290"/>
      <c r="BF181" s="290"/>
      <c r="BG181" s="290"/>
      <c r="BH181" s="290"/>
      <c r="BI181" s="290"/>
      <c r="BJ181" s="290"/>
      <c r="BK181" s="290"/>
      <c r="BL181" s="290"/>
      <c r="BM181" s="290"/>
      <c r="BN181" s="290"/>
      <c r="BO181" s="290"/>
      <c r="BP181" s="290"/>
      <c r="BQ181" s="290"/>
      <c r="BR181" s="290"/>
      <c r="BS181" s="290"/>
      <c r="BT181" s="290"/>
      <c r="BU181" s="290"/>
      <c r="BV181" s="290"/>
      <c r="BW181" s="290"/>
      <c r="BX181" s="290"/>
      <c r="BY181" s="290"/>
      <c r="BZ181" s="290"/>
    </row>
    <row r="182" spans="1:83" x14ac:dyDescent="0.35">
      <c r="A182" s="536" t="s">
        <v>1493</v>
      </c>
      <c r="B182" s="555" t="s">
        <v>1690</v>
      </c>
      <c r="C182" s="535" t="s">
        <v>1691</v>
      </c>
      <c r="D182" s="535" t="s">
        <v>1692</v>
      </c>
      <c r="E182" s="535" t="s">
        <v>1693</v>
      </c>
      <c r="F182" s="535" t="s">
        <v>1694</v>
      </c>
      <c r="G182" s="535" t="s">
        <v>1695</v>
      </c>
      <c r="H182" s="539" t="s">
        <v>1599</v>
      </c>
      <c r="I182" s="536" t="s">
        <v>1496</v>
      </c>
      <c r="J182" s="536" t="s">
        <v>1497</v>
      </c>
      <c r="K182" s="555" t="s">
        <v>1696</v>
      </c>
      <c r="L182" s="555" t="s">
        <v>1697</v>
      </c>
      <c r="M182" s="555" t="s">
        <v>1698</v>
      </c>
      <c r="N182" s="555" t="s">
        <v>1699</v>
      </c>
      <c r="O182" s="535" t="s">
        <v>1700</v>
      </c>
      <c r="P182" s="535" t="s">
        <v>1701</v>
      </c>
      <c r="Q182" s="538" t="s">
        <v>1702</v>
      </c>
      <c r="R182" s="538" t="s">
        <v>1703</v>
      </c>
      <c r="S182" s="538" t="s">
        <v>1704</v>
      </c>
      <c r="T182" s="538" t="s">
        <v>1705</v>
      </c>
      <c r="U182" s="303"/>
      <c r="V182" s="303"/>
      <c r="W182" s="290"/>
      <c r="X182" s="290"/>
      <c r="Y182" s="290"/>
      <c r="Z182" s="290"/>
      <c r="AA182" s="290"/>
      <c r="AB182" s="290"/>
      <c r="AC182" s="290"/>
      <c r="AD182" s="290"/>
      <c r="AE182" s="290"/>
      <c r="AF182" s="290"/>
      <c r="AG182" s="290"/>
      <c r="AH182" s="290"/>
      <c r="AI182" s="290"/>
      <c r="AJ182" s="290"/>
      <c r="AK182" s="290"/>
      <c r="AL182" s="290"/>
      <c r="AM182" s="290"/>
      <c r="AN182" s="290"/>
      <c r="AO182" s="290"/>
      <c r="AP182" s="290"/>
      <c r="AQ182" s="290"/>
      <c r="AR182" s="290"/>
      <c r="AS182" s="290"/>
      <c r="AT182" s="290"/>
      <c r="AU182" s="290"/>
      <c r="AV182" s="290"/>
      <c r="AW182" s="290"/>
      <c r="AX182" s="290"/>
      <c r="AY182" s="290"/>
      <c r="AZ182" s="290"/>
      <c r="BA182" s="290"/>
      <c r="BB182" s="290"/>
      <c r="BC182" s="290"/>
      <c r="BD182" s="290"/>
      <c r="BE182" s="290"/>
      <c r="BF182" s="290"/>
      <c r="BG182" s="290"/>
      <c r="BH182" s="290"/>
      <c r="BI182" s="290"/>
      <c r="BJ182" s="290"/>
      <c r="BK182" s="290"/>
      <c r="BL182" s="290"/>
      <c r="BM182" s="290"/>
      <c r="BN182" s="290"/>
      <c r="BO182" s="290"/>
      <c r="BP182" s="290"/>
      <c r="BQ182" s="290"/>
      <c r="BR182" s="290"/>
      <c r="BS182" s="290"/>
      <c r="BT182" s="290"/>
      <c r="BU182" s="290"/>
      <c r="BV182" s="290"/>
      <c r="BW182" s="290"/>
      <c r="BX182" s="290"/>
      <c r="BY182" s="290"/>
      <c r="BZ182" s="290"/>
      <c r="CA182" s="290"/>
      <c r="CB182" s="290"/>
      <c r="CC182" s="290"/>
      <c r="CD182" s="290"/>
      <c r="CE182" s="290"/>
    </row>
    <row r="183" spans="1:83" x14ac:dyDescent="0.35">
      <c r="A183" s="536"/>
      <c r="B183" s="555"/>
      <c r="C183" s="535"/>
      <c r="D183" s="535"/>
      <c r="E183" s="535"/>
      <c r="F183" s="535"/>
      <c r="G183" s="535"/>
      <c r="H183" s="539"/>
      <c r="I183" s="536"/>
      <c r="J183" s="536"/>
      <c r="K183" s="555"/>
      <c r="L183" s="555"/>
      <c r="M183" s="555"/>
      <c r="N183" s="555"/>
      <c r="O183" s="535"/>
      <c r="P183" s="535"/>
      <c r="Q183" s="538"/>
      <c r="R183" s="538"/>
      <c r="S183" s="538"/>
      <c r="T183" s="538"/>
      <c r="U183" s="303"/>
      <c r="V183" s="303"/>
      <c r="W183" s="290"/>
      <c r="X183" s="290"/>
      <c r="Y183" s="290"/>
      <c r="Z183" s="290"/>
      <c r="AA183" s="290"/>
      <c r="AB183" s="290"/>
      <c r="AC183" s="290"/>
      <c r="AD183" s="290"/>
      <c r="AE183" s="290"/>
      <c r="AF183" s="290"/>
      <c r="AG183" s="290"/>
      <c r="AH183" s="290"/>
      <c r="AI183" s="290"/>
      <c r="AJ183" s="290"/>
      <c r="AK183" s="290"/>
      <c r="AL183" s="290"/>
      <c r="AM183" s="290"/>
      <c r="AN183" s="290"/>
      <c r="AO183" s="290"/>
      <c r="AP183" s="290"/>
      <c r="AQ183" s="290"/>
      <c r="AR183" s="290"/>
      <c r="AS183" s="290"/>
      <c r="AT183" s="290"/>
      <c r="AU183" s="290"/>
      <c r="AV183" s="290"/>
      <c r="AW183" s="290"/>
      <c r="AX183" s="290"/>
      <c r="AY183" s="290"/>
      <c r="AZ183" s="290"/>
      <c r="BA183" s="290"/>
      <c r="BB183" s="290"/>
      <c r="BC183" s="290"/>
      <c r="BD183" s="290"/>
      <c r="BE183" s="290"/>
      <c r="BF183" s="290"/>
      <c r="BG183" s="290"/>
      <c r="BH183" s="290"/>
      <c r="BI183" s="290"/>
      <c r="BJ183" s="290"/>
      <c r="BK183" s="290"/>
      <c r="BL183" s="290"/>
      <c r="BM183" s="290"/>
      <c r="BN183" s="290"/>
      <c r="BO183" s="290"/>
      <c r="BP183" s="290"/>
      <c r="BQ183" s="290"/>
      <c r="BR183" s="290"/>
      <c r="BS183" s="290"/>
      <c r="BT183" s="290"/>
      <c r="BU183" s="290"/>
      <c r="BV183" s="290"/>
      <c r="BW183" s="290"/>
      <c r="BX183" s="290"/>
      <c r="BY183" s="290"/>
      <c r="BZ183" s="290"/>
      <c r="CA183" s="290"/>
      <c r="CB183" s="290"/>
      <c r="CC183" s="290"/>
      <c r="CD183" s="290"/>
      <c r="CE183" s="290"/>
    </row>
    <row r="184" spans="1:83" x14ac:dyDescent="0.35">
      <c r="A184" s="544" t="s">
        <v>1605</v>
      </c>
      <c r="B184" s="291" t="s">
        <v>1606</v>
      </c>
      <c r="C184" s="291">
        <v>13</v>
      </c>
      <c r="D184" s="291">
        <v>0</v>
      </c>
      <c r="E184" s="291">
        <f t="shared" ref="E184:E212" si="16">C184*$E$175+D184*$B$175</f>
        <v>26</v>
      </c>
      <c r="F184" s="291">
        <f t="shared" ref="F184:F212" si="17">C184*$E$176+D184*$B$176</f>
        <v>7.5789999999999997</v>
      </c>
      <c r="G184" s="291">
        <f t="shared" ref="G184:G212" si="18">C184*$E$177+D184*$B$177</f>
        <v>5.2780000000000005</v>
      </c>
      <c r="H184" s="325">
        <f t="shared" ref="H184:H212" si="19">SQRT(E184^2+MAX(F184:G184)^2)</f>
        <v>27.082120319502312</v>
      </c>
      <c r="I184" s="290">
        <v>34.5</v>
      </c>
      <c r="J184" s="315">
        <f t="shared" ref="J184:J212" si="20">(H184*1000)/(SQRT(3)*I184)</f>
        <v>453.2136074403042</v>
      </c>
      <c r="K184" s="314">
        <v>473.2</v>
      </c>
      <c r="L184" s="314">
        <v>1209</v>
      </c>
      <c r="M184" s="314">
        <v>1209</v>
      </c>
      <c r="N184" s="316">
        <v>1200</v>
      </c>
      <c r="O184" s="327">
        <f>MIN(F217:U217)</f>
        <v>1200</v>
      </c>
      <c r="P184" s="327">
        <f>SMALL(F217:U217,2)</f>
        <v>1209</v>
      </c>
      <c r="Q184" s="326">
        <f t="shared" ref="Q184:Q212" si="21">MIN(J184:P184)</f>
        <v>453.2136074403042</v>
      </c>
      <c r="R184" s="312" t="s">
        <v>1706</v>
      </c>
      <c r="S184" s="286">
        <f t="shared" ref="S184:S212" si="22">SMALL(J184:P184,2)</f>
        <v>473.2</v>
      </c>
      <c r="T184" s="296" t="s">
        <v>1696</v>
      </c>
      <c r="U184" s="296"/>
      <c r="V184" s="296"/>
      <c r="W184" s="290"/>
      <c r="X184" s="290"/>
      <c r="Y184" s="290"/>
      <c r="Z184" s="290"/>
      <c r="AA184" s="290"/>
      <c r="AB184" s="290"/>
      <c r="AC184" s="290"/>
      <c r="AD184" s="290"/>
      <c r="AE184" s="290"/>
      <c r="AF184" s="290"/>
      <c r="AG184" s="290"/>
      <c r="AH184" s="290"/>
      <c r="AI184" s="290"/>
      <c r="AJ184" s="290"/>
      <c r="AK184" s="290"/>
      <c r="AL184" s="290"/>
      <c r="AM184" s="290"/>
      <c r="AN184" s="290"/>
      <c r="AO184" s="290"/>
      <c r="AP184" s="290"/>
      <c r="AQ184" s="290"/>
      <c r="AR184" s="290"/>
      <c r="AS184" s="290"/>
      <c r="AT184" s="290"/>
      <c r="AU184" s="290"/>
      <c r="AV184" s="290"/>
      <c r="AW184" s="290"/>
      <c r="AX184" s="290"/>
      <c r="AY184" s="290"/>
      <c r="AZ184" s="290"/>
      <c r="BA184" s="290"/>
      <c r="BB184" s="290"/>
      <c r="BC184" s="290"/>
      <c r="BD184" s="290"/>
      <c r="BE184" s="290"/>
      <c r="BF184" s="290"/>
      <c r="BG184" s="290"/>
      <c r="BH184" s="290"/>
      <c r="BI184" s="290"/>
      <c r="BJ184" s="290"/>
      <c r="BK184" s="290"/>
      <c r="BL184" s="290"/>
      <c r="BM184" s="290"/>
      <c r="BN184" s="290"/>
      <c r="BO184" s="290"/>
      <c r="BP184" s="290"/>
      <c r="BQ184" s="290"/>
      <c r="BR184" s="290"/>
      <c r="BS184" s="290"/>
      <c r="BT184" s="290"/>
      <c r="BU184" s="290"/>
      <c r="BV184" s="290"/>
      <c r="BW184" s="290"/>
      <c r="BX184" s="290"/>
      <c r="BY184" s="290"/>
      <c r="BZ184" s="290"/>
      <c r="CA184" s="290"/>
      <c r="CB184" s="290"/>
      <c r="CC184" s="290"/>
      <c r="CD184" s="290"/>
      <c r="CE184" s="290"/>
    </row>
    <row r="185" spans="1:83" x14ac:dyDescent="0.35">
      <c r="A185" s="544"/>
      <c r="B185" s="291" t="s">
        <v>1608</v>
      </c>
      <c r="C185" s="291">
        <v>10</v>
      </c>
      <c r="D185" s="291">
        <v>0</v>
      </c>
      <c r="E185" s="291">
        <f t="shared" si="16"/>
        <v>20</v>
      </c>
      <c r="F185" s="291">
        <f t="shared" si="17"/>
        <v>5.83</v>
      </c>
      <c r="G185" s="291">
        <f t="shared" si="18"/>
        <v>4.0600000000000005</v>
      </c>
      <c r="H185" s="325">
        <f t="shared" si="19"/>
        <v>20.832400245771009</v>
      </c>
      <c r="I185" s="290">
        <v>34.5</v>
      </c>
      <c r="J185" s="315">
        <f t="shared" si="20"/>
        <v>348.62585187715706</v>
      </c>
      <c r="K185" s="314">
        <v>361.5</v>
      </c>
      <c r="L185" s="314">
        <v>1209</v>
      </c>
      <c r="M185" s="314">
        <v>1209</v>
      </c>
      <c r="N185" s="316">
        <v>1200</v>
      </c>
      <c r="O185" s="327">
        <f>MIN(F217:U217)</f>
        <v>1200</v>
      </c>
      <c r="P185" s="327">
        <f>SMALL(F217:U217,2)</f>
        <v>1209</v>
      </c>
      <c r="Q185" s="326">
        <f t="shared" si="21"/>
        <v>348.62585187715706</v>
      </c>
      <c r="R185" s="312" t="s">
        <v>1706</v>
      </c>
      <c r="S185" s="286">
        <f t="shared" si="22"/>
        <v>361.5</v>
      </c>
      <c r="T185" s="296" t="s">
        <v>1696</v>
      </c>
      <c r="U185" s="296"/>
      <c r="V185" s="296"/>
      <c r="W185" s="290"/>
      <c r="X185" s="290"/>
      <c r="Y185" s="290"/>
      <c r="Z185" s="290"/>
      <c r="AA185" s="290"/>
      <c r="AB185" s="290"/>
      <c r="AC185" s="290"/>
      <c r="AD185" s="290"/>
      <c r="AE185" s="290"/>
      <c r="AF185" s="290"/>
      <c r="AG185" s="290"/>
      <c r="AH185" s="290"/>
      <c r="AI185" s="290"/>
      <c r="AJ185" s="290"/>
      <c r="AK185" s="290"/>
      <c r="AL185" s="290"/>
      <c r="AM185" s="290"/>
      <c r="AN185" s="290"/>
      <c r="AO185" s="290"/>
      <c r="AP185" s="290"/>
      <c r="AQ185" s="290"/>
      <c r="AR185" s="290"/>
      <c r="AS185" s="290"/>
      <c r="AT185" s="290"/>
      <c r="AU185" s="290"/>
      <c r="AV185" s="290"/>
      <c r="AW185" s="290"/>
      <c r="AX185" s="290"/>
      <c r="AY185" s="290"/>
      <c r="AZ185" s="290"/>
      <c r="BA185" s="290"/>
      <c r="BB185" s="290"/>
      <c r="BC185" s="290"/>
      <c r="BD185" s="290"/>
      <c r="BE185" s="290"/>
      <c r="BF185" s="290"/>
      <c r="BG185" s="290"/>
      <c r="BH185" s="290"/>
      <c r="BI185" s="290"/>
      <c r="BJ185" s="290"/>
      <c r="BK185" s="290"/>
      <c r="BL185" s="290"/>
      <c r="BM185" s="290"/>
      <c r="BN185" s="290"/>
      <c r="BO185" s="290"/>
      <c r="BP185" s="290"/>
      <c r="BQ185" s="290"/>
      <c r="BR185" s="290"/>
      <c r="BS185" s="290"/>
      <c r="BT185" s="290"/>
      <c r="BU185" s="290"/>
      <c r="BV185" s="290"/>
      <c r="BW185" s="290"/>
      <c r="BX185" s="290"/>
      <c r="BY185" s="290"/>
      <c r="BZ185" s="290"/>
      <c r="CA185" s="290"/>
      <c r="CB185" s="290"/>
      <c r="CC185" s="290"/>
      <c r="CD185" s="290"/>
      <c r="CE185" s="290"/>
    </row>
    <row r="186" spans="1:83" x14ac:dyDescent="0.35">
      <c r="A186" s="544"/>
      <c r="B186" s="291" t="s">
        <v>1610</v>
      </c>
      <c r="C186" s="291">
        <v>0</v>
      </c>
      <c r="D186" s="291">
        <v>13</v>
      </c>
      <c r="E186" s="291">
        <f t="shared" si="16"/>
        <v>26</v>
      </c>
      <c r="F186" s="291">
        <f t="shared" si="17"/>
        <v>8.58</v>
      </c>
      <c r="G186" s="291">
        <f t="shared" si="18"/>
        <v>8.58</v>
      </c>
      <c r="H186" s="325">
        <f t="shared" si="19"/>
        <v>27.379123433740531</v>
      </c>
      <c r="I186" s="290">
        <v>34.5</v>
      </c>
      <c r="J186" s="315">
        <f t="shared" si="20"/>
        <v>458.1838923085823</v>
      </c>
      <c r="K186" s="314">
        <v>468.4</v>
      </c>
      <c r="L186" s="314">
        <v>1209</v>
      </c>
      <c r="M186" s="314">
        <v>1209</v>
      </c>
      <c r="N186" s="316">
        <v>1200</v>
      </c>
      <c r="O186" s="327">
        <f>MIN(F218:U218)</f>
        <v>1200</v>
      </c>
      <c r="P186" s="327">
        <f>SMALL(F218:U218,2)</f>
        <v>1200</v>
      </c>
      <c r="Q186" s="326">
        <f t="shared" si="21"/>
        <v>458.1838923085823</v>
      </c>
      <c r="R186" s="312" t="s">
        <v>1706</v>
      </c>
      <c r="S186" s="286">
        <f t="shared" si="22"/>
        <v>468.4</v>
      </c>
      <c r="T186" s="296" t="s">
        <v>1696</v>
      </c>
      <c r="U186" s="296"/>
      <c r="V186" s="296"/>
      <c r="W186" s="290"/>
      <c r="X186" s="290"/>
      <c r="Y186" s="290"/>
      <c r="Z186" s="290"/>
      <c r="AA186" s="290"/>
      <c r="AB186" s="290"/>
      <c r="AC186" s="290"/>
      <c r="AD186" s="290"/>
      <c r="AE186" s="290"/>
      <c r="AF186" s="290"/>
      <c r="AG186" s="290"/>
      <c r="AH186" s="290"/>
      <c r="AI186" s="290"/>
      <c r="AJ186" s="290"/>
      <c r="AK186" s="290"/>
      <c r="AL186" s="290"/>
      <c r="AM186" s="290"/>
      <c r="AN186" s="290"/>
      <c r="AO186" s="290"/>
      <c r="AP186" s="290"/>
      <c r="AQ186" s="290"/>
      <c r="AR186" s="290"/>
      <c r="AS186" s="290"/>
      <c r="AT186" s="290"/>
      <c r="AU186" s="290"/>
      <c r="AV186" s="290"/>
      <c r="AW186" s="290"/>
      <c r="AX186" s="290"/>
      <c r="AY186" s="290"/>
      <c r="AZ186" s="290"/>
      <c r="BA186" s="290"/>
      <c r="BB186" s="290"/>
      <c r="BC186" s="290"/>
      <c r="BD186" s="290"/>
      <c r="BE186" s="290"/>
      <c r="BF186" s="290"/>
      <c r="BG186" s="290"/>
      <c r="BH186" s="290"/>
      <c r="BI186" s="290"/>
      <c r="BJ186" s="290"/>
      <c r="BK186" s="290"/>
      <c r="BL186" s="290"/>
      <c r="BM186" s="290"/>
      <c r="BN186" s="290"/>
      <c r="BO186" s="290"/>
      <c r="BP186" s="290"/>
      <c r="BQ186" s="290"/>
      <c r="BR186" s="290"/>
      <c r="BS186" s="290"/>
      <c r="BT186" s="290"/>
      <c r="BU186" s="290"/>
      <c r="BV186" s="290"/>
      <c r="BW186" s="290"/>
      <c r="BX186" s="290"/>
      <c r="BY186" s="290"/>
      <c r="BZ186" s="290"/>
      <c r="CA186" s="290"/>
      <c r="CB186" s="290"/>
      <c r="CC186" s="290"/>
      <c r="CD186" s="290"/>
      <c r="CE186" s="290"/>
    </row>
    <row r="187" spans="1:83" x14ac:dyDescent="0.35">
      <c r="A187" s="544"/>
      <c r="B187" s="291" t="s">
        <v>1611</v>
      </c>
      <c r="C187" s="291">
        <v>0</v>
      </c>
      <c r="D187" s="291">
        <v>13</v>
      </c>
      <c r="E187" s="291">
        <f t="shared" si="16"/>
        <v>26</v>
      </c>
      <c r="F187" s="291">
        <f t="shared" si="17"/>
        <v>8.58</v>
      </c>
      <c r="G187" s="291">
        <f t="shared" si="18"/>
        <v>8.58</v>
      </c>
      <c r="H187" s="325">
        <f t="shared" si="19"/>
        <v>27.379123433740531</v>
      </c>
      <c r="I187" s="290">
        <v>34.5</v>
      </c>
      <c r="J187" s="315">
        <f t="shared" si="20"/>
        <v>458.1838923085823</v>
      </c>
      <c r="K187" s="314">
        <v>468.4</v>
      </c>
      <c r="L187" s="314">
        <v>1209</v>
      </c>
      <c r="M187" s="314">
        <v>1209</v>
      </c>
      <c r="N187" s="316">
        <v>1200</v>
      </c>
      <c r="O187" s="327">
        <f>MIN(F218:U218)</f>
        <v>1200</v>
      </c>
      <c r="P187" s="327">
        <f>SMALL(F218:U218,2)</f>
        <v>1200</v>
      </c>
      <c r="Q187" s="326">
        <f t="shared" si="21"/>
        <v>458.1838923085823</v>
      </c>
      <c r="R187" s="312" t="s">
        <v>1706</v>
      </c>
      <c r="S187" s="286">
        <f t="shared" si="22"/>
        <v>468.4</v>
      </c>
      <c r="T187" s="296" t="s">
        <v>1696</v>
      </c>
      <c r="U187" s="296"/>
      <c r="V187" s="296"/>
      <c r="W187" s="290"/>
      <c r="X187" s="290"/>
      <c r="Y187" s="290"/>
      <c r="Z187" s="290"/>
      <c r="AA187" s="290"/>
      <c r="AB187" s="290"/>
      <c r="AC187" s="290"/>
      <c r="AD187" s="290"/>
      <c r="AE187" s="290"/>
      <c r="AF187" s="290"/>
      <c r="AG187" s="290"/>
      <c r="AH187" s="290"/>
      <c r="AI187" s="290"/>
      <c r="AJ187" s="290"/>
      <c r="AK187" s="290"/>
      <c r="AL187" s="290"/>
      <c r="AM187" s="290"/>
      <c r="AN187" s="290"/>
      <c r="AO187" s="290"/>
      <c r="AP187" s="290"/>
      <c r="AQ187" s="290"/>
      <c r="AR187" s="290"/>
      <c r="AS187" s="290"/>
      <c r="AT187" s="290"/>
      <c r="AU187" s="290"/>
      <c r="AV187" s="290"/>
      <c r="AW187" s="290"/>
      <c r="AX187" s="290"/>
      <c r="AY187" s="290"/>
      <c r="AZ187" s="290"/>
      <c r="BA187" s="290"/>
      <c r="BB187" s="290"/>
      <c r="BC187" s="290"/>
      <c r="BD187" s="290"/>
      <c r="BE187" s="290"/>
      <c r="BF187" s="290"/>
      <c r="BG187" s="290"/>
      <c r="BH187" s="290"/>
      <c r="BI187" s="290"/>
      <c r="BJ187" s="290"/>
      <c r="BK187" s="290"/>
      <c r="BL187" s="290"/>
      <c r="BM187" s="290"/>
      <c r="BN187" s="290"/>
      <c r="BO187" s="290"/>
      <c r="BP187" s="290"/>
      <c r="BQ187" s="290"/>
      <c r="BR187" s="290"/>
      <c r="BS187" s="290"/>
      <c r="BT187" s="290"/>
      <c r="BU187" s="290"/>
      <c r="BV187" s="290"/>
      <c r="BW187" s="290"/>
      <c r="BX187" s="290"/>
      <c r="BY187" s="290"/>
      <c r="BZ187" s="290"/>
      <c r="CA187" s="290"/>
      <c r="CB187" s="290"/>
      <c r="CC187" s="290"/>
      <c r="CD187" s="290"/>
      <c r="CE187" s="290"/>
    </row>
    <row r="188" spans="1:83" x14ac:dyDescent="0.35">
      <c r="A188" s="544"/>
      <c r="B188" s="291" t="s">
        <v>1612</v>
      </c>
      <c r="C188" s="291">
        <v>0</v>
      </c>
      <c r="D188" s="291">
        <v>13</v>
      </c>
      <c r="E188" s="291">
        <f t="shared" si="16"/>
        <v>26</v>
      </c>
      <c r="F188" s="291">
        <f t="shared" si="17"/>
        <v>8.58</v>
      </c>
      <c r="G188" s="291">
        <f t="shared" si="18"/>
        <v>8.58</v>
      </c>
      <c r="H188" s="325">
        <f t="shared" si="19"/>
        <v>27.379123433740531</v>
      </c>
      <c r="I188" s="290">
        <v>34.5</v>
      </c>
      <c r="J188" s="315">
        <f t="shared" si="20"/>
        <v>458.1838923085823</v>
      </c>
      <c r="K188" s="314">
        <v>468.4</v>
      </c>
      <c r="L188" s="314">
        <v>1209</v>
      </c>
      <c r="M188" s="314">
        <v>1209</v>
      </c>
      <c r="N188" s="316">
        <v>1200</v>
      </c>
      <c r="O188" s="327">
        <f>MIN(F219:U219)</f>
        <v>1200</v>
      </c>
      <c r="P188" s="327">
        <f>SMALL(F219:U219,2)</f>
        <v>1200</v>
      </c>
      <c r="Q188" s="326">
        <f t="shared" si="21"/>
        <v>458.1838923085823</v>
      </c>
      <c r="R188" s="312" t="s">
        <v>1706</v>
      </c>
      <c r="S188" s="286">
        <f t="shared" si="22"/>
        <v>468.4</v>
      </c>
      <c r="T188" s="296" t="s">
        <v>1696</v>
      </c>
      <c r="U188" s="296"/>
      <c r="V188" s="296"/>
      <c r="W188" s="290"/>
      <c r="X188" s="290"/>
      <c r="Y188" s="290"/>
      <c r="Z188" s="290"/>
      <c r="AA188" s="290"/>
      <c r="AB188" s="290"/>
      <c r="AC188" s="290"/>
      <c r="AD188" s="290"/>
      <c r="AE188" s="290"/>
      <c r="AF188" s="290"/>
      <c r="AG188" s="290"/>
      <c r="AH188" s="290"/>
      <c r="AI188" s="290"/>
      <c r="AJ188" s="290"/>
      <c r="AK188" s="290"/>
      <c r="AL188" s="290"/>
      <c r="AM188" s="290"/>
      <c r="AN188" s="290"/>
      <c r="AO188" s="290"/>
      <c r="AP188" s="290"/>
      <c r="AQ188" s="290"/>
      <c r="AR188" s="290"/>
      <c r="AS188" s="290"/>
      <c r="AT188" s="290"/>
      <c r="AU188" s="290"/>
      <c r="AV188" s="290"/>
      <c r="AW188" s="290"/>
      <c r="AX188" s="290"/>
      <c r="AY188" s="290"/>
      <c r="AZ188" s="290"/>
      <c r="BA188" s="290"/>
      <c r="BB188" s="290"/>
      <c r="BC188" s="290"/>
      <c r="BD188" s="290"/>
      <c r="BE188" s="290"/>
      <c r="BF188" s="290"/>
      <c r="BG188" s="290"/>
      <c r="BH188" s="290"/>
      <c r="BI188" s="290"/>
      <c r="BJ188" s="290"/>
      <c r="BK188" s="290"/>
      <c r="BL188" s="290"/>
      <c r="BM188" s="290"/>
      <c r="BN188" s="290"/>
      <c r="BO188" s="290"/>
      <c r="BP188" s="290"/>
      <c r="BQ188" s="290"/>
      <c r="BR188" s="290"/>
      <c r="BS188" s="290"/>
      <c r="BT188" s="290"/>
      <c r="BU188" s="290"/>
      <c r="BV188" s="290"/>
      <c r="BW188" s="290"/>
      <c r="BX188" s="290"/>
      <c r="BY188" s="290"/>
      <c r="BZ188" s="290"/>
      <c r="CA188" s="290"/>
      <c r="CB188" s="290"/>
      <c r="CC188" s="290"/>
      <c r="CD188" s="290"/>
      <c r="CE188" s="290"/>
    </row>
    <row r="189" spans="1:83" x14ac:dyDescent="0.35">
      <c r="A189" s="544"/>
      <c r="B189" s="291" t="s">
        <v>1613</v>
      </c>
      <c r="C189" s="291">
        <v>0</v>
      </c>
      <c r="D189" s="291">
        <v>13</v>
      </c>
      <c r="E189" s="291">
        <f t="shared" si="16"/>
        <v>26</v>
      </c>
      <c r="F189" s="291">
        <f t="shared" si="17"/>
        <v>8.58</v>
      </c>
      <c r="G189" s="291">
        <f t="shared" si="18"/>
        <v>8.58</v>
      </c>
      <c r="H189" s="325">
        <f t="shared" si="19"/>
        <v>27.379123433740531</v>
      </c>
      <c r="I189" s="290">
        <v>34.5</v>
      </c>
      <c r="J189" s="315">
        <f t="shared" si="20"/>
        <v>458.1838923085823</v>
      </c>
      <c r="K189" s="314">
        <v>468.4</v>
      </c>
      <c r="L189" s="314">
        <v>1209</v>
      </c>
      <c r="M189" s="314">
        <v>1209</v>
      </c>
      <c r="N189" s="316">
        <v>1200</v>
      </c>
      <c r="O189" s="327">
        <f>MIN(F219:U219)</f>
        <v>1200</v>
      </c>
      <c r="P189" s="327">
        <f>SMALL(F219:U219,2)</f>
        <v>1200</v>
      </c>
      <c r="Q189" s="326">
        <f t="shared" si="21"/>
        <v>458.1838923085823</v>
      </c>
      <c r="R189" s="312" t="s">
        <v>1706</v>
      </c>
      <c r="S189" s="286">
        <f t="shared" si="22"/>
        <v>468.4</v>
      </c>
      <c r="T189" s="296" t="s">
        <v>1696</v>
      </c>
      <c r="U189" s="296"/>
      <c r="V189" s="296"/>
      <c r="W189" s="290"/>
      <c r="X189" s="290"/>
      <c r="Y189" s="290"/>
      <c r="Z189" s="290"/>
      <c r="AA189" s="290"/>
      <c r="AB189" s="290"/>
      <c r="AC189" s="290"/>
      <c r="AD189" s="290"/>
      <c r="AE189" s="290"/>
      <c r="AF189" s="290"/>
      <c r="AG189" s="290"/>
      <c r="AH189" s="290"/>
      <c r="AI189" s="290"/>
      <c r="AJ189" s="290"/>
      <c r="AK189" s="290"/>
      <c r="AL189" s="290"/>
      <c r="AM189" s="290"/>
      <c r="AN189" s="290"/>
      <c r="AO189" s="290"/>
      <c r="AP189" s="290"/>
      <c r="AQ189" s="290"/>
      <c r="AR189" s="290"/>
      <c r="AS189" s="290"/>
      <c r="AT189" s="290"/>
      <c r="AU189" s="290"/>
      <c r="AV189" s="290"/>
      <c r="AW189" s="290"/>
      <c r="AX189" s="290"/>
      <c r="AY189" s="290"/>
      <c r="AZ189" s="290"/>
      <c r="BA189" s="290"/>
      <c r="BB189" s="290"/>
      <c r="BC189" s="290"/>
      <c r="BD189" s="290"/>
      <c r="BE189" s="290"/>
      <c r="BF189" s="290"/>
      <c r="BG189" s="290"/>
      <c r="BH189" s="290"/>
      <c r="BI189" s="290"/>
      <c r="BJ189" s="290"/>
      <c r="BK189" s="290"/>
      <c r="BL189" s="290"/>
      <c r="BM189" s="290"/>
      <c r="BN189" s="290"/>
      <c r="BO189" s="290"/>
      <c r="BP189" s="290"/>
      <c r="BQ189" s="290"/>
      <c r="BR189" s="290"/>
      <c r="BS189" s="290"/>
      <c r="BT189" s="290"/>
      <c r="BU189" s="290"/>
      <c r="BV189" s="290"/>
      <c r="BW189" s="290"/>
      <c r="BX189" s="290"/>
      <c r="BY189" s="290"/>
      <c r="BZ189" s="290"/>
      <c r="CA189" s="290"/>
      <c r="CB189" s="290"/>
      <c r="CC189" s="290"/>
      <c r="CD189" s="290"/>
      <c r="CE189" s="290"/>
    </row>
    <row r="190" spans="1:83" x14ac:dyDescent="0.35">
      <c r="A190" s="544"/>
      <c r="B190" s="291" t="s">
        <v>1614</v>
      </c>
      <c r="C190" s="291">
        <v>0</v>
      </c>
      <c r="D190" s="291">
        <v>13</v>
      </c>
      <c r="E190" s="291">
        <f t="shared" si="16"/>
        <v>26</v>
      </c>
      <c r="F190" s="291">
        <f t="shared" si="17"/>
        <v>8.58</v>
      </c>
      <c r="G190" s="291">
        <f t="shared" si="18"/>
        <v>8.58</v>
      </c>
      <c r="H190" s="325">
        <f t="shared" si="19"/>
        <v>27.379123433740531</v>
      </c>
      <c r="I190" s="290">
        <v>34.5</v>
      </c>
      <c r="J190" s="315">
        <f t="shared" si="20"/>
        <v>458.1838923085823</v>
      </c>
      <c r="K190" s="314">
        <v>468.4</v>
      </c>
      <c r="L190" s="314">
        <v>1209</v>
      </c>
      <c r="M190" s="314">
        <v>1209</v>
      </c>
      <c r="N190" s="316">
        <v>1200</v>
      </c>
      <c r="O190" s="327">
        <f>MIN(F220:U220)</f>
        <v>1200</v>
      </c>
      <c r="P190" s="327">
        <f>SMALL(F220:U220,2)</f>
        <v>1200</v>
      </c>
      <c r="Q190" s="326">
        <f t="shared" si="21"/>
        <v>458.1838923085823</v>
      </c>
      <c r="R190" s="312" t="s">
        <v>1706</v>
      </c>
      <c r="S190" s="286">
        <f t="shared" si="22"/>
        <v>468.4</v>
      </c>
      <c r="T190" s="296" t="s">
        <v>1696</v>
      </c>
      <c r="U190" s="296"/>
      <c r="V190" s="296"/>
      <c r="W190" s="290"/>
      <c r="X190" s="290"/>
      <c r="Y190" s="290"/>
      <c r="Z190" s="290"/>
      <c r="AA190" s="290"/>
      <c r="AB190" s="290"/>
      <c r="AC190" s="290"/>
      <c r="AD190" s="290"/>
      <c r="AE190" s="290"/>
      <c r="AF190" s="290"/>
      <c r="AG190" s="290"/>
      <c r="AH190" s="290"/>
      <c r="AI190" s="290"/>
      <c r="AJ190" s="290"/>
      <c r="AK190" s="290"/>
      <c r="AL190" s="290"/>
      <c r="AM190" s="290"/>
      <c r="AN190" s="290"/>
      <c r="AO190" s="290"/>
      <c r="AP190" s="290"/>
      <c r="AQ190" s="290"/>
      <c r="AR190" s="290"/>
      <c r="AS190" s="290"/>
      <c r="AT190" s="290"/>
      <c r="AU190" s="290"/>
      <c r="AV190" s="290"/>
      <c r="AW190" s="290"/>
      <c r="AX190" s="290"/>
      <c r="AY190" s="290"/>
      <c r="AZ190" s="290"/>
      <c r="BA190" s="290"/>
      <c r="BB190" s="290"/>
      <c r="BC190" s="290"/>
      <c r="BD190" s="290"/>
      <c r="BE190" s="290"/>
      <c r="BF190" s="290"/>
      <c r="BG190" s="290"/>
      <c r="BH190" s="290"/>
      <c r="BI190" s="290"/>
      <c r="BJ190" s="290"/>
      <c r="BK190" s="290"/>
      <c r="BL190" s="290"/>
      <c r="BM190" s="290"/>
      <c r="BN190" s="290"/>
      <c r="BO190" s="290"/>
      <c r="BP190" s="290"/>
      <c r="BQ190" s="290"/>
      <c r="BR190" s="290"/>
      <c r="BS190" s="290"/>
      <c r="BT190" s="290"/>
      <c r="BU190" s="290"/>
      <c r="BV190" s="290"/>
      <c r="BW190" s="290"/>
      <c r="BX190" s="290"/>
      <c r="BY190" s="290"/>
      <c r="BZ190" s="290"/>
      <c r="CA190" s="290"/>
      <c r="CB190" s="290"/>
      <c r="CC190" s="290"/>
      <c r="CD190" s="290"/>
      <c r="CE190" s="290"/>
    </row>
    <row r="191" spans="1:83" x14ac:dyDescent="0.35">
      <c r="A191" s="544"/>
      <c r="B191" s="291" t="s">
        <v>1615</v>
      </c>
      <c r="C191" s="291">
        <v>0</v>
      </c>
      <c r="D191" s="291">
        <v>13</v>
      </c>
      <c r="E191" s="291">
        <f t="shared" si="16"/>
        <v>26</v>
      </c>
      <c r="F191" s="291">
        <f t="shared" si="17"/>
        <v>8.58</v>
      </c>
      <c r="G191" s="291">
        <f t="shared" si="18"/>
        <v>8.58</v>
      </c>
      <c r="H191" s="325">
        <f t="shared" si="19"/>
        <v>27.379123433740531</v>
      </c>
      <c r="I191" s="290">
        <v>34.5</v>
      </c>
      <c r="J191" s="315">
        <f t="shared" si="20"/>
        <v>458.1838923085823</v>
      </c>
      <c r="K191" s="314">
        <v>468.4</v>
      </c>
      <c r="L191" s="314">
        <v>1209</v>
      </c>
      <c r="M191" s="314">
        <v>1209</v>
      </c>
      <c r="N191" s="316">
        <v>1200</v>
      </c>
      <c r="O191" s="327">
        <f>MIN(F220:U220)</f>
        <v>1200</v>
      </c>
      <c r="P191" s="327">
        <f>SMALL(F220:U220,2)</f>
        <v>1200</v>
      </c>
      <c r="Q191" s="326">
        <f t="shared" si="21"/>
        <v>458.1838923085823</v>
      </c>
      <c r="R191" s="312" t="s">
        <v>1706</v>
      </c>
      <c r="S191" s="286">
        <f t="shared" si="22"/>
        <v>468.4</v>
      </c>
      <c r="T191" s="296" t="s">
        <v>1696</v>
      </c>
      <c r="U191" s="296"/>
      <c r="V191" s="296"/>
      <c r="W191" s="290"/>
      <c r="X191" s="290"/>
      <c r="Y191" s="290"/>
      <c r="Z191" s="290"/>
      <c r="AA191" s="290"/>
      <c r="AB191" s="290"/>
      <c r="AC191" s="290"/>
      <c r="AD191" s="290"/>
      <c r="AE191" s="290"/>
      <c r="AF191" s="290"/>
      <c r="AG191" s="290"/>
      <c r="AH191" s="290"/>
      <c r="AI191" s="290"/>
      <c r="AJ191" s="290"/>
      <c r="AK191" s="290"/>
      <c r="AL191" s="290"/>
      <c r="AM191" s="290"/>
      <c r="AN191" s="290"/>
      <c r="AO191" s="290"/>
      <c r="AP191" s="290"/>
      <c r="AQ191" s="290"/>
      <c r="AR191" s="290"/>
      <c r="AS191" s="290"/>
      <c r="AT191" s="290"/>
      <c r="AU191" s="290"/>
      <c r="AV191" s="290"/>
      <c r="AW191" s="290"/>
      <c r="AX191" s="290"/>
      <c r="AY191" s="290"/>
      <c r="AZ191" s="290"/>
      <c r="BA191" s="290"/>
      <c r="BB191" s="290"/>
      <c r="BC191" s="290"/>
      <c r="BD191" s="290"/>
      <c r="BE191" s="290"/>
      <c r="BF191" s="290"/>
      <c r="BG191" s="290"/>
      <c r="BH191" s="290"/>
      <c r="BI191" s="290"/>
      <c r="BJ191" s="290"/>
      <c r="BK191" s="290"/>
      <c r="BL191" s="290"/>
      <c r="BM191" s="290"/>
      <c r="BN191" s="290"/>
      <c r="BO191" s="290"/>
      <c r="BP191" s="290"/>
      <c r="BQ191" s="290"/>
      <c r="BR191" s="290"/>
      <c r="BS191" s="290"/>
      <c r="BT191" s="290"/>
      <c r="BU191" s="290"/>
      <c r="BV191" s="290"/>
      <c r="BW191" s="290"/>
      <c r="BX191" s="290"/>
      <c r="BY191" s="290"/>
      <c r="BZ191" s="290"/>
      <c r="CA191" s="290"/>
      <c r="CB191" s="290"/>
      <c r="CC191" s="290"/>
      <c r="CD191" s="290"/>
      <c r="CE191" s="290"/>
    </row>
    <row r="192" spans="1:83" x14ac:dyDescent="0.35">
      <c r="A192" s="544"/>
      <c r="B192" s="291" t="s">
        <v>1628</v>
      </c>
      <c r="C192" s="291">
        <v>1</v>
      </c>
      <c r="D192" s="291">
        <v>12</v>
      </c>
      <c r="E192" s="291">
        <f t="shared" si="16"/>
        <v>26</v>
      </c>
      <c r="F192" s="291">
        <f t="shared" si="17"/>
        <v>8.5030000000000001</v>
      </c>
      <c r="G192" s="291">
        <f t="shared" si="18"/>
        <v>8.3260000000000005</v>
      </c>
      <c r="H192" s="325">
        <f t="shared" si="19"/>
        <v>27.355091098367776</v>
      </c>
      <c r="I192" s="290">
        <v>34.5</v>
      </c>
      <c r="J192" s="315">
        <f t="shared" si="20"/>
        <v>457.78171621302528</v>
      </c>
      <c r="K192" s="314">
        <v>473.2</v>
      </c>
      <c r="L192" s="314">
        <v>1209</v>
      </c>
      <c r="M192" s="314">
        <v>1209</v>
      </c>
      <c r="N192" s="316">
        <v>1200</v>
      </c>
      <c r="O192" s="327">
        <f>MIN(F221:U221)</f>
        <v>1200</v>
      </c>
      <c r="P192" s="327">
        <f>SMALL(F221:U221,2)</f>
        <v>1200</v>
      </c>
      <c r="Q192" s="326">
        <f t="shared" si="21"/>
        <v>457.78171621302528</v>
      </c>
      <c r="R192" s="312" t="s">
        <v>1706</v>
      </c>
      <c r="S192" s="286">
        <f t="shared" si="22"/>
        <v>473.2</v>
      </c>
      <c r="T192" s="296" t="s">
        <v>1696</v>
      </c>
      <c r="U192" s="296"/>
      <c r="V192" s="296"/>
      <c r="W192" s="290"/>
      <c r="X192" s="290"/>
      <c r="Y192" s="290"/>
      <c r="Z192" s="290"/>
      <c r="AA192" s="290"/>
      <c r="AB192" s="290"/>
      <c r="AC192" s="290"/>
      <c r="AD192" s="290"/>
      <c r="AE192" s="290"/>
      <c r="AF192" s="290"/>
      <c r="AG192" s="290"/>
      <c r="AH192" s="290"/>
      <c r="AI192" s="290"/>
      <c r="AJ192" s="290"/>
      <c r="AK192" s="290"/>
      <c r="AL192" s="290"/>
      <c r="AM192" s="290"/>
      <c r="AN192" s="290"/>
      <c r="AO192" s="290"/>
      <c r="AP192" s="290"/>
      <c r="AQ192" s="290"/>
      <c r="AR192" s="290"/>
      <c r="AS192" s="290"/>
      <c r="AT192" s="290"/>
      <c r="AU192" s="290"/>
      <c r="AV192" s="290"/>
      <c r="AW192" s="290"/>
      <c r="AX192" s="290"/>
      <c r="AY192" s="290"/>
      <c r="AZ192" s="290"/>
      <c r="BA192" s="290"/>
      <c r="BB192" s="290"/>
      <c r="BC192" s="290"/>
      <c r="BD192" s="290"/>
      <c r="BE192" s="290"/>
      <c r="BF192" s="290"/>
      <c r="BG192" s="290"/>
      <c r="BH192" s="290"/>
      <c r="BI192" s="290"/>
      <c r="BJ192" s="290"/>
      <c r="BK192" s="290"/>
      <c r="BL192" s="290"/>
      <c r="BM192" s="290"/>
      <c r="BN192" s="290"/>
      <c r="BO192" s="290"/>
      <c r="BP192" s="290"/>
      <c r="BQ192" s="290"/>
      <c r="BR192" s="290"/>
      <c r="BS192" s="290"/>
      <c r="BT192" s="290"/>
      <c r="BU192" s="290"/>
      <c r="BV192" s="290"/>
      <c r="BW192" s="290"/>
      <c r="BX192" s="290"/>
      <c r="BY192" s="290"/>
      <c r="BZ192" s="290"/>
      <c r="CA192" s="290"/>
      <c r="CB192" s="290"/>
      <c r="CC192" s="290"/>
      <c r="CD192" s="290"/>
      <c r="CE192" s="290"/>
    </row>
    <row r="193" spans="1:83" x14ac:dyDescent="0.35">
      <c r="A193" s="544"/>
      <c r="B193" s="291" t="s">
        <v>1629</v>
      </c>
      <c r="C193" s="291">
        <v>3</v>
      </c>
      <c r="D193" s="291">
        <v>10</v>
      </c>
      <c r="E193" s="291">
        <f t="shared" si="16"/>
        <v>26</v>
      </c>
      <c r="F193" s="291">
        <f t="shared" si="17"/>
        <v>8.3490000000000002</v>
      </c>
      <c r="G193" s="291">
        <f t="shared" si="18"/>
        <v>7.8180000000000005</v>
      </c>
      <c r="H193" s="325">
        <f t="shared" si="19"/>
        <v>27.307614341058798</v>
      </c>
      <c r="I193" s="290">
        <v>34.5</v>
      </c>
      <c r="J193" s="315">
        <f t="shared" si="20"/>
        <v>456.98720263005168</v>
      </c>
      <c r="K193" s="314">
        <v>473.2</v>
      </c>
      <c r="L193" s="314">
        <v>1209</v>
      </c>
      <c r="M193" s="314">
        <v>1209</v>
      </c>
      <c r="N193" s="316">
        <v>1200</v>
      </c>
      <c r="O193" s="327">
        <f>MIN(F221:U221)</f>
        <v>1200</v>
      </c>
      <c r="P193" s="327">
        <f>SMALL(F221:U221,2)</f>
        <v>1200</v>
      </c>
      <c r="Q193" s="326">
        <f t="shared" si="21"/>
        <v>456.98720263005168</v>
      </c>
      <c r="R193" s="312" t="s">
        <v>1706</v>
      </c>
      <c r="S193" s="286">
        <f t="shared" si="22"/>
        <v>473.2</v>
      </c>
      <c r="T193" s="296" t="s">
        <v>1696</v>
      </c>
      <c r="U193" s="296"/>
      <c r="V193" s="296"/>
      <c r="W193" s="290"/>
      <c r="X193" s="290"/>
      <c r="Y193" s="290"/>
      <c r="Z193" s="290"/>
      <c r="AA193" s="290"/>
      <c r="AB193" s="290"/>
      <c r="AC193" s="290"/>
      <c r="AD193" s="290"/>
      <c r="AE193" s="290"/>
      <c r="AF193" s="290"/>
      <c r="AG193" s="290"/>
      <c r="AH193" s="290"/>
      <c r="AI193" s="290"/>
      <c r="AJ193" s="290"/>
      <c r="AK193" s="290"/>
      <c r="AL193" s="290"/>
      <c r="AM193" s="290"/>
      <c r="AN193" s="290"/>
      <c r="AO193" s="290"/>
      <c r="AP193" s="290"/>
      <c r="AQ193" s="290"/>
      <c r="AR193" s="290"/>
      <c r="AS193" s="290"/>
      <c r="AT193" s="290"/>
      <c r="AU193" s="290"/>
      <c r="AV193" s="290"/>
      <c r="AW193" s="290"/>
      <c r="AX193" s="290"/>
      <c r="AY193" s="290"/>
      <c r="AZ193" s="290"/>
      <c r="BA193" s="290"/>
      <c r="BB193" s="290"/>
      <c r="BC193" s="290"/>
      <c r="BD193" s="290"/>
      <c r="BE193" s="290"/>
      <c r="BF193" s="290"/>
      <c r="BG193" s="290"/>
      <c r="BH193" s="290"/>
      <c r="BI193" s="290"/>
      <c r="BJ193" s="290"/>
      <c r="BK193" s="290"/>
      <c r="BL193" s="290"/>
      <c r="BM193" s="290"/>
      <c r="BN193" s="290"/>
      <c r="BO193" s="290"/>
      <c r="BP193" s="290"/>
      <c r="BQ193" s="290"/>
      <c r="BR193" s="290"/>
      <c r="BS193" s="290"/>
      <c r="BT193" s="290"/>
      <c r="BU193" s="290"/>
      <c r="BV193" s="290"/>
      <c r="BW193" s="290"/>
      <c r="BX193" s="290"/>
      <c r="BY193" s="290"/>
      <c r="BZ193" s="290"/>
      <c r="CA193" s="290"/>
      <c r="CB193" s="290"/>
      <c r="CC193" s="290"/>
      <c r="CD193" s="290"/>
      <c r="CE193" s="290"/>
    </row>
    <row r="194" spans="1:83" x14ac:dyDescent="0.35">
      <c r="A194" s="544"/>
      <c r="B194" s="291" t="s">
        <v>1630</v>
      </c>
      <c r="C194" s="291">
        <v>0</v>
      </c>
      <c r="D194" s="291">
        <v>13</v>
      </c>
      <c r="E194" s="291">
        <f t="shared" si="16"/>
        <v>26</v>
      </c>
      <c r="F194" s="291">
        <f t="shared" si="17"/>
        <v>8.58</v>
      </c>
      <c r="G194" s="291">
        <f t="shared" si="18"/>
        <v>8.58</v>
      </c>
      <c r="H194" s="325">
        <f t="shared" si="19"/>
        <v>27.379123433740531</v>
      </c>
      <c r="I194" s="290">
        <v>34.5</v>
      </c>
      <c r="J194" s="315">
        <f t="shared" si="20"/>
        <v>458.1838923085823</v>
      </c>
      <c r="K194" s="314">
        <v>473.2</v>
      </c>
      <c r="L194" s="314">
        <v>1209</v>
      </c>
      <c r="M194" s="314">
        <v>1209</v>
      </c>
      <c r="N194" s="316">
        <v>1200</v>
      </c>
      <c r="O194" s="327">
        <f>MIN(F222:U222)</f>
        <v>1200</v>
      </c>
      <c r="P194" s="327">
        <f>SMALL(F222:U222,2)</f>
        <v>1200</v>
      </c>
      <c r="Q194" s="326">
        <f t="shared" si="21"/>
        <v>458.1838923085823</v>
      </c>
      <c r="R194" s="312" t="s">
        <v>1706</v>
      </c>
      <c r="S194" s="286">
        <f t="shared" si="22"/>
        <v>473.2</v>
      </c>
      <c r="T194" s="296" t="s">
        <v>1696</v>
      </c>
      <c r="U194" s="296"/>
      <c r="V194" s="296"/>
      <c r="W194" s="290"/>
      <c r="X194" s="290"/>
      <c r="Y194" s="290"/>
      <c r="Z194" s="290"/>
      <c r="AA194" s="290"/>
      <c r="AB194" s="290"/>
      <c r="AC194" s="290"/>
      <c r="AD194" s="290"/>
      <c r="AE194" s="290"/>
      <c r="AF194" s="290"/>
      <c r="AG194" s="290"/>
      <c r="AH194" s="290"/>
      <c r="AI194" s="290"/>
      <c r="AJ194" s="290"/>
      <c r="AK194" s="290"/>
      <c r="AL194" s="290"/>
      <c r="AM194" s="290"/>
      <c r="AN194" s="290"/>
      <c r="AO194" s="290"/>
      <c r="AP194" s="290"/>
      <c r="AQ194" s="290"/>
      <c r="AR194" s="290"/>
      <c r="AS194" s="290"/>
      <c r="AT194" s="290"/>
      <c r="AU194" s="290"/>
      <c r="AV194" s="290"/>
      <c r="AW194" s="290"/>
      <c r="AX194" s="290"/>
      <c r="AY194" s="290"/>
      <c r="AZ194" s="290"/>
      <c r="BA194" s="290"/>
      <c r="BB194" s="290"/>
      <c r="BC194" s="290"/>
      <c r="BD194" s="290"/>
      <c r="BE194" s="290"/>
      <c r="BF194" s="290"/>
      <c r="BG194" s="290"/>
      <c r="BH194" s="290"/>
      <c r="BI194" s="290"/>
      <c r="BJ194" s="290"/>
      <c r="BK194" s="290"/>
      <c r="BL194" s="290"/>
      <c r="BM194" s="290"/>
      <c r="BN194" s="290"/>
      <c r="BO194" s="290"/>
      <c r="BP194" s="290"/>
      <c r="BQ194" s="290"/>
      <c r="BR194" s="290"/>
      <c r="BS194" s="290"/>
      <c r="BT194" s="290"/>
      <c r="BU194" s="290"/>
      <c r="BV194" s="290"/>
      <c r="BW194" s="290"/>
      <c r="BX194" s="290"/>
      <c r="BY194" s="290"/>
      <c r="BZ194" s="290"/>
      <c r="CA194" s="290"/>
      <c r="CB194" s="290"/>
      <c r="CC194" s="290"/>
      <c r="CD194" s="290"/>
      <c r="CE194" s="290"/>
    </row>
    <row r="195" spans="1:83" x14ac:dyDescent="0.35">
      <c r="A195" s="544"/>
      <c r="B195" s="291" t="s">
        <v>1631</v>
      </c>
      <c r="C195" s="291">
        <v>0</v>
      </c>
      <c r="D195" s="291">
        <v>11</v>
      </c>
      <c r="E195" s="291">
        <f t="shared" si="16"/>
        <v>22</v>
      </c>
      <c r="F195" s="291">
        <f t="shared" si="17"/>
        <v>7.2600000000000007</v>
      </c>
      <c r="G195" s="291">
        <f t="shared" si="18"/>
        <v>7.2600000000000007</v>
      </c>
      <c r="H195" s="325">
        <f t="shared" si="19"/>
        <v>23.166950597780449</v>
      </c>
      <c r="I195" s="290">
        <v>34.5</v>
      </c>
      <c r="J195" s="315">
        <f t="shared" si="20"/>
        <v>387.69406272264649</v>
      </c>
      <c r="K195" s="314">
        <v>403.6</v>
      </c>
      <c r="L195" s="314">
        <v>1209</v>
      </c>
      <c r="M195" s="314">
        <v>1209</v>
      </c>
      <c r="N195" s="316">
        <v>1200</v>
      </c>
      <c r="O195" s="327">
        <f>MIN(F222:U222)</f>
        <v>1200</v>
      </c>
      <c r="P195" s="327">
        <f>SMALL(F222:U222,2)</f>
        <v>1200</v>
      </c>
      <c r="Q195" s="326">
        <f t="shared" si="21"/>
        <v>387.69406272264649</v>
      </c>
      <c r="R195" s="312" t="s">
        <v>1706</v>
      </c>
      <c r="S195" s="286">
        <f t="shared" si="22"/>
        <v>403.6</v>
      </c>
      <c r="T195" s="296" t="s">
        <v>1696</v>
      </c>
      <c r="U195" s="296"/>
      <c r="V195" s="296"/>
      <c r="W195" s="290"/>
      <c r="X195" s="290"/>
      <c r="Y195" s="290"/>
      <c r="Z195" s="290"/>
      <c r="AA195" s="290"/>
      <c r="AB195" s="290"/>
      <c r="AC195" s="290"/>
      <c r="AD195" s="290"/>
      <c r="AE195" s="290"/>
      <c r="AF195" s="290"/>
      <c r="AG195" s="290"/>
      <c r="AH195" s="290"/>
      <c r="AI195" s="290"/>
      <c r="AJ195" s="290"/>
      <c r="AK195" s="290"/>
      <c r="AL195" s="290"/>
      <c r="AM195" s="290"/>
      <c r="AN195" s="290"/>
      <c r="AO195" s="290"/>
      <c r="AP195" s="290"/>
      <c r="AQ195" s="290"/>
      <c r="AR195" s="290"/>
      <c r="AS195" s="290"/>
      <c r="AT195" s="290"/>
      <c r="AU195" s="290"/>
      <c r="AV195" s="290"/>
      <c r="AW195" s="290"/>
      <c r="AX195" s="290"/>
      <c r="AY195" s="290"/>
      <c r="AZ195" s="290"/>
      <c r="BA195" s="290"/>
      <c r="BB195" s="290"/>
      <c r="BC195" s="290"/>
      <c r="BD195" s="290"/>
      <c r="BE195" s="290"/>
      <c r="BF195" s="290"/>
      <c r="BG195" s="290"/>
      <c r="BH195" s="290"/>
      <c r="BI195" s="290"/>
      <c r="BJ195" s="290"/>
      <c r="BK195" s="290"/>
      <c r="BL195" s="290"/>
      <c r="BM195" s="290"/>
      <c r="BN195" s="290"/>
      <c r="BO195" s="290"/>
      <c r="BP195" s="290"/>
      <c r="BQ195" s="290"/>
      <c r="BR195" s="290"/>
      <c r="BS195" s="290"/>
      <c r="BT195" s="290"/>
      <c r="BU195" s="290"/>
      <c r="BV195" s="290"/>
      <c r="BW195" s="290"/>
      <c r="BX195" s="290"/>
      <c r="BY195" s="290"/>
      <c r="BZ195" s="290"/>
      <c r="CA195" s="290"/>
      <c r="CB195" s="290"/>
      <c r="CC195" s="290"/>
      <c r="CD195" s="290"/>
      <c r="CE195" s="290"/>
    </row>
    <row r="196" spans="1:83" x14ac:dyDescent="0.35">
      <c r="A196" s="544"/>
      <c r="B196" s="291">
        <v>1203</v>
      </c>
      <c r="C196" s="291">
        <v>0</v>
      </c>
      <c r="D196" s="291">
        <v>13</v>
      </c>
      <c r="E196" s="291">
        <f t="shared" si="16"/>
        <v>26</v>
      </c>
      <c r="F196" s="291">
        <f t="shared" si="17"/>
        <v>8.58</v>
      </c>
      <c r="G196" s="291">
        <f t="shared" si="18"/>
        <v>8.58</v>
      </c>
      <c r="H196" s="325">
        <f t="shared" si="19"/>
        <v>27.379123433740531</v>
      </c>
      <c r="I196" s="290">
        <v>34.5</v>
      </c>
      <c r="J196" s="315">
        <f t="shared" si="20"/>
        <v>458.1838923085823</v>
      </c>
      <c r="K196" s="314">
        <v>473.2</v>
      </c>
      <c r="L196" s="314">
        <v>1209</v>
      </c>
      <c r="M196" s="314">
        <v>1209</v>
      </c>
      <c r="N196" s="316">
        <v>1200</v>
      </c>
      <c r="O196" s="327">
        <f>MIN(F223:U223)</f>
        <v>1200</v>
      </c>
      <c r="P196" s="327">
        <f>SMALL(F223:U223,2)</f>
        <v>1200</v>
      </c>
      <c r="Q196" s="326">
        <f t="shared" si="21"/>
        <v>458.1838923085823</v>
      </c>
      <c r="R196" s="312" t="s">
        <v>1706</v>
      </c>
      <c r="S196" s="286">
        <f t="shared" si="22"/>
        <v>473.2</v>
      </c>
      <c r="T196" s="296" t="s">
        <v>1696</v>
      </c>
      <c r="U196" s="296"/>
      <c r="V196" s="296"/>
      <c r="W196" s="290"/>
      <c r="X196" s="290"/>
      <c r="Y196" s="290"/>
      <c r="Z196" s="290"/>
      <c r="AA196" s="290"/>
      <c r="AB196" s="290"/>
      <c r="AC196" s="290"/>
      <c r="AD196" s="290"/>
      <c r="AE196" s="290"/>
      <c r="AF196" s="290"/>
      <c r="AG196" s="290"/>
      <c r="AH196" s="290"/>
      <c r="AI196" s="290"/>
      <c r="AJ196" s="290"/>
      <c r="AK196" s="290"/>
      <c r="AL196" s="290"/>
      <c r="AM196" s="290"/>
      <c r="AN196" s="290"/>
      <c r="AO196" s="290"/>
      <c r="AP196" s="290"/>
      <c r="AQ196" s="290"/>
      <c r="AR196" s="290"/>
      <c r="AS196" s="290"/>
      <c r="AT196" s="290"/>
      <c r="AU196" s="290"/>
      <c r="AV196" s="290"/>
      <c r="AW196" s="290"/>
      <c r="AX196" s="290"/>
      <c r="AY196" s="290"/>
      <c r="AZ196" s="290"/>
      <c r="BA196" s="290"/>
      <c r="BB196" s="290"/>
      <c r="BC196" s="290"/>
      <c r="BD196" s="290"/>
      <c r="BE196" s="290"/>
      <c r="BF196" s="290"/>
      <c r="BG196" s="290"/>
      <c r="BH196" s="290"/>
      <c r="BI196" s="290"/>
      <c r="BJ196" s="290"/>
      <c r="BK196" s="290"/>
      <c r="BL196" s="290"/>
      <c r="BM196" s="290"/>
      <c r="BN196" s="290"/>
      <c r="BO196" s="290"/>
      <c r="BP196" s="290"/>
      <c r="BQ196" s="290"/>
      <c r="BR196" s="290"/>
      <c r="BS196" s="290"/>
      <c r="BT196" s="290"/>
      <c r="BU196" s="290"/>
      <c r="BV196" s="290"/>
      <c r="BW196" s="290"/>
      <c r="BX196" s="290"/>
      <c r="BY196" s="290"/>
      <c r="BZ196" s="290"/>
      <c r="CA196" s="290"/>
      <c r="CB196" s="290"/>
      <c r="CC196" s="290"/>
      <c r="CD196" s="290"/>
      <c r="CE196" s="290"/>
    </row>
    <row r="197" spans="1:83" x14ac:dyDescent="0.35">
      <c r="A197" s="544"/>
      <c r="B197" s="291" t="s">
        <v>1634</v>
      </c>
      <c r="C197" s="291">
        <v>0</v>
      </c>
      <c r="D197" s="291">
        <v>13</v>
      </c>
      <c r="E197" s="291">
        <f t="shared" si="16"/>
        <v>26</v>
      </c>
      <c r="F197" s="291">
        <f t="shared" si="17"/>
        <v>8.58</v>
      </c>
      <c r="G197" s="291">
        <f t="shared" si="18"/>
        <v>8.58</v>
      </c>
      <c r="H197" s="325">
        <f t="shared" si="19"/>
        <v>27.379123433740531</v>
      </c>
      <c r="I197" s="290">
        <v>34.5</v>
      </c>
      <c r="J197" s="315">
        <f t="shared" si="20"/>
        <v>458.1838923085823</v>
      </c>
      <c r="K197" s="314">
        <v>473.2</v>
      </c>
      <c r="L197" s="314">
        <v>1209</v>
      </c>
      <c r="M197" s="314">
        <v>1209</v>
      </c>
      <c r="N197" s="316">
        <v>1200</v>
      </c>
      <c r="O197" s="327">
        <f>MIN(F224:U224)</f>
        <v>1200</v>
      </c>
      <c r="P197" s="327">
        <f>SMALL(F224:U224,2)</f>
        <v>1209</v>
      </c>
      <c r="Q197" s="326">
        <f t="shared" si="21"/>
        <v>458.1838923085823</v>
      </c>
      <c r="R197" s="312" t="s">
        <v>1706</v>
      </c>
      <c r="S197" s="286">
        <f t="shared" si="22"/>
        <v>473.2</v>
      </c>
      <c r="T197" s="296" t="s">
        <v>1696</v>
      </c>
      <c r="U197" s="296"/>
      <c r="V197" s="296"/>
      <c r="W197" s="290"/>
      <c r="X197" s="290"/>
      <c r="Y197" s="290"/>
      <c r="Z197" s="290"/>
      <c r="AA197" s="290"/>
      <c r="AB197" s="290"/>
      <c r="AC197" s="290"/>
      <c r="AD197" s="290"/>
      <c r="AE197" s="290"/>
      <c r="AF197" s="290"/>
      <c r="AG197" s="290"/>
      <c r="AH197" s="290"/>
      <c r="AI197" s="290"/>
      <c r="AJ197" s="290"/>
      <c r="AK197" s="290"/>
      <c r="AL197" s="290"/>
      <c r="AM197" s="290"/>
      <c r="AN197" s="290"/>
      <c r="AO197" s="290"/>
      <c r="AP197" s="290"/>
      <c r="AQ197" s="290"/>
      <c r="AR197" s="290"/>
      <c r="AS197" s="290"/>
      <c r="AT197" s="290"/>
      <c r="AU197" s="290"/>
      <c r="AV197" s="290"/>
      <c r="AW197" s="290"/>
      <c r="AX197" s="290"/>
      <c r="AY197" s="290"/>
      <c r="AZ197" s="290"/>
      <c r="BA197" s="290"/>
      <c r="BB197" s="290"/>
      <c r="BC197" s="290"/>
      <c r="BD197" s="290"/>
      <c r="BE197" s="290"/>
      <c r="BF197" s="290"/>
      <c r="BG197" s="290"/>
      <c r="BH197" s="290"/>
      <c r="BI197" s="290"/>
      <c r="BJ197" s="290"/>
      <c r="BK197" s="290"/>
      <c r="BL197" s="290"/>
      <c r="BM197" s="290"/>
      <c r="BN197" s="290"/>
      <c r="BO197" s="290"/>
      <c r="BP197" s="290"/>
      <c r="BQ197" s="290"/>
      <c r="BR197" s="290"/>
      <c r="BS197" s="290"/>
      <c r="BT197" s="290"/>
      <c r="BU197" s="290"/>
      <c r="BV197" s="290"/>
      <c r="BW197" s="290"/>
      <c r="BX197" s="290"/>
      <c r="BY197" s="290"/>
      <c r="BZ197" s="290"/>
      <c r="CA197" s="290"/>
      <c r="CB197" s="290"/>
      <c r="CC197" s="290"/>
      <c r="CD197" s="290"/>
      <c r="CE197" s="290"/>
    </row>
    <row r="198" spans="1:83" x14ac:dyDescent="0.35">
      <c r="A198" s="544"/>
      <c r="B198" s="291" t="s">
        <v>1635</v>
      </c>
      <c r="C198" s="291">
        <v>3</v>
      </c>
      <c r="D198" s="291">
        <v>10</v>
      </c>
      <c r="E198" s="291">
        <f t="shared" si="16"/>
        <v>26</v>
      </c>
      <c r="F198" s="291">
        <f t="shared" si="17"/>
        <v>8.3490000000000002</v>
      </c>
      <c r="G198" s="291">
        <f t="shared" si="18"/>
        <v>7.8180000000000005</v>
      </c>
      <c r="H198" s="325">
        <f t="shared" si="19"/>
        <v>27.307614341058798</v>
      </c>
      <c r="I198" s="290">
        <v>34.5</v>
      </c>
      <c r="J198" s="315">
        <f t="shared" si="20"/>
        <v>456.98720263005168</v>
      </c>
      <c r="K198" s="314">
        <v>473.2</v>
      </c>
      <c r="L198" s="314">
        <v>1209</v>
      </c>
      <c r="M198" s="314">
        <v>1209</v>
      </c>
      <c r="N198" s="316">
        <v>1200</v>
      </c>
      <c r="O198" s="327">
        <f>MIN(F224:U224)</f>
        <v>1200</v>
      </c>
      <c r="P198" s="327">
        <f>SMALL(F224:U224,2)</f>
        <v>1209</v>
      </c>
      <c r="Q198" s="326">
        <f t="shared" si="21"/>
        <v>456.98720263005168</v>
      </c>
      <c r="R198" s="312" t="s">
        <v>1706</v>
      </c>
      <c r="S198" s="286">
        <f t="shared" si="22"/>
        <v>473.2</v>
      </c>
      <c r="T198" s="296" t="s">
        <v>1696</v>
      </c>
      <c r="U198" s="296"/>
      <c r="V198" s="296"/>
      <c r="W198" s="290"/>
      <c r="X198" s="290"/>
      <c r="Y198" s="290"/>
      <c r="Z198" s="290"/>
      <c r="AA198" s="290"/>
      <c r="AB198" s="290"/>
      <c r="AC198" s="290"/>
      <c r="AD198" s="290"/>
      <c r="AE198" s="290"/>
      <c r="AF198" s="290"/>
      <c r="AG198" s="290"/>
      <c r="AH198" s="290"/>
      <c r="AI198" s="290"/>
      <c r="AJ198" s="290"/>
      <c r="AK198" s="290"/>
      <c r="AL198" s="290"/>
      <c r="AM198" s="290"/>
      <c r="AN198" s="290"/>
      <c r="AO198" s="290"/>
      <c r="AP198" s="290"/>
      <c r="AQ198" s="290"/>
      <c r="AR198" s="290"/>
      <c r="AS198" s="290"/>
      <c r="AT198" s="290"/>
      <c r="AU198" s="290"/>
      <c r="AV198" s="290"/>
      <c r="AW198" s="290"/>
      <c r="AX198" s="290"/>
      <c r="AY198" s="290"/>
      <c r="AZ198" s="290"/>
      <c r="BA198" s="290"/>
      <c r="BB198" s="290"/>
      <c r="BC198" s="290"/>
      <c r="BD198" s="290"/>
      <c r="BE198" s="290"/>
      <c r="BF198" s="290"/>
      <c r="BG198" s="290"/>
      <c r="BH198" s="290"/>
      <c r="BI198" s="290"/>
      <c r="BJ198" s="290"/>
      <c r="BK198" s="290"/>
      <c r="BL198" s="290"/>
      <c r="BM198" s="290"/>
      <c r="BN198" s="290"/>
      <c r="BO198" s="290"/>
      <c r="BP198" s="290"/>
      <c r="BQ198" s="290"/>
      <c r="BR198" s="290"/>
      <c r="BS198" s="290"/>
      <c r="BT198" s="290"/>
      <c r="BU198" s="290"/>
      <c r="BV198" s="290"/>
      <c r="BW198" s="290"/>
      <c r="BX198" s="290"/>
      <c r="BY198" s="290"/>
      <c r="BZ198" s="290"/>
      <c r="CA198" s="290"/>
      <c r="CB198" s="290"/>
      <c r="CC198" s="290"/>
      <c r="CD198" s="290"/>
      <c r="CE198" s="290"/>
    </row>
    <row r="199" spans="1:83" x14ac:dyDescent="0.35">
      <c r="A199" s="544" t="s">
        <v>1651</v>
      </c>
      <c r="B199" s="291" t="s">
        <v>1652</v>
      </c>
      <c r="C199" s="291">
        <v>0</v>
      </c>
      <c r="D199" s="291">
        <v>2</v>
      </c>
      <c r="E199" s="291">
        <f t="shared" si="16"/>
        <v>4</v>
      </c>
      <c r="F199" s="291">
        <f t="shared" si="17"/>
        <v>1.32</v>
      </c>
      <c r="G199" s="291">
        <f t="shared" si="18"/>
        <v>1.32</v>
      </c>
      <c r="H199" s="325">
        <f t="shared" si="19"/>
        <v>4.2121728359600823</v>
      </c>
      <c r="I199" s="290">
        <v>34.5</v>
      </c>
      <c r="J199" s="315">
        <f t="shared" si="20"/>
        <v>70.489829585935738</v>
      </c>
      <c r="K199" s="314">
        <v>232.5</v>
      </c>
      <c r="L199" s="314">
        <v>1209</v>
      </c>
      <c r="M199" s="314">
        <v>1209</v>
      </c>
      <c r="N199" s="316">
        <v>1200</v>
      </c>
      <c r="O199" s="327">
        <f>MIN(F225:U225)</f>
        <v>1200</v>
      </c>
      <c r="P199" s="327">
        <f>SMALL(F225:U225,2)</f>
        <v>1209</v>
      </c>
      <c r="Q199" s="326">
        <f t="shared" si="21"/>
        <v>70.489829585935738</v>
      </c>
      <c r="R199" s="312" t="s">
        <v>1706</v>
      </c>
      <c r="S199" s="286">
        <f t="shared" si="22"/>
        <v>232.5</v>
      </c>
      <c r="T199" s="296" t="s">
        <v>1696</v>
      </c>
      <c r="U199" s="296"/>
      <c r="V199" s="296"/>
      <c r="W199" s="290"/>
      <c r="X199" s="290"/>
      <c r="Y199" s="290"/>
      <c r="Z199" s="290"/>
      <c r="AA199" s="290"/>
      <c r="AB199" s="290"/>
      <c r="AC199" s="290"/>
      <c r="AD199" s="290"/>
      <c r="AE199" s="290"/>
      <c r="AF199" s="290"/>
      <c r="AG199" s="290"/>
      <c r="AH199" s="290"/>
      <c r="AI199" s="290"/>
      <c r="AJ199" s="290"/>
      <c r="AK199" s="290"/>
      <c r="AL199" s="290"/>
      <c r="AM199" s="290"/>
      <c r="AN199" s="290"/>
      <c r="AO199" s="290"/>
      <c r="AP199" s="290"/>
      <c r="AQ199" s="290"/>
      <c r="AR199" s="290"/>
      <c r="AS199" s="290"/>
      <c r="AT199" s="290"/>
      <c r="AU199" s="290"/>
      <c r="AV199" s="290"/>
      <c r="AW199" s="290"/>
      <c r="AX199" s="290"/>
      <c r="AY199" s="290"/>
      <c r="AZ199" s="290"/>
      <c r="BA199" s="290"/>
      <c r="BB199" s="290"/>
      <c r="BC199" s="290"/>
      <c r="BD199" s="290"/>
      <c r="BE199" s="290"/>
      <c r="BF199" s="290"/>
      <c r="BG199" s="290"/>
      <c r="BH199" s="290"/>
      <c r="BI199" s="290"/>
      <c r="BJ199" s="290"/>
      <c r="BK199" s="290"/>
      <c r="BL199" s="290"/>
      <c r="BM199" s="290"/>
      <c r="BN199" s="290"/>
      <c r="BO199" s="290"/>
      <c r="BP199" s="290"/>
      <c r="BQ199" s="290"/>
      <c r="BR199" s="290"/>
      <c r="BS199" s="290"/>
      <c r="BT199" s="290"/>
      <c r="BU199" s="290"/>
      <c r="BV199" s="290"/>
      <c r="BW199" s="290"/>
      <c r="BX199" s="290"/>
      <c r="BY199" s="290"/>
      <c r="BZ199" s="290"/>
      <c r="CA199" s="290"/>
      <c r="CB199" s="290"/>
      <c r="CC199" s="290"/>
      <c r="CD199" s="290"/>
      <c r="CE199" s="290"/>
    </row>
    <row r="200" spans="1:83" x14ac:dyDescent="0.35">
      <c r="A200" s="544"/>
      <c r="B200" s="291" t="s">
        <v>1653</v>
      </c>
      <c r="C200" s="291">
        <v>0</v>
      </c>
      <c r="D200" s="291">
        <v>11</v>
      </c>
      <c r="E200" s="291">
        <f t="shared" si="16"/>
        <v>22</v>
      </c>
      <c r="F200" s="291">
        <f t="shared" si="17"/>
        <v>7.2600000000000007</v>
      </c>
      <c r="G200" s="291">
        <f t="shared" si="18"/>
        <v>7.2600000000000007</v>
      </c>
      <c r="H200" s="325">
        <f t="shared" si="19"/>
        <v>23.166950597780449</v>
      </c>
      <c r="I200" s="290">
        <v>34.5</v>
      </c>
      <c r="J200" s="315">
        <f t="shared" si="20"/>
        <v>387.69406272264649</v>
      </c>
      <c r="K200" s="314">
        <v>403.8</v>
      </c>
      <c r="L200" s="314">
        <v>1209</v>
      </c>
      <c r="M200" s="314">
        <v>1209</v>
      </c>
      <c r="N200" s="316">
        <v>1200</v>
      </c>
      <c r="O200" s="327">
        <f>MIN(F225:U225)</f>
        <v>1200</v>
      </c>
      <c r="P200" s="327">
        <f>SMALL(F225:U225,2)</f>
        <v>1209</v>
      </c>
      <c r="Q200" s="326">
        <f t="shared" si="21"/>
        <v>387.69406272264649</v>
      </c>
      <c r="R200" s="312" t="s">
        <v>1706</v>
      </c>
      <c r="S200" s="286">
        <f t="shared" si="22"/>
        <v>403.8</v>
      </c>
      <c r="T200" s="296" t="s">
        <v>1696</v>
      </c>
      <c r="U200" s="296"/>
      <c r="V200" s="296"/>
      <c r="W200" s="290"/>
      <c r="X200" s="290"/>
      <c r="Y200" s="290"/>
      <c r="Z200" s="290"/>
      <c r="AA200" s="290"/>
      <c r="AB200" s="290"/>
      <c r="AC200" s="290"/>
      <c r="AD200" s="290"/>
      <c r="AE200" s="290"/>
      <c r="AF200" s="290"/>
      <c r="AG200" s="290"/>
      <c r="AH200" s="290"/>
      <c r="AI200" s="290"/>
      <c r="AJ200" s="290"/>
      <c r="AK200" s="290"/>
      <c r="AL200" s="290"/>
      <c r="AM200" s="290"/>
      <c r="AN200" s="290"/>
      <c r="AO200" s="290"/>
      <c r="AP200" s="290"/>
      <c r="AQ200" s="290"/>
      <c r="AR200" s="290"/>
      <c r="AS200" s="290"/>
      <c r="AT200" s="290"/>
      <c r="AU200" s="290"/>
      <c r="AV200" s="290"/>
      <c r="AW200" s="290"/>
      <c r="AX200" s="290"/>
      <c r="AY200" s="290"/>
      <c r="AZ200" s="290"/>
      <c r="BA200" s="290"/>
      <c r="BB200" s="290"/>
      <c r="BC200" s="290"/>
      <c r="BD200" s="290"/>
      <c r="BE200" s="290"/>
      <c r="BF200" s="290"/>
      <c r="BG200" s="290"/>
      <c r="BH200" s="290"/>
      <c r="BI200" s="290"/>
      <c r="BJ200" s="290"/>
      <c r="BK200" s="290"/>
      <c r="BL200" s="290"/>
      <c r="BM200" s="290"/>
      <c r="BN200" s="290"/>
      <c r="BO200" s="290"/>
      <c r="BP200" s="290"/>
      <c r="BQ200" s="290"/>
      <c r="BR200" s="290"/>
      <c r="BS200" s="290"/>
      <c r="BT200" s="290"/>
      <c r="BU200" s="290"/>
      <c r="BV200" s="290"/>
      <c r="BW200" s="290"/>
      <c r="BX200" s="290"/>
      <c r="BY200" s="290"/>
      <c r="BZ200" s="290"/>
      <c r="CA200" s="290"/>
      <c r="CB200" s="290"/>
      <c r="CC200" s="290"/>
      <c r="CD200" s="290"/>
      <c r="CE200" s="290"/>
    </row>
    <row r="201" spans="1:83" x14ac:dyDescent="0.35">
      <c r="A201" s="544"/>
      <c r="B201" s="291" t="s">
        <v>1654</v>
      </c>
      <c r="C201" s="291">
        <v>0</v>
      </c>
      <c r="D201" s="291">
        <f>SUM(D199:D200)</f>
        <v>13</v>
      </c>
      <c r="E201" s="291">
        <f t="shared" si="16"/>
        <v>26</v>
      </c>
      <c r="F201" s="291">
        <f t="shared" si="17"/>
        <v>8.58</v>
      </c>
      <c r="G201" s="291">
        <f t="shared" si="18"/>
        <v>8.58</v>
      </c>
      <c r="H201" s="325">
        <f t="shared" si="19"/>
        <v>27.379123433740531</v>
      </c>
      <c r="I201" s="290">
        <v>34.5</v>
      </c>
      <c r="J201" s="315">
        <f t="shared" si="20"/>
        <v>458.1838923085823</v>
      </c>
      <c r="K201" s="328" t="s">
        <v>1507</v>
      </c>
      <c r="L201" s="314">
        <v>1209</v>
      </c>
      <c r="M201" s="314">
        <v>1209</v>
      </c>
      <c r="N201" s="316">
        <v>1200</v>
      </c>
      <c r="O201" s="327">
        <f>MIN(F225:U225)</f>
        <v>1200</v>
      </c>
      <c r="P201" s="327">
        <f>SMALL(F225:U225,2)</f>
        <v>1209</v>
      </c>
      <c r="Q201" s="326">
        <f t="shared" si="21"/>
        <v>458.1838923085823</v>
      </c>
      <c r="R201" s="312" t="s">
        <v>1706</v>
      </c>
      <c r="S201" s="286">
        <f t="shared" si="22"/>
        <v>1200</v>
      </c>
      <c r="T201" s="296" t="s">
        <v>1707</v>
      </c>
      <c r="U201" s="296"/>
      <c r="V201" s="296"/>
      <c r="W201" s="290"/>
      <c r="X201" s="290"/>
      <c r="Y201" s="290"/>
      <c r="Z201" s="290"/>
      <c r="AA201" s="290"/>
      <c r="AB201" s="290"/>
      <c r="AC201" s="290"/>
      <c r="AD201" s="290"/>
      <c r="AE201" s="290"/>
      <c r="AF201" s="290"/>
      <c r="AG201" s="290"/>
      <c r="AH201" s="290"/>
      <c r="AI201" s="290"/>
      <c r="AJ201" s="290"/>
      <c r="AK201" s="290"/>
      <c r="AL201" s="290"/>
      <c r="AM201" s="290"/>
      <c r="AN201" s="290"/>
      <c r="AO201" s="290"/>
      <c r="AP201" s="290"/>
      <c r="AQ201" s="290"/>
      <c r="AR201" s="290"/>
      <c r="AS201" s="290"/>
      <c r="AT201" s="290"/>
      <c r="AU201" s="290"/>
      <c r="AV201" s="290"/>
      <c r="AW201" s="290"/>
      <c r="AX201" s="290"/>
      <c r="AY201" s="290"/>
      <c r="AZ201" s="290"/>
      <c r="BA201" s="290"/>
      <c r="BB201" s="290"/>
      <c r="BC201" s="290"/>
      <c r="BD201" s="290"/>
      <c r="BE201" s="290"/>
      <c r="BF201" s="290"/>
      <c r="BG201" s="290"/>
      <c r="BH201" s="290"/>
      <c r="BI201" s="290"/>
      <c r="BJ201" s="290"/>
      <c r="BK201" s="290"/>
      <c r="BL201" s="290"/>
      <c r="BM201" s="290"/>
      <c r="BN201" s="290"/>
      <c r="BO201" s="290"/>
      <c r="BP201" s="290"/>
      <c r="BQ201" s="290"/>
      <c r="BR201" s="290"/>
      <c r="BS201" s="290"/>
      <c r="BT201" s="290"/>
      <c r="BU201" s="290"/>
      <c r="BV201" s="290"/>
      <c r="BW201" s="290"/>
      <c r="BX201" s="290"/>
      <c r="BY201" s="290"/>
      <c r="BZ201" s="290"/>
      <c r="CA201" s="290"/>
      <c r="CB201" s="290"/>
      <c r="CC201" s="290"/>
      <c r="CD201" s="290"/>
      <c r="CE201" s="290"/>
    </row>
    <row r="202" spans="1:83" x14ac:dyDescent="0.35">
      <c r="A202" s="544"/>
      <c r="B202" s="291" t="s">
        <v>1655</v>
      </c>
      <c r="C202" s="291">
        <v>0</v>
      </c>
      <c r="D202" s="291">
        <v>11</v>
      </c>
      <c r="E202" s="291">
        <f t="shared" si="16"/>
        <v>22</v>
      </c>
      <c r="F202" s="291">
        <f t="shared" si="17"/>
        <v>7.2600000000000007</v>
      </c>
      <c r="G202" s="291">
        <f t="shared" si="18"/>
        <v>7.2600000000000007</v>
      </c>
      <c r="H202" s="325">
        <f t="shared" si="19"/>
        <v>23.166950597780449</v>
      </c>
      <c r="I202" s="290">
        <v>34.5</v>
      </c>
      <c r="J202" s="315">
        <f t="shared" si="20"/>
        <v>387.69406272264649</v>
      </c>
      <c r="K202" s="314">
        <v>403.8</v>
      </c>
      <c r="L202" s="314">
        <v>1209</v>
      </c>
      <c r="M202" s="314">
        <v>1209</v>
      </c>
      <c r="N202" s="316">
        <v>1200</v>
      </c>
      <c r="O202" s="327">
        <f>MIN(F225:U225)</f>
        <v>1200</v>
      </c>
      <c r="P202" s="327">
        <f>SMALL(F225:U225,2)</f>
        <v>1209</v>
      </c>
      <c r="Q202" s="326">
        <f t="shared" si="21"/>
        <v>387.69406272264649</v>
      </c>
      <c r="R202" s="312" t="s">
        <v>1706</v>
      </c>
      <c r="S202" s="286">
        <f t="shared" si="22"/>
        <v>403.8</v>
      </c>
      <c r="T202" s="296" t="s">
        <v>1696</v>
      </c>
      <c r="U202" s="296"/>
      <c r="V202" s="296"/>
      <c r="W202" s="290"/>
      <c r="X202" s="290"/>
      <c r="Y202" s="290"/>
      <c r="Z202" s="290"/>
      <c r="AA202" s="290"/>
      <c r="AB202" s="290"/>
      <c r="AC202" s="290"/>
      <c r="AD202" s="290"/>
      <c r="AE202" s="290"/>
      <c r="AF202" s="290"/>
      <c r="AG202" s="290"/>
      <c r="AH202" s="290"/>
      <c r="AI202" s="290"/>
      <c r="AJ202" s="290"/>
      <c r="AK202" s="290"/>
      <c r="AL202" s="290"/>
      <c r="AM202" s="290"/>
      <c r="AN202" s="290"/>
      <c r="AO202" s="290"/>
      <c r="AP202" s="290"/>
      <c r="AQ202" s="290"/>
      <c r="AR202" s="290"/>
      <c r="AS202" s="290"/>
      <c r="AT202" s="290"/>
      <c r="AU202" s="290"/>
      <c r="AV202" s="290"/>
      <c r="AW202" s="290"/>
      <c r="AX202" s="290"/>
      <c r="AY202" s="290"/>
      <c r="AZ202" s="290"/>
      <c r="BA202" s="290"/>
      <c r="BB202" s="290"/>
      <c r="BC202" s="290"/>
      <c r="BD202" s="290"/>
      <c r="BE202" s="290"/>
      <c r="BF202" s="290"/>
      <c r="BG202" s="290"/>
      <c r="BH202" s="290"/>
      <c r="BI202" s="290"/>
      <c r="BJ202" s="290"/>
      <c r="BK202" s="290"/>
      <c r="BL202" s="290"/>
      <c r="BM202" s="290"/>
      <c r="BN202" s="290"/>
      <c r="BO202" s="290"/>
      <c r="BP202" s="290"/>
      <c r="BQ202" s="290"/>
      <c r="BR202" s="290"/>
      <c r="BS202" s="290"/>
      <c r="BT202" s="290"/>
      <c r="BU202" s="290"/>
      <c r="BV202" s="290"/>
      <c r="BW202" s="290"/>
      <c r="BX202" s="290"/>
      <c r="BY202" s="290"/>
      <c r="BZ202" s="290"/>
      <c r="CA202" s="290"/>
      <c r="CB202" s="290"/>
      <c r="CC202" s="290"/>
      <c r="CD202" s="290"/>
      <c r="CE202" s="290"/>
    </row>
    <row r="203" spans="1:83" x14ac:dyDescent="0.35">
      <c r="A203" s="544"/>
      <c r="B203" s="291" t="s">
        <v>1656</v>
      </c>
      <c r="C203" s="291">
        <v>0</v>
      </c>
      <c r="D203" s="291">
        <v>11</v>
      </c>
      <c r="E203" s="291">
        <f t="shared" si="16"/>
        <v>22</v>
      </c>
      <c r="F203" s="291">
        <f t="shared" si="17"/>
        <v>7.2600000000000007</v>
      </c>
      <c r="G203" s="291">
        <f t="shared" si="18"/>
        <v>7.2600000000000007</v>
      </c>
      <c r="H203" s="325">
        <f t="shared" si="19"/>
        <v>23.166950597780449</v>
      </c>
      <c r="I203" s="290">
        <v>34.5</v>
      </c>
      <c r="J203" s="315">
        <f t="shared" si="20"/>
        <v>387.69406272264649</v>
      </c>
      <c r="K203" s="314">
        <v>403.8</v>
      </c>
      <c r="L203" s="314">
        <v>1209</v>
      </c>
      <c r="M203" s="314">
        <v>1209</v>
      </c>
      <c r="N203" s="316">
        <v>1200</v>
      </c>
      <c r="O203" s="327">
        <f>MIN(F226:U226)</f>
        <v>1200</v>
      </c>
      <c r="P203" s="327">
        <f>SMALL(F226:U226,2)</f>
        <v>1200</v>
      </c>
      <c r="Q203" s="326">
        <f t="shared" si="21"/>
        <v>387.69406272264649</v>
      </c>
      <c r="R203" s="312" t="s">
        <v>1706</v>
      </c>
      <c r="S203" s="286">
        <f t="shared" si="22"/>
        <v>403.8</v>
      </c>
      <c r="T203" s="296" t="s">
        <v>1696</v>
      </c>
      <c r="U203" s="296"/>
      <c r="V203" s="296"/>
      <c r="W203" s="290"/>
      <c r="X203" s="290"/>
      <c r="Y203" s="290"/>
      <c r="Z203" s="290"/>
      <c r="AA203" s="290"/>
      <c r="AB203" s="290"/>
      <c r="AC203" s="290"/>
      <c r="AD203" s="290"/>
      <c r="AE203" s="290"/>
      <c r="AF203" s="290"/>
      <c r="AG203" s="290"/>
      <c r="AH203" s="290"/>
      <c r="AI203" s="290"/>
      <c r="AJ203" s="290"/>
      <c r="AK203" s="290"/>
      <c r="AL203" s="290"/>
      <c r="AM203" s="290"/>
      <c r="AN203" s="290"/>
      <c r="AO203" s="290"/>
      <c r="AP203" s="290"/>
      <c r="AQ203" s="290"/>
      <c r="AR203" s="290"/>
      <c r="AS203" s="290"/>
      <c r="AT203" s="290"/>
      <c r="AU203" s="290"/>
      <c r="AV203" s="290"/>
      <c r="AW203" s="290"/>
      <c r="AX203" s="290"/>
      <c r="AY203" s="290"/>
      <c r="AZ203" s="290"/>
      <c r="BA203" s="290"/>
      <c r="BB203" s="290"/>
      <c r="BC203" s="290"/>
      <c r="BD203" s="290"/>
      <c r="BE203" s="290"/>
      <c r="BF203" s="290"/>
      <c r="BG203" s="290"/>
      <c r="BH203" s="290"/>
      <c r="BI203" s="290"/>
      <c r="BJ203" s="290"/>
      <c r="BK203" s="290"/>
      <c r="BL203" s="290"/>
      <c r="BM203" s="290"/>
      <c r="BN203" s="290"/>
      <c r="BO203" s="290"/>
      <c r="BP203" s="290"/>
      <c r="BQ203" s="290"/>
      <c r="BR203" s="290"/>
      <c r="BS203" s="290"/>
      <c r="BT203" s="290"/>
      <c r="BU203" s="290"/>
      <c r="BV203" s="290"/>
      <c r="BW203" s="290"/>
      <c r="BX203" s="290"/>
      <c r="BY203" s="290"/>
      <c r="BZ203" s="290"/>
      <c r="CA203" s="290"/>
      <c r="CB203" s="290"/>
      <c r="CC203" s="290"/>
      <c r="CD203" s="290"/>
      <c r="CE203" s="290"/>
    </row>
    <row r="204" spans="1:83" x14ac:dyDescent="0.35">
      <c r="A204" s="544"/>
      <c r="B204" s="291" t="s">
        <v>1657</v>
      </c>
      <c r="C204" s="291">
        <v>0</v>
      </c>
      <c r="D204" s="291">
        <v>11</v>
      </c>
      <c r="E204" s="291">
        <f t="shared" si="16"/>
        <v>22</v>
      </c>
      <c r="F204" s="291">
        <f t="shared" si="17"/>
        <v>7.2600000000000007</v>
      </c>
      <c r="G204" s="291">
        <f t="shared" si="18"/>
        <v>7.2600000000000007</v>
      </c>
      <c r="H204" s="325">
        <f t="shared" si="19"/>
        <v>23.166950597780449</v>
      </c>
      <c r="I204" s="290">
        <v>34.5</v>
      </c>
      <c r="J204" s="315">
        <f t="shared" si="20"/>
        <v>387.69406272264649</v>
      </c>
      <c r="K204" s="314">
        <v>403.8</v>
      </c>
      <c r="L204" s="314">
        <v>1209</v>
      </c>
      <c r="M204" s="314">
        <v>1209</v>
      </c>
      <c r="N204" s="316">
        <v>1200</v>
      </c>
      <c r="O204" s="327">
        <f>MIN(F226:U226)</f>
        <v>1200</v>
      </c>
      <c r="P204" s="327">
        <f>SMALL(F226:U226,2)</f>
        <v>1200</v>
      </c>
      <c r="Q204" s="326">
        <f t="shared" si="21"/>
        <v>387.69406272264649</v>
      </c>
      <c r="R204" s="312" t="s">
        <v>1706</v>
      </c>
      <c r="S204" s="286">
        <f t="shared" si="22"/>
        <v>403.8</v>
      </c>
      <c r="T204" s="296" t="s">
        <v>1696</v>
      </c>
      <c r="U204" s="296"/>
      <c r="V204" s="296"/>
      <c r="W204" s="290"/>
      <c r="X204" s="290"/>
      <c r="Y204" s="290"/>
      <c r="Z204" s="290"/>
      <c r="AA204" s="290"/>
      <c r="AB204" s="290"/>
      <c r="AC204" s="290"/>
      <c r="AD204" s="290"/>
      <c r="AE204" s="290"/>
      <c r="AF204" s="290"/>
      <c r="AG204" s="290"/>
      <c r="AH204" s="290"/>
      <c r="AI204" s="290"/>
      <c r="AJ204" s="290"/>
      <c r="AK204" s="290"/>
      <c r="AL204" s="290"/>
      <c r="AM204" s="290"/>
      <c r="AN204" s="290"/>
      <c r="AO204" s="290"/>
      <c r="AP204" s="290"/>
      <c r="AQ204" s="290"/>
      <c r="AR204" s="290"/>
      <c r="AS204" s="290"/>
      <c r="AT204" s="290"/>
      <c r="AU204" s="290"/>
      <c r="AV204" s="290"/>
      <c r="AW204" s="290"/>
      <c r="AX204" s="290"/>
      <c r="AY204" s="290"/>
      <c r="AZ204" s="290"/>
      <c r="BA204" s="290"/>
      <c r="BB204" s="290"/>
      <c r="BC204" s="290"/>
      <c r="BD204" s="290"/>
      <c r="BE204" s="290"/>
      <c r="BF204" s="290"/>
      <c r="BG204" s="290"/>
      <c r="BH204" s="290"/>
      <c r="BI204" s="290"/>
      <c r="BJ204" s="290"/>
      <c r="BK204" s="290"/>
      <c r="BL204" s="290"/>
      <c r="BM204" s="290"/>
      <c r="BN204" s="290"/>
      <c r="BO204" s="290"/>
      <c r="BP204" s="290"/>
      <c r="BQ204" s="290"/>
      <c r="BR204" s="290"/>
      <c r="BS204" s="290"/>
      <c r="BT204" s="290"/>
      <c r="BU204" s="290"/>
      <c r="BV204" s="290"/>
      <c r="BW204" s="290"/>
      <c r="BX204" s="290"/>
      <c r="BY204" s="290"/>
      <c r="BZ204" s="290"/>
      <c r="CA204" s="290"/>
      <c r="CB204" s="290"/>
      <c r="CC204" s="290"/>
      <c r="CD204" s="290"/>
      <c r="CE204" s="290"/>
    </row>
    <row r="205" spans="1:83" x14ac:dyDescent="0.35">
      <c r="A205" s="544"/>
      <c r="B205" s="291" t="s">
        <v>1658</v>
      </c>
      <c r="C205" s="291">
        <v>0</v>
      </c>
      <c r="D205" s="291">
        <v>11</v>
      </c>
      <c r="E205" s="291">
        <f t="shared" si="16"/>
        <v>22</v>
      </c>
      <c r="F205" s="291">
        <f t="shared" si="17"/>
        <v>7.2600000000000007</v>
      </c>
      <c r="G205" s="291">
        <f t="shared" si="18"/>
        <v>7.2600000000000007</v>
      </c>
      <c r="H205" s="325">
        <f t="shared" si="19"/>
        <v>23.166950597780449</v>
      </c>
      <c r="I205" s="290">
        <v>34.5</v>
      </c>
      <c r="J205" s="315">
        <f t="shared" si="20"/>
        <v>387.69406272264649</v>
      </c>
      <c r="K205" s="314">
        <v>403.8</v>
      </c>
      <c r="L205" s="314">
        <v>1209</v>
      </c>
      <c r="M205" s="314">
        <v>1209</v>
      </c>
      <c r="N205" s="316">
        <v>1200</v>
      </c>
      <c r="O205" s="327">
        <f>MIN(F227:U227)</f>
        <v>1200</v>
      </c>
      <c r="P205" s="327">
        <f>SMALL(F227:U227,2)</f>
        <v>1200</v>
      </c>
      <c r="Q205" s="326">
        <f t="shared" si="21"/>
        <v>387.69406272264649</v>
      </c>
      <c r="R205" s="312" t="s">
        <v>1706</v>
      </c>
      <c r="S205" s="286">
        <f t="shared" si="22"/>
        <v>403.8</v>
      </c>
      <c r="T205" s="296" t="s">
        <v>1696</v>
      </c>
      <c r="U205" s="296"/>
      <c r="V205" s="296"/>
      <c r="W205" s="290"/>
      <c r="X205" s="290"/>
      <c r="Y205" s="290"/>
      <c r="Z205" s="290"/>
      <c r="AA205" s="290"/>
      <c r="AB205" s="290"/>
      <c r="AC205" s="290"/>
      <c r="AD205" s="290"/>
      <c r="AE205" s="290"/>
      <c r="AF205" s="290"/>
      <c r="AG205" s="290"/>
      <c r="AH205" s="290"/>
      <c r="AI205" s="290"/>
      <c r="AJ205" s="290"/>
      <c r="AK205" s="290"/>
      <c r="AL205" s="290"/>
      <c r="AM205" s="290"/>
      <c r="AN205" s="290"/>
      <c r="AO205" s="290"/>
      <c r="AP205" s="290"/>
      <c r="AQ205" s="290"/>
      <c r="AR205" s="290"/>
      <c r="AS205" s="290"/>
      <c r="AT205" s="290"/>
      <c r="AU205" s="290"/>
      <c r="AV205" s="290"/>
      <c r="AW205" s="290"/>
      <c r="AX205" s="290"/>
      <c r="AY205" s="290"/>
      <c r="AZ205" s="290"/>
      <c r="BA205" s="290"/>
      <c r="BB205" s="290"/>
      <c r="BC205" s="290"/>
      <c r="BD205" s="290"/>
      <c r="BE205" s="290"/>
      <c r="BF205" s="290"/>
      <c r="BG205" s="290"/>
      <c r="BH205" s="290"/>
      <c r="BI205" s="290"/>
      <c r="BJ205" s="290"/>
      <c r="BK205" s="290"/>
      <c r="BL205" s="290"/>
      <c r="BM205" s="290"/>
      <c r="BN205" s="290"/>
      <c r="BO205" s="290"/>
      <c r="BP205" s="290"/>
      <c r="BQ205" s="290"/>
      <c r="BR205" s="290"/>
      <c r="BS205" s="290"/>
      <c r="BT205" s="290"/>
      <c r="BU205" s="290"/>
      <c r="BV205" s="290"/>
      <c r="BW205" s="290"/>
      <c r="BX205" s="290"/>
      <c r="BY205" s="290"/>
      <c r="BZ205" s="290"/>
      <c r="CA205" s="290"/>
      <c r="CB205" s="290"/>
      <c r="CC205" s="290"/>
      <c r="CD205" s="290"/>
      <c r="CE205" s="290"/>
    </row>
    <row r="206" spans="1:83" x14ac:dyDescent="0.35">
      <c r="A206" s="544"/>
      <c r="B206" s="291" t="s">
        <v>1659</v>
      </c>
      <c r="C206" s="291">
        <v>0</v>
      </c>
      <c r="D206" s="291">
        <v>8</v>
      </c>
      <c r="E206" s="291">
        <f t="shared" si="16"/>
        <v>16</v>
      </c>
      <c r="F206" s="291">
        <f t="shared" si="17"/>
        <v>5.28</v>
      </c>
      <c r="G206" s="291">
        <f t="shared" si="18"/>
        <v>5.28</v>
      </c>
      <c r="H206" s="325">
        <f t="shared" si="19"/>
        <v>16.848691343840329</v>
      </c>
      <c r="I206" s="290">
        <v>34.5</v>
      </c>
      <c r="J206" s="315">
        <f t="shared" si="20"/>
        <v>281.95931834374295</v>
      </c>
      <c r="K206" s="314">
        <v>309.2</v>
      </c>
      <c r="L206" s="314">
        <v>1209</v>
      </c>
      <c r="M206" s="314">
        <v>1209</v>
      </c>
      <c r="N206" s="316">
        <v>1200</v>
      </c>
      <c r="O206" s="327">
        <f>MIN(F227:U227)</f>
        <v>1200</v>
      </c>
      <c r="P206" s="327">
        <f>SMALL(F227:U227,2)</f>
        <v>1200</v>
      </c>
      <c r="Q206" s="326">
        <f t="shared" si="21"/>
        <v>281.95931834374295</v>
      </c>
      <c r="R206" s="312" t="s">
        <v>1706</v>
      </c>
      <c r="S206" s="286">
        <f t="shared" si="22"/>
        <v>309.2</v>
      </c>
      <c r="T206" s="296" t="s">
        <v>1696</v>
      </c>
      <c r="U206" s="296"/>
      <c r="V206" s="296"/>
      <c r="W206" s="290"/>
      <c r="X206" s="290"/>
      <c r="Y206" s="290"/>
      <c r="Z206" s="290"/>
      <c r="AA206" s="290"/>
      <c r="AB206" s="290"/>
      <c r="AC206" s="290"/>
      <c r="AD206" s="290"/>
      <c r="AE206" s="290"/>
      <c r="AF206" s="290"/>
      <c r="AG206" s="290"/>
      <c r="AH206" s="290"/>
      <c r="AI206" s="290"/>
      <c r="AJ206" s="290"/>
      <c r="AK206" s="290"/>
      <c r="AL206" s="290"/>
      <c r="AM206" s="290"/>
      <c r="AN206" s="290"/>
      <c r="AO206" s="290"/>
      <c r="AP206" s="290"/>
      <c r="AQ206" s="290"/>
      <c r="AR206" s="290"/>
      <c r="AS206" s="290"/>
      <c r="AT206" s="290"/>
      <c r="AU206" s="290"/>
      <c r="AV206" s="290"/>
      <c r="AW206" s="290"/>
      <c r="AX206" s="290"/>
      <c r="AY206" s="290"/>
      <c r="AZ206" s="290"/>
      <c r="BA206" s="290"/>
      <c r="BB206" s="290"/>
      <c r="BC206" s="290"/>
      <c r="BD206" s="290"/>
      <c r="BE206" s="290"/>
      <c r="BF206" s="290"/>
      <c r="BG206" s="290"/>
      <c r="BH206" s="290"/>
      <c r="BI206" s="290"/>
      <c r="BJ206" s="290"/>
      <c r="BK206" s="290"/>
      <c r="BL206" s="290"/>
      <c r="BM206" s="290"/>
      <c r="BN206" s="290"/>
      <c r="BO206" s="290"/>
      <c r="BP206" s="290"/>
      <c r="BQ206" s="290"/>
      <c r="BR206" s="290"/>
      <c r="BS206" s="290"/>
      <c r="BT206" s="290"/>
      <c r="BU206" s="290"/>
      <c r="BV206" s="290"/>
      <c r="BW206" s="290"/>
      <c r="BX206" s="290"/>
      <c r="BY206" s="290"/>
      <c r="BZ206" s="290"/>
      <c r="CA206" s="290"/>
      <c r="CB206" s="290"/>
      <c r="CC206" s="290"/>
      <c r="CD206" s="290"/>
      <c r="CE206" s="290"/>
    </row>
    <row r="207" spans="1:83" x14ac:dyDescent="0.35">
      <c r="A207" s="544"/>
      <c r="B207" s="291" t="s">
        <v>1660</v>
      </c>
      <c r="C207" s="291">
        <v>0</v>
      </c>
      <c r="D207" s="291">
        <v>10</v>
      </c>
      <c r="E207" s="291">
        <f t="shared" si="16"/>
        <v>20</v>
      </c>
      <c r="F207" s="291">
        <f t="shared" si="17"/>
        <v>6.6000000000000005</v>
      </c>
      <c r="G207" s="291">
        <f t="shared" si="18"/>
        <v>6.6000000000000005</v>
      </c>
      <c r="H207" s="325">
        <f t="shared" si="19"/>
        <v>21.060864179800411</v>
      </c>
      <c r="I207" s="290">
        <v>34.5</v>
      </c>
      <c r="J207" s="315">
        <f t="shared" si="20"/>
        <v>352.4491479296787</v>
      </c>
      <c r="K207" s="314">
        <v>364.5</v>
      </c>
      <c r="L207" s="314">
        <v>1209</v>
      </c>
      <c r="M207" s="314">
        <v>1209</v>
      </c>
      <c r="N207" s="316">
        <v>1200</v>
      </c>
      <c r="O207" s="327">
        <f>MIN(F228:U228)</f>
        <v>1200</v>
      </c>
      <c r="P207" s="327">
        <f>SMALL(F228:U228,2)</f>
        <v>1200</v>
      </c>
      <c r="Q207" s="326">
        <f t="shared" si="21"/>
        <v>352.4491479296787</v>
      </c>
      <c r="R207" s="312" t="s">
        <v>1706</v>
      </c>
      <c r="S207" s="286">
        <f t="shared" si="22"/>
        <v>364.5</v>
      </c>
      <c r="T207" s="296" t="s">
        <v>1696</v>
      </c>
      <c r="U207" s="290"/>
      <c r="V207" s="290"/>
      <c r="W207" s="290"/>
      <c r="X207" s="290"/>
      <c r="Y207" s="290"/>
      <c r="Z207" s="290"/>
      <c r="AA207" s="290"/>
      <c r="AB207" s="290"/>
      <c r="AC207" s="290"/>
      <c r="AD207" s="290"/>
      <c r="AE207" s="290"/>
      <c r="AF207" s="290"/>
      <c r="AG207" s="290"/>
      <c r="AH207" s="290"/>
      <c r="AI207" s="290"/>
      <c r="AJ207" s="290"/>
      <c r="AK207" s="290"/>
      <c r="AL207" s="290"/>
      <c r="AM207" s="290"/>
      <c r="AN207" s="290"/>
      <c r="AO207" s="290"/>
      <c r="AP207" s="290"/>
      <c r="AQ207" s="290"/>
      <c r="AR207" s="290"/>
      <c r="AS207" s="290"/>
      <c r="AT207" s="290"/>
      <c r="AU207" s="290"/>
      <c r="AV207" s="290"/>
      <c r="AW207" s="290"/>
      <c r="AX207" s="290"/>
      <c r="AY207" s="290"/>
      <c r="AZ207" s="290"/>
      <c r="BA207" s="290"/>
      <c r="BB207" s="290"/>
      <c r="BC207" s="290"/>
      <c r="BD207" s="290"/>
      <c r="BE207" s="290"/>
      <c r="BF207" s="290"/>
      <c r="BG207" s="290"/>
      <c r="BH207" s="290"/>
      <c r="BI207" s="290"/>
      <c r="BJ207" s="290"/>
      <c r="BK207" s="290"/>
      <c r="BL207" s="290"/>
      <c r="BM207" s="290"/>
      <c r="BN207" s="290"/>
      <c r="BO207" s="290"/>
      <c r="BP207" s="290"/>
      <c r="BQ207" s="290"/>
      <c r="BR207" s="290"/>
      <c r="BS207" s="290"/>
      <c r="BT207" s="290"/>
      <c r="BU207" s="290"/>
      <c r="BV207" s="290"/>
      <c r="BW207" s="290"/>
      <c r="BX207" s="290"/>
      <c r="BY207" s="290"/>
      <c r="BZ207" s="290"/>
      <c r="CA207" s="290"/>
      <c r="CB207" s="290"/>
      <c r="CC207" s="290"/>
      <c r="CD207" s="290"/>
      <c r="CE207" s="290"/>
    </row>
    <row r="208" spans="1:83" x14ac:dyDescent="0.35">
      <c r="A208" s="544"/>
      <c r="B208" s="291" t="s">
        <v>1661</v>
      </c>
      <c r="C208" s="291">
        <v>0</v>
      </c>
      <c r="D208" s="291">
        <v>10</v>
      </c>
      <c r="E208" s="291">
        <f t="shared" si="16"/>
        <v>20</v>
      </c>
      <c r="F208" s="291">
        <f t="shared" si="17"/>
        <v>6.6000000000000005</v>
      </c>
      <c r="G208" s="291">
        <f t="shared" si="18"/>
        <v>6.6000000000000005</v>
      </c>
      <c r="H208" s="325">
        <f t="shared" si="19"/>
        <v>21.060864179800411</v>
      </c>
      <c r="I208" s="290">
        <v>34.5</v>
      </c>
      <c r="J208" s="315">
        <f t="shared" si="20"/>
        <v>352.4491479296787</v>
      </c>
      <c r="K208" s="314">
        <v>364.5</v>
      </c>
      <c r="L208" s="314">
        <v>1209</v>
      </c>
      <c r="M208" s="314">
        <v>1209</v>
      </c>
      <c r="N208" s="316">
        <v>1200</v>
      </c>
      <c r="O208" s="327">
        <f>MIN(F228:U228)</f>
        <v>1200</v>
      </c>
      <c r="P208" s="327">
        <f>SMALL(F228:U228,2)</f>
        <v>1200</v>
      </c>
      <c r="Q208" s="326">
        <f t="shared" si="21"/>
        <v>352.4491479296787</v>
      </c>
      <c r="R208" s="312" t="s">
        <v>1706</v>
      </c>
      <c r="S208" s="286">
        <f t="shared" si="22"/>
        <v>364.5</v>
      </c>
      <c r="T208" s="296" t="s">
        <v>1696</v>
      </c>
      <c r="U208" s="290"/>
      <c r="V208" s="290"/>
      <c r="W208" s="290"/>
      <c r="X208" s="290"/>
      <c r="Y208" s="290"/>
      <c r="Z208" s="290"/>
      <c r="AA208" s="290"/>
      <c r="AB208" s="290"/>
      <c r="AC208" s="290"/>
      <c r="AD208" s="290"/>
      <c r="AE208" s="290"/>
      <c r="AF208" s="290"/>
      <c r="AG208" s="290"/>
      <c r="AH208" s="290"/>
      <c r="AI208" s="290"/>
      <c r="AJ208" s="290"/>
      <c r="AK208" s="290"/>
      <c r="AL208" s="290"/>
      <c r="AM208" s="290"/>
      <c r="AN208" s="290"/>
      <c r="AO208" s="290"/>
      <c r="AP208" s="290"/>
      <c r="AQ208" s="290"/>
      <c r="AR208" s="290"/>
      <c r="AS208" s="290"/>
      <c r="AT208" s="290"/>
      <c r="AU208" s="290"/>
      <c r="AV208" s="290"/>
      <c r="AW208" s="290"/>
      <c r="AX208" s="290"/>
      <c r="AY208" s="290"/>
      <c r="AZ208" s="290"/>
      <c r="BA208" s="290"/>
      <c r="BB208" s="290"/>
      <c r="BC208" s="290"/>
      <c r="BD208" s="290"/>
      <c r="BE208" s="290"/>
      <c r="BF208" s="290"/>
      <c r="BG208" s="290"/>
      <c r="BH208" s="290"/>
      <c r="BI208" s="290"/>
      <c r="BJ208" s="290"/>
      <c r="BK208" s="290"/>
      <c r="BL208" s="290"/>
      <c r="BM208" s="290"/>
      <c r="BN208" s="290"/>
      <c r="BO208" s="290"/>
      <c r="BP208" s="290"/>
      <c r="BQ208" s="290"/>
      <c r="BR208" s="290"/>
      <c r="BS208" s="290"/>
      <c r="BT208" s="290"/>
      <c r="BU208" s="290"/>
      <c r="BV208" s="290"/>
      <c r="BW208" s="290"/>
      <c r="BX208" s="290"/>
      <c r="BY208" s="290"/>
      <c r="BZ208" s="290"/>
      <c r="CA208" s="290"/>
      <c r="CB208" s="290"/>
      <c r="CC208" s="290"/>
      <c r="CD208" s="290"/>
      <c r="CE208" s="290"/>
    </row>
    <row r="209" spans="1:83" x14ac:dyDescent="0.35">
      <c r="A209" s="544"/>
      <c r="B209" s="291" t="s">
        <v>1662</v>
      </c>
      <c r="C209" s="291">
        <v>0</v>
      </c>
      <c r="D209" s="291">
        <v>11</v>
      </c>
      <c r="E209" s="291">
        <f t="shared" si="16"/>
        <v>22</v>
      </c>
      <c r="F209" s="291">
        <f t="shared" si="17"/>
        <v>7.2600000000000007</v>
      </c>
      <c r="G209" s="291">
        <f t="shared" si="18"/>
        <v>7.2600000000000007</v>
      </c>
      <c r="H209" s="325">
        <f t="shared" si="19"/>
        <v>23.166950597780449</v>
      </c>
      <c r="I209" s="290">
        <v>34.5</v>
      </c>
      <c r="J209" s="315">
        <f t="shared" si="20"/>
        <v>387.69406272264649</v>
      </c>
      <c r="K209" s="314">
        <v>403.8</v>
      </c>
      <c r="L209" s="314">
        <v>1209</v>
      </c>
      <c r="M209" s="314">
        <v>1209</v>
      </c>
      <c r="N209" s="316">
        <v>1200</v>
      </c>
      <c r="O209" s="327">
        <f>MIN(F229:U229)</f>
        <v>1200</v>
      </c>
      <c r="P209" s="327">
        <f>SMALL(F229:U229,2)</f>
        <v>1200</v>
      </c>
      <c r="Q209" s="326">
        <f t="shared" si="21"/>
        <v>387.69406272264649</v>
      </c>
      <c r="R209" s="312" t="s">
        <v>1706</v>
      </c>
      <c r="S209" s="286">
        <f t="shared" si="22"/>
        <v>403.8</v>
      </c>
      <c r="T209" s="296" t="s">
        <v>1696</v>
      </c>
      <c r="U209" s="290"/>
      <c r="V209" s="290"/>
      <c r="W209" s="290"/>
      <c r="X209" s="290"/>
      <c r="Y209" s="290"/>
      <c r="Z209" s="290"/>
      <c r="AA209" s="290"/>
      <c r="AB209" s="290"/>
      <c r="AC209" s="290"/>
      <c r="AD209" s="290"/>
      <c r="AE209" s="290"/>
      <c r="AF209" s="290"/>
      <c r="AG209" s="290"/>
      <c r="AH209" s="290"/>
      <c r="AI209" s="290"/>
      <c r="AJ209" s="290"/>
      <c r="AK209" s="290"/>
      <c r="AL209" s="290"/>
      <c r="AM209" s="290"/>
      <c r="AN209" s="290"/>
      <c r="AO209" s="290"/>
      <c r="AP209" s="290"/>
      <c r="AQ209" s="290"/>
      <c r="AR209" s="290"/>
      <c r="AS209" s="290"/>
      <c r="AT209" s="290"/>
      <c r="AU209" s="290"/>
      <c r="AV209" s="290"/>
      <c r="AW209" s="290"/>
      <c r="AX209" s="290"/>
      <c r="AY209" s="290"/>
      <c r="AZ209" s="290"/>
      <c r="BA209" s="290"/>
      <c r="BB209" s="290"/>
      <c r="BC209" s="290"/>
      <c r="BD209" s="290"/>
      <c r="BE209" s="290"/>
      <c r="BF209" s="290"/>
      <c r="BG209" s="290"/>
      <c r="BH209" s="290"/>
      <c r="BI209" s="290"/>
      <c r="BJ209" s="290"/>
      <c r="BK209" s="290"/>
      <c r="BL209" s="290"/>
      <c r="BM209" s="290"/>
      <c r="BN209" s="290"/>
      <c r="BO209" s="290"/>
      <c r="BP209" s="290"/>
      <c r="BQ209" s="290"/>
      <c r="BR209" s="290"/>
      <c r="BS209" s="290"/>
      <c r="BT209" s="290"/>
      <c r="BU209" s="290"/>
      <c r="BV209" s="290"/>
      <c r="BW209" s="290"/>
      <c r="BX209" s="290"/>
      <c r="BY209" s="290"/>
      <c r="BZ209" s="290"/>
      <c r="CA209" s="290"/>
      <c r="CB209" s="290"/>
      <c r="CC209" s="290"/>
      <c r="CD209" s="290"/>
      <c r="CE209" s="290"/>
    </row>
    <row r="210" spans="1:83" x14ac:dyDescent="0.35">
      <c r="A210" s="544"/>
      <c r="B210" s="291" t="s">
        <v>1663</v>
      </c>
      <c r="C210" s="291">
        <v>0</v>
      </c>
      <c r="D210" s="291">
        <v>11</v>
      </c>
      <c r="E210" s="291">
        <f t="shared" si="16"/>
        <v>22</v>
      </c>
      <c r="F210" s="291">
        <f t="shared" si="17"/>
        <v>7.2600000000000007</v>
      </c>
      <c r="G210" s="291">
        <f t="shared" si="18"/>
        <v>7.2600000000000007</v>
      </c>
      <c r="H210" s="325">
        <f t="shared" si="19"/>
        <v>23.166950597780449</v>
      </c>
      <c r="I210" s="290">
        <v>34.5</v>
      </c>
      <c r="J210" s="315">
        <f t="shared" si="20"/>
        <v>387.69406272264649</v>
      </c>
      <c r="K210" s="314">
        <v>403.8</v>
      </c>
      <c r="L210" s="314">
        <v>1209</v>
      </c>
      <c r="M210" s="314">
        <v>1209</v>
      </c>
      <c r="N210" s="316">
        <v>1200</v>
      </c>
      <c r="O210" s="327">
        <f>MIN(F229:U229)</f>
        <v>1200</v>
      </c>
      <c r="P210" s="327">
        <f>SMALL(F229:U229,2)</f>
        <v>1200</v>
      </c>
      <c r="Q210" s="326">
        <f t="shared" si="21"/>
        <v>387.69406272264649</v>
      </c>
      <c r="R210" s="312" t="s">
        <v>1706</v>
      </c>
      <c r="S210" s="286">
        <f t="shared" si="22"/>
        <v>403.8</v>
      </c>
      <c r="T210" s="296" t="s">
        <v>1696</v>
      </c>
      <c r="U210" s="290"/>
      <c r="V210" s="290"/>
      <c r="W210" s="290"/>
      <c r="X210" s="290"/>
      <c r="Y210" s="290"/>
      <c r="Z210" s="290"/>
      <c r="AA210" s="290"/>
      <c r="AB210" s="290"/>
      <c r="AC210" s="290"/>
      <c r="AD210" s="290"/>
      <c r="AE210" s="290"/>
      <c r="AF210" s="290"/>
      <c r="AG210" s="290"/>
      <c r="AH210" s="290"/>
      <c r="AI210" s="290"/>
      <c r="AJ210" s="290"/>
      <c r="AK210" s="290"/>
      <c r="AL210" s="290"/>
      <c r="AM210" s="290"/>
      <c r="AN210" s="290"/>
      <c r="AO210" s="290"/>
      <c r="AP210" s="290"/>
      <c r="AQ210" s="290"/>
      <c r="AR210" s="290"/>
      <c r="AS210" s="290"/>
      <c r="AT210" s="290"/>
      <c r="AU210" s="290"/>
      <c r="AV210" s="290"/>
      <c r="AW210" s="290"/>
      <c r="AX210" s="290"/>
      <c r="AY210" s="290"/>
      <c r="AZ210" s="290"/>
      <c r="BA210" s="290"/>
      <c r="BB210" s="290"/>
      <c r="BC210" s="290"/>
      <c r="BD210" s="290"/>
      <c r="BE210" s="290"/>
      <c r="BF210" s="290"/>
      <c r="BG210" s="290"/>
      <c r="BH210" s="290"/>
      <c r="BI210" s="290"/>
      <c r="BJ210" s="290"/>
      <c r="BK210" s="290"/>
      <c r="BL210" s="290"/>
      <c r="BM210" s="290"/>
      <c r="BN210" s="290"/>
      <c r="BO210" s="290"/>
      <c r="BP210" s="290"/>
      <c r="BQ210" s="290"/>
      <c r="BR210" s="290"/>
      <c r="BS210" s="290"/>
      <c r="BT210" s="290"/>
      <c r="BU210" s="290"/>
      <c r="BV210" s="290"/>
      <c r="BW210" s="290"/>
      <c r="BX210" s="290"/>
      <c r="BY210" s="290"/>
      <c r="BZ210" s="290"/>
      <c r="CA210" s="290"/>
      <c r="CB210" s="290"/>
      <c r="CC210" s="290"/>
      <c r="CD210" s="290"/>
      <c r="CE210" s="290"/>
    </row>
    <row r="211" spans="1:83" x14ac:dyDescent="0.35">
      <c r="A211" s="544"/>
      <c r="B211" s="291" t="s">
        <v>1664</v>
      </c>
      <c r="C211" s="291">
        <v>0</v>
      </c>
      <c r="D211" s="291">
        <v>3</v>
      </c>
      <c r="E211" s="291">
        <f t="shared" si="16"/>
        <v>6</v>
      </c>
      <c r="F211" s="291">
        <f t="shared" si="17"/>
        <v>1.98</v>
      </c>
      <c r="G211" s="291">
        <f t="shared" si="18"/>
        <v>1.98</v>
      </c>
      <c r="H211" s="325">
        <f t="shared" si="19"/>
        <v>6.3182592539401234</v>
      </c>
      <c r="I211" s="290">
        <v>34.5</v>
      </c>
      <c r="J211" s="315">
        <f t="shared" si="20"/>
        <v>105.7347443789036</v>
      </c>
      <c r="K211" s="314">
        <v>232.5</v>
      </c>
      <c r="L211" s="314">
        <v>1209</v>
      </c>
      <c r="M211" s="314">
        <v>1209</v>
      </c>
      <c r="N211" s="316">
        <v>1200</v>
      </c>
      <c r="O211" s="327">
        <f>MIN(F229:U229)</f>
        <v>1200</v>
      </c>
      <c r="P211" s="327">
        <f>SMALL(F229:U229,2)</f>
        <v>1200</v>
      </c>
      <c r="Q211" s="326">
        <f t="shared" si="21"/>
        <v>105.7347443789036</v>
      </c>
      <c r="R211" s="312" t="s">
        <v>1706</v>
      </c>
      <c r="S211" s="286">
        <f t="shared" si="22"/>
        <v>232.5</v>
      </c>
      <c r="T211" s="296" t="s">
        <v>1696</v>
      </c>
      <c r="U211" s="290"/>
      <c r="V211" s="290"/>
      <c r="W211" s="290"/>
      <c r="X211" s="290"/>
      <c r="Y211" s="290"/>
      <c r="Z211" s="290"/>
      <c r="AA211" s="290"/>
      <c r="AB211" s="290"/>
      <c r="AC211" s="290"/>
      <c r="AD211" s="290"/>
      <c r="AE211" s="290"/>
      <c r="AF211" s="290"/>
      <c r="AG211" s="290"/>
      <c r="AH211" s="290"/>
      <c r="AI211" s="290"/>
      <c r="AJ211" s="290"/>
      <c r="AK211" s="290"/>
      <c r="AL211" s="290"/>
      <c r="AM211" s="290"/>
      <c r="AN211" s="290"/>
      <c r="AO211" s="290"/>
      <c r="AP211" s="290"/>
      <c r="AQ211" s="290"/>
      <c r="AR211" s="290"/>
      <c r="AS211" s="290"/>
      <c r="AT211" s="290"/>
      <c r="AU211" s="290"/>
      <c r="AV211" s="290"/>
      <c r="AW211" s="290"/>
      <c r="AX211" s="290"/>
      <c r="AY211" s="290"/>
      <c r="AZ211" s="290"/>
      <c r="BA211" s="290"/>
      <c r="BB211" s="290"/>
      <c r="BC211" s="290"/>
      <c r="BD211" s="290"/>
      <c r="BE211" s="290"/>
      <c r="BF211" s="290"/>
      <c r="BG211" s="290"/>
      <c r="BH211" s="290"/>
      <c r="BI211" s="290"/>
      <c r="BJ211" s="290"/>
      <c r="BK211" s="290"/>
      <c r="BL211" s="290"/>
      <c r="BM211" s="290"/>
      <c r="BN211" s="290"/>
      <c r="BO211" s="290"/>
      <c r="BP211" s="290"/>
      <c r="BQ211" s="290"/>
      <c r="BR211" s="290"/>
      <c r="BS211" s="290"/>
      <c r="BT211" s="290"/>
      <c r="BU211" s="290"/>
      <c r="BV211" s="290"/>
      <c r="BW211" s="290"/>
      <c r="BX211" s="290"/>
      <c r="BY211" s="290"/>
      <c r="BZ211" s="290"/>
      <c r="CA211" s="290"/>
      <c r="CB211" s="290"/>
      <c r="CC211" s="290"/>
      <c r="CD211" s="290"/>
      <c r="CE211" s="290"/>
    </row>
    <row r="212" spans="1:83" x14ac:dyDescent="0.35">
      <c r="A212" s="544"/>
      <c r="B212" s="291" t="s">
        <v>1665</v>
      </c>
      <c r="C212" s="291">
        <v>0</v>
      </c>
      <c r="D212" s="291">
        <f>SUM(D210:D211)</f>
        <v>14</v>
      </c>
      <c r="E212" s="291">
        <f t="shared" si="16"/>
        <v>28</v>
      </c>
      <c r="F212" s="291">
        <f t="shared" si="17"/>
        <v>9.24</v>
      </c>
      <c r="G212" s="291">
        <f t="shared" si="18"/>
        <v>9.24</v>
      </c>
      <c r="H212" s="325">
        <f t="shared" si="19"/>
        <v>29.485209851720576</v>
      </c>
      <c r="I212" s="290">
        <v>34.5</v>
      </c>
      <c r="J212" s="315">
        <f t="shared" si="20"/>
        <v>493.42880710155021</v>
      </c>
      <c r="K212" s="328" t="s">
        <v>1507</v>
      </c>
      <c r="L212" s="314">
        <v>1209</v>
      </c>
      <c r="M212" s="314">
        <v>1209</v>
      </c>
      <c r="N212" s="316">
        <v>1200</v>
      </c>
      <c r="O212" s="327">
        <f>MIN(F229:U229)</f>
        <v>1200</v>
      </c>
      <c r="P212" s="327">
        <f>SMALL(F229:U229,2)</f>
        <v>1200</v>
      </c>
      <c r="Q212" s="326">
        <f t="shared" si="21"/>
        <v>493.42880710155021</v>
      </c>
      <c r="R212" s="312" t="s">
        <v>1706</v>
      </c>
      <c r="S212" s="286">
        <f t="shared" si="22"/>
        <v>1200</v>
      </c>
      <c r="T212" s="296" t="s">
        <v>1707</v>
      </c>
      <c r="U212" s="290"/>
      <c r="V212" s="290"/>
      <c r="W212" s="290"/>
      <c r="X212" s="290"/>
      <c r="Y212" s="290"/>
      <c r="Z212" s="290"/>
      <c r="AA212" s="290"/>
      <c r="AB212" s="290"/>
      <c r="AC212" s="290"/>
      <c r="AD212" s="290"/>
      <c r="AE212" s="290"/>
      <c r="AF212" s="290"/>
      <c r="AG212" s="290"/>
      <c r="AH212" s="290"/>
      <c r="AI212" s="290"/>
      <c r="AJ212" s="290"/>
      <c r="AK212" s="290"/>
      <c r="AL212" s="290"/>
      <c r="AM212" s="290"/>
      <c r="AN212" s="290"/>
      <c r="AO212" s="290"/>
      <c r="AP212" s="290"/>
      <c r="AQ212" s="290"/>
      <c r="AR212" s="290"/>
      <c r="AS212" s="290"/>
      <c r="AT212" s="290"/>
      <c r="AU212" s="290"/>
      <c r="AV212" s="290"/>
      <c r="AW212" s="290"/>
      <c r="AX212" s="290"/>
      <c r="AY212" s="290"/>
      <c r="AZ212" s="290"/>
      <c r="BA212" s="290"/>
      <c r="BB212" s="290"/>
      <c r="BC212" s="290"/>
      <c r="BD212" s="290"/>
      <c r="BE212" s="290"/>
      <c r="BF212" s="290"/>
      <c r="BG212" s="290"/>
      <c r="BH212" s="290"/>
      <c r="BI212" s="290"/>
      <c r="BJ212" s="290"/>
      <c r="BK212" s="290"/>
      <c r="BL212" s="290"/>
      <c r="BM212" s="290"/>
      <c r="BN212" s="290"/>
      <c r="BO212" s="290"/>
      <c r="BP212" s="290"/>
      <c r="BQ212" s="290"/>
      <c r="BR212" s="290"/>
      <c r="BS212" s="290"/>
      <c r="BT212" s="290"/>
      <c r="BU212" s="290"/>
      <c r="BV212" s="290"/>
      <c r="BW212" s="290"/>
      <c r="BX212" s="290"/>
      <c r="BY212" s="290"/>
      <c r="BZ212" s="290"/>
      <c r="CA212" s="290"/>
      <c r="CB212" s="290"/>
      <c r="CC212" s="290"/>
      <c r="CD212" s="290"/>
      <c r="CE212" s="290"/>
    </row>
    <row r="213" spans="1:83" x14ac:dyDescent="0.35">
      <c r="A213" s="290"/>
      <c r="B213" s="290"/>
      <c r="C213" s="290"/>
      <c r="D213" s="290"/>
      <c r="E213" s="290"/>
      <c r="F213" s="290"/>
      <c r="G213" s="290"/>
      <c r="H213" s="290"/>
      <c r="I213" s="290"/>
      <c r="J213" s="290"/>
      <c r="K213" s="290"/>
      <c r="L213" s="290"/>
      <c r="M213" s="290"/>
      <c r="N213" s="290"/>
      <c r="O213" s="290"/>
      <c r="P213" s="290"/>
      <c r="Q213" s="290"/>
      <c r="R213" s="290"/>
      <c r="S213" s="290"/>
      <c r="T213" s="290"/>
      <c r="U213" s="290"/>
      <c r="V213" s="290"/>
      <c r="W213" s="290"/>
      <c r="X213" s="290"/>
      <c r="Y213" s="290"/>
      <c r="Z213" s="290"/>
      <c r="AA213" s="290"/>
      <c r="AB213" s="290"/>
      <c r="AC213" s="290"/>
      <c r="AD213" s="290"/>
      <c r="AE213" s="290"/>
      <c r="AF213" s="290"/>
      <c r="AG213" s="290"/>
      <c r="AH213" s="290"/>
      <c r="AI213" s="290"/>
      <c r="AJ213" s="290"/>
      <c r="AK213" s="290"/>
      <c r="AL213" s="290"/>
      <c r="AM213" s="290"/>
      <c r="AN213" s="290"/>
      <c r="AO213" s="290"/>
      <c r="AP213" s="290"/>
      <c r="AQ213" s="290"/>
      <c r="AR213" s="290"/>
      <c r="AS213" s="290"/>
      <c r="AT213" s="290"/>
      <c r="AU213" s="290"/>
      <c r="AV213" s="290"/>
      <c r="AW213" s="290"/>
      <c r="AX213" s="290"/>
      <c r="AY213" s="290"/>
      <c r="AZ213" s="290"/>
      <c r="BA213" s="290"/>
      <c r="BB213" s="290"/>
      <c r="BC213" s="290"/>
      <c r="BD213" s="290"/>
      <c r="BE213" s="290"/>
      <c r="BF213" s="290"/>
      <c r="BG213" s="290"/>
      <c r="BH213" s="290"/>
      <c r="BI213" s="290"/>
      <c r="BJ213" s="290"/>
      <c r="BK213" s="290"/>
      <c r="BL213" s="290"/>
      <c r="BM213" s="290"/>
      <c r="BN213" s="290"/>
      <c r="BO213" s="290"/>
      <c r="BP213" s="290"/>
      <c r="BQ213" s="290"/>
      <c r="BR213" s="290"/>
      <c r="BS213" s="290"/>
      <c r="BT213" s="290"/>
      <c r="BU213" s="290"/>
      <c r="BV213" s="290"/>
      <c r="BW213" s="290"/>
      <c r="BX213" s="290"/>
      <c r="BY213" s="290"/>
      <c r="BZ213" s="290"/>
    </row>
    <row r="214" spans="1:83" x14ac:dyDescent="0.35">
      <c r="A214" s="299" t="s">
        <v>1708</v>
      </c>
      <c r="B214" s="290"/>
      <c r="C214" s="290"/>
      <c r="D214" s="290"/>
      <c r="E214" s="290"/>
      <c r="F214" s="290"/>
      <c r="G214" s="290"/>
      <c r="H214" s="290"/>
      <c r="I214" s="290"/>
      <c r="J214" s="290"/>
      <c r="K214" s="290"/>
      <c r="L214" s="290"/>
      <c r="M214" s="290"/>
      <c r="N214" s="290"/>
      <c r="O214" s="290"/>
      <c r="P214" s="290"/>
      <c r="Q214" s="290"/>
      <c r="R214" s="290"/>
      <c r="S214" s="290"/>
      <c r="T214" s="290"/>
      <c r="U214" s="290"/>
      <c r="V214" s="290"/>
      <c r="W214" s="290"/>
      <c r="X214" s="290"/>
      <c r="Y214" s="290"/>
      <c r="Z214" s="290"/>
      <c r="AA214" s="290"/>
      <c r="AB214" s="290"/>
      <c r="AC214" s="290"/>
      <c r="AD214" s="290"/>
      <c r="AE214" s="290"/>
      <c r="AF214" s="290"/>
      <c r="AG214" s="290"/>
      <c r="AH214" s="290"/>
      <c r="AI214" s="290"/>
      <c r="AJ214" s="290"/>
      <c r="AK214" s="290"/>
      <c r="AL214" s="290"/>
      <c r="AM214" s="290"/>
      <c r="AN214" s="290"/>
      <c r="AO214" s="290"/>
      <c r="AP214" s="290"/>
      <c r="AQ214" s="290"/>
      <c r="AR214" s="290"/>
      <c r="AS214" s="290"/>
      <c r="AT214" s="290"/>
      <c r="AU214" s="290"/>
      <c r="AV214" s="290"/>
      <c r="AW214" s="290"/>
      <c r="AX214" s="290"/>
      <c r="AY214" s="290"/>
      <c r="AZ214" s="290"/>
      <c r="BA214" s="290"/>
      <c r="BB214" s="290"/>
      <c r="BC214" s="290"/>
      <c r="BD214" s="290"/>
      <c r="BE214" s="290"/>
      <c r="BF214" s="290"/>
      <c r="BG214" s="290"/>
      <c r="BH214" s="290"/>
      <c r="BI214" s="290"/>
      <c r="BJ214" s="290"/>
      <c r="BK214" s="290"/>
      <c r="BL214" s="290"/>
      <c r="BM214" s="290"/>
      <c r="BN214" s="290"/>
      <c r="BO214" s="290"/>
      <c r="BP214" s="290"/>
      <c r="BQ214" s="290"/>
      <c r="BR214" s="290"/>
      <c r="BS214" s="290"/>
      <c r="BT214" s="290"/>
      <c r="BU214" s="290"/>
      <c r="BV214" s="290"/>
      <c r="BW214" s="290"/>
      <c r="BX214" s="290"/>
      <c r="BY214" s="290"/>
      <c r="BZ214" s="290"/>
    </row>
    <row r="215" spans="1:83" x14ac:dyDescent="0.35">
      <c r="A215" s="536" t="s">
        <v>1493</v>
      </c>
      <c r="B215" s="535" t="s">
        <v>1709</v>
      </c>
      <c r="C215" s="539" t="s">
        <v>1599</v>
      </c>
      <c r="D215" s="306"/>
      <c r="E215" s="306"/>
      <c r="F215" s="535" t="s">
        <v>1710</v>
      </c>
      <c r="G215" s="535" t="s">
        <v>1711</v>
      </c>
      <c r="H215" s="535" t="s">
        <v>1712</v>
      </c>
      <c r="I215" s="535" t="s">
        <v>1713</v>
      </c>
      <c r="J215" s="535" t="s">
        <v>1714</v>
      </c>
      <c r="K215" s="535" t="s">
        <v>1715</v>
      </c>
      <c r="L215" s="535" t="s">
        <v>1716</v>
      </c>
      <c r="M215" s="539" t="s">
        <v>1717</v>
      </c>
      <c r="N215" s="539" t="s">
        <v>1709</v>
      </c>
      <c r="O215" s="535" t="s">
        <v>1718</v>
      </c>
      <c r="P215" s="539" t="s">
        <v>1719</v>
      </c>
      <c r="Q215" s="535" t="s">
        <v>1720</v>
      </c>
      <c r="R215" s="535" t="s">
        <v>1721</v>
      </c>
      <c r="S215" s="535" t="s">
        <v>1722</v>
      </c>
      <c r="T215" s="535" t="s">
        <v>1700</v>
      </c>
      <c r="U215" s="535" t="s">
        <v>1701</v>
      </c>
      <c r="V215" s="538" t="s">
        <v>1702</v>
      </c>
      <c r="W215" s="538" t="s">
        <v>1703</v>
      </c>
      <c r="X215" s="540" t="s">
        <v>1704</v>
      </c>
      <c r="Y215" s="538" t="s">
        <v>1723</v>
      </c>
      <c r="Z215" s="290"/>
      <c r="AA215" s="290"/>
      <c r="AB215" s="290"/>
      <c r="AC215" s="290"/>
      <c r="AD215" s="290"/>
      <c r="AE215" s="290"/>
      <c r="AF215" s="290"/>
      <c r="AG215" s="290"/>
      <c r="AH215" s="290"/>
      <c r="AI215" s="290"/>
      <c r="AJ215" s="290"/>
      <c r="AK215" s="290"/>
      <c r="AL215" s="290"/>
      <c r="AM215" s="290"/>
      <c r="AN215" s="290"/>
      <c r="AO215" s="290"/>
      <c r="AP215" s="290"/>
      <c r="AQ215" s="290"/>
      <c r="AR215" s="290"/>
      <c r="AS215" s="290"/>
      <c r="AT215" s="290"/>
      <c r="AU215" s="290"/>
      <c r="AV215" s="290"/>
      <c r="AW215" s="290"/>
      <c r="AX215" s="290"/>
      <c r="AY215" s="290"/>
      <c r="AZ215" s="290"/>
      <c r="BA215" s="290"/>
      <c r="BB215" s="290"/>
      <c r="BC215" s="290"/>
      <c r="BD215" s="290"/>
      <c r="BE215" s="290"/>
      <c r="BF215" s="290"/>
      <c r="BG215" s="290"/>
      <c r="BH215" s="290"/>
      <c r="BI215" s="290"/>
      <c r="BJ215" s="290"/>
      <c r="BK215" s="290"/>
      <c r="BL215" s="290"/>
      <c r="BM215" s="290"/>
      <c r="BN215" s="290"/>
      <c r="BO215" s="290"/>
      <c r="BP215" s="290"/>
      <c r="BQ215" s="290"/>
      <c r="BR215" s="290"/>
      <c r="BS215" s="290"/>
      <c r="BT215" s="290"/>
      <c r="BU215" s="290"/>
      <c r="BV215" s="290"/>
      <c r="BW215" s="290"/>
      <c r="BX215" s="290"/>
      <c r="BY215" s="290"/>
      <c r="BZ215" s="290"/>
    </row>
    <row r="216" spans="1:83" x14ac:dyDescent="0.35">
      <c r="A216" s="536"/>
      <c r="B216" s="535"/>
      <c r="C216" s="539"/>
      <c r="D216" s="306" t="s">
        <v>1424</v>
      </c>
      <c r="E216" s="306" t="s">
        <v>1497</v>
      </c>
      <c r="F216" s="535"/>
      <c r="G216" s="535"/>
      <c r="H216" s="535"/>
      <c r="I216" s="535"/>
      <c r="J216" s="535"/>
      <c r="K216" s="535"/>
      <c r="L216" s="535"/>
      <c r="M216" s="539"/>
      <c r="N216" s="539"/>
      <c r="O216" s="535"/>
      <c r="P216" s="539"/>
      <c r="Q216" s="535"/>
      <c r="R216" s="535"/>
      <c r="S216" s="535"/>
      <c r="T216" s="535"/>
      <c r="U216" s="535"/>
      <c r="V216" s="538"/>
      <c r="W216" s="538"/>
      <c r="X216" s="540"/>
      <c r="Y216" s="538"/>
      <c r="Z216" s="290"/>
      <c r="AA216" s="290"/>
      <c r="AB216" s="290"/>
      <c r="AC216" s="290"/>
      <c r="AD216" s="290"/>
      <c r="AE216" s="290"/>
      <c r="AF216" s="290"/>
      <c r="AG216" s="290"/>
      <c r="AH216" s="290"/>
      <c r="AI216" s="290"/>
      <c r="AJ216" s="290"/>
      <c r="AK216" s="290"/>
      <c r="AL216" s="290"/>
      <c r="AM216" s="290"/>
      <c r="AN216" s="290"/>
      <c r="AO216" s="290"/>
      <c r="AP216" s="290"/>
      <c r="AQ216" s="290"/>
      <c r="AR216" s="290"/>
      <c r="AS216" s="290"/>
      <c r="AT216" s="290"/>
      <c r="AU216" s="290"/>
      <c r="AV216" s="290"/>
      <c r="AW216" s="290"/>
      <c r="AX216" s="290"/>
      <c r="AY216" s="290"/>
      <c r="AZ216" s="290"/>
      <c r="BA216" s="290"/>
      <c r="BB216" s="290"/>
      <c r="BC216" s="290"/>
      <c r="BD216" s="290"/>
      <c r="BE216" s="290"/>
      <c r="BF216" s="290"/>
      <c r="BG216" s="290"/>
      <c r="BH216" s="290"/>
      <c r="BI216" s="290"/>
      <c r="BJ216" s="290"/>
      <c r="BK216" s="290"/>
      <c r="BL216" s="290"/>
      <c r="BM216" s="290"/>
      <c r="BN216" s="290"/>
      <c r="BO216" s="290"/>
      <c r="BP216" s="290"/>
      <c r="BQ216" s="290"/>
      <c r="BR216" s="290"/>
      <c r="BS216" s="290"/>
      <c r="BT216" s="290"/>
      <c r="BU216" s="290"/>
      <c r="BV216" s="290"/>
      <c r="BW216" s="290"/>
      <c r="BX216" s="290"/>
      <c r="BY216" s="290"/>
      <c r="BZ216" s="290"/>
    </row>
    <row r="217" spans="1:83" x14ac:dyDescent="0.35">
      <c r="A217" s="544" t="s">
        <v>1605</v>
      </c>
      <c r="B217" s="290">
        <v>1101</v>
      </c>
      <c r="C217" s="325">
        <f>SUM(H184:H185)</f>
        <v>47.914520565273321</v>
      </c>
      <c r="D217" s="290">
        <v>34.5</v>
      </c>
      <c r="E217" s="315">
        <f t="shared" ref="E217:E229" si="23">(C217*1000)/(SQRT(3)*D217)</f>
        <v>801.83945931746132</v>
      </c>
      <c r="F217" s="314">
        <v>1484</v>
      </c>
      <c r="G217" s="314">
        <v>1209</v>
      </c>
      <c r="H217" s="314">
        <v>1200</v>
      </c>
      <c r="I217" s="314">
        <v>1209</v>
      </c>
      <c r="J217" s="314">
        <v>1484</v>
      </c>
      <c r="K217" s="314">
        <v>1209</v>
      </c>
      <c r="L217" s="317">
        <v>2000</v>
      </c>
      <c r="M217" s="304">
        <v>3000</v>
      </c>
      <c r="N217" s="288">
        <v>2000</v>
      </c>
      <c r="O217" s="304">
        <v>2000</v>
      </c>
      <c r="P217" s="304">
        <v>3000</v>
      </c>
      <c r="Q217" s="314">
        <v>1209</v>
      </c>
      <c r="R217" s="314">
        <v>1209</v>
      </c>
      <c r="S217" s="304">
        <v>1300</v>
      </c>
      <c r="T217" s="304">
        <f t="shared" ref="T217:T224" si="24">$O$266</f>
        <v>4150.34976737959</v>
      </c>
      <c r="U217" s="304">
        <f t="shared" ref="U217:U224" si="25">$P$266</f>
        <v>4500</v>
      </c>
      <c r="V217" s="312">
        <f t="shared" ref="V217:V229" si="26">MIN(E217:U217)</f>
        <v>801.83945931746132</v>
      </c>
      <c r="W217" s="312" t="s">
        <v>1706</v>
      </c>
      <c r="X217" s="310">
        <f t="shared" ref="X217:X229" si="27">SMALL(E217:U217,2)</f>
        <v>1200</v>
      </c>
      <c r="Y217" s="310" t="s">
        <v>1712</v>
      </c>
      <c r="Z217" s="290"/>
      <c r="AA217" s="290"/>
      <c r="AB217" s="290"/>
      <c r="AC217" s="290"/>
      <c r="AD217" s="290"/>
      <c r="AE217" s="290"/>
      <c r="AF217" s="290"/>
      <c r="AG217" s="290"/>
      <c r="AH217" s="290"/>
      <c r="AI217" s="290"/>
      <c r="AJ217" s="290"/>
      <c r="AK217" s="290"/>
      <c r="AL217" s="290"/>
      <c r="AM217" s="290"/>
      <c r="AN217" s="290"/>
      <c r="AO217" s="290"/>
      <c r="AP217" s="290"/>
      <c r="AQ217" s="290"/>
      <c r="AR217" s="290"/>
      <c r="AS217" s="290"/>
      <c r="AT217" s="290"/>
      <c r="AU217" s="290"/>
      <c r="AV217" s="290"/>
      <c r="AW217" s="290"/>
      <c r="AX217" s="290"/>
      <c r="AY217" s="290"/>
      <c r="AZ217" s="290"/>
      <c r="BA217" s="290"/>
      <c r="BB217" s="290"/>
      <c r="BC217" s="290"/>
      <c r="BD217" s="290"/>
      <c r="BE217" s="290"/>
      <c r="BF217" s="290"/>
      <c r="BG217" s="290"/>
      <c r="BH217" s="290"/>
      <c r="BI217" s="290"/>
      <c r="BJ217" s="290"/>
      <c r="BK217" s="290"/>
      <c r="BL217" s="290"/>
      <c r="BM217" s="290"/>
      <c r="BN217" s="290"/>
      <c r="BO217" s="290"/>
      <c r="BP217" s="290"/>
      <c r="BQ217" s="290"/>
      <c r="BR217" s="290"/>
      <c r="BS217" s="290"/>
      <c r="BT217" s="290"/>
      <c r="BU217" s="290"/>
      <c r="BV217" s="290"/>
      <c r="BW217" s="290"/>
      <c r="BX217" s="290"/>
      <c r="BY217" s="290"/>
      <c r="BZ217" s="290"/>
    </row>
    <row r="218" spans="1:83" x14ac:dyDescent="0.35">
      <c r="A218" s="544"/>
      <c r="B218" s="290">
        <v>1102</v>
      </c>
      <c r="C218" s="290">
        <f>SUM(H186:H187)</f>
        <v>54.758246867481063</v>
      </c>
      <c r="D218" s="290">
        <v>34.5</v>
      </c>
      <c r="E218" s="315">
        <f t="shared" si="23"/>
        <v>916.3677846171646</v>
      </c>
      <c r="F218" s="314">
        <v>1484</v>
      </c>
      <c r="G218" s="314">
        <v>1209</v>
      </c>
      <c r="H218" s="314">
        <v>1200</v>
      </c>
      <c r="I218" s="314">
        <v>1209</v>
      </c>
      <c r="J218" s="314">
        <v>1484</v>
      </c>
      <c r="K218" s="314">
        <v>1209</v>
      </c>
      <c r="L218" s="317">
        <v>1200</v>
      </c>
      <c r="M218" s="304">
        <v>3000</v>
      </c>
      <c r="N218" s="288">
        <v>1200</v>
      </c>
      <c r="O218" s="304">
        <v>1200</v>
      </c>
      <c r="P218" s="304">
        <v>3000</v>
      </c>
      <c r="Q218" s="314">
        <v>1209</v>
      </c>
      <c r="R218" s="314">
        <v>1209</v>
      </c>
      <c r="S218" s="304">
        <v>1300</v>
      </c>
      <c r="T218" s="304">
        <f t="shared" si="24"/>
        <v>4150.34976737959</v>
      </c>
      <c r="U218" s="304">
        <f t="shared" si="25"/>
        <v>4500</v>
      </c>
      <c r="V218" s="312">
        <f t="shared" si="26"/>
        <v>916.3677846171646</v>
      </c>
      <c r="W218" s="312" t="s">
        <v>1706</v>
      </c>
      <c r="X218" s="310">
        <f t="shared" si="27"/>
        <v>1200</v>
      </c>
      <c r="Y218" s="310" t="s">
        <v>1724</v>
      </c>
      <c r="Z218" s="290"/>
      <c r="AA218" s="290"/>
      <c r="AB218" s="290"/>
      <c r="AC218" s="290"/>
      <c r="AD218" s="290"/>
      <c r="AE218" s="290"/>
      <c r="AF218" s="290"/>
      <c r="AG218" s="290"/>
      <c r="AH218" s="290"/>
      <c r="AI218" s="290"/>
      <c r="AJ218" s="290"/>
      <c r="AK218" s="290"/>
      <c r="AL218" s="290"/>
      <c r="AM218" s="290"/>
      <c r="AN218" s="290"/>
      <c r="AO218" s="290"/>
      <c r="AP218" s="290"/>
      <c r="AQ218" s="290"/>
      <c r="AR218" s="290"/>
      <c r="AS218" s="290"/>
      <c r="AT218" s="290"/>
      <c r="AU218" s="290"/>
      <c r="AV218" s="290"/>
      <c r="AW218" s="290"/>
      <c r="AX218" s="290"/>
      <c r="AY218" s="290"/>
      <c r="AZ218" s="290"/>
      <c r="BA218" s="290"/>
      <c r="BB218" s="290"/>
      <c r="BC218" s="290"/>
      <c r="BD218" s="290"/>
      <c r="BE218" s="290"/>
      <c r="BF218" s="290"/>
      <c r="BG218" s="290"/>
      <c r="BH218" s="290"/>
      <c r="BI218" s="290"/>
      <c r="BJ218" s="290"/>
      <c r="BK218" s="290"/>
      <c r="BL218" s="290"/>
      <c r="BM218" s="290"/>
      <c r="BN218" s="290"/>
      <c r="BO218" s="290"/>
      <c r="BP218" s="290"/>
      <c r="BQ218" s="290"/>
      <c r="BR218" s="290"/>
      <c r="BS218" s="290"/>
      <c r="BT218" s="290"/>
      <c r="BU218" s="290"/>
      <c r="BV218" s="290"/>
      <c r="BW218" s="290"/>
      <c r="BX218" s="290"/>
      <c r="BY218" s="290"/>
      <c r="BZ218" s="290"/>
    </row>
    <row r="219" spans="1:83" x14ac:dyDescent="0.35">
      <c r="A219" s="544"/>
      <c r="B219" s="290">
        <v>1103</v>
      </c>
      <c r="C219" s="290">
        <f>SUM(H188:H189)</f>
        <v>54.758246867481063</v>
      </c>
      <c r="D219" s="290">
        <v>34.5</v>
      </c>
      <c r="E219" s="315">
        <f t="shared" si="23"/>
        <v>916.3677846171646</v>
      </c>
      <c r="F219" s="314">
        <v>1484</v>
      </c>
      <c r="G219" s="314">
        <v>1209</v>
      </c>
      <c r="H219" s="314">
        <v>1200</v>
      </c>
      <c r="I219" s="314">
        <v>1209</v>
      </c>
      <c r="J219" s="314">
        <v>1484</v>
      </c>
      <c r="K219" s="314">
        <v>1209</v>
      </c>
      <c r="L219" s="317">
        <v>1200</v>
      </c>
      <c r="M219" s="304">
        <v>3000</v>
      </c>
      <c r="N219" s="288">
        <v>1200</v>
      </c>
      <c r="O219" s="304">
        <v>1200</v>
      </c>
      <c r="P219" s="304">
        <v>3000</v>
      </c>
      <c r="Q219" s="314">
        <v>1209</v>
      </c>
      <c r="R219" s="314">
        <v>1209</v>
      </c>
      <c r="S219" s="304">
        <v>1300</v>
      </c>
      <c r="T219" s="304">
        <f t="shared" si="24"/>
        <v>4150.34976737959</v>
      </c>
      <c r="U219" s="304">
        <f t="shared" si="25"/>
        <v>4500</v>
      </c>
      <c r="V219" s="312">
        <f t="shared" si="26"/>
        <v>916.3677846171646</v>
      </c>
      <c r="W219" s="312" t="s">
        <v>1706</v>
      </c>
      <c r="X219" s="310">
        <f t="shared" si="27"/>
        <v>1200</v>
      </c>
      <c r="Y219" s="310" t="s">
        <v>1724</v>
      </c>
      <c r="Z219" s="290"/>
      <c r="AA219" s="290"/>
      <c r="AB219" s="290"/>
      <c r="AC219" s="290"/>
      <c r="AD219" s="290"/>
      <c r="AE219" s="290"/>
      <c r="AF219" s="290"/>
      <c r="AG219" s="290"/>
      <c r="AH219" s="290"/>
      <c r="AI219" s="290"/>
      <c r="AJ219" s="290"/>
      <c r="AK219" s="290"/>
      <c r="AL219" s="290"/>
      <c r="AM219" s="290"/>
      <c r="AN219" s="290"/>
      <c r="AO219" s="290"/>
      <c r="AP219" s="290"/>
      <c r="AQ219" s="290"/>
      <c r="AR219" s="290"/>
      <c r="AS219" s="290"/>
      <c r="AT219" s="290"/>
      <c r="AU219" s="290"/>
      <c r="AV219" s="290"/>
      <c r="AW219" s="290"/>
      <c r="AX219" s="290"/>
      <c r="AY219" s="290"/>
      <c r="AZ219" s="290"/>
      <c r="BA219" s="290"/>
      <c r="BB219" s="290"/>
      <c r="BC219" s="290"/>
      <c r="BD219" s="290"/>
      <c r="BE219" s="290"/>
      <c r="BF219" s="290"/>
      <c r="BG219" s="290"/>
      <c r="BH219" s="290"/>
      <c r="BI219" s="290"/>
      <c r="BJ219" s="290"/>
      <c r="BK219" s="290"/>
      <c r="BL219" s="290"/>
      <c r="BM219" s="290"/>
      <c r="BN219" s="290"/>
      <c r="BO219" s="290"/>
      <c r="BP219" s="290"/>
      <c r="BQ219" s="290"/>
      <c r="BR219" s="290"/>
      <c r="BS219" s="290"/>
      <c r="BT219" s="290"/>
      <c r="BU219" s="290"/>
      <c r="BV219" s="290"/>
      <c r="BW219" s="290"/>
      <c r="BX219" s="290"/>
      <c r="BY219" s="290"/>
      <c r="BZ219" s="290"/>
    </row>
    <row r="220" spans="1:83" x14ac:dyDescent="0.35">
      <c r="A220" s="544"/>
      <c r="B220" s="290">
        <v>1104</v>
      </c>
      <c r="C220" s="290">
        <f>SUM(H190:H191)</f>
        <v>54.758246867481063</v>
      </c>
      <c r="D220" s="290">
        <v>34.5</v>
      </c>
      <c r="E220" s="315">
        <f t="shared" si="23"/>
        <v>916.3677846171646</v>
      </c>
      <c r="F220" s="314">
        <v>1484</v>
      </c>
      <c r="G220" s="314">
        <v>1209</v>
      </c>
      <c r="H220" s="314">
        <v>1200</v>
      </c>
      <c r="I220" s="314">
        <v>1209</v>
      </c>
      <c r="J220" s="314">
        <v>1484</v>
      </c>
      <c r="K220" s="314">
        <v>1209</v>
      </c>
      <c r="L220" s="317">
        <v>1200</v>
      </c>
      <c r="M220" s="304">
        <v>3000</v>
      </c>
      <c r="N220" s="288">
        <v>1200</v>
      </c>
      <c r="O220" s="304">
        <v>1200</v>
      </c>
      <c r="P220" s="304">
        <v>3000</v>
      </c>
      <c r="Q220" s="314">
        <v>1209</v>
      </c>
      <c r="R220" s="314">
        <v>1209</v>
      </c>
      <c r="S220" s="304">
        <v>1300</v>
      </c>
      <c r="T220" s="304">
        <f t="shared" si="24"/>
        <v>4150.34976737959</v>
      </c>
      <c r="U220" s="304">
        <f t="shared" si="25"/>
        <v>4500</v>
      </c>
      <c r="V220" s="312">
        <f t="shared" si="26"/>
        <v>916.3677846171646</v>
      </c>
      <c r="W220" s="312" t="s">
        <v>1706</v>
      </c>
      <c r="X220" s="310">
        <f t="shared" si="27"/>
        <v>1200</v>
      </c>
      <c r="Y220" s="310" t="s">
        <v>1724</v>
      </c>
      <c r="Z220" s="290"/>
      <c r="AA220" s="290"/>
      <c r="AB220" s="290"/>
      <c r="AC220" s="290"/>
      <c r="AD220" s="290"/>
      <c r="AE220" s="290"/>
      <c r="AF220" s="290"/>
      <c r="AG220" s="290"/>
      <c r="AH220" s="290"/>
      <c r="AI220" s="290"/>
      <c r="AJ220" s="290"/>
      <c r="AK220" s="290"/>
      <c r="AL220" s="290"/>
      <c r="AM220" s="290"/>
      <c r="AN220" s="290"/>
      <c r="AO220" s="290"/>
      <c r="AP220" s="290"/>
      <c r="AQ220" s="290"/>
      <c r="AR220" s="290"/>
      <c r="AS220" s="290"/>
      <c r="AT220" s="290"/>
      <c r="AU220" s="290"/>
      <c r="AV220" s="290"/>
      <c r="AW220" s="290"/>
      <c r="AX220" s="290"/>
      <c r="AY220" s="290"/>
      <c r="AZ220" s="290"/>
      <c r="BA220" s="290"/>
      <c r="BB220" s="290"/>
      <c r="BC220" s="290"/>
      <c r="BD220" s="290"/>
      <c r="BE220" s="290"/>
      <c r="BF220" s="290"/>
      <c r="BG220" s="290"/>
      <c r="BH220" s="290"/>
      <c r="BI220" s="290"/>
      <c r="BJ220" s="290"/>
      <c r="BK220" s="290"/>
      <c r="BL220" s="290"/>
      <c r="BM220" s="290"/>
      <c r="BN220" s="290"/>
      <c r="BO220" s="290"/>
      <c r="BP220" s="290"/>
      <c r="BQ220" s="290"/>
      <c r="BR220" s="290"/>
      <c r="BS220" s="290"/>
      <c r="BT220" s="290"/>
      <c r="BU220" s="290"/>
      <c r="BV220" s="290"/>
      <c r="BW220" s="290"/>
      <c r="BX220" s="290"/>
      <c r="BY220" s="290"/>
      <c r="BZ220" s="290"/>
    </row>
    <row r="221" spans="1:83" x14ac:dyDescent="0.35">
      <c r="A221" s="544"/>
      <c r="B221" s="290">
        <v>1201</v>
      </c>
      <c r="C221" s="290">
        <f>SUM(H192:H193)</f>
        <v>54.662705439426574</v>
      </c>
      <c r="D221" s="290">
        <v>34.5</v>
      </c>
      <c r="E221" s="315">
        <f t="shared" si="23"/>
        <v>914.7689188430769</v>
      </c>
      <c r="F221" s="314">
        <v>1484</v>
      </c>
      <c r="G221" s="314">
        <v>1209</v>
      </c>
      <c r="H221" s="314">
        <v>1200</v>
      </c>
      <c r="I221" s="314">
        <v>1209</v>
      </c>
      <c r="J221" s="314">
        <v>1484</v>
      </c>
      <c r="K221" s="314">
        <v>1209</v>
      </c>
      <c r="L221" s="317">
        <v>1200</v>
      </c>
      <c r="M221" s="304">
        <v>3000</v>
      </c>
      <c r="N221" s="288">
        <v>1200</v>
      </c>
      <c r="O221" s="304">
        <v>1200</v>
      </c>
      <c r="P221" s="304">
        <v>3000</v>
      </c>
      <c r="Q221" s="314">
        <v>1209</v>
      </c>
      <c r="R221" s="314">
        <v>1209</v>
      </c>
      <c r="S221" s="304">
        <v>1300</v>
      </c>
      <c r="T221" s="304">
        <f t="shared" si="24"/>
        <v>4150.34976737959</v>
      </c>
      <c r="U221" s="304">
        <f t="shared" si="25"/>
        <v>4500</v>
      </c>
      <c r="V221" s="312">
        <f t="shared" si="26"/>
        <v>914.7689188430769</v>
      </c>
      <c r="W221" s="312" t="s">
        <v>1706</v>
      </c>
      <c r="X221" s="310">
        <f t="shared" si="27"/>
        <v>1200</v>
      </c>
      <c r="Y221" s="310" t="s">
        <v>1724</v>
      </c>
      <c r="Z221" s="290"/>
      <c r="AA221" s="290"/>
      <c r="AB221" s="290"/>
      <c r="AC221" s="290"/>
      <c r="AD221" s="290"/>
      <c r="AE221" s="290"/>
      <c r="AF221" s="290"/>
      <c r="AG221" s="290"/>
      <c r="AH221" s="290"/>
      <c r="AI221" s="290"/>
      <c r="AJ221" s="290"/>
      <c r="AK221" s="290"/>
      <c r="AL221" s="290"/>
      <c r="AM221" s="290"/>
      <c r="AN221" s="290"/>
      <c r="AO221" s="290"/>
      <c r="AP221" s="290"/>
      <c r="AQ221" s="290"/>
      <c r="AR221" s="290"/>
      <c r="AS221" s="290"/>
      <c r="AT221" s="290"/>
      <c r="AU221" s="290"/>
      <c r="AV221" s="290"/>
      <c r="AW221" s="290"/>
      <c r="AX221" s="290"/>
      <c r="AY221" s="290"/>
      <c r="AZ221" s="290"/>
      <c r="BA221" s="290"/>
      <c r="BB221" s="290"/>
      <c r="BC221" s="290"/>
      <c r="BD221" s="290"/>
      <c r="BE221" s="290"/>
      <c r="BF221" s="290"/>
      <c r="BG221" s="290"/>
      <c r="BH221" s="290"/>
      <c r="BI221" s="290"/>
      <c r="BJ221" s="290"/>
      <c r="BK221" s="290"/>
      <c r="BL221" s="290"/>
      <c r="BM221" s="290"/>
      <c r="BN221" s="290"/>
      <c r="BO221" s="290"/>
      <c r="BP221" s="290"/>
      <c r="BQ221" s="290"/>
      <c r="BR221" s="290"/>
      <c r="BS221" s="290"/>
      <c r="BT221" s="290"/>
      <c r="BU221" s="290"/>
      <c r="BV221" s="290"/>
      <c r="BW221" s="290"/>
      <c r="BX221" s="290"/>
      <c r="BY221" s="290"/>
      <c r="BZ221" s="290"/>
    </row>
    <row r="222" spans="1:83" x14ac:dyDescent="0.35">
      <c r="A222" s="544"/>
      <c r="B222" s="290">
        <v>1202</v>
      </c>
      <c r="C222" s="290">
        <f>SUM(H194:H195)</f>
        <v>50.54607403152098</v>
      </c>
      <c r="D222" s="290">
        <v>34.5</v>
      </c>
      <c r="E222" s="315">
        <f t="shared" si="23"/>
        <v>845.87795503122868</v>
      </c>
      <c r="F222" s="314">
        <v>1484</v>
      </c>
      <c r="G222" s="314">
        <v>1209</v>
      </c>
      <c r="H222" s="314">
        <v>1200</v>
      </c>
      <c r="I222" s="314">
        <v>1209</v>
      </c>
      <c r="J222" s="314">
        <v>1484</v>
      </c>
      <c r="K222" s="314">
        <v>1209</v>
      </c>
      <c r="L222" s="317">
        <v>1200</v>
      </c>
      <c r="M222" s="304">
        <v>3000</v>
      </c>
      <c r="N222" s="288">
        <v>1200</v>
      </c>
      <c r="O222" s="304">
        <v>1200</v>
      </c>
      <c r="P222" s="304">
        <v>3000</v>
      </c>
      <c r="Q222" s="314">
        <v>1209</v>
      </c>
      <c r="R222" s="314">
        <v>1209</v>
      </c>
      <c r="S222" s="304">
        <v>1300</v>
      </c>
      <c r="T222" s="304">
        <f t="shared" si="24"/>
        <v>4150.34976737959</v>
      </c>
      <c r="U222" s="304">
        <f t="shared" si="25"/>
        <v>4500</v>
      </c>
      <c r="V222" s="312">
        <f t="shared" si="26"/>
        <v>845.87795503122868</v>
      </c>
      <c r="W222" s="312" t="s">
        <v>1706</v>
      </c>
      <c r="X222" s="310">
        <f t="shared" si="27"/>
        <v>1200</v>
      </c>
      <c r="Y222" s="310" t="s">
        <v>1724</v>
      </c>
      <c r="Z222" s="290"/>
      <c r="AA222" s="290"/>
      <c r="AB222" s="290"/>
      <c r="AC222" s="290"/>
      <c r="AD222" s="290"/>
      <c r="AE222" s="290"/>
      <c r="AF222" s="290"/>
      <c r="AG222" s="290"/>
      <c r="AH222" s="290"/>
      <c r="AI222" s="290"/>
      <c r="AJ222" s="290"/>
      <c r="AK222" s="290"/>
      <c r="AL222" s="290"/>
      <c r="AM222" s="290"/>
      <c r="AN222" s="290"/>
      <c r="AO222" s="290"/>
      <c r="AP222" s="290"/>
      <c r="AQ222" s="290"/>
      <c r="AR222" s="290"/>
      <c r="AS222" s="290"/>
      <c r="AT222" s="290"/>
      <c r="AU222" s="290"/>
      <c r="AV222" s="290"/>
      <c r="AW222" s="290"/>
      <c r="AX222" s="290"/>
      <c r="AY222" s="290"/>
      <c r="AZ222" s="290"/>
      <c r="BA222" s="290"/>
      <c r="BB222" s="290"/>
      <c r="BC222" s="290"/>
      <c r="BD222" s="290"/>
      <c r="BE222" s="290"/>
      <c r="BF222" s="290"/>
      <c r="BG222" s="290"/>
      <c r="BH222" s="290"/>
      <c r="BI222" s="290"/>
      <c r="BJ222" s="290"/>
      <c r="BK222" s="290"/>
      <c r="BL222" s="290"/>
      <c r="BM222" s="290"/>
      <c r="BN222" s="290"/>
      <c r="BO222" s="290"/>
      <c r="BP222" s="290"/>
      <c r="BQ222" s="290"/>
      <c r="BR222" s="290"/>
      <c r="BS222" s="290"/>
      <c r="BT222" s="290"/>
      <c r="BU222" s="290"/>
      <c r="BV222" s="290"/>
      <c r="BW222" s="290"/>
      <c r="BX222" s="290"/>
      <c r="BY222" s="290"/>
      <c r="BZ222" s="290"/>
    </row>
    <row r="223" spans="1:83" x14ac:dyDescent="0.35">
      <c r="A223" s="544"/>
      <c r="B223" s="290">
        <v>1203</v>
      </c>
      <c r="C223" s="290">
        <f>H196</f>
        <v>27.379123433740531</v>
      </c>
      <c r="D223" s="290">
        <v>34.5</v>
      </c>
      <c r="E223" s="315">
        <f t="shared" si="23"/>
        <v>458.1838923085823</v>
      </c>
      <c r="F223" s="314">
        <v>1484</v>
      </c>
      <c r="G223" s="314">
        <v>1209</v>
      </c>
      <c r="H223" s="314">
        <v>1200</v>
      </c>
      <c r="I223" s="314">
        <v>1209</v>
      </c>
      <c r="J223" s="314">
        <v>1484</v>
      </c>
      <c r="K223" s="314">
        <v>1209</v>
      </c>
      <c r="L223" s="316">
        <v>1200</v>
      </c>
      <c r="M223" s="304">
        <v>3000</v>
      </c>
      <c r="N223" s="292">
        <v>1200</v>
      </c>
      <c r="O223" s="304">
        <v>1200</v>
      </c>
      <c r="P223" s="304">
        <v>3000</v>
      </c>
      <c r="Q223" s="314">
        <v>1209</v>
      </c>
      <c r="R223" s="314">
        <v>1209</v>
      </c>
      <c r="S223" s="304">
        <v>1300</v>
      </c>
      <c r="T223" s="304">
        <f t="shared" si="24"/>
        <v>4150.34976737959</v>
      </c>
      <c r="U223" s="304">
        <f t="shared" si="25"/>
        <v>4500</v>
      </c>
      <c r="V223" s="312">
        <f t="shared" si="26"/>
        <v>458.1838923085823</v>
      </c>
      <c r="W223" s="312" t="s">
        <v>1706</v>
      </c>
      <c r="X223" s="310">
        <f t="shared" si="27"/>
        <v>1200</v>
      </c>
      <c r="Y223" s="310" t="s">
        <v>1724</v>
      </c>
      <c r="Z223" s="290"/>
      <c r="AA223" s="290"/>
      <c r="AB223" s="290"/>
      <c r="AC223" s="290"/>
      <c r="AD223" s="290"/>
      <c r="AE223" s="290"/>
      <c r="AF223" s="290"/>
      <c r="AG223" s="290"/>
      <c r="AH223" s="290"/>
      <c r="AI223" s="290"/>
      <c r="AJ223" s="290"/>
      <c r="AK223" s="290"/>
      <c r="AL223" s="290"/>
      <c r="AM223" s="290"/>
      <c r="AN223" s="290"/>
      <c r="AO223" s="290"/>
      <c r="AP223" s="290"/>
      <c r="AQ223" s="290"/>
      <c r="AR223" s="290"/>
      <c r="AS223" s="290"/>
      <c r="AT223" s="290"/>
      <c r="AU223" s="290"/>
      <c r="AV223" s="290"/>
      <c r="AW223" s="290"/>
      <c r="AX223" s="290"/>
      <c r="AY223" s="290"/>
      <c r="AZ223" s="290"/>
      <c r="BA223" s="290"/>
      <c r="BB223" s="290"/>
      <c r="BC223" s="290"/>
      <c r="BD223" s="290"/>
      <c r="BE223" s="290"/>
      <c r="BF223" s="290"/>
      <c r="BG223" s="290"/>
      <c r="BH223" s="290"/>
      <c r="BI223" s="290"/>
      <c r="BJ223" s="290"/>
      <c r="BK223" s="290"/>
      <c r="BL223" s="290"/>
      <c r="BM223" s="290"/>
      <c r="BN223" s="290"/>
      <c r="BO223" s="290"/>
      <c r="BP223" s="290"/>
      <c r="BQ223" s="290"/>
      <c r="BR223" s="290"/>
      <c r="BS223" s="290"/>
      <c r="BT223" s="290"/>
      <c r="BU223" s="290"/>
      <c r="BV223" s="290"/>
      <c r="BW223" s="290"/>
      <c r="BX223" s="290"/>
      <c r="BY223" s="290"/>
      <c r="BZ223" s="290"/>
    </row>
    <row r="224" spans="1:83" x14ac:dyDescent="0.35">
      <c r="A224" s="544"/>
      <c r="B224" s="290">
        <v>1204</v>
      </c>
      <c r="C224" s="290">
        <f>SUM(H197:H198)</f>
        <v>54.686737774799326</v>
      </c>
      <c r="D224" s="290">
        <v>34.5</v>
      </c>
      <c r="E224" s="315">
        <f t="shared" si="23"/>
        <v>915.17109493863381</v>
      </c>
      <c r="F224" s="314">
        <v>1484</v>
      </c>
      <c r="G224" s="314">
        <v>1209</v>
      </c>
      <c r="H224" s="314">
        <v>1200</v>
      </c>
      <c r="I224" s="314">
        <v>1209</v>
      </c>
      <c r="J224" s="314">
        <v>1484</v>
      </c>
      <c r="K224" s="314">
        <v>1209</v>
      </c>
      <c r="L224" s="317">
        <v>2000</v>
      </c>
      <c r="M224" s="304">
        <v>3000</v>
      </c>
      <c r="N224" s="288">
        <v>2000</v>
      </c>
      <c r="O224" s="304">
        <v>2000</v>
      </c>
      <c r="P224" s="304">
        <v>3000</v>
      </c>
      <c r="Q224" s="314">
        <v>1209</v>
      </c>
      <c r="R224" s="314">
        <v>1209</v>
      </c>
      <c r="S224" s="304">
        <v>1300</v>
      </c>
      <c r="T224" s="304">
        <f t="shared" si="24"/>
        <v>4150.34976737959</v>
      </c>
      <c r="U224" s="304">
        <f t="shared" si="25"/>
        <v>4500</v>
      </c>
      <c r="V224" s="312">
        <f t="shared" si="26"/>
        <v>915.17109493863381</v>
      </c>
      <c r="W224" s="312" t="s">
        <v>1706</v>
      </c>
      <c r="X224" s="310">
        <f t="shared" si="27"/>
        <v>1200</v>
      </c>
      <c r="Y224" s="310" t="s">
        <v>1712</v>
      </c>
      <c r="Z224" s="290"/>
      <c r="AA224" s="290"/>
      <c r="AB224" s="290"/>
      <c r="AC224" s="290"/>
      <c r="AD224" s="290"/>
      <c r="AE224" s="290"/>
      <c r="AF224" s="290"/>
      <c r="AG224" s="290"/>
      <c r="AH224" s="290"/>
      <c r="AI224" s="290"/>
      <c r="AJ224" s="290"/>
      <c r="AK224" s="290"/>
      <c r="AL224" s="290"/>
      <c r="AM224" s="290"/>
      <c r="AN224" s="290"/>
      <c r="AO224" s="290"/>
      <c r="AP224" s="290"/>
      <c r="AQ224" s="290"/>
      <c r="AR224" s="290"/>
      <c r="AS224" s="290"/>
      <c r="AT224" s="290"/>
      <c r="AU224" s="290"/>
      <c r="AV224" s="290"/>
      <c r="AW224" s="290"/>
      <c r="AX224" s="290"/>
      <c r="AY224" s="290"/>
      <c r="AZ224" s="290"/>
      <c r="BA224" s="290"/>
      <c r="BB224" s="290"/>
      <c r="BC224" s="290"/>
      <c r="BD224" s="290"/>
      <c r="BE224" s="290"/>
      <c r="BF224" s="290"/>
      <c r="BG224" s="290"/>
      <c r="BH224" s="290"/>
      <c r="BI224" s="290"/>
      <c r="BJ224" s="290"/>
      <c r="BK224" s="290"/>
      <c r="BL224" s="290"/>
      <c r="BM224" s="290"/>
      <c r="BN224" s="290"/>
      <c r="BO224" s="290"/>
      <c r="BP224" s="290"/>
      <c r="BQ224" s="290"/>
      <c r="BR224" s="290"/>
      <c r="BS224" s="290"/>
      <c r="BT224" s="290"/>
      <c r="BU224" s="290"/>
      <c r="BV224" s="290"/>
      <c r="BW224" s="290"/>
      <c r="BX224" s="290"/>
      <c r="BY224" s="290"/>
      <c r="BZ224" s="290"/>
    </row>
    <row r="225" spans="1:78" x14ac:dyDescent="0.35">
      <c r="A225" s="544" t="s">
        <v>1651</v>
      </c>
      <c r="B225" s="290">
        <v>2101</v>
      </c>
      <c r="C225" s="290">
        <f>SUM(H201:H202)</f>
        <v>50.54607403152098</v>
      </c>
      <c r="D225" s="290">
        <v>34.5</v>
      </c>
      <c r="E225" s="315">
        <f t="shared" si="23"/>
        <v>845.87795503122868</v>
      </c>
      <c r="F225" s="314">
        <v>1484</v>
      </c>
      <c r="G225" s="314">
        <v>1209</v>
      </c>
      <c r="H225" s="314">
        <v>1200</v>
      </c>
      <c r="I225" s="314">
        <v>1209</v>
      </c>
      <c r="J225" s="314">
        <v>1484</v>
      </c>
      <c r="K225" s="314">
        <v>1209</v>
      </c>
      <c r="L225" s="317">
        <v>2000</v>
      </c>
      <c r="M225" s="304">
        <v>3000</v>
      </c>
      <c r="N225" s="304">
        <v>2000</v>
      </c>
      <c r="O225" s="304">
        <v>2000</v>
      </c>
      <c r="P225" s="304">
        <v>3000</v>
      </c>
      <c r="Q225" s="314">
        <v>1209</v>
      </c>
      <c r="R225" s="314">
        <v>1209</v>
      </c>
      <c r="S225" s="304">
        <v>1250</v>
      </c>
      <c r="T225" s="304">
        <f>$O$268</f>
        <v>4150.34976737959</v>
      </c>
      <c r="U225" s="304">
        <f>$P$268</f>
        <v>4500</v>
      </c>
      <c r="V225" s="312">
        <f t="shared" si="26"/>
        <v>845.87795503122868</v>
      </c>
      <c r="W225" s="312" t="s">
        <v>1706</v>
      </c>
      <c r="X225" s="310">
        <f t="shared" si="27"/>
        <v>1200</v>
      </c>
      <c r="Y225" s="310" t="s">
        <v>1712</v>
      </c>
      <c r="Z225" s="290"/>
      <c r="AA225" s="290"/>
      <c r="AB225" s="290"/>
      <c r="AC225" s="290"/>
      <c r="AD225" s="290"/>
      <c r="AE225" s="290"/>
      <c r="AF225" s="290"/>
      <c r="AG225" s="290"/>
      <c r="AH225" s="290"/>
      <c r="AI225" s="290"/>
      <c r="AJ225" s="290"/>
      <c r="AK225" s="290"/>
      <c r="AL225" s="290"/>
      <c r="AM225" s="290"/>
      <c r="AN225" s="290"/>
      <c r="AO225" s="290"/>
      <c r="AP225" s="290"/>
      <c r="AQ225" s="290"/>
      <c r="AR225" s="290"/>
      <c r="AS225" s="290"/>
      <c r="AT225" s="290"/>
      <c r="AU225" s="290"/>
      <c r="AV225" s="290"/>
      <c r="AW225" s="290"/>
      <c r="AX225" s="290"/>
      <c r="AY225" s="290"/>
      <c r="AZ225" s="290"/>
      <c r="BA225" s="290"/>
      <c r="BB225" s="290"/>
      <c r="BC225" s="290"/>
      <c r="BD225" s="290"/>
      <c r="BE225" s="290"/>
      <c r="BF225" s="290"/>
      <c r="BG225" s="290"/>
      <c r="BH225" s="290"/>
      <c r="BI225" s="290"/>
      <c r="BJ225" s="290"/>
      <c r="BK225" s="290"/>
      <c r="BL225" s="290"/>
      <c r="BM225" s="290"/>
      <c r="BN225" s="290"/>
      <c r="BO225" s="290"/>
      <c r="BP225" s="290"/>
      <c r="BQ225" s="290"/>
      <c r="BR225" s="290"/>
      <c r="BS225" s="290"/>
      <c r="BT225" s="290"/>
      <c r="BU225" s="290"/>
      <c r="BV225" s="290"/>
      <c r="BW225" s="290"/>
      <c r="BX225" s="290"/>
      <c r="BY225" s="290"/>
      <c r="BZ225" s="290"/>
    </row>
    <row r="226" spans="1:78" x14ac:dyDescent="0.35">
      <c r="A226" s="544"/>
      <c r="B226" s="290">
        <v>2102</v>
      </c>
      <c r="C226" s="290">
        <f>SUM(H203:H204)</f>
        <v>46.333901195560898</v>
      </c>
      <c r="D226" s="290">
        <v>34.5</v>
      </c>
      <c r="E226" s="315">
        <f t="shared" si="23"/>
        <v>775.38812544529299</v>
      </c>
      <c r="F226" s="314">
        <v>1484</v>
      </c>
      <c r="G226" s="314">
        <v>1209</v>
      </c>
      <c r="H226" s="314">
        <v>1200</v>
      </c>
      <c r="I226" s="314">
        <v>1209</v>
      </c>
      <c r="J226" s="314">
        <v>1484</v>
      </c>
      <c r="K226" s="314">
        <v>1209</v>
      </c>
      <c r="L226" s="317">
        <v>1200</v>
      </c>
      <c r="M226" s="304">
        <v>3000</v>
      </c>
      <c r="N226" s="304">
        <v>1200</v>
      </c>
      <c r="O226" s="304">
        <v>1200</v>
      </c>
      <c r="P226" s="304">
        <v>3000</v>
      </c>
      <c r="Q226" s="314">
        <v>1209</v>
      </c>
      <c r="R226" s="314">
        <v>1209</v>
      </c>
      <c r="S226" s="304">
        <v>1250</v>
      </c>
      <c r="T226" s="304">
        <f>$O$268</f>
        <v>4150.34976737959</v>
      </c>
      <c r="U226" s="304">
        <f>$P$268</f>
        <v>4500</v>
      </c>
      <c r="V226" s="312">
        <f t="shared" si="26"/>
        <v>775.38812544529299</v>
      </c>
      <c r="W226" s="312" t="s">
        <v>1706</v>
      </c>
      <c r="X226" s="310">
        <f t="shared" si="27"/>
        <v>1200</v>
      </c>
      <c r="Y226" s="310" t="s">
        <v>1724</v>
      </c>
      <c r="Z226" s="290"/>
      <c r="AA226" s="290"/>
      <c r="AB226" s="290"/>
      <c r="AC226" s="290"/>
      <c r="AD226" s="290"/>
      <c r="AE226" s="290"/>
      <c r="AF226" s="290"/>
      <c r="AG226" s="290"/>
      <c r="AH226" s="290"/>
      <c r="AI226" s="290"/>
      <c r="AJ226" s="290"/>
      <c r="AK226" s="290"/>
      <c r="AL226" s="290"/>
      <c r="AM226" s="290"/>
      <c r="AN226" s="290"/>
      <c r="AO226" s="290"/>
      <c r="AP226" s="290"/>
      <c r="AQ226" s="290"/>
      <c r="AR226" s="290"/>
      <c r="AS226" s="290"/>
      <c r="AT226" s="290"/>
      <c r="AU226" s="290"/>
      <c r="AV226" s="290"/>
      <c r="AW226" s="290"/>
      <c r="AX226" s="290"/>
      <c r="AY226" s="290"/>
      <c r="AZ226" s="290"/>
      <c r="BA226" s="290"/>
      <c r="BB226" s="290"/>
      <c r="BC226" s="290"/>
      <c r="BD226" s="290"/>
      <c r="BE226" s="290"/>
      <c r="BF226" s="290"/>
      <c r="BG226" s="290"/>
      <c r="BH226" s="290"/>
      <c r="BI226" s="290"/>
      <c r="BJ226" s="290"/>
      <c r="BK226" s="290"/>
      <c r="BL226" s="290"/>
      <c r="BM226" s="290"/>
      <c r="BN226" s="290"/>
      <c r="BO226" s="290"/>
      <c r="BP226" s="290"/>
      <c r="BQ226" s="290"/>
      <c r="BR226" s="290"/>
      <c r="BS226" s="290"/>
      <c r="BT226" s="290"/>
      <c r="BU226" s="290"/>
      <c r="BV226" s="290"/>
      <c r="BW226" s="290"/>
      <c r="BX226" s="290"/>
      <c r="BY226" s="290"/>
      <c r="BZ226" s="290"/>
    </row>
    <row r="227" spans="1:78" x14ac:dyDescent="0.35">
      <c r="A227" s="544"/>
      <c r="B227" s="290">
        <v>2103</v>
      </c>
      <c r="C227" s="290">
        <f>SUM(H205:H206)</f>
        <v>40.015641941620778</v>
      </c>
      <c r="D227" s="290">
        <v>34.5</v>
      </c>
      <c r="E227" s="315">
        <f t="shared" si="23"/>
        <v>669.65338106638956</v>
      </c>
      <c r="F227" s="314">
        <v>1484</v>
      </c>
      <c r="G227" s="314">
        <v>1209</v>
      </c>
      <c r="H227" s="314">
        <v>1200</v>
      </c>
      <c r="I227" s="314">
        <v>1209</v>
      </c>
      <c r="J227" s="314">
        <v>1484</v>
      </c>
      <c r="K227" s="314">
        <v>1209</v>
      </c>
      <c r="L227" s="317">
        <v>1200</v>
      </c>
      <c r="M227" s="304">
        <v>3000</v>
      </c>
      <c r="N227" s="304">
        <v>1200</v>
      </c>
      <c r="O227" s="304">
        <v>1200</v>
      </c>
      <c r="P227" s="304">
        <v>3000</v>
      </c>
      <c r="Q227" s="314">
        <v>1209</v>
      </c>
      <c r="R227" s="314">
        <v>1209</v>
      </c>
      <c r="S227" s="304">
        <v>1250</v>
      </c>
      <c r="T227" s="304">
        <f>$O$268</f>
        <v>4150.34976737959</v>
      </c>
      <c r="U227" s="304">
        <f>$P$268</f>
        <v>4500</v>
      </c>
      <c r="V227" s="312">
        <f t="shared" si="26"/>
        <v>669.65338106638956</v>
      </c>
      <c r="W227" s="312" t="s">
        <v>1706</v>
      </c>
      <c r="X227" s="310">
        <f t="shared" si="27"/>
        <v>1200</v>
      </c>
      <c r="Y227" s="310" t="s">
        <v>1724</v>
      </c>
      <c r="Z227" s="290"/>
      <c r="AA227" s="290"/>
      <c r="AB227" s="290"/>
      <c r="AC227" s="290"/>
      <c r="AD227" s="290"/>
      <c r="AE227" s="290"/>
      <c r="AF227" s="290"/>
      <c r="AG227" s="290"/>
      <c r="AH227" s="290"/>
      <c r="AI227" s="290"/>
      <c r="AJ227" s="290"/>
      <c r="AK227" s="290"/>
      <c r="AL227" s="290"/>
      <c r="AM227" s="290"/>
      <c r="AN227" s="290"/>
      <c r="AO227" s="290"/>
      <c r="AP227" s="290"/>
      <c r="AQ227" s="290"/>
      <c r="AR227" s="290"/>
      <c r="AS227" s="290"/>
      <c r="AT227" s="290"/>
      <c r="AU227" s="290"/>
      <c r="AV227" s="290"/>
      <c r="AW227" s="290"/>
      <c r="AX227" s="290"/>
      <c r="AY227" s="290"/>
      <c r="AZ227" s="290"/>
      <c r="BA227" s="290"/>
      <c r="BB227" s="290"/>
      <c r="BC227" s="290"/>
      <c r="BD227" s="290"/>
      <c r="BE227" s="290"/>
      <c r="BF227" s="290"/>
      <c r="BG227" s="290"/>
      <c r="BH227" s="290"/>
      <c r="BI227" s="290"/>
      <c r="BJ227" s="290"/>
      <c r="BK227" s="290"/>
      <c r="BL227" s="290"/>
      <c r="BM227" s="290"/>
      <c r="BN227" s="290"/>
      <c r="BO227" s="290"/>
      <c r="BP227" s="290"/>
      <c r="BQ227" s="290"/>
      <c r="BR227" s="290"/>
      <c r="BS227" s="290"/>
      <c r="BT227" s="290"/>
      <c r="BU227" s="290"/>
      <c r="BV227" s="290"/>
      <c r="BW227" s="290"/>
      <c r="BX227" s="290"/>
      <c r="BY227" s="290"/>
      <c r="BZ227" s="290"/>
    </row>
    <row r="228" spans="1:78" x14ac:dyDescent="0.35">
      <c r="A228" s="544"/>
      <c r="B228" s="290">
        <v>2104</v>
      </c>
      <c r="C228" s="290">
        <f>SUM(H207:H208)</f>
        <v>42.121728359600823</v>
      </c>
      <c r="D228" s="290">
        <v>34.5</v>
      </c>
      <c r="E228" s="315">
        <f t="shared" si="23"/>
        <v>704.8982958593574</v>
      </c>
      <c r="F228" s="314">
        <v>1484</v>
      </c>
      <c r="G228" s="314">
        <v>1209</v>
      </c>
      <c r="H228" s="314">
        <v>1200</v>
      </c>
      <c r="I228" s="314">
        <v>1209</v>
      </c>
      <c r="J228" s="314">
        <v>1484</v>
      </c>
      <c r="K228" s="314">
        <v>1209</v>
      </c>
      <c r="L228" s="317">
        <v>1200</v>
      </c>
      <c r="M228" s="304">
        <v>3000</v>
      </c>
      <c r="N228" s="304">
        <v>1200</v>
      </c>
      <c r="O228" s="304">
        <v>1200</v>
      </c>
      <c r="P228" s="304">
        <v>3000</v>
      </c>
      <c r="Q228" s="314">
        <v>1209</v>
      </c>
      <c r="R228" s="314">
        <v>1209</v>
      </c>
      <c r="S228" s="304">
        <v>1250</v>
      </c>
      <c r="T228" s="304">
        <f>$O$268</f>
        <v>4150.34976737959</v>
      </c>
      <c r="U228" s="304">
        <f>$P$268</f>
        <v>4500</v>
      </c>
      <c r="V228" s="312">
        <f t="shared" si="26"/>
        <v>704.8982958593574</v>
      </c>
      <c r="W228" s="312" t="s">
        <v>1706</v>
      </c>
      <c r="X228" s="310">
        <f t="shared" si="27"/>
        <v>1200</v>
      </c>
      <c r="Y228" s="310" t="s">
        <v>1724</v>
      </c>
      <c r="Z228" s="290"/>
      <c r="AA228" s="290"/>
      <c r="AB228" s="290"/>
      <c r="AC228" s="290"/>
      <c r="AD228" s="290"/>
      <c r="AE228" s="290"/>
      <c r="AF228" s="290"/>
      <c r="AG228" s="290"/>
      <c r="AH228" s="290"/>
      <c r="AI228" s="290"/>
      <c r="AJ228" s="290"/>
      <c r="AK228" s="290"/>
      <c r="AL228" s="290"/>
      <c r="AM228" s="290"/>
      <c r="AN228" s="290"/>
      <c r="AO228" s="290"/>
      <c r="AP228" s="290"/>
      <c r="AQ228" s="290"/>
      <c r="AR228" s="290"/>
      <c r="AS228" s="290"/>
      <c r="AT228" s="290"/>
      <c r="AU228" s="290"/>
      <c r="AV228" s="290"/>
      <c r="AW228" s="290"/>
      <c r="AX228" s="290"/>
      <c r="AY228" s="290"/>
      <c r="AZ228" s="290"/>
      <c r="BA228" s="290"/>
      <c r="BB228" s="290"/>
      <c r="BC228" s="290"/>
      <c r="BD228" s="290"/>
      <c r="BE228" s="290"/>
      <c r="BF228" s="290"/>
      <c r="BG228" s="290"/>
      <c r="BH228" s="290"/>
      <c r="BI228" s="290"/>
      <c r="BJ228" s="290"/>
      <c r="BK228" s="290"/>
      <c r="BL228" s="290"/>
      <c r="BM228" s="290"/>
      <c r="BN228" s="290"/>
      <c r="BO228" s="290"/>
      <c r="BP228" s="290"/>
      <c r="BQ228" s="290"/>
      <c r="BR228" s="290"/>
      <c r="BS228" s="290"/>
      <c r="BT228" s="290"/>
      <c r="BU228" s="290"/>
      <c r="BV228" s="290"/>
      <c r="BW228" s="290"/>
      <c r="BX228" s="290"/>
      <c r="BY228" s="290"/>
      <c r="BZ228" s="290"/>
    </row>
    <row r="229" spans="1:78" x14ac:dyDescent="0.35">
      <c r="A229" s="544"/>
      <c r="B229" s="290">
        <v>2105</v>
      </c>
      <c r="C229" s="290">
        <f>SUM(H209:H211)</f>
        <v>52.652160449501025</v>
      </c>
      <c r="D229" s="290">
        <v>34.5</v>
      </c>
      <c r="E229" s="315">
        <f t="shared" si="23"/>
        <v>881.12286982419675</v>
      </c>
      <c r="F229" s="314">
        <v>1484</v>
      </c>
      <c r="G229" s="314">
        <v>1209</v>
      </c>
      <c r="H229" s="314">
        <v>1200</v>
      </c>
      <c r="I229" s="314">
        <v>1209</v>
      </c>
      <c r="J229" s="314">
        <v>1484</v>
      </c>
      <c r="K229" s="314">
        <v>1209</v>
      </c>
      <c r="L229" s="317">
        <v>1200</v>
      </c>
      <c r="M229" s="304">
        <v>3000</v>
      </c>
      <c r="N229" s="304">
        <v>1200</v>
      </c>
      <c r="O229" s="304">
        <v>1200</v>
      </c>
      <c r="P229" s="304">
        <v>3000</v>
      </c>
      <c r="Q229" s="314">
        <v>1209</v>
      </c>
      <c r="R229" s="314">
        <v>1209</v>
      </c>
      <c r="S229" s="304">
        <v>1250</v>
      </c>
      <c r="T229" s="304">
        <f>$O$268</f>
        <v>4150.34976737959</v>
      </c>
      <c r="U229" s="304">
        <f>$P$268</f>
        <v>4500</v>
      </c>
      <c r="V229" s="312">
        <f t="shared" si="26"/>
        <v>881.12286982419675</v>
      </c>
      <c r="W229" s="312" t="s">
        <v>1706</v>
      </c>
      <c r="X229" s="310">
        <f t="shared" si="27"/>
        <v>1200</v>
      </c>
      <c r="Y229" s="310" t="s">
        <v>1724</v>
      </c>
      <c r="Z229" s="290"/>
      <c r="AA229" s="290"/>
      <c r="AB229" s="290"/>
      <c r="AC229" s="290"/>
      <c r="AD229" s="290"/>
      <c r="AE229" s="290"/>
      <c r="AF229" s="290"/>
      <c r="AG229" s="290"/>
      <c r="AH229" s="290"/>
      <c r="AI229" s="290"/>
      <c r="AJ229" s="290"/>
      <c r="AK229" s="290"/>
      <c r="AL229" s="290"/>
      <c r="AM229" s="290"/>
      <c r="AN229" s="290"/>
      <c r="AO229" s="290"/>
      <c r="AP229" s="290"/>
      <c r="AQ229" s="290"/>
      <c r="AR229" s="290"/>
      <c r="AS229" s="290"/>
      <c r="AT229" s="290"/>
      <c r="AU229" s="290"/>
      <c r="AV229" s="290"/>
      <c r="AW229" s="290"/>
      <c r="AX229" s="290"/>
      <c r="AY229" s="290"/>
      <c r="AZ229" s="290"/>
      <c r="BA229" s="290"/>
      <c r="BB229" s="290"/>
      <c r="BC229" s="290"/>
      <c r="BD229" s="290"/>
      <c r="BE229" s="290"/>
      <c r="BF229" s="290"/>
      <c r="BG229" s="290"/>
      <c r="BH229" s="290"/>
      <c r="BI229" s="290"/>
      <c r="BJ229" s="290"/>
      <c r="BK229" s="290"/>
      <c r="BL229" s="290"/>
      <c r="BM229" s="290"/>
      <c r="BN229" s="290"/>
      <c r="BO229" s="290"/>
      <c r="BP229" s="290"/>
      <c r="BQ229" s="290"/>
      <c r="BR229" s="290"/>
      <c r="BS229" s="290"/>
      <c r="BT229" s="290"/>
      <c r="BU229" s="290"/>
      <c r="BV229" s="290"/>
      <c r="BW229" s="290"/>
      <c r="BX229" s="290"/>
      <c r="BY229" s="290"/>
      <c r="BZ229" s="290"/>
    </row>
    <row r="230" spans="1:78" x14ac:dyDescent="0.35">
      <c r="A230" s="290"/>
      <c r="B230" s="290"/>
      <c r="C230" s="290"/>
      <c r="D230" s="290"/>
      <c r="E230" s="290"/>
      <c r="F230" s="290"/>
      <c r="G230" s="290"/>
      <c r="H230" s="290"/>
      <c r="I230" s="290"/>
      <c r="J230" s="290"/>
      <c r="K230" s="290"/>
      <c r="L230" s="290"/>
      <c r="M230" s="290"/>
      <c r="N230" s="290"/>
      <c r="O230" s="290"/>
      <c r="P230" s="290"/>
      <c r="Q230" s="290"/>
      <c r="R230" s="290"/>
      <c r="S230" s="290"/>
      <c r="T230" s="290"/>
      <c r="U230" s="290"/>
      <c r="V230" s="290"/>
      <c r="W230" s="290"/>
      <c r="X230" s="290"/>
      <c r="Y230" s="290"/>
      <c r="Z230" s="290"/>
      <c r="AA230" s="290"/>
      <c r="AB230" s="290"/>
      <c r="AC230" s="290"/>
      <c r="AD230" s="290"/>
      <c r="AE230" s="290"/>
      <c r="AF230" s="290"/>
      <c r="AG230" s="290"/>
      <c r="AH230" s="290"/>
      <c r="AI230" s="290"/>
      <c r="AJ230" s="290"/>
      <c r="AK230" s="290"/>
      <c r="AL230" s="290"/>
      <c r="AM230" s="290"/>
      <c r="AN230" s="290"/>
      <c r="AO230" s="290"/>
      <c r="AP230" s="290"/>
      <c r="AQ230" s="290"/>
      <c r="AR230" s="290"/>
      <c r="AS230" s="290"/>
      <c r="AT230" s="290"/>
      <c r="AU230" s="290"/>
      <c r="AV230" s="290"/>
      <c r="AW230" s="290"/>
      <c r="AX230" s="290"/>
      <c r="AY230" s="290"/>
      <c r="AZ230" s="290"/>
      <c r="BA230" s="290"/>
      <c r="BB230" s="290"/>
      <c r="BC230" s="290"/>
      <c r="BD230" s="290"/>
      <c r="BE230" s="290"/>
      <c r="BF230" s="290"/>
      <c r="BG230" s="290"/>
      <c r="BH230" s="290"/>
      <c r="BI230" s="290"/>
      <c r="BJ230" s="290"/>
      <c r="BK230" s="290"/>
      <c r="BL230" s="290"/>
      <c r="BM230" s="290"/>
      <c r="BN230" s="290"/>
      <c r="BO230" s="290"/>
      <c r="BP230" s="290"/>
      <c r="BQ230" s="290"/>
      <c r="BR230" s="290"/>
      <c r="BS230" s="290"/>
      <c r="BT230" s="290"/>
      <c r="BU230" s="290"/>
      <c r="BV230" s="290"/>
      <c r="BW230" s="290"/>
      <c r="BX230" s="290"/>
      <c r="BY230" s="290"/>
      <c r="BZ230" s="290"/>
    </row>
    <row r="231" spans="1:78" x14ac:dyDescent="0.35">
      <c r="A231" s="310" t="s">
        <v>1725</v>
      </c>
      <c r="B231" s="290"/>
      <c r="C231" s="290"/>
      <c r="D231" s="290"/>
      <c r="E231" s="290"/>
      <c r="F231" s="290"/>
      <c r="G231" s="290"/>
      <c r="H231" s="290"/>
      <c r="I231" s="290"/>
      <c r="J231" s="290"/>
      <c r="K231" s="290"/>
      <c r="L231" s="290"/>
      <c r="M231" s="290"/>
      <c r="N231" s="290"/>
      <c r="O231" s="290"/>
      <c r="P231" s="290"/>
      <c r="Q231" s="290"/>
      <c r="R231" s="290"/>
      <c r="S231" s="290"/>
      <c r="T231" s="290"/>
      <c r="U231" s="290"/>
      <c r="V231" s="290"/>
      <c r="W231" s="290"/>
      <c r="X231" s="290"/>
      <c r="Y231" s="290"/>
      <c r="Z231" s="290"/>
      <c r="AA231" s="290"/>
      <c r="AB231" s="290"/>
      <c r="AC231" s="290"/>
      <c r="AD231" s="290"/>
      <c r="AE231" s="290"/>
      <c r="AF231" s="290"/>
      <c r="AG231" s="290"/>
      <c r="AH231" s="290"/>
      <c r="AI231" s="290"/>
      <c r="AJ231" s="290"/>
      <c r="AK231" s="290"/>
      <c r="AL231" s="290"/>
      <c r="AM231" s="290"/>
      <c r="AN231" s="290"/>
      <c r="AO231" s="290"/>
      <c r="AP231" s="290"/>
      <c r="AQ231" s="290"/>
      <c r="AR231" s="290"/>
      <c r="AS231" s="290"/>
      <c r="AT231" s="290"/>
      <c r="AU231" s="290"/>
      <c r="AV231" s="290"/>
      <c r="AW231" s="290"/>
      <c r="AX231" s="290"/>
      <c r="AY231" s="290"/>
      <c r="AZ231" s="290"/>
      <c r="BA231" s="290"/>
      <c r="BB231" s="290"/>
      <c r="BC231" s="290"/>
      <c r="BD231" s="290"/>
      <c r="BE231" s="290"/>
      <c r="BF231" s="290"/>
      <c r="BG231" s="290"/>
      <c r="BH231" s="290"/>
      <c r="BI231" s="290"/>
      <c r="BJ231" s="290"/>
      <c r="BK231" s="290"/>
      <c r="BL231" s="290"/>
      <c r="BM231" s="290"/>
      <c r="BN231" s="290"/>
      <c r="BO231" s="290"/>
      <c r="BP231" s="290"/>
      <c r="BQ231" s="290"/>
      <c r="BR231" s="290"/>
      <c r="BS231" s="290"/>
      <c r="BT231" s="290"/>
      <c r="BU231" s="290"/>
      <c r="BV231" s="290"/>
      <c r="BW231" s="290"/>
      <c r="BX231" s="290"/>
      <c r="BY231" s="290"/>
      <c r="BZ231" s="290"/>
    </row>
    <row r="232" spans="1:78" x14ac:dyDescent="0.35">
      <c r="A232" s="536" t="s">
        <v>1493</v>
      </c>
      <c r="B232" s="535" t="s">
        <v>1726</v>
      </c>
      <c r="C232" s="535" t="s">
        <v>1599</v>
      </c>
      <c r="D232" s="535" t="s">
        <v>1424</v>
      </c>
      <c r="E232" s="535" t="s">
        <v>1497</v>
      </c>
      <c r="F232" s="535" t="s">
        <v>1727</v>
      </c>
      <c r="G232" s="535" t="s">
        <v>1726</v>
      </c>
      <c r="H232" s="535" t="s">
        <v>1728</v>
      </c>
      <c r="I232" s="535" t="s">
        <v>1700</v>
      </c>
      <c r="J232" s="535" t="s">
        <v>1701</v>
      </c>
      <c r="K232" s="538" t="s">
        <v>1702</v>
      </c>
      <c r="L232" s="538" t="s">
        <v>1703</v>
      </c>
      <c r="M232" s="538" t="s">
        <v>1704</v>
      </c>
      <c r="N232" s="538" t="s">
        <v>1705</v>
      </c>
      <c r="O232" s="290"/>
      <c r="P232" s="290"/>
      <c r="Q232" s="290"/>
      <c r="R232" s="290"/>
      <c r="S232" s="290"/>
      <c r="T232" s="290"/>
      <c r="U232" s="290"/>
      <c r="V232" s="290"/>
      <c r="W232" s="290"/>
      <c r="X232" s="290"/>
      <c r="Y232" s="290"/>
      <c r="Z232" s="290"/>
      <c r="AA232" s="290"/>
      <c r="AB232" s="290"/>
      <c r="AC232" s="290"/>
      <c r="AD232" s="290"/>
      <c r="AE232" s="290"/>
      <c r="AF232" s="290"/>
      <c r="AG232" s="290"/>
      <c r="AH232" s="290"/>
      <c r="AI232" s="290"/>
      <c r="AJ232" s="290"/>
      <c r="AK232" s="290"/>
      <c r="AL232" s="290"/>
      <c r="AM232" s="290"/>
      <c r="AN232" s="290"/>
      <c r="AO232" s="290"/>
      <c r="AP232" s="290"/>
      <c r="AQ232" s="290"/>
      <c r="AR232" s="290"/>
      <c r="AS232" s="290"/>
      <c r="AT232" s="290"/>
      <c r="AU232" s="290"/>
      <c r="AV232" s="290"/>
      <c r="AW232" s="290"/>
      <c r="AX232" s="290"/>
      <c r="AY232" s="290"/>
      <c r="AZ232" s="290"/>
      <c r="BA232" s="290"/>
      <c r="BB232" s="290"/>
      <c r="BC232" s="290"/>
      <c r="BD232" s="290"/>
      <c r="BE232" s="290"/>
      <c r="BF232" s="290"/>
      <c r="BG232" s="290"/>
      <c r="BH232" s="290"/>
      <c r="BI232" s="290"/>
      <c r="BJ232" s="290"/>
      <c r="BK232" s="290"/>
      <c r="BL232" s="290"/>
      <c r="BM232" s="290"/>
      <c r="BN232" s="290"/>
      <c r="BO232" s="290"/>
      <c r="BP232" s="290"/>
      <c r="BQ232" s="290"/>
      <c r="BR232" s="290"/>
      <c r="BS232" s="290"/>
      <c r="BT232" s="290"/>
      <c r="BU232" s="290"/>
      <c r="BV232" s="290"/>
      <c r="BW232" s="290"/>
      <c r="BX232" s="290"/>
      <c r="BY232" s="290"/>
      <c r="BZ232" s="290"/>
    </row>
    <row r="233" spans="1:78" x14ac:dyDescent="0.35">
      <c r="A233" s="536"/>
      <c r="B233" s="535"/>
      <c r="C233" s="535"/>
      <c r="D233" s="535"/>
      <c r="E233" s="535"/>
      <c r="F233" s="535"/>
      <c r="G233" s="535"/>
      <c r="H233" s="535"/>
      <c r="I233" s="535"/>
      <c r="J233" s="535"/>
      <c r="K233" s="538"/>
      <c r="L233" s="538"/>
      <c r="M233" s="538"/>
      <c r="N233" s="538"/>
      <c r="O233" s="290"/>
      <c r="P233" s="290"/>
      <c r="Q233" s="290"/>
      <c r="R233" s="290"/>
      <c r="S233" s="290"/>
      <c r="T233" s="290"/>
      <c r="U233" s="290"/>
      <c r="V233" s="290"/>
      <c r="W233" s="290"/>
      <c r="X233" s="290"/>
      <c r="Y233" s="290"/>
      <c r="Z233" s="290"/>
      <c r="AA233" s="290"/>
      <c r="AB233" s="290"/>
      <c r="AC233" s="290"/>
      <c r="AD233" s="290"/>
      <c r="AE233" s="290"/>
      <c r="AF233" s="290"/>
      <c r="AG233" s="290"/>
      <c r="AH233" s="290"/>
      <c r="AI233" s="290"/>
      <c r="AJ233" s="290"/>
      <c r="AK233" s="290"/>
      <c r="AL233" s="290"/>
      <c r="AM233" s="290"/>
      <c r="AN233" s="290"/>
      <c r="AO233" s="290"/>
      <c r="AP233" s="290"/>
      <c r="AQ233" s="290"/>
      <c r="AR233" s="290"/>
      <c r="AS233" s="290"/>
      <c r="AT233" s="290"/>
      <c r="AU233" s="290"/>
      <c r="AV233" s="290"/>
      <c r="AW233" s="290"/>
      <c r="AX233" s="290"/>
      <c r="AY233" s="290"/>
      <c r="AZ233" s="290"/>
      <c r="BA233" s="290"/>
      <c r="BB233" s="290"/>
      <c r="BC233" s="290"/>
      <c r="BD233" s="290"/>
      <c r="BE233" s="290"/>
      <c r="BF233" s="290"/>
      <c r="BG233" s="290"/>
      <c r="BH233" s="290"/>
      <c r="BI233" s="290"/>
      <c r="BJ233" s="290"/>
      <c r="BK233" s="290"/>
      <c r="BL233" s="290"/>
      <c r="BM233" s="290"/>
      <c r="BN233" s="290"/>
      <c r="BO233" s="290"/>
      <c r="BP233" s="290"/>
      <c r="BQ233" s="290"/>
      <c r="BR233" s="290"/>
      <c r="BS233" s="290"/>
      <c r="BT233" s="290"/>
      <c r="BU233" s="290"/>
      <c r="BV233" s="290"/>
      <c r="BW233" s="290"/>
      <c r="BX233" s="290"/>
      <c r="BY233" s="290"/>
      <c r="BZ233" s="290"/>
    </row>
    <row r="234" spans="1:78" x14ac:dyDescent="0.35">
      <c r="A234" s="544" t="s">
        <v>1605</v>
      </c>
      <c r="B234" s="290" t="s">
        <v>1616</v>
      </c>
      <c r="C234" s="290">
        <v>21.7</v>
      </c>
      <c r="D234" s="290">
        <v>34.5</v>
      </c>
      <c r="E234" s="315">
        <f t="shared" ref="E234:E242" si="28">(C234*1000)/(SQRT(3)*D234)</f>
        <v>363.14495192506899</v>
      </c>
      <c r="F234" s="324">
        <v>878</v>
      </c>
      <c r="G234" s="317">
        <v>600</v>
      </c>
      <c r="H234" s="314">
        <v>1209</v>
      </c>
      <c r="I234" s="313">
        <f>MIN(F256:K256)</f>
        <v>1471</v>
      </c>
      <c r="J234" s="314">
        <f>SMALL(F256:K256,2)</f>
        <v>1473</v>
      </c>
      <c r="K234" s="312">
        <f t="shared" ref="K234:K242" si="29">MIN(E234:J234)</f>
        <v>363.14495192506899</v>
      </c>
      <c r="L234" s="312" t="s">
        <v>1706</v>
      </c>
      <c r="M234" s="323">
        <f t="shared" ref="M234:M242" si="30">SMALL(E234:J234,2)</f>
        <v>600</v>
      </c>
      <c r="N234" s="322" t="s">
        <v>1726</v>
      </c>
      <c r="O234" s="290"/>
      <c r="P234" s="290"/>
      <c r="Q234" s="290"/>
      <c r="R234" s="290"/>
      <c r="S234" s="290"/>
      <c r="T234" s="290"/>
      <c r="U234" s="290"/>
      <c r="V234" s="290"/>
      <c r="W234" s="290"/>
      <c r="X234" s="290"/>
      <c r="Y234" s="290"/>
      <c r="Z234" s="290"/>
      <c r="AA234" s="290"/>
      <c r="AB234" s="290"/>
      <c r="AC234" s="290"/>
      <c r="AD234" s="290"/>
      <c r="AE234" s="290"/>
      <c r="AF234" s="290"/>
      <c r="AG234" s="290"/>
      <c r="AH234" s="290"/>
      <c r="AI234" s="290"/>
      <c r="AJ234" s="290"/>
      <c r="AK234" s="290"/>
      <c r="AL234" s="290"/>
      <c r="AM234" s="290"/>
      <c r="AN234" s="290"/>
      <c r="AO234" s="290"/>
      <c r="AP234" s="290"/>
      <c r="AQ234" s="290"/>
      <c r="AR234" s="290"/>
      <c r="AS234" s="290"/>
      <c r="AT234" s="290"/>
      <c r="AU234" s="290"/>
      <c r="AV234" s="290"/>
      <c r="AW234" s="290"/>
      <c r="AX234" s="290"/>
      <c r="AY234" s="290"/>
      <c r="AZ234" s="290"/>
      <c r="BA234" s="290"/>
      <c r="BB234" s="290"/>
      <c r="BC234" s="290"/>
      <c r="BD234" s="290"/>
      <c r="BE234" s="290"/>
      <c r="BF234" s="290"/>
      <c r="BG234" s="290"/>
      <c r="BH234" s="290"/>
      <c r="BI234" s="290"/>
      <c r="BJ234" s="290"/>
      <c r="BK234" s="290"/>
      <c r="BL234" s="290"/>
      <c r="BM234" s="290"/>
      <c r="BN234" s="290"/>
      <c r="BO234" s="290"/>
      <c r="BP234" s="290"/>
      <c r="BQ234" s="290"/>
      <c r="BR234" s="290"/>
      <c r="BS234" s="290"/>
      <c r="BT234" s="290"/>
      <c r="BU234" s="290"/>
      <c r="BV234" s="290"/>
      <c r="BW234" s="290"/>
      <c r="BX234" s="290"/>
      <c r="BY234" s="290"/>
      <c r="BZ234" s="290"/>
    </row>
    <row r="235" spans="1:78" x14ac:dyDescent="0.35">
      <c r="A235" s="544"/>
      <c r="B235" s="290" t="s">
        <v>1618</v>
      </c>
      <c r="C235" s="290">
        <v>21.7</v>
      </c>
      <c r="D235" s="290">
        <v>34.5</v>
      </c>
      <c r="E235" s="315">
        <f t="shared" si="28"/>
        <v>363.14495192506899</v>
      </c>
      <c r="F235" s="324">
        <v>878</v>
      </c>
      <c r="G235" s="317">
        <v>600</v>
      </c>
      <c r="H235" s="314">
        <v>1209</v>
      </c>
      <c r="I235" s="314">
        <f>MIN(F256:K256)</f>
        <v>1471</v>
      </c>
      <c r="J235" s="314">
        <f>SMALL(F256:K256,2)</f>
        <v>1473</v>
      </c>
      <c r="K235" s="312">
        <f t="shared" si="29"/>
        <v>363.14495192506899</v>
      </c>
      <c r="L235" s="312" t="s">
        <v>1706</v>
      </c>
      <c r="M235" s="323">
        <f t="shared" si="30"/>
        <v>600</v>
      </c>
      <c r="N235" s="322" t="s">
        <v>1726</v>
      </c>
      <c r="O235" s="290"/>
      <c r="P235" s="290"/>
      <c r="Q235" s="290"/>
      <c r="R235" s="290"/>
      <c r="S235" s="290"/>
      <c r="T235" s="290"/>
      <c r="U235" s="290"/>
      <c r="V235" s="290"/>
      <c r="W235" s="290"/>
      <c r="X235" s="290"/>
      <c r="Y235" s="290"/>
      <c r="Z235" s="290"/>
      <c r="AA235" s="290"/>
      <c r="AB235" s="290"/>
      <c r="AC235" s="290"/>
      <c r="AD235" s="290"/>
      <c r="AE235" s="290"/>
      <c r="AF235" s="290"/>
      <c r="AG235" s="290"/>
      <c r="AH235" s="290"/>
      <c r="AI235" s="290"/>
      <c r="AJ235" s="290"/>
      <c r="AK235" s="290"/>
      <c r="AL235" s="290"/>
      <c r="AM235" s="290"/>
      <c r="AN235" s="290"/>
      <c r="AO235" s="290"/>
      <c r="AP235" s="290"/>
      <c r="AQ235" s="290"/>
      <c r="AR235" s="290"/>
      <c r="AS235" s="290"/>
      <c r="AT235" s="290"/>
      <c r="AU235" s="290"/>
      <c r="AV235" s="290"/>
      <c r="AW235" s="290"/>
      <c r="AX235" s="290"/>
      <c r="AY235" s="290"/>
      <c r="AZ235" s="290"/>
      <c r="BA235" s="290"/>
      <c r="BB235" s="290"/>
      <c r="BC235" s="290"/>
      <c r="BD235" s="290"/>
      <c r="BE235" s="290"/>
      <c r="BF235" s="290"/>
      <c r="BG235" s="290"/>
      <c r="BH235" s="290"/>
      <c r="BI235" s="290"/>
      <c r="BJ235" s="290"/>
      <c r="BK235" s="290"/>
      <c r="BL235" s="290"/>
      <c r="BM235" s="290"/>
      <c r="BN235" s="290"/>
      <c r="BO235" s="290"/>
      <c r="BP235" s="290"/>
      <c r="BQ235" s="290"/>
      <c r="BR235" s="290"/>
      <c r="BS235" s="290"/>
      <c r="BT235" s="290"/>
      <c r="BU235" s="290"/>
      <c r="BV235" s="290"/>
      <c r="BW235" s="290"/>
      <c r="BX235" s="290"/>
      <c r="BY235" s="290"/>
      <c r="BZ235" s="290"/>
    </row>
    <row r="236" spans="1:78" x14ac:dyDescent="0.35">
      <c r="A236" s="544"/>
      <c r="B236" s="290" t="s">
        <v>1619</v>
      </c>
      <c r="C236" s="290">
        <v>21.7</v>
      </c>
      <c r="D236" s="290">
        <v>34.5</v>
      </c>
      <c r="E236" s="315">
        <f t="shared" si="28"/>
        <v>363.14495192506899</v>
      </c>
      <c r="F236" s="324">
        <v>878</v>
      </c>
      <c r="G236" s="317">
        <v>600</v>
      </c>
      <c r="H236" s="314">
        <v>1209</v>
      </c>
      <c r="I236" s="314">
        <f>MIN(F256:K256)</f>
        <v>1471</v>
      </c>
      <c r="J236" s="314">
        <f>SMALL(F256:K256,2)</f>
        <v>1473</v>
      </c>
      <c r="K236" s="312">
        <f t="shared" si="29"/>
        <v>363.14495192506899</v>
      </c>
      <c r="L236" s="312" t="s">
        <v>1706</v>
      </c>
      <c r="M236" s="323">
        <f t="shared" si="30"/>
        <v>600</v>
      </c>
      <c r="N236" s="322" t="s">
        <v>1726</v>
      </c>
      <c r="O236" s="290"/>
      <c r="P236" s="290"/>
      <c r="Q236" s="290"/>
      <c r="R236" s="290"/>
      <c r="S236" s="290"/>
      <c r="T236" s="290"/>
      <c r="U236" s="290"/>
      <c r="V236" s="290"/>
      <c r="W236" s="290"/>
      <c r="X236" s="290"/>
      <c r="Y236" s="290"/>
      <c r="Z236" s="290"/>
      <c r="AA236" s="290"/>
      <c r="AB236" s="290"/>
      <c r="AC236" s="290"/>
      <c r="AD236" s="290"/>
      <c r="AE236" s="290"/>
      <c r="AF236" s="290"/>
      <c r="AG236" s="290"/>
      <c r="AH236" s="290"/>
      <c r="AI236" s="290"/>
      <c r="AJ236" s="290"/>
      <c r="AK236" s="290"/>
      <c r="AL236" s="290"/>
      <c r="AM236" s="290"/>
      <c r="AN236" s="290"/>
      <c r="AO236" s="290"/>
      <c r="AP236" s="290"/>
      <c r="AQ236" s="290"/>
      <c r="AR236" s="290"/>
      <c r="AS236" s="290"/>
      <c r="AT236" s="290"/>
      <c r="AU236" s="290"/>
      <c r="AV236" s="290"/>
      <c r="AW236" s="290"/>
      <c r="AX236" s="290"/>
      <c r="AY236" s="290"/>
      <c r="AZ236" s="290"/>
      <c r="BA236" s="290"/>
      <c r="BB236" s="290"/>
      <c r="BC236" s="290"/>
      <c r="BD236" s="290"/>
      <c r="BE236" s="290"/>
      <c r="BF236" s="290"/>
      <c r="BG236" s="290"/>
      <c r="BH236" s="290"/>
      <c r="BI236" s="290"/>
      <c r="BJ236" s="290"/>
      <c r="BK236" s="290"/>
      <c r="BL236" s="290"/>
      <c r="BM236" s="290"/>
      <c r="BN236" s="290"/>
      <c r="BO236" s="290"/>
      <c r="BP236" s="290"/>
      <c r="BQ236" s="290"/>
      <c r="BR236" s="290"/>
      <c r="BS236" s="290"/>
      <c r="BT236" s="290"/>
      <c r="BU236" s="290"/>
      <c r="BV236" s="290"/>
      <c r="BW236" s="290"/>
      <c r="BX236" s="290"/>
      <c r="BY236" s="290"/>
      <c r="BZ236" s="290"/>
    </row>
    <row r="237" spans="1:78" x14ac:dyDescent="0.35">
      <c r="A237" s="544"/>
      <c r="B237" s="290" t="s">
        <v>1636</v>
      </c>
      <c r="C237" s="290">
        <v>21.7</v>
      </c>
      <c r="D237" s="290">
        <v>34.5</v>
      </c>
      <c r="E237" s="315">
        <f t="shared" si="28"/>
        <v>363.14495192506899</v>
      </c>
      <c r="F237" s="324">
        <v>878</v>
      </c>
      <c r="G237" s="317">
        <v>600</v>
      </c>
      <c r="H237" s="314">
        <v>1209</v>
      </c>
      <c r="I237" s="314">
        <f>MIN(F257:K257)</f>
        <v>1471</v>
      </c>
      <c r="J237" s="314">
        <f>SMALL(F257:K257,2)</f>
        <v>1666.2</v>
      </c>
      <c r="K237" s="312">
        <f t="shared" si="29"/>
        <v>363.14495192506899</v>
      </c>
      <c r="L237" s="312" t="s">
        <v>1706</v>
      </c>
      <c r="M237" s="323">
        <f t="shared" si="30"/>
        <v>600</v>
      </c>
      <c r="N237" s="322" t="s">
        <v>1726</v>
      </c>
      <c r="O237" s="290"/>
      <c r="P237" s="290"/>
      <c r="Q237" s="290"/>
      <c r="R237" s="290"/>
      <c r="S237" s="290"/>
      <c r="T237" s="290"/>
      <c r="U237" s="290"/>
      <c r="V237" s="290"/>
      <c r="W237" s="290"/>
      <c r="X237" s="290"/>
      <c r="Y237" s="290"/>
      <c r="Z237" s="290"/>
      <c r="AA237" s="290"/>
      <c r="AB237" s="290"/>
      <c r="AC237" s="290"/>
      <c r="AD237" s="290"/>
      <c r="AE237" s="290"/>
      <c r="AF237" s="290"/>
      <c r="AG237" s="290"/>
      <c r="AH237" s="290"/>
      <c r="AI237" s="290"/>
      <c r="AJ237" s="290"/>
      <c r="AK237" s="290"/>
      <c r="AL237" s="290"/>
      <c r="AM237" s="290"/>
      <c r="AN237" s="290"/>
      <c r="AO237" s="290"/>
      <c r="AP237" s="290"/>
      <c r="AQ237" s="290"/>
      <c r="AR237" s="290"/>
      <c r="AS237" s="290"/>
      <c r="AT237" s="290"/>
      <c r="AU237" s="290"/>
      <c r="AV237" s="290"/>
      <c r="AW237" s="290"/>
      <c r="AX237" s="290"/>
      <c r="AY237" s="290"/>
      <c r="AZ237" s="290"/>
      <c r="BA237" s="290"/>
      <c r="BB237" s="290"/>
      <c r="BC237" s="290"/>
      <c r="BD237" s="290"/>
      <c r="BE237" s="290"/>
      <c r="BF237" s="290"/>
      <c r="BG237" s="290"/>
      <c r="BH237" s="290"/>
      <c r="BI237" s="290"/>
      <c r="BJ237" s="290"/>
      <c r="BK237" s="290"/>
      <c r="BL237" s="290"/>
      <c r="BM237" s="290"/>
      <c r="BN237" s="290"/>
      <c r="BO237" s="290"/>
      <c r="BP237" s="290"/>
      <c r="BQ237" s="290"/>
      <c r="BR237" s="290"/>
      <c r="BS237" s="290"/>
      <c r="BT237" s="290"/>
      <c r="BU237" s="290"/>
      <c r="BV237" s="290"/>
      <c r="BW237" s="290"/>
      <c r="BX237" s="290"/>
      <c r="BY237" s="290"/>
      <c r="BZ237" s="290"/>
    </row>
    <row r="238" spans="1:78" x14ac:dyDescent="0.35">
      <c r="A238" s="544"/>
      <c r="B238" s="290" t="s">
        <v>1637</v>
      </c>
      <c r="C238" s="290">
        <v>21.7</v>
      </c>
      <c r="D238" s="290">
        <v>34.5</v>
      </c>
      <c r="E238" s="315">
        <f t="shared" si="28"/>
        <v>363.14495192506899</v>
      </c>
      <c r="F238" s="324">
        <v>878</v>
      </c>
      <c r="G238" s="317">
        <v>600</v>
      </c>
      <c r="H238" s="314">
        <v>1209</v>
      </c>
      <c r="I238" s="314">
        <f>MIN(F257:K257)</f>
        <v>1471</v>
      </c>
      <c r="J238" s="314">
        <f>SMALL(F257:K257,2)</f>
        <v>1666.2</v>
      </c>
      <c r="K238" s="312">
        <f t="shared" si="29"/>
        <v>363.14495192506899</v>
      </c>
      <c r="L238" s="312" t="s">
        <v>1706</v>
      </c>
      <c r="M238" s="323">
        <f t="shared" si="30"/>
        <v>600</v>
      </c>
      <c r="N238" s="322" t="s">
        <v>1726</v>
      </c>
      <c r="O238" s="290"/>
      <c r="P238" s="290"/>
      <c r="Q238" s="290"/>
      <c r="R238" s="290"/>
      <c r="S238" s="290"/>
      <c r="T238" s="290"/>
      <c r="U238" s="290"/>
      <c r="V238" s="290"/>
      <c r="W238" s="290"/>
      <c r="X238" s="290"/>
      <c r="Y238" s="290"/>
      <c r="Z238" s="290"/>
      <c r="AA238" s="290"/>
      <c r="AB238" s="290"/>
      <c r="AC238" s="290"/>
      <c r="AD238" s="290"/>
      <c r="AE238" s="290"/>
      <c r="AF238" s="290"/>
      <c r="AG238" s="290"/>
      <c r="AH238" s="290"/>
      <c r="AI238" s="290"/>
      <c r="AJ238" s="290"/>
      <c r="AK238" s="290"/>
      <c r="AL238" s="290"/>
      <c r="AM238" s="290"/>
      <c r="AN238" s="290"/>
      <c r="AO238" s="290"/>
      <c r="AP238" s="290"/>
      <c r="AQ238" s="290"/>
      <c r="AR238" s="290"/>
      <c r="AS238" s="290"/>
      <c r="AT238" s="290"/>
      <c r="AU238" s="290"/>
      <c r="AV238" s="290"/>
      <c r="AW238" s="290"/>
      <c r="AX238" s="290"/>
      <c r="AY238" s="290"/>
      <c r="AZ238" s="290"/>
      <c r="BA238" s="290"/>
      <c r="BB238" s="290"/>
      <c r="BC238" s="290"/>
      <c r="BD238" s="290"/>
      <c r="BE238" s="290"/>
      <c r="BF238" s="290"/>
      <c r="BG238" s="290"/>
      <c r="BH238" s="290"/>
      <c r="BI238" s="290"/>
      <c r="BJ238" s="290"/>
      <c r="BK238" s="290"/>
      <c r="BL238" s="290"/>
      <c r="BM238" s="290"/>
      <c r="BN238" s="290"/>
      <c r="BO238" s="290"/>
      <c r="BP238" s="290"/>
      <c r="BQ238" s="290"/>
      <c r="BR238" s="290"/>
      <c r="BS238" s="290"/>
      <c r="BT238" s="290"/>
      <c r="BU238" s="290"/>
      <c r="BV238" s="290"/>
      <c r="BW238" s="290"/>
      <c r="BX238" s="290"/>
      <c r="BY238" s="290"/>
      <c r="BZ238" s="290"/>
    </row>
    <row r="239" spans="1:78" x14ac:dyDescent="0.35">
      <c r="A239" s="544"/>
      <c r="B239" s="290" t="s">
        <v>1638</v>
      </c>
      <c r="C239" s="290">
        <v>21.7</v>
      </c>
      <c r="D239" s="290">
        <v>34.5</v>
      </c>
      <c r="E239" s="315">
        <f t="shared" si="28"/>
        <v>363.14495192506899</v>
      </c>
      <c r="F239" s="324">
        <v>878</v>
      </c>
      <c r="G239" s="317">
        <v>600</v>
      </c>
      <c r="H239" s="314">
        <v>1209</v>
      </c>
      <c r="I239" s="314">
        <f>MIN(F257:K257)</f>
        <v>1471</v>
      </c>
      <c r="J239" s="314">
        <f>SMALL(F257:K257,2)</f>
        <v>1666.2</v>
      </c>
      <c r="K239" s="312">
        <f t="shared" si="29"/>
        <v>363.14495192506899</v>
      </c>
      <c r="L239" s="312" t="s">
        <v>1706</v>
      </c>
      <c r="M239" s="323">
        <f t="shared" si="30"/>
        <v>600</v>
      </c>
      <c r="N239" s="322" t="s">
        <v>1726</v>
      </c>
      <c r="O239" s="290"/>
      <c r="P239" s="290"/>
      <c r="Q239" s="290"/>
      <c r="R239" s="290"/>
      <c r="S239" s="290"/>
      <c r="T239" s="290"/>
      <c r="U239" s="290"/>
      <c r="V239" s="290"/>
      <c r="W239" s="290"/>
      <c r="X239" s="290"/>
      <c r="Y239" s="290"/>
      <c r="Z239" s="290"/>
      <c r="AA239" s="290"/>
      <c r="AB239" s="290"/>
      <c r="AC239" s="290"/>
      <c r="AD239" s="290"/>
      <c r="AE239" s="290"/>
      <c r="AF239" s="290"/>
      <c r="AG239" s="290"/>
      <c r="AH239" s="290"/>
      <c r="AI239" s="290"/>
      <c r="AJ239" s="290"/>
      <c r="AK239" s="290"/>
      <c r="AL239" s="290"/>
      <c r="AM239" s="290"/>
      <c r="AN239" s="290"/>
      <c r="AO239" s="290"/>
      <c r="AP239" s="290"/>
      <c r="AQ239" s="290"/>
      <c r="AR239" s="290"/>
      <c r="AS239" s="290"/>
      <c r="AT239" s="290"/>
      <c r="AU239" s="290"/>
      <c r="AV239" s="290"/>
      <c r="AW239" s="290"/>
      <c r="AX239" s="290"/>
      <c r="AY239" s="290"/>
      <c r="AZ239" s="290"/>
      <c r="BA239" s="290"/>
      <c r="BB239" s="290"/>
      <c r="BC239" s="290"/>
      <c r="BD239" s="290"/>
      <c r="BE239" s="290"/>
      <c r="BF239" s="290"/>
      <c r="BG239" s="290"/>
      <c r="BH239" s="290"/>
      <c r="BI239" s="290"/>
      <c r="BJ239" s="290"/>
      <c r="BK239" s="290"/>
      <c r="BL239" s="290"/>
      <c r="BM239" s="290"/>
      <c r="BN239" s="290"/>
      <c r="BO239" s="290"/>
      <c r="BP239" s="290"/>
      <c r="BQ239" s="290"/>
      <c r="BR239" s="290"/>
      <c r="BS239" s="290"/>
      <c r="BT239" s="290"/>
      <c r="BU239" s="290"/>
      <c r="BV239" s="290"/>
      <c r="BW239" s="290"/>
      <c r="BX239" s="290"/>
      <c r="BY239" s="290"/>
      <c r="BZ239" s="290"/>
    </row>
    <row r="240" spans="1:78" x14ac:dyDescent="0.35">
      <c r="A240" s="544" t="s">
        <v>1651</v>
      </c>
      <c r="B240" s="290" t="s">
        <v>1666</v>
      </c>
      <c r="C240" s="290">
        <v>17</v>
      </c>
      <c r="D240" s="290">
        <v>34.5</v>
      </c>
      <c r="E240" s="315">
        <f t="shared" si="28"/>
        <v>284.49143699198953</v>
      </c>
      <c r="F240" s="324">
        <v>878</v>
      </c>
      <c r="G240" s="317">
        <v>600</v>
      </c>
      <c r="H240" s="314">
        <v>1209</v>
      </c>
      <c r="I240" s="314">
        <f>MIN(F260:K260)</f>
        <v>1143</v>
      </c>
      <c r="J240" s="314">
        <f>SMALL(F260:K260,2)</f>
        <v>1230</v>
      </c>
      <c r="K240" s="312">
        <f t="shared" si="29"/>
        <v>284.49143699198953</v>
      </c>
      <c r="L240" s="312" t="s">
        <v>1706</v>
      </c>
      <c r="M240" s="323">
        <f t="shared" si="30"/>
        <v>600</v>
      </c>
      <c r="N240" s="322" t="s">
        <v>1726</v>
      </c>
      <c r="O240" s="290"/>
      <c r="P240" s="290"/>
      <c r="Q240" s="290"/>
      <c r="R240" s="290"/>
      <c r="S240" s="290"/>
      <c r="T240" s="290"/>
      <c r="U240" s="290"/>
      <c r="V240" s="290"/>
      <c r="W240" s="290"/>
      <c r="X240" s="290"/>
      <c r="Y240" s="290"/>
      <c r="Z240" s="290"/>
      <c r="AA240" s="290"/>
      <c r="AB240" s="290"/>
      <c r="AC240" s="290"/>
      <c r="AD240" s="290"/>
      <c r="AE240" s="290"/>
      <c r="AF240" s="290"/>
      <c r="AG240" s="290"/>
      <c r="AH240" s="290"/>
      <c r="AI240" s="290"/>
      <c r="AJ240" s="290"/>
      <c r="AK240" s="290"/>
      <c r="AL240" s="290"/>
      <c r="AM240" s="290"/>
      <c r="AN240" s="290"/>
      <c r="AO240" s="290"/>
      <c r="AP240" s="290"/>
      <c r="AQ240" s="290"/>
      <c r="AR240" s="290"/>
      <c r="AS240" s="290"/>
      <c r="AT240" s="290"/>
      <c r="AU240" s="290"/>
      <c r="AV240" s="290"/>
      <c r="AW240" s="290"/>
      <c r="AX240" s="290"/>
      <c r="AY240" s="290"/>
      <c r="AZ240" s="290"/>
      <c r="BA240" s="290"/>
      <c r="BB240" s="290"/>
      <c r="BC240" s="290"/>
      <c r="BD240" s="290"/>
      <c r="BE240" s="290"/>
      <c r="BF240" s="290"/>
      <c r="BG240" s="290"/>
      <c r="BH240" s="290"/>
      <c r="BI240" s="290"/>
      <c r="BJ240" s="290"/>
      <c r="BK240" s="290"/>
      <c r="BL240" s="290"/>
      <c r="BM240" s="290"/>
      <c r="BN240" s="290"/>
      <c r="BO240" s="290"/>
      <c r="BP240" s="290"/>
      <c r="BQ240" s="290"/>
      <c r="BR240" s="290"/>
      <c r="BS240" s="290"/>
      <c r="BT240" s="290"/>
      <c r="BU240" s="290"/>
      <c r="BV240" s="290"/>
      <c r="BW240" s="290"/>
      <c r="BX240" s="290"/>
      <c r="BY240" s="290"/>
      <c r="BZ240" s="290"/>
    </row>
    <row r="241" spans="1:78" x14ac:dyDescent="0.35">
      <c r="A241" s="544"/>
      <c r="B241" s="290" t="s">
        <v>1667</v>
      </c>
      <c r="C241" s="290">
        <v>17</v>
      </c>
      <c r="D241" s="290">
        <v>34.5</v>
      </c>
      <c r="E241" s="315">
        <f t="shared" si="28"/>
        <v>284.49143699198953</v>
      </c>
      <c r="F241" s="324">
        <v>878</v>
      </c>
      <c r="G241" s="317">
        <v>600</v>
      </c>
      <c r="H241" s="314">
        <v>1209</v>
      </c>
      <c r="I241" s="314">
        <f>MIN(F260:K260)</f>
        <v>1143</v>
      </c>
      <c r="J241" s="314">
        <f>SMALL(F260:K260,2)</f>
        <v>1230</v>
      </c>
      <c r="K241" s="312">
        <f t="shared" si="29"/>
        <v>284.49143699198953</v>
      </c>
      <c r="L241" s="312" t="s">
        <v>1706</v>
      </c>
      <c r="M241" s="323">
        <f t="shared" si="30"/>
        <v>600</v>
      </c>
      <c r="N241" s="322" t="s">
        <v>1726</v>
      </c>
      <c r="O241" s="290"/>
      <c r="P241" s="290"/>
      <c r="Q241" s="290"/>
      <c r="R241" s="290"/>
      <c r="S241" s="290"/>
      <c r="T241" s="290"/>
      <c r="U241" s="290"/>
      <c r="V241" s="290"/>
      <c r="W241" s="290"/>
      <c r="X241" s="290"/>
      <c r="Y241" s="290"/>
      <c r="Z241" s="290"/>
      <c r="AA241" s="290"/>
      <c r="AB241" s="290"/>
      <c r="AC241" s="290"/>
      <c r="AD241" s="290"/>
      <c r="AE241" s="290"/>
      <c r="AF241" s="290"/>
      <c r="AG241" s="290"/>
      <c r="AH241" s="290"/>
      <c r="AI241" s="290"/>
      <c r="AJ241" s="290"/>
      <c r="AK241" s="290"/>
      <c r="AL241" s="290"/>
      <c r="AM241" s="290"/>
      <c r="AN241" s="290"/>
      <c r="AO241" s="290"/>
      <c r="AP241" s="290"/>
      <c r="AQ241" s="290"/>
      <c r="AR241" s="290"/>
      <c r="AS241" s="290"/>
      <c r="AT241" s="290"/>
      <c r="AU241" s="290"/>
      <c r="AV241" s="290"/>
      <c r="AW241" s="290"/>
      <c r="AX241" s="290"/>
      <c r="AY241" s="290"/>
      <c r="AZ241" s="290"/>
      <c r="BA241" s="290"/>
      <c r="BB241" s="290"/>
      <c r="BC241" s="290"/>
      <c r="BD241" s="290"/>
      <c r="BE241" s="290"/>
      <c r="BF241" s="290"/>
      <c r="BG241" s="290"/>
      <c r="BH241" s="290"/>
      <c r="BI241" s="290"/>
      <c r="BJ241" s="290"/>
      <c r="BK241" s="290"/>
      <c r="BL241" s="290"/>
      <c r="BM241" s="290"/>
      <c r="BN241" s="290"/>
      <c r="BO241" s="290"/>
      <c r="BP241" s="290"/>
      <c r="BQ241" s="290"/>
      <c r="BR241" s="290"/>
      <c r="BS241" s="290"/>
      <c r="BT241" s="290"/>
      <c r="BU241" s="290"/>
      <c r="BV241" s="290"/>
      <c r="BW241" s="290"/>
      <c r="BX241" s="290"/>
      <c r="BY241" s="290"/>
      <c r="BZ241" s="290"/>
    </row>
    <row r="242" spans="1:78" x14ac:dyDescent="0.35">
      <c r="A242" s="544"/>
      <c r="B242" s="290" t="s">
        <v>1668</v>
      </c>
      <c r="C242" s="290">
        <v>17</v>
      </c>
      <c r="D242" s="290">
        <v>34.5</v>
      </c>
      <c r="E242" s="315">
        <f t="shared" si="28"/>
        <v>284.49143699198953</v>
      </c>
      <c r="F242" s="324">
        <v>878</v>
      </c>
      <c r="G242" s="317">
        <v>600</v>
      </c>
      <c r="H242" s="314">
        <v>1209</v>
      </c>
      <c r="I242" s="314">
        <f>MIN(F260:K260)</f>
        <v>1143</v>
      </c>
      <c r="J242" s="314">
        <f>SMALL(F260:K260,2)</f>
        <v>1230</v>
      </c>
      <c r="K242" s="312">
        <f t="shared" si="29"/>
        <v>284.49143699198953</v>
      </c>
      <c r="L242" s="312" t="s">
        <v>1706</v>
      </c>
      <c r="M242" s="323">
        <f t="shared" si="30"/>
        <v>600</v>
      </c>
      <c r="N242" s="322" t="s">
        <v>1726</v>
      </c>
      <c r="O242" s="290"/>
      <c r="P242" s="290"/>
      <c r="Q242" s="290"/>
      <c r="R242" s="290"/>
      <c r="S242" s="290"/>
      <c r="T242" s="290"/>
      <c r="U242" s="290"/>
      <c r="V242" s="290"/>
      <c r="W242" s="290"/>
      <c r="X242" s="290"/>
      <c r="Y242" s="290"/>
      <c r="Z242" s="290"/>
      <c r="AA242" s="290"/>
      <c r="AB242" s="290"/>
      <c r="AC242" s="290"/>
      <c r="AD242" s="290"/>
      <c r="AE242" s="290"/>
      <c r="AF242" s="290"/>
      <c r="AG242" s="290"/>
      <c r="AH242" s="290"/>
      <c r="AI242" s="290"/>
      <c r="AJ242" s="290"/>
      <c r="AK242" s="290"/>
      <c r="AL242" s="290"/>
      <c r="AM242" s="290"/>
      <c r="AN242" s="290"/>
      <c r="AO242" s="290"/>
      <c r="AP242" s="290"/>
      <c r="AQ242" s="290"/>
      <c r="AR242" s="290"/>
      <c r="AS242" s="290"/>
      <c r="AT242" s="290"/>
      <c r="AU242" s="290"/>
      <c r="AV242" s="290"/>
      <c r="AW242" s="290"/>
      <c r="AX242" s="290"/>
      <c r="AY242" s="290"/>
      <c r="AZ242" s="290"/>
      <c r="BA242" s="290"/>
      <c r="BB242" s="290"/>
      <c r="BC242" s="290"/>
      <c r="BD242" s="290"/>
      <c r="BE242" s="290"/>
      <c r="BF242" s="290"/>
      <c r="BG242" s="290"/>
      <c r="BH242" s="290"/>
      <c r="BI242" s="290"/>
      <c r="BJ242" s="290"/>
      <c r="BK242" s="290"/>
      <c r="BL242" s="290"/>
      <c r="BM242" s="290"/>
      <c r="BN242" s="290"/>
      <c r="BO242" s="290"/>
      <c r="BP242" s="290"/>
      <c r="BQ242" s="290"/>
      <c r="BR242" s="290"/>
      <c r="BS242" s="290"/>
      <c r="BT242" s="290"/>
      <c r="BU242" s="290"/>
      <c r="BV242" s="290"/>
      <c r="BW242" s="290"/>
      <c r="BX242" s="290"/>
      <c r="BY242" s="290"/>
      <c r="BZ242" s="290"/>
    </row>
    <row r="243" spans="1:78" x14ac:dyDescent="0.35">
      <c r="A243" s="290"/>
      <c r="B243" s="290"/>
      <c r="C243" s="290"/>
      <c r="D243" s="290"/>
      <c r="E243" s="290"/>
      <c r="F243" s="290"/>
      <c r="G243" s="290"/>
      <c r="H243" s="290"/>
      <c r="I243" s="290"/>
      <c r="J243" s="290"/>
      <c r="K243" s="290"/>
      <c r="L243" s="290"/>
      <c r="M243" s="290"/>
      <c r="N243" s="290"/>
      <c r="O243" s="290"/>
      <c r="P243" s="290"/>
      <c r="Q243" s="290"/>
      <c r="R243" s="290"/>
      <c r="S243" s="290"/>
      <c r="T243" s="290"/>
      <c r="U243" s="290"/>
      <c r="V243" s="290"/>
      <c r="W243" s="290"/>
      <c r="X243" s="290"/>
      <c r="Y243" s="290"/>
      <c r="Z243" s="290"/>
      <c r="AA243" s="290"/>
      <c r="AB243" s="290"/>
      <c r="AC243" s="290"/>
      <c r="AD243" s="290"/>
      <c r="AE243" s="290"/>
      <c r="AF243" s="290"/>
      <c r="AG243" s="290"/>
      <c r="AH243" s="290"/>
      <c r="AI243" s="290"/>
      <c r="AJ243" s="290"/>
      <c r="AK243" s="290"/>
      <c r="AL243" s="290"/>
      <c r="AM243" s="290"/>
      <c r="AN243" s="290"/>
      <c r="AO243" s="290"/>
      <c r="AP243" s="290"/>
      <c r="AQ243" s="290"/>
      <c r="AR243" s="290"/>
      <c r="AS243" s="290"/>
      <c r="AT243" s="290"/>
      <c r="AU243" s="290"/>
      <c r="AV243" s="290"/>
      <c r="AW243" s="290"/>
      <c r="AX243" s="290"/>
      <c r="AY243" s="290"/>
      <c r="AZ243" s="290"/>
      <c r="BA243" s="290"/>
      <c r="BB243" s="290"/>
      <c r="BC243" s="290"/>
      <c r="BD243" s="290"/>
      <c r="BE243" s="290"/>
      <c r="BF243" s="290"/>
      <c r="BG243" s="290"/>
      <c r="BH243" s="290"/>
      <c r="BI243" s="290"/>
      <c r="BJ243" s="290"/>
      <c r="BK243" s="290"/>
      <c r="BL243" s="290"/>
      <c r="BM243" s="290"/>
      <c r="BN243" s="290"/>
      <c r="BO243" s="290"/>
      <c r="BP243" s="290"/>
      <c r="BQ243" s="290"/>
      <c r="BR243" s="290"/>
      <c r="BS243" s="290"/>
      <c r="BT243" s="290"/>
      <c r="BU243" s="290"/>
      <c r="BV243" s="290"/>
      <c r="BW243" s="290"/>
      <c r="BX243" s="290"/>
      <c r="BY243" s="290"/>
      <c r="BZ243" s="290"/>
    </row>
    <row r="244" spans="1:78" x14ac:dyDescent="0.35">
      <c r="A244" s="310" t="s">
        <v>1729</v>
      </c>
      <c r="B244" s="290"/>
      <c r="C244" s="290"/>
      <c r="D244" s="290"/>
      <c r="E244" s="290"/>
      <c r="F244" s="290"/>
      <c r="G244" s="290"/>
      <c r="H244" s="290"/>
      <c r="I244" s="290"/>
      <c r="J244" s="290"/>
      <c r="K244" s="290"/>
      <c r="L244" s="290"/>
      <c r="M244" s="290"/>
      <c r="N244" s="290"/>
      <c r="O244" s="290"/>
      <c r="P244" s="290"/>
      <c r="Q244" s="290"/>
      <c r="R244" s="290"/>
      <c r="S244" s="290"/>
      <c r="T244" s="290"/>
      <c r="U244" s="290"/>
      <c r="V244" s="290"/>
      <c r="W244" s="290"/>
      <c r="X244" s="290"/>
      <c r="Y244" s="290"/>
      <c r="Z244" s="290"/>
      <c r="AA244" s="290"/>
      <c r="AB244" s="290"/>
      <c r="AC244" s="290"/>
      <c r="AD244" s="290"/>
      <c r="AE244" s="290"/>
      <c r="AF244" s="290"/>
      <c r="AG244" s="290"/>
      <c r="AH244" s="290"/>
      <c r="AI244" s="290"/>
      <c r="AJ244" s="290"/>
      <c r="AK244" s="290"/>
      <c r="AL244" s="290"/>
      <c r="AM244" s="290"/>
      <c r="AN244" s="290"/>
      <c r="AO244" s="290"/>
      <c r="AP244" s="290"/>
      <c r="AQ244" s="290"/>
      <c r="AR244" s="290"/>
      <c r="AS244" s="290"/>
      <c r="AT244" s="290"/>
      <c r="AU244" s="290"/>
      <c r="AV244" s="290"/>
      <c r="AW244" s="290"/>
      <c r="AX244" s="290"/>
      <c r="AY244" s="290"/>
      <c r="AZ244" s="290"/>
      <c r="BA244" s="290"/>
      <c r="BB244" s="290"/>
      <c r="BC244" s="290"/>
      <c r="BD244" s="290"/>
      <c r="BE244" s="290"/>
      <c r="BF244" s="290"/>
      <c r="BG244" s="290"/>
      <c r="BH244" s="290"/>
      <c r="BI244" s="290"/>
      <c r="BJ244" s="290"/>
      <c r="BK244" s="290"/>
      <c r="BL244" s="290"/>
      <c r="BM244" s="290"/>
      <c r="BN244" s="290"/>
      <c r="BO244" s="290"/>
      <c r="BP244" s="290"/>
      <c r="BQ244" s="290"/>
      <c r="BR244" s="290"/>
      <c r="BS244" s="290"/>
      <c r="BT244" s="290"/>
      <c r="BU244" s="290"/>
      <c r="BV244" s="290"/>
      <c r="BW244" s="290"/>
      <c r="BX244" s="290"/>
      <c r="BY244" s="290"/>
      <c r="BZ244" s="290"/>
    </row>
    <row r="245" spans="1:78" x14ac:dyDescent="0.35">
      <c r="A245" s="536" t="s">
        <v>1493</v>
      </c>
      <c r="B245" s="535" t="s">
        <v>1726</v>
      </c>
      <c r="C245" s="535" t="s">
        <v>1599</v>
      </c>
      <c r="D245" s="535" t="s">
        <v>1424</v>
      </c>
      <c r="E245" s="535" t="s">
        <v>1497</v>
      </c>
      <c r="F245" s="535" t="s">
        <v>1713</v>
      </c>
      <c r="G245" s="535" t="s">
        <v>1730</v>
      </c>
      <c r="H245" s="535" t="s">
        <v>1731</v>
      </c>
      <c r="I245" s="535" t="s">
        <v>1726</v>
      </c>
      <c r="J245" s="535" t="s">
        <v>1732</v>
      </c>
      <c r="K245" s="535" t="s">
        <v>1700</v>
      </c>
      <c r="L245" s="535" t="s">
        <v>1701</v>
      </c>
      <c r="M245" s="538" t="s">
        <v>1702</v>
      </c>
      <c r="N245" s="538" t="s">
        <v>1703</v>
      </c>
      <c r="O245" s="538" t="s">
        <v>1704</v>
      </c>
      <c r="P245" s="538" t="s">
        <v>1418</v>
      </c>
      <c r="Q245" s="290"/>
      <c r="R245" s="290"/>
      <c r="S245" s="290"/>
      <c r="T245" s="290"/>
      <c r="U245" s="290"/>
      <c r="V245" s="290"/>
      <c r="W245" s="290"/>
      <c r="X245" s="290"/>
      <c r="Y245" s="290"/>
      <c r="Z245" s="290"/>
      <c r="AA245" s="290"/>
      <c r="AB245" s="290"/>
      <c r="AC245" s="290"/>
      <c r="AD245" s="290"/>
      <c r="AE245" s="290"/>
      <c r="AF245" s="290"/>
      <c r="AG245" s="290"/>
      <c r="AH245" s="290"/>
      <c r="AI245" s="290"/>
      <c r="AJ245" s="290"/>
      <c r="AK245" s="290"/>
      <c r="AL245" s="290"/>
      <c r="AM245" s="290"/>
      <c r="AN245" s="290"/>
      <c r="AO245" s="290"/>
      <c r="AP245" s="290"/>
      <c r="AQ245" s="290"/>
      <c r="AR245" s="290"/>
      <c r="AS245" s="290"/>
      <c r="AT245" s="290"/>
      <c r="AU245" s="290"/>
      <c r="AV245" s="290"/>
      <c r="AW245" s="290"/>
      <c r="AX245" s="290"/>
      <c r="AY245" s="290"/>
      <c r="AZ245" s="290"/>
      <c r="BA245" s="290"/>
      <c r="BB245" s="290"/>
      <c r="BC245" s="290"/>
      <c r="BD245" s="290"/>
      <c r="BE245" s="290"/>
      <c r="BF245" s="290"/>
      <c r="BG245" s="290"/>
      <c r="BH245" s="290"/>
      <c r="BI245" s="290"/>
      <c r="BJ245" s="290"/>
      <c r="BK245" s="290"/>
      <c r="BL245" s="290"/>
      <c r="BM245" s="290"/>
      <c r="BN245" s="290"/>
      <c r="BO245" s="290"/>
      <c r="BP245" s="290"/>
      <c r="BQ245" s="290"/>
      <c r="BR245" s="290"/>
      <c r="BS245" s="290"/>
      <c r="BT245" s="290"/>
      <c r="BU245" s="290"/>
      <c r="BV245" s="290"/>
      <c r="BW245" s="290"/>
      <c r="BX245" s="290"/>
      <c r="BY245" s="290"/>
      <c r="BZ245" s="290"/>
    </row>
    <row r="246" spans="1:78" x14ac:dyDescent="0.35">
      <c r="A246" s="536"/>
      <c r="B246" s="535"/>
      <c r="C246" s="535"/>
      <c r="D246" s="535"/>
      <c r="E246" s="535"/>
      <c r="F246" s="535"/>
      <c r="G246" s="535"/>
      <c r="H246" s="535"/>
      <c r="I246" s="535"/>
      <c r="J246" s="535"/>
      <c r="K246" s="535"/>
      <c r="L246" s="535"/>
      <c r="M246" s="538"/>
      <c r="N246" s="538"/>
      <c r="O246" s="538"/>
      <c r="P246" s="538"/>
      <c r="Q246" s="290"/>
      <c r="R246" s="290"/>
      <c r="S246" s="290"/>
      <c r="T246" s="290"/>
      <c r="U246" s="290"/>
      <c r="V246" s="290"/>
      <c r="W246" s="290"/>
      <c r="X246" s="290"/>
      <c r="Y246" s="290"/>
      <c r="Z246" s="290"/>
      <c r="AA246" s="290"/>
      <c r="AB246" s="290"/>
      <c r="AC246" s="290"/>
      <c r="AD246" s="290"/>
      <c r="AE246" s="290"/>
      <c r="AF246" s="290"/>
      <c r="AG246" s="290"/>
      <c r="AH246" s="290"/>
      <c r="AI246" s="290"/>
      <c r="AJ246" s="290"/>
      <c r="AK246" s="290"/>
      <c r="AL246" s="290"/>
      <c r="AM246" s="290"/>
      <c r="AN246" s="290"/>
      <c r="AO246" s="290"/>
      <c r="AP246" s="290"/>
      <c r="AQ246" s="290"/>
      <c r="AR246" s="290"/>
      <c r="AS246" s="290"/>
      <c r="AT246" s="290"/>
      <c r="AU246" s="290"/>
      <c r="AV246" s="290"/>
      <c r="AW246" s="290"/>
      <c r="AX246" s="290"/>
      <c r="AY246" s="290"/>
      <c r="AZ246" s="290"/>
      <c r="BA246" s="290"/>
      <c r="BB246" s="290"/>
      <c r="BC246" s="290"/>
      <c r="BD246" s="290"/>
      <c r="BE246" s="290"/>
      <c r="BF246" s="290"/>
      <c r="BG246" s="290"/>
      <c r="BH246" s="290"/>
      <c r="BI246" s="290"/>
      <c r="BJ246" s="290"/>
      <c r="BK246" s="290"/>
      <c r="BL246" s="290"/>
      <c r="BM246" s="290"/>
      <c r="BN246" s="290"/>
      <c r="BO246" s="290"/>
      <c r="BP246" s="290"/>
      <c r="BQ246" s="290"/>
      <c r="BR246" s="290"/>
      <c r="BS246" s="290"/>
      <c r="BT246" s="290"/>
      <c r="BU246" s="290"/>
      <c r="BV246" s="290"/>
      <c r="BW246" s="290"/>
      <c r="BX246" s="290"/>
      <c r="BY246" s="290"/>
      <c r="BZ246" s="290"/>
    </row>
    <row r="247" spans="1:78" x14ac:dyDescent="0.35">
      <c r="A247" s="544" t="s">
        <v>1605</v>
      </c>
      <c r="B247" s="290" t="s">
        <v>1622</v>
      </c>
      <c r="C247" s="290">
        <v>23</v>
      </c>
      <c r="D247" s="290">
        <v>34.5</v>
      </c>
      <c r="E247" s="315">
        <f>(C247*1000)/(SQRT(3)*D247)</f>
        <v>384.90017945975052</v>
      </c>
      <c r="F247" s="314">
        <v>1209</v>
      </c>
      <c r="G247" s="314">
        <v>1484</v>
      </c>
      <c r="H247" s="314">
        <v>1209</v>
      </c>
      <c r="I247" s="317">
        <v>600</v>
      </c>
      <c r="J247" s="314">
        <v>1209</v>
      </c>
      <c r="K247" s="313">
        <f>MIN(F258:K258)</f>
        <v>770</v>
      </c>
      <c r="L247" s="314">
        <f>SMALL(F258:K258,2)</f>
        <v>1200</v>
      </c>
      <c r="M247" s="312">
        <f>MIN(E247:L247)</f>
        <v>384.90017945975052</v>
      </c>
      <c r="N247" s="312" t="s">
        <v>1706</v>
      </c>
      <c r="O247" s="310">
        <f>SMALL(E247:L247,2)</f>
        <v>600</v>
      </c>
      <c r="P247" s="310" t="s">
        <v>1726</v>
      </c>
      <c r="Q247" s="290"/>
      <c r="R247" s="290"/>
      <c r="S247" s="290"/>
      <c r="T247" s="290"/>
      <c r="U247" s="290"/>
      <c r="V247" s="290"/>
      <c r="W247" s="290"/>
      <c r="X247" s="290"/>
      <c r="Y247" s="290"/>
      <c r="Z247" s="290"/>
      <c r="AA247" s="290"/>
      <c r="AB247" s="290"/>
      <c r="AC247" s="290"/>
      <c r="AD247" s="290"/>
      <c r="AE247" s="290"/>
      <c r="AF247" s="290"/>
      <c r="AG247" s="290"/>
      <c r="AH247" s="290"/>
      <c r="AI247" s="290"/>
      <c r="AJ247" s="290"/>
      <c r="AK247" s="290"/>
      <c r="AL247" s="290"/>
      <c r="AM247" s="290"/>
      <c r="AN247" s="290"/>
      <c r="AO247" s="290"/>
      <c r="AP247" s="290"/>
      <c r="AQ247" s="290"/>
      <c r="AR247" s="290"/>
      <c r="AS247" s="290"/>
      <c r="AT247" s="290"/>
      <c r="AU247" s="290"/>
      <c r="AV247" s="290"/>
      <c r="AW247" s="290"/>
      <c r="AX247" s="290"/>
      <c r="AY247" s="290"/>
      <c r="AZ247" s="290"/>
      <c r="BA247" s="290"/>
      <c r="BB247" s="290"/>
      <c r="BC247" s="290"/>
      <c r="BD247" s="290"/>
      <c r="BE247" s="290"/>
      <c r="BF247" s="290"/>
      <c r="BG247" s="290"/>
      <c r="BH247" s="290"/>
      <c r="BI247" s="290"/>
      <c r="BJ247" s="290"/>
      <c r="BK247" s="290"/>
      <c r="BL247" s="290"/>
      <c r="BM247" s="290"/>
      <c r="BN247" s="290"/>
      <c r="BO247" s="290"/>
      <c r="BP247" s="290"/>
      <c r="BQ247" s="290"/>
      <c r="BR247" s="290"/>
      <c r="BS247" s="290"/>
      <c r="BT247" s="290"/>
      <c r="BU247" s="290"/>
      <c r="BV247" s="290"/>
      <c r="BW247" s="290"/>
      <c r="BX247" s="290"/>
      <c r="BY247" s="290"/>
      <c r="BZ247" s="290"/>
    </row>
    <row r="248" spans="1:78" x14ac:dyDescent="0.35">
      <c r="A248" s="544"/>
      <c r="B248" s="290" t="s">
        <v>1624</v>
      </c>
      <c r="C248" s="290">
        <v>23</v>
      </c>
      <c r="D248" s="290">
        <v>34.5</v>
      </c>
      <c r="E248" s="315">
        <f>(C248*1000)/(SQRT(3)*D248)</f>
        <v>384.90017945975052</v>
      </c>
      <c r="F248" s="314">
        <v>1209</v>
      </c>
      <c r="G248" s="314">
        <v>1484</v>
      </c>
      <c r="H248" s="314">
        <v>1209</v>
      </c>
      <c r="I248" s="317">
        <v>600</v>
      </c>
      <c r="J248" s="314">
        <v>1209</v>
      </c>
      <c r="K248" s="314">
        <f>MIN(F258:K258)</f>
        <v>770</v>
      </c>
      <c r="L248" s="314">
        <f>SMALL(F258:K258,2)</f>
        <v>1200</v>
      </c>
      <c r="M248" s="312">
        <f>MIN(E248:L248)</f>
        <v>384.90017945975052</v>
      </c>
      <c r="N248" s="312" t="s">
        <v>1706</v>
      </c>
      <c r="O248" s="310">
        <f>SMALL(E248:L248,2)</f>
        <v>600</v>
      </c>
      <c r="P248" s="310" t="s">
        <v>1726</v>
      </c>
      <c r="Q248" s="290"/>
      <c r="R248" s="290"/>
      <c r="S248" s="290"/>
      <c r="T248" s="290"/>
      <c r="U248" s="290"/>
      <c r="V248" s="290"/>
      <c r="W248" s="290"/>
      <c r="X248" s="290"/>
      <c r="Y248" s="290"/>
      <c r="Z248" s="290"/>
      <c r="AA248" s="290"/>
      <c r="AB248" s="290"/>
      <c r="AC248" s="290"/>
      <c r="AD248" s="290"/>
      <c r="AE248" s="290"/>
      <c r="AF248" s="290"/>
      <c r="AG248" s="290"/>
      <c r="AH248" s="290"/>
      <c r="AI248" s="290"/>
      <c r="AJ248" s="290"/>
      <c r="AK248" s="290"/>
      <c r="AL248" s="290"/>
      <c r="AM248" s="290"/>
      <c r="AN248" s="290"/>
      <c r="AO248" s="290"/>
      <c r="AP248" s="290"/>
      <c r="AQ248" s="290"/>
      <c r="AR248" s="290"/>
      <c r="AS248" s="290"/>
      <c r="AT248" s="290"/>
      <c r="AU248" s="290"/>
      <c r="AV248" s="290"/>
      <c r="AW248" s="290"/>
      <c r="AX248" s="290"/>
      <c r="AY248" s="290"/>
      <c r="AZ248" s="290"/>
      <c r="BA248" s="290"/>
      <c r="BB248" s="290"/>
      <c r="BC248" s="290"/>
      <c r="BD248" s="290"/>
      <c r="BE248" s="290"/>
      <c r="BF248" s="290"/>
      <c r="BG248" s="290"/>
      <c r="BH248" s="290"/>
      <c r="BI248" s="290"/>
      <c r="BJ248" s="290"/>
      <c r="BK248" s="290"/>
      <c r="BL248" s="290"/>
      <c r="BM248" s="290"/>
      <c r="BN248" s="290"/>
      <c r="BO248" s="290"/>
      <c r="BP248" s="290"/>
      <c r="BQ248" s="290"/>
      <c r="BR248" s="290"/>
      <c r="BS248" s="290"/>
      <c r="BT248" s="290"/>
      <c r="BU248" s="290"/>
      <c r="BV248" s="290"/>
      <c r="BW248" s="290"/>
      <c r="BX248" s="290"/>
      <c r="BY248" s="290"/>
      <c r="BZ248" s="290"/>
    </row>
    <row r="249" spans="1:78" x14ac:dyDescent="0.35">
      <c r="A249" s="544"/>
      <c r="B249" s="290" t="s">
        <v>1640</v>
      </c>
      <c r="C249" s="290">
        <v>23</v>
      </c>
      <c r="D249" s="290">
        <v>34.5</v>
      </c>
      <c r="E249" s="315">
        <f>(C249*1000)/(SQRT(3)*D249)</f>
        <v>384.90017945975052</v>
      </c>
      <c r="F249" s="314">
        <v>1209</v>
      </c>
      <c r="G249" s="314">
        <v>1484</v>
      </c>
      <c r="H249" s="314">
        <v>1209</v>
      </c>
      <c r="I249" s="317">
        <v>600</v>
      </c>
      <c r="J249" s="314">
        <v>1209</v>
      </c>
      <c r="K249" s="314">
        <f>MIN(F259:K259)</f>
        <v>385</v>
      </c>
      <c r="L249" s="314">
        <f>SMALL(F259:K259,2)</f>
        <v>1200</v>
      </c>
      <c r="M249" s="312">
        <f>MIN(E249:L249)</f>
        <v>384.90017945975052</v>
      </c>
      <c r="N249" s="312" t="s">
        <v>1706</v>
      </c>
      <c r="O249" s="310">
        <f>SMALL(E249:L249,2)</f>
        <v>385</v>
      </c>
      <c r="P249" s="310" t="s">
        <v>1696</v>
      </c>
      <c r="Q249" s="290"/>
      <c r="R249" s="290"/>
      <c r="S249" s="290"/>
      <c r="T249" s="290"/>
      <c r="U249" s="290"/>
      <c r="V249" s="290"/>
      <c r="W249" s="290"/>
      <c r="X249" s="290"/>
      <c r="Y249" s="290"/>
      <c r="Z249" s="290"/>
      <c r="AA249" s="290"/>
      <c r="AB249" s="290"/>
      <c r="AC249" s="290"/>
      <c r="AD249" s="290"/>
      <c r="AE249" s="290"/>
      <c r="AF249" s="290"/>
      <c r="AG249" s="290"/>
      <c r="AH249" s="290"/>
      <c r="AI249" s="290"/>
      <c r="AJ249" s="290"/>
      <c r="AK249" s="290"/>
      <c r="AL249" s="290"/>
      <c r="AM249" s="290"/>
      <c r="AN249" s="290"/>
      <c r="AO249" s="290"/>
      <c r="AP249" s="290"/>
      <c r="AQ249" s="290"/>
      <c r="AR249" s="290"/>
      <c r="AS249" s="290"/>
      <c r="AT249" s="290"/>
      <c r="AU249" s="290"/>
      <c r="AV249" s="290"/>
      <c r="AW249" s="290"/>
      <c r="AX249" s="290"/>
      <c r="AY249" s="290"/>
      <c r="AZ249" s="290"/>
      <c r="BA249" s="290"/>
      <c r="BB249" s="290"/>
      <c r="BC249" s="290"/>
      <c r="BD249" s="290"/>
      <c r="BE249" s="290"/>
      <c r="BF249" s="290"/>
      <c r="BG249" s="290"/>
      <c r="BH249" s="290"/>
      <c r="BI249" s="290"/>
      <c r="BJ249" s="290"/>
      <c r="BK249" s="290"/>
      <c r="BL249" s="290"/>
      <c r="BM249" s="290"/>
      <c r="BN249" s="290"/>
      <c r="BO249" s="290"/>
      <c r="BP249" s="290"/>
      <c r="BQ249" s="290"/>
      <c r="BR249" s="290"/>
      <c r="BS249" s="290"/>
      <c r="BT249" s="290"/>
      <c r="BU249" s="290"/>
      <c r="BV249" s="290"/>
      <c r="BW249" s="290"/>
      <c r="BX249" s="290"/>
      <c r="BY249" s="290"/>
      <c r="BZ249" s="290"/>
    </row>
    <row r="250" spans="1:78" x14ac:dyDescent="0.35">
      <c r="A250" s="544" t="s">
        <v>1651</v>
      </c>
      <c r="B250" s="290" t="s">
        <v>1670</v>
      </c>
      <c r="C250" s="290">
        <v>24</v>
      </c>
      <c r="D250" s="290">
        <v>34.5</v>
      </c>
      <c r="E250" s="315">
        <f>(C250*1000)/(SQRT(3)*D250)</f>
        <v>401.63496987104406</v>
      </c>
      <c r="F250" s="314">
        <v>1209</v>
      </c>
      <c r="G250" s="314">
        <v>1484</v>
      </c>
      <c r="H250" s="314">
        <v>1209</v>
      </c>
      <c r="I250" s="317">
        <v>600</v>
      </c>
      <c r="J250" s="314">
        <v>1209</v>
      </c>
      <c r="K250" s="314">
        <f>MIN(F261:K261)</f>
        <v>806</v>
      </c>
      <c r="L250" s="314">
        <f>SMALL(F261:K261,2)</f>
        <v>1200</v>
      </c>
      <c r="M250" s="312">
        <f>MIN(E250:L250)</f>
        <v>401.63496987104406</v>
      </c>
      <c r="N250" s="312" t="s">
        <v>1706</v>
      </c>
      <c r="O250" s="310">
        <f>SMALL(E250:L250,2)</f>
        <v>600</v>
      </c>
      <c r="P250" s="310" t="s">
        <v>1726</v>
      </c>
      <c r="Q250" s="290"/>
      <c r="R250" s="290"/>
      <c r="S250" s="290"/>
      <c r="T250" s="290"/>
      <c r="U250" s="290"/>
      <c r="V250" s="290"/>
      <c r="W250" s="290"/>
      <c r="X250" s="290"/>
      <c r="Y250" s="290"/>
      <c r="Z250" s="290"/>
      <c r="AA250" s="290"/>
      <c r="AB250" s="290"/>
      <c r="AC250" s="290"/>
      <c r="AD250" s="290"/>
      <c r="AE250" s="290"/>
      <c r="AF250" s="290"/>
      <c r="AG250" s="290"/>
      <c r="AH250" s="290"/>
      <c r="AI250" s="290"/>
      <c r="AJ250" s="290"/>
      <c r="AK250" s="290"/>
      <c r="AL250" s="290"/>
      <c r="AM250" s="290"/>
      <c r="AN250" s="290"/>
      <c r="AO250" s="290"/>
      <c r="AP250" s="290"/>
      <c r="AQ250" s="290"/>
      <c r="AR250" s="290"/>
      <c r="AS250" s="290"/>
      <c r="AT250" s="290"/>
      <c r="AU250" s="290"/>
      <c r="AV250" s="290"/>
      <c r="AW250" s="290"/>
      <c r="AX250" s="290"/>
      <c r="AY250" s="290"/>
      <c r="AZ250" s="290"/>
      <c r="BA250" s="290"/>
      <c r="BB250" s="290"/>
      <c r="BC250" s="290"/>
      <c r="BD250" s="290"/>
      <c r="BE250" s="290"/>
      <c r="BF250" s="290"/>
      <c r="BG250" s="290"/>
      <c r="BH250" s="290"/>
      <c r="BI250" s="290"/>
      <c r="BJ250" s="290"/>
      <c r="BK250" s="290"/>
      <c r="BL250" s="290"/>
      <c r="BM250" s="290"/>
      <c r="BN250" s="290"/>
      <c r="BO250" s="290"/>
      <c r="BP250" s="290"/>
      <c r="BQ250" s="290"/>
      <c r="BR250" s="290"/>
      <c r="BS250" s="290"/>
      <c r="BT250" s="290"/>
      <c r="BU250" s="290"/>
      <c r="BV250" s="290"/>
      <c r="BW250" s="290"/>
      <c r="BX250" s="290"/>
      <c r="BY250" s="290"/>
      <c r="BZ250" s="290"/>
    </row>
    <row r="251" spans="1:78" x14ac:dyDescent="0.35">
      <c r="A251" s="544"/>
      <c r="B251" s="290" t="s">
        <v>1671</v>
      </c>
      <c r="C251" s="290">
        <v>24</v>
      </c>
      <c r="D251" s="290">
        <v>34.5</v>
      </c>
      <c r="E251" s="315">
        <f>(C251*1000)/(SQRT(3)*D251)</f>
        <v>401.63496987104406</v>
      </c>
      <c r="F251" s="314">
        <v>1209</v>
      </c>
      <c r="G251" s="314">
        <v>1484</v>
      </c>
      <c r="H251" s="314">
        <v>1209</v>
      </c>
      <c r="I251" s="317">
        <v>600</v>
      </c>
      <c r="J251" s="314">
        <v>1209</v>
      </c>
      <c r="K251" s="314">
        <f>MIN(F261:K261)</f>
        <v>806</v>
      </c>
      <c r="L251" s="314">
        <f>SMALL(F261:K261,2)</f>
        <v>1200</v>
      </c>
      <c r="M251" s="312">
        <f>MIN(E251:L251)</f>
        <v>401.63496987104406</v>
      </c>
      <c r="N251" s="312" t="s">
        <v>1706</v>
      </c>
      <c r="O251" s="310">
        <f>SMALL(E251:L251,2)</f>
        <v>600</v>
      </c>
      <c r="P251" s="310" t="s">
        <v>1726</v>
      </c>
      <c r="Q251" s="290"/>
      <c r="R251" s="290"/>
      <c r="S251" s="290"/>
      <c r="T251" s="290"/>
      <c r="U251" s="290"/>
      <c r="V251" s="290"/>
      <c r="W251" s="290"/>
      <c r="X251" s="290"/>
      <c r="Y251" s="290"/>
      <c r="Z251" s="290"/>
      <c r="AA251" s="290"/>
      <c r="AB251" s="290"/>
      <c r="AC251" s="290"/>
      <c r="AD251" s="290"/>
      <c r="AE251" s="290"/>
      <c r="AF251" s="290"/>
      <c r="AG251" s="290"/>
      <c r="AH251" s="290"/>
      <c r="AI251" s="290"/>
      <c r="AJ251" s="290"/>
      <c r="AK251" s="290"/>
      <c r="AL251" s="290"/>
      <c r="AM251" s="290"/>
      <c r="AN251" s="290"/>
      <c r="AO251" s="290"/>
      <c r="AP251" s="290"/>
      <c r="AQ251" s="290"/>
      <c r="AR251" s="290"/>
      <c r="AS251" s="290"/>
      <c r="AT251" s="290"/>
      <c r="AU251" s="290"/>
      <c r="AV251" s="290"/>
      <c r="AW251" s="290"/>
      <c r="AX251" s="290"/>
      <c r="AY251" s="290"/>
      <c r="AZ251" s="290"/>
      <c r="BA251" s="290"/>
      <c r="BB251" s="290"/>
      <c r="BC251" s="290"/>
      <c r="BD251" s="290"/>
      <c r="BE251" s="290"/>
      <c r="BF251" s="290"/>
      <c r="BG251" s="290"/>
      <c r="BH251" s="290"/>
      <c r="BI251" s="290"/>
      <c r="BJ251" s="290"/>
      <c r="BK251" s="290"/>
      <c r="BL251" s="290"/>
      <c r="BM251" s="290"/>
      <c r="BN251" s="290"/>
      <c r="BO251" s="290"/>
      <c r="BP251" s="290"/>
      <c r="BQ251" s="290"/>
      <c r="BR251" s="290"/>
      <c r="BS251" s="290"/>
      <c r="BT251" s="290"/>
      <c r="BU251" s="290"/>
      <c r="BV251" s="290"/>
      <c r="BW251" s="290"/>
      <c r="BX251" s="290"/>
      <c r="BY251" s="290"/>
      <c r="BZ251" s="290"/>
    </row>
    <row r="252" spans="1:78" x14ac:dyDescent="0.35">
      <c r="A252" s="290"/>
      <c r="B252" s="290"/>
      <c r="C252" s="290"/>
      <c r="D252" s="290"/>
      <c r="E252" s="290"/>
      <c r="F252" s="321"/>
      <c r="G252" s="310"/>
      <c r="H252" s="290"/>
      <c r="I252" s="290"/>
      <c r="J252" s="290"/>
      <c r="K252" s="290"/>
      <c r="L252" s="290"/>
      <c r="M252" s="290"/>
      <c r="N252" s="290"/>
      <c r="O252" s="290"/>
      <c r="P252" s="290"/>
      <c r="Q252" s="290"/>
      <c r="R252" s="290"/>
      <c r="S252" s="290"/>
      <c r="T252" s="290"/>
      <c r="U252" s="290"/>
      <c r="V252" s="290"/>
      <c r="W252" s="290"/>
      <c r="X252" s="290"/>
      <c r="Y252" s="290"/>
      <c r="Z252" s="290"/>
      <c r="AA252" s="290"/>
      <c r="AB252" s="290"/>
      <c r="AC252" s="290"/>
      <c r="AD252" s="290"/>
      <c r="AE252" s="290"/>
      <c r="AF252" s="290"/>
      <c r="AG252" s="290"/>
      <c r="AH252" s="290"/>
      <c r="AI252" s="290"/>
      <c r="AJ252" s="290"/>
      <c r="AK252" s="290"/>
      <c r="AL252" s="290"/>
      <c r="AM252" s="290"/>
      <c r="AN252" s="290"/>
      <c r="AO252" s="290"/>
      <c r="AP252" s="290"/>
      <c r="AQ252" s="290"/>
      <c r="AR252" s="290"/>
      <c r="AS252" s="290"/>
      <c r="AT252" s="290"/>
      <c r="AU252" s="290"/>
      <c r="AV252" s="290"/>
      <c r="AW252" s="290"/>
      <c r="AX252" s="290"/>
      <c r="AY252" s="290"/>
      <c r="AZ252" s="290"/>
      <c r="BA252" s="290"/>
      <c r="BB252" s="290"/>
      <c r="BC252" s="290"/>
      <c r="BD252" s="290"/>
      <c r="BE252" s="290"/>
      <c r="BF252" s="290"/>
      <c r="BG252" s="290"/>
      <c r="BH252" s="290"/>
      <c r="BI252" s="290"/>
      <c r="BJ252" s="290"/>
      <c r="BK252" s="290"/>
      <c r="BL252" s="290"/>
      <c r="BM252" s="290"/>
      <c r="BN252" s="290"/>
      <c r="BO252" s="290"/>
      <c r="BP252" s="290"/>
      <c r="BQ252" s="290"/>
      <c r="BR252" s="290"/>
      <c r="BS252" s="290"/>
      <c r="BT252" s="290"/>
      <c r="BU252" s="290"/>
      <c r="BV252" s="290"/>
      <c r="BW252" s="290"/>
      <c r="BX252" s="290"/>
      <c r="BY252" s="290"/>
      <c r="BZ252" s="290"/>
    </row>
    <row r="253" spans="1:78" x14ac:dyDescent="0.35">
      <c r="A253" s="310" t="s">
        <v>1733</v>
      </c>
      <c r="B253" s="290"/>
      <c r="C253" s="290"/>
      <c r="D253" s="290"/>
      <c r="E253" s="290"/>
      <c r="F253" s="290"/>
      <c r="G253" s="290"/>
      <c r="H253" s="290"/>
      <c r="I253" s="290"/>
      <c r="J253" s="290"/>
      <c r="K253" s="290"/>
      <c r="L253" s="290"/>
      <c r="M253" s="290"/>
      <c r="N253" s="290"/>
      <c r="O253" s="290"/>
      <c r="P253" s="290"/>
      <c r="Q253" s="290"/>
      <c r="R253" s="290"/>
      <c r="S253" s="290"/>
      <c r="T253" s="290"/>
      <c r="U253" s="290"/>
      <c r="V253" s="290"/>
      <c r="W253" s="290"/>
      <c r="X253" s="290"/>
      <c r="Y253" s="290"/>
      <c r="Z253" s="290"/>
      <c r="AA253" s="290"/>
      <c r="AB253" s="290"/>
      <c r="AC253" s="290"/>
      <c r="AD253" s="290"/>
      <c r="AE253" s="290"/>
      <c r="AF253" s="290"/>
      <c r="AG253" s="290"/>
      <c r="AH253" s="290"/>
      <c r="AI253" s="290"/>
      <c r="AJ253" s="290"/>
      <c r="AK253" s="290"/>
      <c r="AL253" s="290"/>
      <c r="AM253" s="290"/>
      <c r="AN253" s="290"/>
      <c r="AO253" s="290"/>
      <c r="AP253" s="290"/>
      <c r="AQ253" s="290"/>
      <c r="AR253" s="290"/>
      <c r="AS253" s="290"/>
      <c r="AT253" s="290"/>
      <c r="AU253" s="290"/>
      <c r="AV253" s="290"/>
      <c r="AW253" s="290"/>
      <c r="AX253" s="290"/>
      <c r="AY253" s="290"/>
      <c r="AZ253" s="290"/>
      <c r="BA253" s="290"/>
      <c r="BB253" s="290"/>
      <c r="BC253" s="290"/>
      <c r="BD253" s="290"/>
      <c r="BE253" s="290"/>
      <c r="BF253" s="290"/>
      <c r="BG253" s="290"/>
      <c r="BH253" s="290"/>
      <c r="BI253" s="290"/>
      <c r="BJ253" s="290"/>
      <c r="BK253" s="290"/>
      <c r="BL253" s="290"/>
      <c r="BM253" s="290"/>
      <c r="BN253" s="290"/>
      <c r="BO253" s="290"/>
      <c r="BP253" s="290"/>
      <c r="BQ253" s="290"/>
      <c r="BR253" s="290"/>
      <c r="BS253" s="290"/>
      <c r="BT253" s="290"/>
      <c r="BU253" s="290"/>
      <c r="BV253" s="290"/>
      <c r="BW253" s="290"/>
      <c r="BX253" s="290"/>
      <c r="BY253" s="290"/>
      <c r="BZ253" s="290"/>
    </row>
    <row r="254" spans="1:78" x14ac:dyDescent="0.35">
      <c r="A254" s="536" t="s">
        <v>1493</v>
      </c>
      <c r="B254" s="535" t="s">
        <v>1690</v>
      </c>
      <c r="C254" s="535" t="s">
        <v>1599</v>
      </c>
      <c r="D254" s="535" t="s">
        <v>1424</v>
      </c>
      <c r="E254" s="535" t="s">
        <v>1497</v>
      </c>
      <c r="F254" s="535" t="s">
        <v>1734</v>
      </c>
      <c r="G254" s="535" t="s">
        <v>1735</v>
      </c>
      <c r="H254" s="535" t="s">
        <v>1478</v>
      </c>
      <c r="I254" s="535" t="s">
        <v>1696</v>
      </c>
      <c r="J254" s="535" t="s">
        <v>1700</v>
      </c>
      <c r="K254" s="535" t="s">
        <v>1701</v>
      </c>
      <c r="L254" s="538" t="s">
        <v>1702</v>
      </c>
      <c r="M254" s="538" t="s">
        <v>1703</v>
      </c>
      <c r="N254" s="538" t="s">
        <v>1704</v>
      </c>
      <c r="O254" s="538" t="s">
        <v>1418</v>
      </c>
      <c r="P254" s="290"/>
      <c r="Q254" s="290"/>
      <c r="R254" s="290"/>
      <c r="S254" s="290"/>
      <c r="T254" s="290"/>
      <c r="U254" s="290"/>
      <c r="V254" s="290"/>
      <c r="W254" s="290"/>
      <c r="X254" s="290"/>
      <c r="Y254" s="290"/>
      <c r="Z254" s="290"/>
      <c r="AA254" s="290"/>
      <c r="AB254" s="290"/>
      <c r="AC254" s="290"/>
      <c r="AD254" s="290"/>
      <c r="AE254" s="290"/>
      <c r="AF254" s="290"/>
      <c r="AG254" s="290"/>
      <c r="AH254" s="290"/>
      <c r="AI254" s="290"/>
      <c r="AJ254" s="290"/>
      <c r="AK254" s="290"/>
      <c r="AL254" s="290"/>
      <c r="AM254" s="290"/>
      <c r="AN254" s="290"/>
      <c r="AO254" s="290"/>
      <c r="AP254" s="290"/>
      <c r="AQ254" s="290"/>
      <c r="AR254" s="290"/>
      <c r="AS254" s="290"/>
      <c r="AT254" s="290"/>
      <c r="AU254" s="290"/>
      <c r="AV254" s="290"/>
      <c r="AW254" s="290"/>
      <c r="AX254" s="290"/>
      <c r="AY254" s="290"/>
      <c r="AZ254" s="290"/>
      <c r="BA254" s="290"/>
      <c r="BB254" s="290"/>
      <c r="BC254" s="290"/>
      <c r="BD254" s="290"/>
      <c r="BE254" s="290"/>
      <c r="BF254" s="290"/>
      <c r="BG254" s="290"/>
      <c r="BH254" s="290"/>
      <c r="BI254" s="290"/>
      <c r="BJ254" s="290"/>
      <c r="BK254" s="290"/>
      <c r="BL254" s="290"/>
      <c r="BM254" s="290"/>
      <c r="BN254" s="290"/>
      <c r="BO254" s="290"/>
      <c r="BP254" s="290"/>
      <c r="BQ254" s="290"/>
      <c r="BR254" s="290"/>
      <c r="BS254" s="290"/>
      <c r="BT254" s="290"/>
      <c r="BU254" s="290"/>
      <c r="BV254" s="290"/>
      <c r="BW254" s="290"/>
      <c r="BX254" s="290"/>
      <c r="BY254" s="290"/>
      <c r="BZ254" s="290"/>
    </row>
    <row r="255" spans="1:78" x14ac:dyDescent="0.35">
      <c r="A255" s="536"/>
      <c r="B255" s="535"/>
      <c r="C255" s="535"/>
      <c r="D255" s="535"/>
      <c r="E255" s="535"/>
      <c r="F255" s="535"/>
      <c r="G255" s="535"/>
      <c r="H255" s="535"/>
      <c r="I255" s="535"/>
      <c r="J255" s="535"/>
      <c r="K255" s="535"/>
      <c r="L255" s="538"/>
      <c r="M255" s="538"/>
      <c r="N255" s="538"/>
      <c r="O255" s="538"/>
      <c r="P255" s="290"/>
      <c r="Q255" s="290"/>
      <c r="R255" s="290"/>
      <c r="S255" s="290"/>
      <c r="T255" s="290"/>
      <c r="U255" s="290"/>
      <c r="V255" s="290"/>
      <c r="W255" s="290"/>
      <c r="X255" s="290"/>
      <c r="Y255" s="290"/>
      <c r="Z255" s="290"/>
      <c r="AA255" s="290"/>
      <c r="AB255" s="290"/>
      <c r="AC255" s="290"/>
      <c r="AD255" s="290"/>
      <c r="AE255" s="290"/>
      <c r="AF255" s="290"/>
      <c r="AG255" s="290"/>
      <c r="AH255" s="290"/>
      <c r="AI255" s="290"/>
      <c r="AJ255" s="290"/>
      <c r="AK255" s="290"/>
      <c r="AL255" s="290"/>
      <c r="AM255" s="290"/>
      <c r="AN255" s="290"/>
      <c r="AO255" s="290"/>
      <c r="AP255" s="290"/>
      <c r="AQ255" s="290"/>
      <c r="AR255" s="290"/>
      <c r="AS255" s="290"/>
      <c r="AT255" s="290"/>
      <c r="AU255" s="290"/>
      <c r="AV255" s="290"/>
      <c r="AW255" s="290"/>
      <c r="AX255" s="290"/>
      <c r="AY255" s="290"/>
      <c r="AZ255" s="290"/>
      <c r="BA255" s="290"/>
      <c r="BB255" s="290"/>
      <c r="BC255" s="290"/>
      <c r="BD255" s="290"/>
      <c r="BE255" s="290"/>
      <c r="BF255" s="290"/>
      <c r="BG255" s="290"/>
      <c r="BH255" s="290"/>
      <c r="BI255" s="290"/>
      <c r="BJ255" s="290"/>
      <c r="BK255" s="290"/>
      <c r="BL255" s="290"/>
      <c r="BM255" s="290"/>
      <c r="BN255" s="290"/>
      <c r="BO255" s="290"/>
      <c r="BP255" s="290"/>
      <c r="BQ255" s="290"/>
      <c r="BR255" s="290"/>
      <c r="BS255" s="290"/>
      <c r="BT255" s="290"/>
      <c r="BU255" s="290"/>
      <c r="BV255" s="290"/>
      <c r="BW255" s="290"/>
      <c r="BX255" s="290"/>
      <c r="BY255" s="290"/>
      <c r="BZ255" s="290"/>
    </row>
    <row r="256" spans="1:78" x14ac:dyDescent="0.35">
      <c r="A256" s="544" t="s">
        <v>1605</v>
      </c>
      <c r="B256" s="290" t="s">
        <v>1620</v>
      </c>
      <c r="C256" s="290">
        <f>SUM(C234:C236)</f>
        <v>65.099999999999994</v>
      </c>
      <c r="D256" s="290">
        <v>34.5</v>
      </c>
      <c r="E256" s="315">
        <f t="shared" ref="E256:E261" si="31">(C256*1000)/(SQRT(3)*D256)</f>
        <v>1089.4348557752069</v>
      </c>
      <c r="F256" s="314">
        <v>1981</v>
      </c>
      <c r="G256" s="314">
        <v>2171</v>
      </c>
      <c r="H256" s="317">
        <v>2000</v>
      </c>
      <c r="I256" s="320">
        <v>1473</v>
      </c>
      <c r="J256" s="320">
        <f>MIN(F266:P266)</f>
        <v>1471</v>
      </c>
      <c r="K256" s="320">
        <f>SMALL(F266:P266,2)</f>
        <v>1981</v>
      </c>
      <c r="L256" s="312">
        <f t="shared" ref="L256:L261" si="32">MIN(E256:K256)</f>
        <v>1089.4348557752069</v>
      </c>
      <c r="M256" s="310" t="s">
        <v>1706</v>
      </c>
      <c r="N256" s="310">
        <f t="shared" ref="N256:N261" si="33">SMALL(E256:K256,2)</f>
        <v>1471</v>
      </c>
      <c r="O256" s="310" t="s">
        <v>1736</v>
      </c>
      <c r="P256" s="290"/>
      <c r="Q256" s="290"/>
      <c r="R256" s="290"/>
      <c r="S256" s="290"/>
      <c r="T256" s="290"/>
      <c r="U256" s="290"/>
      <c r="V256" s="290"/>
      <c r="W256" s="290"/>
      <c r="X256" s="290"/>
      <c r="Y256" s="290"/>
      <c r="Z256" s="290"/>
      <c r="AA256" s="290"/>
      <c r="AB256" s="290"/>
      <c r="AC256" s="290"/>
      <c r="AD256" s="290"/>
      <c r="AE256" s="290"/>
      <c r="AF256" s="290"/>
      <c r="AG256" s="290"/>
      <c r="AH256" s="290"/>
      <c r="AI256" s="290"/>
      <c r="AJ256" s="290"/>
      <c r="AK256" s="290"/>
      <c r="AL256" s="290"/>
      <c r="AM256" s="290"/>
      <c r="AN256" s="290"/>
      <c r="AO256" s="290"/>
      <c r="AP256" s="290"/>
      <c r="AQ256" s="290"/>
      <c r="AR256" s="290"/>
      <c r="AS256" s="290"/>
      <c r="AT256" s="290"/>
      <c r="AU256" s="290"/>
      <c r="AV256" s="290"/>
      <c r="AW256" s="290"/>
      <c r="AX256" s="290"/>
      <c r="AY256" s="290"/>
      <c r="AZ256" s="290"/>
      <c r="BA256" s="290"/>
      <c r="BB256" s="290"/>
      <c r="BC256" s="290"/>
      <c r="BD256" s="290"/>
      <c r="BE256" s="290"/>
      <c r="BF256" s="290"/>
      <c r="BG256" s="290"/>
      <c r="BH256" s="290"/>
      <c r="BI256" s="290"/>
      <c r="BJ256" s="290"/>
      <c r="BK256" s="290"/>
      <c r="BL256" s="290"/>
      <c r="BM256" s="290"/>
      <c r="BN256" s="290"/>
      <c r="BO256" s="290"/>
      <c r="BP256" s="290"/>
      <c r="BQ256" s="290"/>
      <c r="BR256" s="290"/>
      <c r="BS256" s="290"/>
      <c r="BT256" s="290"/>
      <c r="BU256" s="290"/>
      <c r="BV256" s="290"/>
      <c r="BW256" s="290"/>
      <c r="BX256" s="290"/>
      <c r="BY256" s="290"/>
      <c r="BZ256" s="290"/>
    </row>
    <row r="257" spans="1:78" x14ac:dyDescent="0.35">
      <c r="A257" s="544"/>
      <c r="B257" s="290" t="s">
        <v>1639</v>
      </c>
      <c r="C257" s="290">
        <f>SUM(C237:C239)</f>
        <v>65.099999999999994</v>
      </c>
      <c r="D257" s="290">
        <v>34.5</v>
      </c>
      <c r="E257" s="315">
        <f t="shared" si="31"/>
        <v>1089.4348557752069</v>
      </c>
      <c r="F257" s="314">
        <v>1981</v>
      </c>
      <c r="G257" s="314">
        <v>2171</v>
      </c>
      <c r="H257" s="317">
        <v>2000</v>
      </c>
      <c r="I257" s="320">
        <v>1666.2</v>
      </c>
      <c r="J257" s="320">
        <f>MIN(F267:P267)</f>
        <v>1471</v>
      </c>
      <c r="K257" s="320">
        <f>SMALL(F267:P267,2)</f>
        <v>1981</v>
      </c>
      <c r="L257" s="312">
        <f t="shared" si="32"/>
        <v>1089.4348557752069</v>
      </c>
      <c r="M257" s="310" t="s">
        <v>1706</v>
      </c>
      <c r="N257" s="310">
        <f t="shared" si="33"/>
        <v>1471</v>
      </c>
      <c r="O257" s="310" t="s">
        <v>1736</v>
      </c>
      <c r="P257" s="290"/>
      <c r="Q257" s="290"/>
      <c r="R257" s="290"/>
      <c r="S257" s="290"/>
      <c r="T257" s="290"/>
      <c r="U257" s="290"/>
      <c r="V257" s="290"/>
      <c r="W257" s="290"/>
      <c r="X257" s="290"/>
      <c r="Y257" s="290"/>
      <c r="Z257" s="290"/>
      <c r="AA257" s="290"/>
      <c r="AB257" s="290"/>
      <c r="AC257" s="290"/>
      <c r="AD257" s="290"/>
      <c r="AE257" s="290"/>
      <c r="AF257" s="290"/>
      <c r="AG257" s="290"/>
      <c r="AH257" s="290"/>
      <c r="AI257" s="290"/>
      <c r="AJ257" s="290"/>
      <c r="AK257" s="290"/>
      <c r="AL257" s="290"/>
      <c r="AM257" s="290"/>
      <c r="AN257" s="290"/>
      <c r="AO257" s="290"/>
      <c r="AP257" s="290"/>
      <c r="AQ257" s="290"/>
      <c r="AR257" s="290"/>
      <c r="AS257" s="290"/>
      <c r="AT257" s="290"/>
      <c r="AU257" s="290"/>
      <c r="AV257" s="290"/>
      <c r="AW257" s="290"/>
      <c r="AX257" s="290"/>
      <c r="AY257" s="290"/>
      <c r="AZ257" s="290"/>
      <c r="BA257" s="290"/>
      <c r="BB257" s="290"/>
      <c r="BC257" s="290"/>
      <c r="BD257" s="290"/>
      <c r="BE257" s="290"/>
      <c r="BF257" s="290"/>
      <c r="BG257" s="290"/>
      <c r="BH257" s="290"/>
      <c r="BI257" s="290"/>
      <c r="BJ257" s="290"/>
      <c r="BK257" s="290"/>
      <c r="BL257" s="290"/>
      <c r="BM257" s="290"/>
      <c r="BN257" s="290"/>
      <c r="BO257" s="290"/>
      <c r="BP257" s="290"/>
      <c r="BQ257" s="290"/>
      <c r="BR257" s="290"/>
      <c r="BS257" s="290"/>
      <c r="BT257" s="290"/>
      <c r="BU257" s="290"/>
      <c r="BV257" s="290"/>
      <c r="BW257" s="290"/>
      <c r="BX257" s="290"/>
      <c r="BY257" s="290"/>
      <c r="BZ257" s="290"/>
    </row>
    <row r="258" spans="1:78" x14ac:dyDescent="0.35">
      <c r="A258" s="544"/>
      <c r="B258" s="290" t="s">
        <v>1625</v>
      </c>
      <c r="C258" s="290">
        <f>SUM(C247:C248)</f>
        <v>46</v>
      </c>
      <c r="D258" s="290">
        <v>34.5</v>
      </c>
      <c r="E258" s="315">
        <f t="shared" si="31"/>
        <v>769.80035891950104</v>
      </c>
      <c r="F258" s="314">
        <v>1484</v>
      </c>
      <c r="G258" s="314">
        <v>1209</v>
      </c>
      <c r="H258" s="317">
        <v>1200</v>
      </c>
      <c r="I258" s="320">
        <v>770</v>
      </c>
      <c r="J258" s="320">
        <f>MIN(F266:P266)</f>
        <v>1471</v>
      </c>
      <c r="K258" s="320">
        <f>SMALL(F266:P266,2)</f>
        <v>1981</v>
      </c>
      <c r="L258" s="312">
        <f t="shared" si="32"/>
        <v>769.80035891950104</v>
      </c>
      <c r="M258" s="310" t="s">
        <v>1706</v>
      </c>
      <c r="N258" s="310">
        <f t="shared" si="33"/>
        <v>770</v>
      </c>
      <c r="O258" s="310" t="s">
        <v>1696</v>
      </c>
      <c r="P258" s="290"/>
      <c r="Q258" s="290"/>
      <c r="R258" s="290"/>
      <c r="S258" s="290"/>
      <c r="T258" s="290"/>
      <c r="U258" s="290"/>
      <c r="V258" s="290"/>
      <c r="W258" s="290"/>
      <c r="X258" s="290"/>
      <c r="Y258" s="290"/>
      <c r="Z258" s="290"/>
      <c r="AA258" s="290"/>
      <c r="AB258" s="290"/>
      <c r="AC258" s="290"/>
      <c r="AD258" s="290"/>
      <c r="AE258" s="290"/>
      <c r="AF258" s="290"/>
      <c r="AG258" s="290"/>
      <c r="AH258" s="290"/>
      <c r="AI258" s="290"/>
      <c r="AJ258" s="290"/>
      <c r="AK258" s="290"/>
      <c r="AL258" s="290"/>
      <c r="AM258" s="290"/>
      <c r="AN258" s="290"/>
      <c r="AO258" s="290"/>
      <c r="AP258" s="290"/>
      <c r="AQ258" s="290"/>
      <c r="AR258" s="290"/>
      <c r="AS258" s="290"/>
      <c r="AT258" s="290"/>
      <c r="AU258" s="290"/>
      <c r="AV258" s="290"/>
      <c r="AW258" s="290"/>
      <c r="AX258" s="290"/>
      <c r="AY258" s="290"/>
      <c r="AZ258" s="290"/>
      <c r="BA258" s="290"/>
      <c r="BB258" s="290"/>
      <c r="BC258" s="290"/>
      <c r="BD258" s="290"/>
      <c r="BE258" s="290"/>
      <c r="BF258" s="290"/>
      <c r="BG258" s="290"/>
      <c r="BH258" s="290"/>
      <c r="BI258" s="290"/>
      <c r="BJ258" s="290"/>
      <c r="BK258" s="290"/>
      <c r="BL258" s="290"/>
      <c r="BM258" s="290"/>
      <c r="BN258" s="290"/>
      <c r="BO258" s="290"/>
      <c r="BP258" s="290"/>
      <c r="BQ258" s="290"/>
      <c r="BR258" s="290"/>
      <c r="BS258" s="290"/>
      <c r="BT258" s="290"/>
      <c r="BU258" s="290"/>
      <c r="BV258" s="290"/>
      <c r="BW258" s="290"/>
      <c r="BX258" s="290"/>
      <c r="BY258" s="290"/>
      <c r="BZ258" s="290"/>
    </row>
    <row r="259" spans="1:78" x14ac:dyDescent="0.35">
      <c r="A259" s="544"/>
      <c r="B259" s="290" t="s">
        <v>1641</v>
      </c>
      <c r="C259" s="290">
        <f>C249</f>
        <v>23</v>
      </c>
      <c r="D259" s="290">
        <v>34.5</v>
      </c>
      <c r="E259" s="315">
        <f t="shared" si="31"/>
        <v>384.90017945975052</v>
      </c>
      <c r="F259" s="314">
        <v>1484</v>
      </c>
      <c r="G259" s="314">
        <v>1209</v>
      </c>
      <c r="H259" s="317">
        <v>1200</v>
      </c>
      <c r="I259" s="320">
        <v>385</v>
      </c>
      <c r="J259" s="320">
        <f>MIN(F267:P267)</f>
        <v>1471</v>
      </c>
      <c r="K259" s="320">
        <f>SMALL(F267:P267,2)</f>
        <v>1981</v>
      </c>
      <c r="L259" s="312">
        <f t="shared" si="32"/>
        <v>384.90017945975052</v>
      </c>
      <c r="M259" s="310" t="s">
        <v>1706</v>
      </c>
      <c r="N259" s="310">
        <f t="shared" si="33"/>
        <v>385</v>
      </c>
      <c r="O259" s="310" t="s">
        <v>1696</v>
      </c>
      <c r="P259" s="290"/>
      <c r="Q259" s="290"/>
      <c r="R259" s="290"/>
      <c r="S259" s="290"/>
      <c r="T259" s="290"/>
      <c r="U259" s="290"/>
      <c r="V259" s="290"/>
      <c r="W259" s="290"/>
      <c r="X259" s="290"/>
      <c r="Y259" s="290"/>
      <c r="Z259" s="290"/>
      <c r="AA259" s="290"/>
      <c r="AB259" s="290"/>
      <c r="AC259" s="290"/>
      <c r="AD259" s="290"/>
      <c r="AE259" s="290"/>
      <c r="AF259" s="290"/>
      <c r="AG259" s="290"/>
      <c r="AH259" s="290"/>
      <c r="AI259" s="290"/>
      <c r="AJ259" s="290"/>
      <c r="AK259" s="290"/>
      <c r="AL259" s="290"/>
      <c r="AM259" s="290"/>
      <c r="AN259" s="290"/>
      <c r="AO259" s="290"/>
      <c r="AP259" s="290"/>
      <c r="AQ259" s="290"/>
      <c r="AR259" s="290"/>
      <c r="AS259" s="290"/>
      <c r="AT259" s="290"/>
      <c r="AU259" s="290"/>
      <c r="AV259" s="290"/>
      <c r="AW259" s="290"/>
      <c r="AX259" s="290"/>
      <c r="AY259" s="290"/>
      <c r="AZ259" s="290"/>
      <c r="BA259" s="290"/>
      <c r="BB259" s="290"/>
      <c r="BC259" s="290"/>
      <c r="BD259" s="290"/>
      <c r="BE259" s="290"/>
      <c r="BF259" s="290"/>
      <c r="BG259" s="290"/>
      <c r="BH259" s="290"/>
      <c r="BI259" s="290"/>
      <c r="BJ259" s="290"/>
      <c r="BK259" s="290"/>
      <c r="BL259" s="290"/>
      <c r="BM259" s="290"/>
      <c r="BN259" s="290"/>
      <c r="BO259" s="290"/>
      <c r="BP259" s="290"/>
      <c r="BQ259" s="290"/>
      <c r="BR259" s="290"/>
      <c r="BS259" s="290"/>
      <c r="BT259" s="290"/>
      <c r="BU259" s="290"/>
      <c r="BV259" s="290"/>
      <c r="BW259" s="290"/>
      <c r="BX259" s="290"/>
      <c r="BY259" s="290"/>
      <c r="BZ259" s="290"/>
    </row>
    <row r="260" spans="1:78" x14ac:dyDescent="0.35">
      <c r="A260" s="290" t="s">
        <v>1651</v>
      </c>
      <c r="B260" s="290" t="s">
        <v>1669</v>
      </c>
      <c r="C260" s="290">
        <f>SUM(C240:C242)</f>
        <v>51</v>
      </c>
      <c r="D260" s="290">
        <v>34.5</v>
      </c>
      <c r="E260" s="315">
        <f t="shared" si="31"/>
        <v>853.47431097596859</v>
      </c>
      <c r="F260" s="314">
        <v>1981</v>
      </c>
      <c r="G260" s="314">
        <v>2171</v>
      </c>
      <c r="H260" s="317">
        <v>2000</v>
      </c>
      <c r="I260" s="320">
        <v>1143</v>
      </c>
      <c r="J260" s="320">
        <f>MIN(F268:P268)</f>
        <v>1230</v>
      </c>
      <c r="K260" s="320">
        <f>SMALL(F268:P268,2)</f>
        <v>1981</v>
      </c>
      <c r="L260" s="312">
        <f t="shared" si="32"/>
        <v>853.47431097596859</v>
      </c>
      <c r="M260" s="310" t="s">
        <v>1706</v>
      </c>
      <c r="N260" s="310">
        <f t="shared" si="33"/>
        <v>1143</v>
      </c>
      <c r="O260" s="310" t="s">
        <v>1696</v>
      </c>
      <c r="P260" s="290"/>
      <c r="Q260" s="290"/>
      <c r="R260" s="290"/>
      <c r="S260" s="290"/>
      <c r="T260" s="290"/>
      <c r="U260" s="290"/>
      <c r="V260" s="290"/>
      <c r="W260" s="290"/>
      <c r="X260" s="290"/>
      <c r="Y260" s="290"/>
      <c r="Z260" s="290"/>
      <c r="AA260" s="290"/>
      <c r="AB260" s="290"/>
      <c r="AC260" s="290"/>
      <c r="AD260" s="290"/>
      <c r="AE260" s="290"/>
      <c r="AF260" s="290"/>
      <c r="AG260" s="290"/>
      <c r="AH260" s="290"/>
      <c r="AI260" s="290"/>
      <c r="AJ260" s="290"/>
      <c r="AK260" s="290"/>
      <c r="AL260" s="290"/>
      <c r="AM260" s="290"/>
      <c r="AN260" s="290"/>
      <c r="AO260" s="290"/>
      <c r="AP260" s="290"/>
      <c r="AQ260" s="290"/>
      <c r="AR260" s="290"/>
      <c r="AS260" s="290"/>
      <c r="AT260" s="290"/>
      <c r="AU260" s="290"/>
      <c r="AV260" s="290"/>
      <c r="AW260" s="290"/>
      <c r="AX260" s="290"/>
      <c r="AY260" s="290"/>
      <c r="AZ260" s="290"/>
      <c r="BA260" s="290"/>
      <c r="BB260" s="290"/>
      <c r="BC260" s="290"/>
      <c r="BD260" s="290"/>
      <c r="BE260" s="290"/>
      <c r="BF260" s="290"/>
      <c r="BG260" s="290"/>
      <c r="BH260" s="290"/>
      <c r="BI260" s="290"/>
      <c r="BJ260" s="290"/>
      <c r="BK260" s="290"/>
      <c r="BL260" s="290"/>
      <c r="BM260" s="290"/>
      <c r="BN260" s="290"/>
      <c r="BO260" s="290"/>
      <c r="BP260" s="290"/>
      <c r="BQ260" s="290"/>
      <c r="BR260" s="290"/>
      <c r="BS260" s="290"/>
      <c r="BT260" s="290"/>
      <c r="BU260" s="290"/>
      <c r="BV260" s="290"/>
      <c r="BW260" s="290"/>
      <c r="BX260" s="290"/>
      <c r="BY260" s="290"/>
      <c r="BZ260" s="290"/>
    </row>
    <row r="261" spans="1:78" x14ac:dyDescent="0.35">
      <c r="A261" s="290"/>
      <c r="B261" s="290" t="s">
        <v>1672</v>
      </c>
      <c r="C261" s="290">
        <f>SUM(C250:C251)</f>
        <v>48</v>
      </c>
      <c r="D261" s="290">
        <v>34.5</v>
      </c>
      <c r="E261" s="315">
        <f t="shared" si="31"/>
        <v>803.26993974208813</v>
      </c>
      <c r="F261" s="314">
        <v>1484</v>
      </c>
      <c r="G261" s="314">
        <v>1209</v>
      </c>
      <c r="H261" s="317">
        <v>1200</v>
      </c>
      <c r="I261" s="320">
        <v>806</v>
      </c>
      <c r="J261" s="320">
        <f>MIN(F268:P268)</f>
        <v>1230</v>
      </c>
      <c r="K261" s="320">
        <f>SMALL(F268:P268,2)</f>
        <v>1981</v>
      </c>
      <c r="L261" s="312">
        <f t="shared" si="32"/>
        <v>803.26993974208813</v>
      </c>
      <c r="M261" s="310" t="s">
        <v>1706</v>
      </c>
      <c r="N261" s="310">
        <f t="shared" si="33"/>
        <v>806</v>
      </c>
      <c r="O261" s="310" t="s">
        <v>1696</v>
      </c>
      <c r="P261" s="290"/>
      <c r="Q261" s="290"/>
      <c r="R261" s="290"/>
      <c r="S261" s="290"/>
      <c r="T261" s="290"/>
      <c r="U261" s="290"/>
      <c r="V261" s="290"/>
      <c r="W261" s="290"/>
      <c r="X261" s="290"/>
      <c r="Y261" s="290"/>
      <c r="Z261" s="290"/>
      <c r="AA261" s="290"/>
      <c r="AB261" s="290"/>
      <c r="AC261" s="290"/>
      <c r="AD261" s="290"/>
      <c r="AE261" s="290"/>
      <c r="AF261" s="290"/>
      <c r="AG261" s="290"/>
      <c r="AH261" s="290"/>
      <c r="AI261" s="290"/>
      <c r="AJ261" s="290"/>
      <c r="AK261" s="290"/>
      <c r="AL261" s="290"/>
      <c r="AM261" s="290"/>
      <c r="AN261" s="290"/>
      <c r="AO261" s="290"/>
      <c r="AP261" s="290"/>
      <c r="AQ261" s="290"/>
      <c r="AR261" s="290"/>
      <c r="AS261" s="290"/>
      <c r="AT261" s="290"/>
      <c r="AU261" s="290"/>
      <c r="AV261" s="290"/>
      <c r="AW261" s="290"/>
      <c r="AX261" s="290"/>
      <c r="AY261" s="290"/>
      <c r="AZ261" s="290"/>
      <c r="BA261" s="290"/>
      <c r="BB261" s="290"/>
      <c r="BC261" s="290"/>
      <c r="BD261" s="290"/>
      <c r="BE261" s="290"/>
      <c r="BF261" s="290"/>
      <c r="BG261" s="290"/>
      <c r="BH261" s="290"/>
      <c r="BI261" s="290"/>
      <c r="BJ261" s="290"/>
      <c r="BK261" s="290"/>
      <c r="BL261" s="290"/>
      <c r="BM261" s="290"/>
      <c r="BN261" s="290"/>
      <c r="BO261" s="290"/>
      <c r="BP261" s="290"/>
      <c r="BQ261" s="290"/>
      <c r="BR261" s="290"/>
      <c r="BS261" s="290"/>
      <c r="BT261" s="290"/>
      <c r="BU261" s="290"/>
      <c r="BV261" s="290"/>
      <c r="BW261" s="290"/>
      <c r="BX261" s="290"/>
      <c r="BY261" s="290"/>
      <c r="BZ261" s="290"/>
    </row>
    <row r="262" spans="1:78" x14ac:dyDescent="0.35">
      <c r="A262" s="290"/>
      <c r="B262" s="290"/>
      <c r="C262" s="290"/>
      <c r="D262" s="290"/>
      <c r="E262" s="290"/>
      <c r="F262" s="290"/>
      <c r="G262" s="290"/>
      <c r="H262" s="290"/>
      <c r="I262" s="290"/>
      <c r="J262" s="290"/>
      <c r="K262" s="290"/>
      <c r="L262" s="290"/>
      <c r="M262" s="290"/>
      <c r="N262" s="290"/>
      <c r="O262" s="290"/>
      <c r="P262" s="290"/>
      <c r="Q262" s="290"/>
      <c r="R262" s="290"/>
      <c r="S262" s="290"/>
      <c r="T262" s="290"/>
      <c r="U262" s="290"/>
      <c r="V262" s="290"/>
      <c r="W262" s="290"/>
      <c r="X262" s="290"/>
      <c r="Y262" s="290"/>
      <c r="Z262" s="290"/>
      <c r="AA262" s="290"/>
      <c r="AB262" s="290"/>
      <c r="AC262" s="290"/>
      <c r="AD262" s="290"/>
      <c r="AE262" s="290"/>
      <c r="AF262" s="290"/>
      <c r="AG262" s="290"/>
      <c r="AH262" s="290"/>
      <c r="AI262" s="290"/>
      <c r="AJ262" s="290"/>
      <c r="AK262" s="290"/>
      <c r="AL262" s="290"/>
      <c r="AM262" s="290"/>
      <c r="AN262" s="290"/>
      <c r="AO262" s="290"/>
      <c r="AP262" s="290"/>
      <c r="AQ262" s="290"/>
      <c r="AR262" s="290"/>
      <c r="AS262" s="290"/>
      <c r="AT262" s="290"/>
      <c r="AU262" s="290"/>
      <c r="AV262" s="290"/>
      <c r="AW262" s="290"/>
      <c r="AX262" s="290"/>
      <c r="AY262" s="290"/>
      <c r="AZ262" s="290"/>
      <c r="BA262" s="290"/>
      <c r="BB262" s="290"/>
      <c r="BC262" s="290"/>
      <c r="BD262" s="290"/>
      <c r="BE262" s="290"/>
      <c r="BF262" s="290"/>
      <c r="BG262" s="290"/>
      <c r="BH262" s="290"/>
      <c r="BI262" s="290"/>
      <c r="BJ262" s="290"/>
      <c r="BK262" s="290"/>
      <c r="BL262" s="290"/>
      <c r="BM262" s="290"/>
      <c r="BN262" s="290"/>
      <c r="BO262" s="290"/>
      <c r="BP262" s="290"/>
      <c r="BQ262" s="290"/>
      <c r="BR262" s="290"/>
      <c r="BS262" s="290"/>
      <c r="BT262" s="290"/>
      <c r="BU262" s="290"/>
      <c r="BV262" s="290"/>
      <c r="BW262" s="290"/>
      <c r="BX262" s="290"/>
      <c r="BY262" s="290"/>
      <c r="BZ262" s="290"/>
    </row>
    <row r="263" spans="1:78" x14ac:dyDescent="0.35">
      <c r="A263" s="310" t="s">
        <v>1737</v>
      </c>
      <c r="B263" s="290"/>
      <c r="C263" s="290"/>
      <c r="D263" s="290"/>
      <c r="E263" s="290"/>
      <c r="F263" s="290"/>
      <c r="G263" s="290"/>
      <c r="H263" s="290"/>
      <c r="I263" s="290"/>
      <c r="J263" s="290"/>
      <c r="K263" s="290"/>
      <c r="L263" s="290"/>
      <c r="M263" s="290"/>
      <c r="N263" s="290"/>
      <c r="O263" s="290"/>
      <c r="P263" s="290"/>
      <c r="Q263" s="290"/>
      <c r="R263" s="290"/>
      <c r="S263" s="290"/>
      <c r="T263" s="290"/>
      <c r="U263" s="290"/>
      <c r="V263" s="290"/>
      <c r="W263" s="290"/>
      <c r="X263" s="290"/>
      <c r="Y263" s="290"/>
      <c r="Z263" s="290"/>
      <c r="AA263" s="290"/>
      <c r="AB263" s="290"/>
      <c r="AC263" s="290"/>
      <c r="AD263" s="290"/>
      <c r="AE263" s="290"/>
      <c r="AF263" s="290"/>
      <c r="AG263" s="290"/>
      <c r="AH263" s="290"/>
      <c r="AI263" s="290"/>
      <c r="AJ263" s="290"/>
      <c r="AK263" s="290"/>
      <c r="AL263" s="290"/>
      <c r="AM263" s="290"/>
      <c r="AN263" s="290"/>
      <c r="AO263" s="290"/>
      <c r="AP263" s="290"/>
      <c r="AQ263" s="290"/>
      <c r="AR263" s="290"/>
      <c r="AS263" s="290"/>
      <c r="AT263" s="290"/>
      <c r="AU263" s="290"/>
      <c r="AV263" s="290"/>
      <c r="AW263" s="290"/>
      <c r="AX263" s="290"/>
      <c r="AY263" s="290"/>
      <c r="AZ263" s="290"/>
      <c r="BA263" s="290"/>
      <c r="BB263" s="290"/>
      <c r="BC263" s="290"/>
      <c r="BD263" s="290"/>
      <c r="BE263" s="290"/>
      <c r="BF263" s="290"/>
      <c r="BG263" s="290"/>
      <c r="BH263" s="290"/>
      <c r="BI263" s="290"/>
      <c r="BJ263" s="290"/>
      <c r="BK263" s="290"/>
      <c r="BL263" s="290"/>
      <c r="BM263" s="290"/>
      <c r="BN263" s="290"/>
      <c r="BO263" s="290"/>
      <c r="BP263" s="290"/>
      <c r="BQ263" s="290"/>
      <c r="BR263" s="290"/>
      <c r="BS263" s="290"/>
      <c r="BT263" s="290"/>
      <c r="BU263" s="290"/>
      <c r="BV263" s="290"/>
      <c r="BW263" s="290"/>
      <c r="BX263" s="290"/>
      <c r="BY263" s="290"/>
      <c r="BZ263" s="290"/>
    </row>
    <row r="264" spans="1:78" x14ac:dyDescent="0.35">
      <c r="A264" s="536" t="s">
        <v>1493</v>
      </c>
      <c r="B264" s="535" t="s">
        <v>1709</v>
      </c>
      <c r="C264" s="535" t="s">
        <v>1599</v>
      </c>
      <c r="D264" s="535" t="s">
        <v>1424</v>
      </c>
      <c r="E264" s="535" t="s">
        <v>1497</v>
      </c>
      <c r="F264" s="535" t="s">
        <v>1738</v>
      </c>
      <c r="G264" s="535" t="s">
        <v>1739</v>
      </c>
      <c r="H264" s="535" t="s">
        <v>1717</v>
      </c>
      <c r="I264" s="535" t="s">
        <v>1709</v>
      </c>
      <c r="J264" s="535" t="s">
        <v>1719</v>
      </c>
      <c r="K264" s="535" t="s">
        <v>1740</v>
      </c>
      <c r="L264" s="535" t="s">
        <v>1478</v>
      </c>
      <c r="M264" s="535" t="s">
        <v>1741</v>
      </c>
      <c r="N264" s="535" t="s">
        <v>1736</v>
      </c>
      <c r="O264" s="535" t="s">
        <v>1700</v>
      </c>
      <c r="P264" s="535" t="s">
        <v>1701</v>
      </c>
      <c r="Q264" s="538" t="s">
        <v>1702</v>
      </c>
      <c r="R264" s="538" t="s">
        <v>1703</v>
      </c>
      <c r="S264" s="538" t="s">
        <v>1704</v>
      </c>
      <c r="T264" s="538" t="s">
        <v>1723</v>
      </c>
      <c r="U264" s="290"/>
      <c r="V264" s="290"/>
      <c r="W264" s="290"/>
      <c r="X264" s="290"/>
      <c r="Y264" s="290"/>
      <c r="Z264" s="290"/>
      <c r="AA264" s="290"/>
      <c r="AB264" s="290"/>
      <c r="AC264" s="290"/>
      <c r="AD264" s="290"/>
      <c r="AE264" s="290"/>
      <c r="AF264" s="290"/>
      <c r="AG264" s="290"/>
      <c r="AH264" s="290"/>
      <c r="AI264" s="290"/>
      <c r="AJ264" s="290"/>
      <c r="AK264" s="290"/>
      <c r="AL264" s="290"/>
      <c r="AM264" s="290"/>
      <c r="AN264" s="290"/>
      <c r="AO264" s="290"/>
      <c r="AP264" s="290"/>
      <c r="AQ264" s="290"/>
      <c r="AR264" s="290"/>
      <c r="AS264" s="290"/>
      <c r="AT264" s="290"/>
      <c r="AU264" s="290"/>
      <c r="AV264" s="290"/>
      <c r="AW264" s="290"/>
      <c r="AX264" s="290"/>
      <c r="AY264" s="290"/>
      <c r="AZ264" s="290"/>
      <c r="BA264" s="290"/>
      <c r="BB264" s="290"/>
      <c r="BC264" s="290"/>
      <c r="BD264" s="290"/>
      <c r="BE264" s="290"/>
      <c r="BF264" s="290"/>
      <c r="BG264" s="290"/>
      <c r="BH264" s="290"/>
      <c r="BI264" s="290"/>
      <c r="BJ264" s="290"/>
      <c r="BK264" s="290"/>
      <c r="BL264" s="290"/>
      <c r="BM264" s="290"/>
      <c r="BN264" s="290"/>
      <c r="BO264" s="290"/>
      <c r="BP264" s="290"/>
      <c r="BQ264" s="290"/>
      <c r="BR264" s="290"/>
      <c r="BS264" s="290"/>
      <c r="BT264" s="290"/>
      <c r="BU264" s="290"/>
      <c r="BV264" s="290"/>
      <c r="BW264" s="290"/>
      <c r="BX264" s="290"/>
      <c r="BY264" s="290"/>
      <c r="BZ264" s="290"/>
    </row>
    <row r="265" spans="1:78" x14ac:dyDescent="0.35">
      <c r="A265" s="536"/>
      <c r="B265" s="535"/>
      <c r="C265" s="535"/>
      <c r="D265" s="535"/>
      <c r="E265" s="535"/>
      <c r="F265" s="535"/>
      <c r="G265" s="535"/>
      <c r="H265" s="535"/>
      <c r="I265" s="535"/>
      <c r="J265" s="535"/>
      <c r="K265" s="535"/>
      <c r="L265" s="535"/>
      <c r="M265" s="535"/>
      <c r="N265" s="535"/>
      <c r="O265" s="535"/>
      <c r="P265" s="535"/>
      <c r="Q265" s="538"/>
      <c r="R265" s="538"/>
      <c r="S265" s="538"/>
      <c r="T265" s="538"/>
      <c r="U265" s="290"/>
      <c r="V265" s="290"/>
      <c r="W265" s="290"/>
      <c r="X265" s="290"/>
      <c r="Y265" s="290"/>
      <c r="Z265" s="290"/>
      <c r="AA265" s="290"/>
      <c r="AB265" s="290"/>
      <c r="AC265" s="290"/>
      <c r="AD265" s="290"/>
      <c r="AE265" s="290"/>
      <c r="AF265" s="290"/>
      <c r="AG265" s="290"/>
      <c r="AH265" s="290"/>
      <c r="AI265" s="290"/>
      <c r="AJ265" s="290"/>
      <c r="AK265" s="290"/>
      <c r="AL265" s="290"/>
      <c r="AM265" s="290"/>
      <c r="AN265" s="290"/>
      <c r="AO265" s="290"/>
      <c r="AP265" s="290"/>
      <c r="AQ265" s="290"/>
      <c r="AR265" s="290"/>
      <c r="AS265" s="290"/>
      <c r="AT265" s="290"/>
      <c r="AU265" s="290"/>
      <c r="AV265" s="290"/>
      <c r="AW265" s="290"/>
      <c r="AX265" s="290"/>
      <c r="AY265" s="290"/>
      <c r="AZ265" s="290"/>
      <c r="BA265" s="290"/>
      <c r="BB265" s="290"/>
      <c r="BC265" s="290"/>
      <c r="BD265" s="290"/>
      <c r="BE265" s="290"/>
      <c r="BF265" s="290"/>
      <c r="BG265" s="290"/>
      <c r="BH265" s="290"/>
      <c r="BI265" s="290"/>
      <c r="BJ265" s="290"/>
      <c r="BK265" s="290"/>
      <c r="BL265" s="290"/>
      <c r="BM265" s="290"/>
      <c r="BN265" s="290"/>
      <c r="BO265" s="290"/>
      <c r="BP265" s="290"/>
      <c r="BQ265" s="290"/>
      <c r="BR265" s="290"/>
      <c r="BS265" s="290"/>
      <c r="BT265" s="290"/>
      <c r="BU265" s="290"/>
      <c r="BV265" s="290"/>
      <c r="BW265" s="290"/>
      <c r="BX265" s="290"/>
      <c r="BY265" s="290"/>
      <c r="BZ265" s="290"/>
    </row>
    <row r="266" spans="1:78" x14ac:dyDescent="0.35">
      <c r="A266" s="544" t="s">
        <v>1605</v>
      </c>
      <c r="B266" s="290">
        <v>1150</v>
      </c>
      <c r="C266" s="290">
        <f>MAX(C256,C258)</f>
        <v>65.099999999999994</v>
      </c>
      <c r="D266" s="290">
        <v>34.5</v>
      </c>
      <c r="E266" s="315">
        <f>(C266*1000)/(SQRT(3)*D266)</f>
        <v>1089.4348557752069</v>
      </c>
      <c r="F266" s="314">
        <v>1981</v>
      </c>
      <c r="G266" s="314">
        <v>2171</v>
      </c>
      <c r="H266" s="304">
        <v>3000</v>
      </c>
      <c r="I266" s="304">
        <v>2000</v>
      </c>
      <c r="J266" s="304">
        <v>3000</v>
      </c>
      <c r="K266" s="314">
        <v>2171</v>
      </c>
      <c r="L266" s="304">
        <v>2000</v>
      </c>
      <c r="M266" s="314">
        <v>2171</v>
      </c>
      <c r="N266" s="304">
        <v>1471</v>
      </c>
      <c r="O266" s="304">
        <f>MIN(AY273:BV273)</f>
        <v>4150.34976737959</v>
      </c>
      <c r="P266" s="304">
        <f>SMALL(AY273:BV273,2)</f>
        <v>4500</v>
      </c>
      <c r="Q266" s="312">
        <f>MIN(E266:P266)</f>
        <v>1089.4348557752069</v>
      </c>
      <c r="R266" s="312" t="s">
        <v>1706</v>
      </c>
      <c r="S266" s="310">
        <f>SMALL(E266:P266,2)</f>
        <v>1471</v>
      </c>
      <c r="T266" s="310" t="s">
        <v>1736</v>
      </c>
      <c r="U266" s="290"/>
      <c r="V266" s="290"/>
      <c r="W266" s="290"/>
      <c r="X266" s="290"/>
      <c r="Y266" s="290"/>
      <c r="Z266" s="290"/>
      <c r="AA266" s="290"/>
      <c r="AB266" s="290"/>
      <c r="AC266" s="290"/>
      <c r="AD266" s="290"/>
      <c r="AE266" s="290"/>
      <c r="AF266" s="290"/>
      <c r="AG266" s="290"/>
      <c r="AH266" s="290"/>
      <c r="AI266" s="290"/>
      <c r="AJ266" s="290"/>
      <c r="AK266" s="290"/>
      <c r="AL266" s="290"/>
      <c r="AM266" s="290"/>
      <c r="AN266" s="290"/>
      <c r="AO266" s="290"/>
      <c r="AP266" s="290"/>
      <c r="AQ266" s="290"/>
      <c r="AR266" s="290"/>
      <c r="AS266" s="290"/>
      <c r="AT266" s="290"/>
      <c r="AU266" s="290"/>
      <c r="AV266" s="290"/>
      <c r="AW266" s="290"/>
      <c r="AX266" s="290"/>
      <c r="AY266" s="290"/>
      <c r="AZ266" s="290"/>
      <c r="BA266" s="290"/>
      <c r="BB266" s="290"/>
      <c r="BC266" s="290"/>
      <c r="BD266" s="290"/>
      <c r="BE266" s="290"/>
      <c r="BF266" s="290"/>
      <c r="BG266" s="290"/>
      <c r="BH266" s="290"/>
      <c r="BI266" s="290"/>
      <c r="BJ266" s="290"/>
      <c r="BK266" s="290"/>
      <c r="BL266" s="290"/>
      <c r="BM266" s="290"/>
      <c r="BN266" s="290"/>
      <c r="BO266" s="290"/>
      <c r="BP266" s="290"/>
      <c r="BQ266" s="290"/>
      <c r="BR266" s="290"/>
      <c r="BS266" s="290"/>
      <c r="BT266" s="290"/>
      <c r="BU266" s="290"/>
      <c r="BV266" s="290"/>
      <c r="BW266" s="290"/>
      <c r="BX266" s="290"/>
      <c r="BY266" s="290"/>
      <c r="BZ266" s="290"/>
    </row>
    <row r="267" spans="1:78" x14ac:dyDescent="0.35">
      <c r="A267" s="544"/>
      <c r="B267" s="290">
        <v>1250</v>
      </c>
      <c r="C267" s="290">
        <f>MAX(C257,C259)</f>
        <v>65.099999999999994</v>
      </c>
      <c r="D267" s="290">
        <v>34.5</v>
      </c>
      <c r="E267" s="315">
        <f>(C267*1000)/(SQRT(3)*D267)</f>
        <v>1089.4348557752069</v>
      </c>
      <c r="F267" s="314">
        <v>1981</v>
      </c>
      <c r="G267" s="314">
        <v>2171</v>
      </c>
      <c r="H267" s="304">
        <v>3000</v>
      </c>
      <c r="I267" s="304">
        <v>2000</v>
      </c>
      <c r="J267" s="304">
        <v>3000</v>
      </c>
      <c r="K267" s="314">
        <v>2171</v>
      </c>
      <c r="L267" s="304">
        <v>2000</v>
      </c>
      <c r="M267" s="314">
        <v>2171</v>
      </c>
      <c r="N267" s="304">
        <v>1471</v>
      </c>
      <c r="O267" s="304">
        <f>MIN(AY273:BV273)</f>
        <v>4150.34976737959</v>
      </c>
      <c r="P267" s="304">
        <f>SMALL(AY273:BV273,2)</f>
        <v>4500</v>
      </c>
      <c r="Q267" s="312">
        <f>MIN(E267:P267)</f>
        <v>1089.4348557752069</v>
      </c>
      <c r="R267" s="312" t="s">
        <v>1706</v>
      </c>
      <c r="S267" s="310">
        <f>SMALL(E267:P267,2)</f>
        <v>1471</v>
      </c>
      <c r="T267" s="310" t="s">
        <v>1736</v>
      </c>
      <c r="U267" s="290"/>
      <c r="V267" s="290"/>
      <c r="W267" s="290"/>
      <c r="X267" s="290"/>
      <c r="Y267" s="290"/>
      <c r="Z267" s="290"/>
      <c r="AA267" s="290"/>
      <c r="AB267" s="290"/>
      <c r="AC267" s="290"/>
      <c r="AD267" s="290"/>
      <c r="AE267" s="290"/>
      <c r="AF267" s="290"/>
      <c r="AG267" s="290"/>
      <c r="AH267" s="290"/>
      <c r="AI267" s="290"/>
      <c r="AJ267" s="290"/>
      <c r="AK267" s="290"/>
      <c r="AL267" s="290"/>
      <c r="AM267" s="290"/>
      <c r="AN267" s="290"/>
      <c r="AO267" s="290"/>
      <c r="AP267" s="290"/>
      <c r="AQ267" s="290"/>
      <c r="AR267" s="290"/>
      <c r="AS267" s="290"/>
      <c r="AT267" s="290"/>
      <c r="AU267" s="290"/>
      <c r="AV267" s="290"/>
      <c r="AW267" s="290"/>
      <c r="AX267" s="290"/>
      <c r="AY267" s="290"/>
      <c r="AZ267" s="290"/>
      <c r="BA267" s="290"/>
      <c r="BB267" s="290"/>
      <c r="BC267" s="290"/>
      <c r="BD267" s="290"/>
      <c r="BE267" s="290"/>
      <c r="BF267" s="290"/>
      <c r="BG267" s="290"/>
      <c r="BH267" s="290"/>
      <c r="BI267" s="290"/>
      <c r="BJ267" s="290"/>
      <c r="BK267" s="290"/>
      <c r="BL267" s="290"/>
      <c r="BM267" s="290"/>
      <c r="BN267" s="290"/>
      <c r="BO267" s="290"/>
      <c r="BP267" s="290"/>
      <c r="BQ267" s="290"/>
      <c r="BR267" s="290"/>
      <c r="BS267" s="290"/>
      <c r="BT267" s="290"/>
      <c r="BU267" s="290"/>
      <c r="BV267" s="290"/>
      <c r="BW267" s="290"/>
      <c r="BX267" s="290"/>
      <c r="BY267" s="290"/>
      <c r="BZ267" s="290"/>
    </row>
    <row r="268" spans="1:78" x14ac:dyDescent="0.35">
      <c r="A268" s="290" t="s">
        <v>1651</v>
      </c>
      <c r="B268" s="290">
        <v>2150</v>
      </c>
      <c r="C268" s="290">
        <f>MAX(C260,C261)</f>
        <v>51</v>
      </c>
      <c r="D268" s="290">
        <v>34.5</v>
      </c>
      <c r="E268" s="315">
        <f>(C268*1000)/(SQRT(3)*D268)</f>
        <v>853.47431097596859</v>
      </c>
      <c r="F268" s="314">
        <v>1981</v>
      </c>
      <c r="G268" s="314">
        <v>2171</v>
      </c>
      <c r="H268" s="304">
        <v>3000</v>
      </c>
      <c r="I268" s="304">
        <v>2000</v>
      </c>
      <c r="J268" s="304">
        <v>3000</v>
      </c>
      <c r="K268" s="314">
        <v>2171</v>
      </c>
      <c r="L268" s="304">
        <v>2000</v>
      </c>
      <c r="M268" s="314">
        <v>2171</v>
      </c>
      <c r="N268" s="304">
        <v>1230</v>
      </c>
      <c r="O268" s="304">
        <f>MIN(AY274:BV274)</f>
        <v>4150.34976737959</v>
      </c>
      <c r="P268" s="304">
        <f>SMALL(AY274:BV274,2)</f>
        <v>4500</v>
      </c>
      <c r="Q268" s="312">
        <f>MIN(E268:P268)</f>
        <v>853.47431097596859</v>
      </c>
      <c r="R268" s="312" t="s">
        <v>1706</v>
      </c>
      <c r="S268" s="310">
        <f>SMALL(E268:P268,2)</f>
        <v>1230</v>
      </c>
      <c r="T268" s="310" t="s">
        <v>1736</v>
      </c>
      <c r="U268" s="290"/>
      <c r="V268" s="290"/>
      <c r="W268" s="290"/>
      <c r="X268" s="290"/>
      <c r="Y268" s="290"/>
      <c r="Z268" s="290"/>
      <c r="AA268" s="290"/>
      <c r="AB268" s="290"/>
      <c r="AC268" s="290"/>
      <c r="AD268" s="290"/>
      <c r="AE268" s="290"/>
      <c r="AF268" s="290"/>
      <c r="AG268" s="290"/>
      <c r="AH268" s="290"/>
      <c r="AI268" s="290"/>
      <c r="AJ268" s="290"/>
      <c r="AK268" s="290"/>
      <c r="AL268" s="290"/>
      <c r="AM268" s="290"/>
      <c r="AN268" s="290"/>
      <c r="AO268" s="290"/>
      <c r="AP268" s="290"/>
      <c r="AQ268" s="290"/>
      <c r="AR268" s="290"/>
      <c r="AS268" s="290"/>
      <c r="AT268" s="290"/>
      <c r="AU268" s="290"/>
      <c r="AV268" s="290"/>
      <c r="AW268" s="290"/>
      <c r="AX268" s="290"/>
      <c r="AY268" s="290"/>
      <c r="AZ268" s="290"/>
      <c r="BA268" s="290"/>
      <c r="BB268" s="290"/>
      <c r="BC268" s="290"/>
      <c r="BD268" s="290"/>
      <c r="BE268" s="290"/>
      <c r="BF268" s="290"/>
      <c r="BG268" s="290"/>
      <c r="BH268" s="290"/>
      <c r="BI268" s="290"/>
      <c r="BJ268" s="290"/>
      <c r="BK268" s="290"/>
      <c r="BL268" s="290"/>
      <c r="BM268" s="290"/>
      <c r="BN268" s="290"/>
      <c r="BO268" s="290"/>
      <c r="BP268" s="290"/>
      <c r="BQ268" s="290"/>
      <c r="BR268" s="290"/>
      <c r="BS268" s="290"/>
      <c r="BT268" s="290"/>
      <c r="BU268" s="290"/>
      <c r="BV268" s="290"/>
      <c r="BW268" s="290"/>
      <c r="BX268" s="290"/>
      <c r="BY268" s="290"/>
      <c r="BZ268" s="290"/>
    </row>
    <row r="269" spans="1:78" x14ac:dyDescent="0.35">
      <c r="A269" s="290"/>
      <c r="B269" s="290"/>
      <c r="C269" s="290"/>
      <c r="D269" s="290"/>
      <c r="E269" s="290"/>
      <c r="F269" s="290"/>
      <c r="G269" s="290"/>
      <c r="H269" s="290"/>
      <c r="I269" s="290"/>
      <c r="J269" s="290"/>
      <c r="K269" s="290"/>
      <c r="L269" s="290"/>
      <c r="M269" s="290"/>
      <c r="N269" s="290"/>
      <c r="O269" s="290"/>
      <c r="P269" s="290"/>
      <c r="Q269" s="290"/>
      <c r="R269" s="290"/>
      <c r="S269" s="290"/>
      <c r="T269" s="290"/>
      <c r="U269" s="290"/>
      <c r="V269" s="290"/>
      <c r="W269" s="290"/>
      <c r="X269" s="290"/>
      <c r="Y269" s="290"/>
      <c r="Z269" s="290"/>
      <c r="AA269" s="290"/>
      <c r="AB269" s="290"/>
      <c r="AC269" s="290"/>
      <c r="AD269" s="290"/>
      <c r="AE269" s="290"/>
      <c r="AF269" s="290"/>
      <c r="AG269" s="290"/>
      <c r="AH269" s="290"/>
      <c r="AI269" s="290"/>
      <c r="AJ269" s="290"/>
      <c r="AK269" s="290"/>
      <c r="AL269" s="290"/>
      <c r="AM269" s="290"/>
      <c r="AN269" s="290"/>
      <c r="AO269" s="290"/>
      <c r="AP269" s="290"/>
      <c r="AQ269" s="290"/>
      <c r="AR269" s="290"/>
      <c r="AS269" s="290"/>
      <c r="AT269" s="290"/>
      <c r="AU269" s="290"/>
      <c r="AV269" s="290"/>
      <c r="AW269" s="290"/>
      <c r="AX269" s="290"/>
      <c r="AY269" s="290"/>
      <c r="AZ269" s="290"/>
      <c r="BA269" s="290"/>
      <c r="BB269" s="290"/>
      <c r="BC269" s="290"/>
      <c r="BD269" s="290"/>
      <c r="BE269" s="290"/>
      <c r="BF269" s="290"/>
      <c r="BG269" s="290"/>
      <c r="BH269" s="290"/>
      <c r="BI269" s="290"/>
      <c r="BJ269" s="290"/>
      <c r="BK269" s="290"/>
      <c r="BL269" s="290"/>
      <c r="BM269" s="290"/>
      <c r="BN269" s="290"/>
      <c r="BO269" s="290"/>
      <c r="BP269" s="290"/>
      <c r="BQ269" s="290"/>
      <c r="BR269" s="290"/>
      <c r="BS269" s="290"/>
      <c r="BT269" s="290"/>
      <c r="BU269" s="290"/>
      <c r="BV269" s="290"/>
      <c r="BW269" s="290"/>
      <c r="BX269" s="290"/>
      <c r="BY269" s="290"/>
      <c r="BZ269" s="290"/>
    </row>
    <row r="270" spans="1:78" x14ac:dyDescent="0.35">
      <c r="A270" s="310" t="s">
        <v>1742</v>
      </c>
      <c r="B270" s="290"/>
      <c r="C270" s="290"/>
      <c r="D270" s="290"/>
      <c r="E270" s="290"/>
      <c r="F270" s="290"/>
      <c r="G270" s="290"/>
      <c r="H270" s="290"/>
      <c r="I270" s="290"/>
      <c r="J270" s="290"/>
      <c r="K270" s="290"/>
      <c r="L270" s="290"/>
      <c r="M270" s="290"/>
      <c r="N270" s="290"/>
      <c r="O270" s="290"/>
      <c r="P270" s="290"/>
      <c r="Q270" s="290"/>
      <c r="R270" s="290"/>
      <c r="S270" s="290"/>
      <c r="T270" s="290"/>
      <c r="U270" s="290"/>
      <c r="V270" s="290"/>
      <c r="W270" s="290"/>
      <c r="X270" s="290"/>
      <c r="Y270" s="290"/>
      <c r="Z270" s="290"/>
      <c r="AA270" s="290"/>
      <c r="AB270" s="290"/>
      <c r="AC270" s="290"/>
      <c r="AD270" s="290"/>
      <c r="AE270" s="290"/>
      <c r="AF270" s="290"/>
      <c r="AG270" s="290"/>
      <c r="AH270" s="290"/>
      <c r="AI270" s="290"/>
      <c r="AJ270" s="290"/>
      <c r="AK270" s="290"/>
      <c r="AL270" s="290"/>
      <c r="AM270" s="290"/>
      <c r="AN270" s="290"/>
      <c r="AO270" s="290"/>
      <c r="AP270" s="290"/>
      <c r="AQ270" s="290"/>
      <c r="AR270" s="290"/>
      <c r="AS270" s="290"/>
      <c r="AT270" s="290"/>
      <c r="AU270" s="290" t="s">
        <v>1743</v>
      </c>
      <c r="AV270" s="290"/>
      <c r="AW270" s="290"/>
      <c r="AX270" s="290"/>
      <c r="AY270" s="290"/>
      <c r="AZ270" s="290"/>
      <c r="BA270" s="290"/>
      <c r="BB270" s="290"/>
      <c r="BC270" s="290"/>
      <c r="BD270" s="290"/>
      <c r="BE270" s="290"/>
      <c r="BF270" s="290"/>
      <c r="BG270" s="290"/>
      <c r="BH270" s="290"/>
      <c r="BI270" s="290"/>
      <c r="BJ270" s="290"/>
      <c r="BK270" s="290"/>
      <c r="BL270" s="290"/>
      <c r="BM270" s="290"/>
      <c r="BN270" s="290"/>
      <c r="BO270" s="290"/>
      <c r="BP270" s="290"/>
      <c r="BQ270" s="290"/>
      <c r="BR270" s="290"/>
      <c r="BS270" s="290"/>
      <c r="BT270" s="290"/>
      <c r="BU270" s="290"/>
      <c r="BV270" s="290"/>
      <c r="BW270" s="290"/>
      <c r="BX270" s="290"/>
      <c r="BY270" s="290"/>
      <c r="BZ270" s="290"/>
    </row>
    <row r="271" spans="1:78" x14ac:dyDescent="0.35">
      <c r="A271" s="536" t="s">
        <v>1493</v>
      </c>
      <c r="B271" s="536" t="s">
        <v>1563</v>
      </c>
      <c r="C271" s="535" t="s">
        <v>1599</v>
      </c>
      <c r="D271" s="535" t="s">
        <v>1424</v>
      </c>
      <c r="E271" s="535" t="s">
        <v>1497</v>
      </c>
      <c r="F271" s="535" t="s">
        <v>1744</v>
      </c>
      <c r="G271" s="535" t="s">
        <v>1745</v>
      </c>
      <c r="H271" s="535" t="s">
        <v>1746</v>
      </c>
      <c r="I271" s="535" t="s">
        <v>1478</v>
      </c>
      <c r="J271" s="535" t="s">
        <v>1747</v>
      </c>
      <c r="K271" s="535" t="s">
        <v>1748</v>
      </c>
      <c r="L271" s="535" t="s">
        <v>1749</v>
      </c>
      <c r="M271" s="535" t="s">
        <v>1750</v>
      </c>
      <c r="N271" s="535" t="s">
        <v>1751</v>
      </c>
      <c r="O271" s="535" t="s">
        <v>1752</v>
      </c>
      <c r="P271" s="535" t="s">
        <v>1753</v>
      </c>
      <c r="Q271" s="535" t="s">
        <v>1754</v>
      </c>
      <c r="R271" s="535" t="s">
        <v>1755</v>
      </c>
      <c r="S271" s="535" t="s">
        <v>1756</v>
      </c>
      <c r="T271" s="535" t="s">
        <v>1757</v>
      </c>
      <c r="U271" s="535" t="s">
        <v>1758</v>
      </c>
      <c r="V271" s="535" t="s">
        <v>1759</v>
      </c>
      <c r="W271" s="535" t="s">
        <v>1760</v>
      </c>
      <c r="X271" s="535" t="s">
        <v>1761</v>
      </c>
      <c r="Y271" s="535" t="s">
        <v>1762</v>
      </c>
      <c r="Z271" s="535" t="s">
        <v>1763</v>
      </c>
      <c r="AA271" s="535" t="s">
        <v>1764</v>
      </c>
      <c r="AB271" s="535" t="s">
        <v>1709</v>
      </c>
      <c r="AC271" s="535" t="s">
        <v>1765</v>
      </c>
      <c r="AD271" s="535" t="s">
        <v>1766</v>
      </c>
      <c r="AE271" s="535" t="s">
        <v>1764</v>
      </c>
      <c r="AF271" s="535" t="s">
        <v>1767</v>
      </c>
      <c r="AG271" s="535" t="s">
        <v>1758</v>
      </c>
      <c r="AH271" s="535" t="s">
        <v>1768</v>
      </c>
      <c r="AI271" s="535" t="s">
        <v>1769</v>
      </c>
      <c r="AJ271" s="535" t="s">
        <v>1770</v>
      </c>
      <c r="AK271" s="535" t="s">
        <v>1760</v>
      </c>
      <c r="AL271" s="535" t="s">
        <v>1771</v>
      </c>
      <c r="AM271" s="535" t="s">
        <v>1772</v>
      </c>
      <c r="AN271" s="535" t="s">
        <v>1773</v>
      </c>
      <c r="AO271" s="535" t="s">
        <v>1760</v>
      </c>
      <c r="AP271" s="535" t="s">
        <v>1771</v>
      </c>
      <c r="AQ271" s="535" t="s">
        <v>1772</v>
      </c>
      <c r="AR271" s="535" t="s">
        <v>1722</v>
      </c>
      <c r="AS271" s="535" t="s">
        <v>1774</v>
      </c>
      <c r="AT271" s="535" t="s">
        <v>1700</v>
      </c>
      <c r="AU271" s="535" t="s">
        <v>1701</v>
      </c>
      <c r="AV271" s="538" t="s">
        <v>1702</v>
      </c>
      <c r="AW271" s="538" t="s">
        <v>1703</v>
      </c>
      <c r="AX271" s="535" t="str">
        <f t="shared" ref="AX271:BE271" si="34">E271</f>
        <v>Amps</v>
      </c>
      <c r="AY271" s="535" t="str">
        <f t="shared" si="34"/>
        <v>Low Side Main Bus</v>
      </c>
      <c r="AZ271" s="535" t="str">
        <f t="shared" si="34"/>
        <v>Jumper: Main to Bus</v>
      </c>
      <c r="BA271" s="535" t="str">
        <f t="shared" si="34"/>
        <v>Bus to DS</v>
      </c>
      <c r="BB271" s="535" t="str">
        <f t="shared" si="34"/>
        <v>Disconnect</v>
      </c>
      <c r="BC271" s="535" t="str">
        <f t="shared" si="34"/>
        <v>Metering CT</v>
      </c>
      <c r="BD271" s="535" t="str">
        <f t="shared" si="34"/>
        <v>Jumper: DS to Xfmr</v>
      </c>
      <c r="BE271" s="535" t="str">
        <f t="shared" si="34"/>
        <v>LS Xfmr CTs</v>
      </c>
      <c r="BF271" s="290"/>
      <c r="BG271" s="290"/>
      <c r="BH271" s="290"/>
      <c r="BI271" s="290"/>
      <c r="BJ271" s="290"/>
      <c r="BK271" s="290"/>
      <c r="BL271" s="290"/>
      <c r="BM271" s="290"/>
      <c r="BN271" s="290"/>
      <c r="BO271" s="290"/>
      <c r="BP271" s="290"/>
      <c r="BQ271" s="290"/>
      <c r="BR271" s="290"/>
      <c r="BS271" s="290"/>
      <c r="BT271" s="290"/>
      <c r="BU271" s="535" t="s">
        <v>1700</v>
      </c>
      <c r="BV271" s="535" t="s">
        <v>1701</v>
      </c>
      <c r="BW271" s="538" t="s">
        <v>1704</v>
      </c>
      <c r="BX271" s="538" t="s">
        <v>1705</v>
      </c>
      <c r="BY271" s="290"/>
      <c r="BZ271" s="290"/>
    </row>
    <row r="272" spans="1:78" x14ac:dyDescent="0.35">
      <c r="A272" s="536"/>
      <c r="B272" s="536"/>
      <c r="C272" s="535"/>
      <c r="D272" s="535"/>
      <c r="E272" s="535"/>
      <c r="F272" s="535"/>
      <c r="G272" s="535"/>
      <c r="H272" s="535"/>
      <c r="I272" s="535"/>
      <c r="J272" s="535"/>
      <c r="K272" s="535"/>
      <c r="L272" s="535"/>
      <c r="M272" s="535"/>
      <c r="N272" s="535"/>
      <c r="O272" s="535"/>
      <c r="P272" s="535"/>
      <c r="Q272" s="535"/>
      <c r="R272" s="535"/>
      <c r="S272" s="535"/>
      <c r="T272" s="535"/>
      <c r="U272" s="535"/>
      <c r="V272" s="535"/>
      <c r="W272" s="535"/>
      <c r="X272" s="535"/>
      <c r="Y272" s="535"/>
      <c r="Z272" s="535"/>
      <c r="AA272" s="535"/>
      <c r="AB272" s="535"/>
      <c r="AC272" s="535"/>
      <c r="AD272" s="535"/>
      <c r="AE272" s="535"/>
      <c r="AF272" s="535"/>
      <c r="AG272" s="535"/>
      <c r="AH272" s="535"/>
      <c r="AI272" s="535"/>
      <c r="AJ272" s="535"/>
      <c r="AK272" s="535"/>
      <c r="AL272" s="535"/>
      <c r="AM272" s="535"/>
      <c r="AN272" s="535"/>
      <c r="AO272" s="535"/>
      <c r="AP272" s="535"/>
      <c r="AQ272" s="535"/>
      <c r="AR272" s="535"/>
      <c r="AS272" s="535"/>
      <c r="AT272" s="535"/>
      <c r="AU272" s="535"/>
      <c r="AV272" s="538"/>
      <c r="AW272" s="538"/>
      <c r="AX272" s="535"/>
      <c r="AY272" s="535"/>
      <c r="AZ272" s="535"/>
      <c r="BA272" s="535"/>
      <c r="BB272" s="535"/>
      <c r="BC272" s="535"/>
      <c r="BD272" s="535"/>
      <c r="BE272" s="535"/>
      <c r="BF272" s="290" t="str">
        <f>Q271</f>
        <v>Xfmr LS Current Rating</v>
      </c>
      <c r="BG272" s="290" t="str">
        <f>S271</f>
        <v>LS value of HS CTs</v>
      </c>
      <c r="BH272" s="290" t="str">
        <f>U271</f>
        <v>LS value of Jumper</v>
      </c>
      <c r="BI272" s="290" t="str">
        <f>W271</f>
        <v>LS value of Bus</v>
      </c>
      <c r="BJ272" s="290" t="str">
        <f>Y271</f>
        <v>LS Value of Jumper</v>
      </c>
      <c r="BK272" s="290" t="str">
        <f>AA271</f>
        <v>LS value of CTs</v>
      </c>
      <c r="BL272" s="290" t="str">
        <f>AC271</f>
        <v>LS value of Breaker</v>
      </c>
      <c r="BM272" s="290" t="str">
        <f>AE271</f>
        <v>LS value of CTs</v>
      </c>
      <c r="BN272" s="290" t="str">
        <f>AG271</f>
        <v>LS value of Jumper</v>
      </c>
      <c r="BO272" s="290" t="str">
        <f>AI271</f>
        <v>LS Value of DS</v>
      </c>
      <c r="BP272" s="290" t="str">
        <f>AK271</f>
        <v>LS value of Bus</v>
      </c>
      <c r="BQ272" s="290" t="str">
        <f>AM271</f>
        <v>LS value of Riser</v>
      </c>
      <c r="BR272" s="290" t="str">
        <f>AO271</f>
        <v>LS value of Bus</v>
      </c>
      <c r="BS272" s="290" t="str">
        <f>AQ271</f>
        <v>LS value of Riser</v>
      </c>
      <c r="BT272" s="290" t="str">
        <f>AS271</f>
        <v>LS Relay Trip Amps</v>
      </c>
      <c r="BU272" s="535"/>
      <c r="BV272" s="535"/>
      <c r="BW272" s="538"/>
      <c r="BX272" s="538"/>
      <c r="BY272" s="290"/>
      <c r="BZ272" s="290"/>
    </row>
    <row r="273" spans="1:78" x14ac:dyDescent="0.35">
      <c r="A273" s="544" t="s">
        <v>1605</v>
      </c>
      <c r="B273" s="290" t="s">
        <v>1673</v>
      </c>
      <c r="C273" s="290">
        <f>MAX((SQRT(SUM(E184:E191)^2+(SUM(F184:F191)+C258)^2)),(SQRT(SUM(E184:E191)^2+(SUM(G184:G191)+C256)^2)))</f>
        <v>238.03223043109097</v>
      </c>
      <c r="D273" s="290">
        <v>34.5</v>
      </c>
      <c r="E273" s="315">
        <f>(C273*1000)/(SQRT(3)*D273)</f>
        <v>3983.4194873970264</v>
      </c>
      <c r="F273" s="314">
        <v>5554</v>
      </c>
      <c r="G273" s="314">
        <v>6328</v>
      </c>
      <c r="H273" s="314">
        <v>5554</v>
      </c>
      <c r="I273" s="292">
        <v>5000</v>
      </c>
      <c r="J273" s="300">
        <v>4500</v>
      </c>
      <c r="K273" s="314">
        <v>6328</v>
      </c>
      <c r="L273" s="320">
        <v>6000</v>
      </c>
      <c r="M273" s="290">
        <v>248</v>
      </c>
      <c r="N273" s="290">
        <v>345</v>
      </c>
      <c r="O273" s="290">
        <v>34.5</v>
      </c>
      <c r="P273" s="290">
        <f>N273/O273</f>
        <v>10</v>
      </c>
      <c r="Q273" s="314">
        <f>(M273*1000)/(1.732*O273)</f>
        <v>4150.34976737959</v>
      </c>
      <c r="R273" s="291">
        <v>800</v>
      </c>
      <c r="S273" s="292">
        <f>R273*P273</f>
        <v>8000</v>
      </c>
      <c r="T273" s="290">
        <v>2034</v>
      </c>
      <c r="U273" s="314">
        <f>T273*P273</f>
        <v>20340</v>
      </c>
      <c r="V273" s="290">
        <v>3850</v>
      </c>
      <c r="W273" s="314">
        <f>V273*P273</f>
        <v>38500</v>
      </c>
      <c r="X273" s="290">
        <v>2034</v>
      </c>
      <c r="Y273" s="314">
        <f>X273*P273</f>
        <v>20340</v>
      </c>
      <c r="Z273" s="319">
        <v>2000</v>
      </c>
      <c r="AA273" s="318">
        <f>Z273*P273</f>
        <v>20000</v>
      </c>
      <c r="AB273" s="319">
        <v>2000</v>
      </c>
      <c r="AC273" s="318">
        <f>AB273*P273</f>
        <v>20000</v>
      </c>
      <c r="AD273" s="319">
        <v>2000</v>
      </c>
      <c r="AE273" s="318">
        <f>AD273*P273</f>
        <v>20000</v>
      </c>
      <c r="AF273" s="290">
        <v>2034</v>
      </c>
      <c r="AG273" s="314">
        <f>AF273*P273</f>
        <v>20340</v>
      </c>
      <c r="AH273" s="290">
        <v>1200</v>
      </c>
      <c r="AI273" s="314">
        <f>AH273*P273</f>
        <v>12000</v>
      </c>
      <c r="AJ273" s="290" t="s">
        <v>1507</v>
      </c>
      <c r="AK273" s="314" t="s">
        <v>1507</v>
      </c>
      <c r="AL273" s="290" t="s">
        <v>1507</v>
      </c>
      <c r="AM273" s="314" t="s">
        <v>1507</v>
      </c>
      <c r="AN273" s="290" t="s">
        <v>1507</v>
      </c>
      <c r="AO273" s="314" t="s">
        <v>1507</v>
      </c>
      <c r="AP273" s="290" t="s">
        <v>1507</v>
      </c>
      <c r="AQ273" s="314" t="s">
        <v>1507</v>
      </c>
      <c r="AR273" s="290">
        <v>706</v>
      </c>
      <c r="AS273" s="317">
        <f>AR273*P273</f>
        <v>7060</v>
      </c>
      <c r="AT273" s="315">
        <f>MIN(Q293:X293)</f>
        <v>12000</v>
      </c>
      <c r="AU273" s="317">
        <f>SMALL(Q293:X293,2)</f>
        <v>20340</v>
      </c>
      <c r="AV273" s="312">
        <f>MIN(E273:L273,Q273,S273,U273,W273,Y273,AA273,AC273,AE273,AG273,AI273,AS273,AT273,AU273)</f>
        <v>3983.4194873970264</v>
      </c>
      <c r="AW273" s="312" t="s">
        <v>1706</v>
      </c>
      <c r="AX273" s="290">
        <f t="shared" ref="AX273:BE275" si="35">E273</f>
        <v>3983.4194873970264</v>
      </c>
      <c r="AY273" s="290">
        <f t="shared" si="35"/>
        <v>5554</v>
      </c>
      <c r="AZ273" s="290">
        <f t="shared" si="35"/>
        <v>6328</v>
      </c>
      <c r="BA273" s="290">
        <f t="shared" si="35"/>
        <v>5554</v>
      </c>
      <c r="BB273" s="290">
        <f t="shared" si="35"/>
        <v>5000</v>
      </c>
      <c r="BC273" s="290">
        <f t="shared" si="35"/>
        <v>4500</v>
      </c>
      <c r="BD273" s="290">
        <f t="shared" si="35"/>
        <v>6328</v>
      </c>
      <c r="BE273" s="290">
        <f t="shared" si="35"/>
        <v>6000</v>
      </c>
      <c r="BF273" s="290">
        <f>Q273</f>
        <v>4150.34976737959</v>
      </c>
      <c r="BG273" s="290">
        <f>S273</f>
        <v>8000</v>
      </c>
      <c r="BH273" s="290">
        <f>U273</f>
        <v>20340</v>
      </c>
      <c r="BI273" s="290">
        <f>W273</f>
        <v>38500</v>
      </c>
      <c r="BJ273" s="290">
        <f>Y273</f>
        <v>20340</v>
      </c>
      <c r="BK273" s="290">
        <f>AA273</f>
        <v>20000</v>
      </c>
      <c r="BL273" s="290">
        <f>AC273</f>
        <v>20000</v>
      </c>
      <c r="BM273" s="290">
        <f>AE273</f>
        <v>20000</v>
      </c>
      <c r="BN273" s="290">
        <f>AG273</f>
        <v>20340</v>
      </c>
      <c r="BO273" s="290">
        <f>AI273</f>
        <v>12000</v>
      </c>
      <c r="BP273" s="290" t="str">
        <f>AK273</f>
        <v>NA</v>
      </c>
      <c r="BQ273" s="290" t="str">
        <f>AM273</f>
        <v>NA</v>
      </c>
      <c r="BR273" s="290" t="str">
        <f>AO273</f>
        <v>NA</v>
      </c>
      <c r="BS273" s="290" t="str">
        <f>AQ273</f>
        <v>NA</v>
      </c>
      <c r="BT273" s="290">
        <f t="shared" ref="BT273:BV275" si="36">AS273</f>
        <v>7060</v>
      </c>
      <c r="BU273" s="311">
        <f t="shared" si="36"/>
        <v>12000</v>
      </c>
      <c r="BV273" s="311">
        <f t="shared" si="36"/>
        <v>20340</v>
      </c>
      <c r="BW273" s="312">
        <f>SMALL(AX273:BV273,2)</f>
        <v>4150.34976737959</v>
      </c>
      <c r="BX273" s="312" t="s">
        <v>1674</v>
      </c>
      <c r="BY273" s="290"/>
      <c r="BZ273" s="290"/>
    </row>
    <row r="274" spans="1:78" x14ac:dyDescent="0.35">
      <c r="A274" s="544"/>
      <c r="B274" s="290" t="s">
        <v>1775</v>
      </c>
      <c r="C274" s="290">
        <f>MAX((SQRT(SUM(E192:E198)^2+(SUM(F192:F198)+C259)^2)),(SQRT(SUM(E192:E198)^2+(SUM(G192:G198)+C257)^2)))</f>
        <v>215.83125780108867</v>
      </c>
      <c r="D274" s="290">
        <v>34.5</v>
      </c>
      <c r="E274" s="315">
        <f>(C274*1000)/(SQRT(3)*D274)</f>
        <v>3611.8908635070748</v>
      </c>
      <c r="F274" s="314">
        <v>5554</v>
      </c>
      <c r="G274" s="314">
        <v>6328</v>
      </c>
      <c r="H274" s="314">
        <v>5554</v>
      </c>
      <c r="I274" s="292">
        <v>5000</v>
      </c>
      <c r="J274" s="300">
        <v>4500</v>
      </c>
      <c r="K274" s="314">
        <v>6328</v>
      </c>
      <c r="L274" s="320">
        <v>6000</v>
      </c>
      <c r="M274" s="290">
        <v>248</v>
      </c>
      <c r="N274" s="290">
        <v>345</v>
      </c>
      <c r="O274" s="290">
        <v>34.5</v>
      </c>
      <c r="P274" s="290">
        <f>N274/O274</f>
        <v>10</v>
      </c>
      <c r="Q274" s="314">
        <f>(M274*1000)/(1.732*O274)</f>
        <v>4150.34976737959</v>
      </c>
      <c r="R274" s="291">
        <v>800</v>
      </c>
      <c r="S274" s="292">
        <f>R274*P274</f>
        <v>8000</v>
      </c>
      <c r="T274" s="290">
        <v>2034</v>
      </c>
      <c r="U274" s="314">
        <f>T274*P274</f>
        <v>20340</v>
      </c>
      <c r="V274" s="290">
        <v>3850</v>
      </c>
      <c r="W274" s="314">
        <f>V274*P274</f>
        <v>38500</v>
      </c>
      <c r="X274" s="290">
        <v>2034</v>
      </c>
      <c r="Y274" s="314">
        <f>X274*P274</f>
        <v>20340</v>
      </c>
      <c r="Z274" s="319">
        <v>2000</v>
      </c>
      <c r="AA274" s="318">
        <f>Z274*P274</f>
        <v>20000</v>
      </c>
      <c r="AB274" s="319">
        <v>2000</v>
      </c>
      <c r="AC274" s="318">
        <f>AB274*P274</f>
        <v>20000</v>
      </c>
      <c r="AD274" s="319">
        <v>2000</v>
      </c>
      <c r="AE274" s="318">
        <f>AD274*P274</f>
        <v>20000</v>
      </c>
      <c r="AF274" s="290">
        <v>2034</v>
      </c>
      <c r="AG274" s="314">
        <f>AF274*P274</f>
        <v>20340</v>
      </c>
      <c r="AH274" s="290">
        <v>1200</v>
      </c>
      <c r="AI274" s="314">
        <f>AH274*P274</f>
        <v>12000</v>
      </c>
      <c r="AJ274" s="290">
        <v>3850</v>
      </c>
      <c r="AK274" s="314">
        <f>AJ274*P274</f>
        <v>38500</v>
      </c>
      <c r="AL274" s="290">
        <v>3962</v>
      </c>
      <c r="AM274" s="314">
        <f>AL274*P274</f>
        <v>39620</v>
      </c>
      <c r="AN274" s="290">
        <v>3850</v>
      </c>
      <c r="AO274" s="314">
        <f>AN274*P274</f>
        <v>38500</v>
      </c>
      <c r="AP274" s="290">
        <v>3962</v>
      </c>
      <c r="AQ274" s="314">
        <f>AP274*P274</f>
        <v>39620</v>
      </c>
      <c r="AR274" s="290">
        <v>706</v>
      </c>
      <c r="AS274" s="317">
        <f>AR274*P274</f>
        <v>7060</v>
      </c>
      <c r="AT274" s="315">
        <f>MIN(Q293:X293)</f>
        <v>12000</v>
      </c>
      <c r="AU274" s="317">
        <f>SMALL(Q293:X293,2)</f>
        <v>20340</v>
      </c>
      <c r="AV274" s="312">
        <f>MIN(E274:L274,Q274,S274,U274,W274,Y274,AA274,AC274,AE274,AG274,AI274,AK274,AM274,AO274,AQ274,AS274,AT274,AU274)</f>
        <v>3611.8908635070748</v>
      </c>
      <c r="AW274" s="312" t="s">
        <v>1706</v>
      </c>
      <c r="AX274" s="290">
        <f t="shared" si="35"/>
        <v>3611.8908635070748</v>
      </c>
      <c r="AY274" s="290">
        <f t="shared" si="35"/>
        <v>5554</v>
      </c>
      <c r="AZ274" s="290">
        <f t="shared" si="35"/>
        <v>6328</v>
      </c>
      <c r="BA274" s="290">
        <f t="shared" si="35"/>
        <v>5554</v>
      </c>
      <c r="BB274" s="290">
        <f t="shared" si="35"/>
        <v>5000</v>
      </c>
      <c r="BC274" s="290">
        <f t="shared" si="35"/>
        <v>4500</v>
      </c>
      <c r="BD274" s="290">
        <f t="shared" si="35"/>
        <v>6328</v>
      </c>
      <c r="BE274" s="290">
        <f t="shared" si="35"/>
        <v>6000</v>
      </c>
      <c r="BF274" s="290">
        <f>Q274</f>
        <v>4150.34976737959</v>
      </c>
      <c r="BG274" s="290">
        <f>S274</f>
        <v>8000</v>
      </c>
      <c r="BH274" s="290">
        <f>U274</f>
        <v>20340</v>
      </c>
      <c r="BI274" s="290">
        <f>W274</f>
        <v>38500</v>
      </c>
      <c r="BJ274" s="290">
        <f>Y274</f>
        <v>20340</v>
      </c>
      <c r="BK274" s="290">
        <f>AA274</f>
        <v>20000</v>
      </c>
      <c r="BL274" s="290">
        <f>AC274</f>
        <v>20000</v>
      </c>
      <c r="BM274" s="290">
        <f>AE274</f>
        <v>20000</v>
      </c>
      <c r="BN274" s="290">
        <f>AG274</f>
        <v>20340</v>
      </c>
      <c r="BO274" s="290">
        <f>AI274</f>
        <v>12000</v>
      </c>
      <c r="BP274" s="290">
        <f>AK274</f>
        <v>38500</v>
      </c>
      <c r="BQ274" s="290">
        <f>AM274</f>
        <v>39620</v>
      </c>
      <c r="BR274" s="290">
        <f>AO274</f>
        <v>38500</v>
      </c>
      <c r="BS274" s="290">
        <f>AQ274</f>
        <v>39620</v>
      </c>
      <c r="BT274" s="290">
        <f t="shared" si="36"/>
        <v>7060</v>
      </c>
      <c r="BU274" s="311">
        <f t="shared" si="36"/>
        <v>12000</v>
      </c>
      <c r="BV274" s="311">
        <f t="shared" si="36"/>
        <v>20340</v>
      </c>
      <c r="BW274" s="312">
        <f>SMALL(AX274:BV274,2)</f>
        <v>4150.34976737959</v>
      </c>
      <c r="BX274" s="312" t="s">
        <v>1674</v>
      </c>
      <c r="BY274" s="290"/>
      <c r="BZ274" s="290"/>
    </row>
    <row r="275" spans="1:78" x14ac:dyDescent="0.35">
      <c r="A275" s="290" t="s">
        <v>1651</v>
      </c>
      <c r="B275" s="290" t="s">
        <v>1673</v>
      </c>
      <c r="C275" s="290">
        <f>MAX((SQRT(SUM(E201:E211)^2+(SUM(F201:F211)+C261)^2)),(SQRT(SUM(E201:E211)^2+(SUM(G201:G211)+C260)^2)))</f>
        <v>252.34294125257398</v>
      </c>
      <c r="D275" s="290">
        <v>34.5</v>
      </c>
      <c r="E275" s="315">
        <f>(C275*1000)/(SQRT(3)*D275)</f>
        <v>4222.9062336311745</v>
      </c>
      <c r="F275" s="314">
        <v>5554</v>
      </c>
      <c r="G275" s="314">
        <v>6328</v>
      </c>
      <c r="H275" s="314">
        <v>5554</v>
      </c>
      <c r="I275" s="292">
        <v>5000</v>
      </c>
      <c r="J275" s="300">
        <v>4500</v>
      </c>
      <c r="K275" s="314">
        <v>6328</v>
      </c>
      <c r="L275" s="320">
        <v>6000</v>
      </c>
      <c r="M275" s="290">
        <v>248</v>
      </c>
      <c r="N275" s="290">
        <v>345</v>
      </c>
      <c r="O275" s="290">
        <v>34.5</v>
      </c>
      <c r="P275" s="290">
        <f>N275/O275</f>
        <v>10</v>
      </c>
      <c r="Q275" s="314">
        <f>(M275*1000)/(1.732*O275)</f>
        <v>4150.34976737959</v>
      </c>
      <c r="R275" s="291">
        <v>800</v>
      </c>
      <c r="S275" s="292">
        <f>R275*P275</f>
        <v>8000</v>
      </c>
      <c r="T275" s="290">
        <v>2034</v>
      </c>
      <c r="U275" s="314">
        <f>T275*P275</f>
        <v>20340</v>
      </c>
      <c r="V275" s="290">
        <v>3850</v>
      </c>
      <c r="W275" s="314">
        <f>V275*P275</f>
        <v>38500</v>
      </c>
      <c r="X275" s="290">
        <v>2034</v>
      </c>
      <c r="Y275" s="314">
        <f>X275*P275</f>
        <v>20340</v>
      </c>
      <c r="Z275" s="319">
        <v>2000</v>
      </c>
      <c r="AA275" s="318">
        <f>Z275*P275</f>
        <v>20000</v>
      </c>
      <c r="AB275" s="319">
        <v>2000</v>
      </c>
      <c r="AC275" s="318">
        <f>AB275*P275</f>
        <v>20000</v>
      </c>
      <c r="AD275" s="319">
        <v>2000</v>
      </c>
      <c r="AE275" s="318">
        <f>AD275*P275</f>
        <v>20000</v>
      </c>
      <c r="AF275" s="290">
        <v>2034</v>
      </c>
      <c r="AG275" s="314">
        <f>AF275*P275</f>
        <v>20340</v>
      </c>
      <c r="AH275" s="290">
        <v>1200</v>
      </c>
      <c r="AI275" s="314">
        <f>AH275*P275</f>
        <v>12000</v>
      </c>
      <c r="AJ275" s="290" t="s">
        <v>1507</v>
      </c>
      <c r="AK275" s="314" t="s">
        <v>1507</v>
      </c>
      <c r="AL275" s="290" t="s">
        <v>1507</v>
      </c>
      <c r="AM275" s="314" t="s">
        <v>1507</v>
      </c>
      <c r="AN275" s="290" t="s">
        <v>1507</v>
      </c>
      <c r="AO275" s="314" t="s">
        <v>1507</v>
      </c>
      <c r="AP275" s="290" t="s">
        <v>1507</v>
      </c>
      <c r="AQ275" s="314" t="s">
        <v>1507</v>
      </c>
      <c r="AR275" s="290">
        <v>508</v>
      </c>
      <c r="AS275" s="317">
        <f>AR275*P275</f>
        <v>5080</v>
      </c>
      <c r="AT275" s="315">
        <f>MIN(Q294:X294)</f>
        <v>12000</v>
      </c>
      <c r="AU275" s="317">
        <f>SMALL(Q294:X294,2)</f>
        <v>20340</v>
      </c>
      <c r="AV275" s="312">
        <f>MIN(E275:L275,Q275,S275,U275,W275,Y275,AA275,AC275,AE275,AG275,AI275,AS275,AT275,AU275)</f>
        <v>4150.34976737959</v>
      </c>
      <c r="AW275" s="312" t="s">
        <v>1674</v>
      </c>
      <c r="AX275" s="290">
        <f t="shared" si="35"/>
        <v>4222.9062336311745</v>
      </c>
      <c r="AY275" s="290">
        <f t="shared" si="35"/>
        <v>5554</v>
      </c>
      <c r="AZ275" s="290">
        <f t="shared" si="35"/>
        <v>6328</v>
      </c>
      <c r="BA275" s="290">
        <f t="shared" si="35"/>
        <v>5554</v>
      </c>
      <c r="BB275" s="290">
        <f t="shared" si="35"/>
        <v>5000</v>
      </c>
      <c r="BC275" s="290">
        <f t="shared" si="35"/>
        <v>4500</v>
      </c>
      <c r="BD275" s="290">
        <f t="shared" si="35"/>
        <v>6328</v>
      </c>
      <c r="BE275" s="290">
        <f t="shared" si="35"/>
        <v>6000</v>
      </c>
      <c r="BF275" s="290">
        <f>Q275</f>
        <v>4150.34976737959</v>
      </c>
      <c r="BG275" s="290">
        <f>S275</f>
        <v>8000</v>
      </c>
      <c r="BH275" s="290">
        <f>U275</f>
        <v>20340</v>
      </c>
      <c r="BI275" s="290">
        <f>W275</f>
        <v>38500</v>
      </c>
      <c r="BJ275" s="290">
        <f>Y275</f>
        <v>20340</v>
      </c>
      <c r="BK275" s="290">
        <f>AA275</f>
        <v>20000</v>
      </c>
      <c r="BL275" s="290">
        <f>AC275</f>
        <v>20000</v>
      </c>
      <c r="BM275" s="290">
        <f>AE275</f>
        <v>20000</v>
      </c>
      <c r="BN275" s="290">
        <f>AG275</f>
        <v>20340</v>
      </c>
      <c r="BO275" s="290">
        <f>AI275</f>
        <v>12000</v>
      </c>
      <c r="BP275" s="290" t="str">
        <f>AK275</f>
        <v>NA</v>
      </c>
      <c r="BQ275" s="290" t="str">
        <f>AM275</f>
        <v>NA</v>
      </c>
      <c r="BR275" s="290" t="str">
        <f>AO275</f>
        <v>NA</v>
      </c>
      <c r="BS275" s="290" t="str">
        <f>AQ275</f>
        <v>NA</v>
      </c>
      <c r="BT275" s="290">
        <f t="shared" si="36"/>
        <v>5080</v>
      </c>
      <c r="BU275" s="311">
        <f t="shared" si="36"/>
        <v>12000</v>
      </c>
      <c r="BV275" s="311">
        <f t="shared" si="36"/>
        <v>20340</v>
      </c>
      <c r="BW275" s="312">
        <f>SMALL(AX275:BV275,2)</f>
        <v>4222.9062336311745</v>
      </c>
      <c r="BX275" s="312" t="s">
        <v>1706</v>
      </c>
      <c r="BY275" s="290"/>
      <c r="BZ275" s="290"/>
    </row>
    <row r="276" spans="1:78" x14ac:dyDescent="0.35">
      <c r="A276" s="290"/>
      <c r="B276" s="290"/>
      <c r="C276" s="290"/>
      <c r="D276" s="290"/>
      <c r="E276" s="290"/>
      <c r="F276" s="290"/>
      <c r="G276" s="290"/>
      <c r="H276" s="290"/>
      <c r="I276" s="290"/>
      <c r="J276" s="290"/>
      <c r="K276" s="290"/>
      <c r="L276" s="290"/>
      <c r="M276" s="290"/>
      <c r="N276" s="290"/>
      <c r="O276" s="290"/>
      <c r="P276" s="290"/>
      <c r="Q276" s="290"/>
      <c r="R276" s="290"/>
      <c r="S276" s="290"/>
      <c r="T276" s="290"/>
      <c r="U276" s="290"/>
      <c r="V276" s="290"/>
      <c r="W276" s="290"/>
      <c r="X276" s="290"/>
      <c r="Y276" s="290"/>
      <c r="Z276" s="290"/>
      <c r="AA276" s="290"/>
      <c r="AB276" s="290"/>
      <c r="AC276" s="290"/>
      <c r="AD276" s="290"/>
      <c r="AE276" s="290"/>
      <c r="AF276" s="290"/>
      <c r="AG276" s="290"/>
      <c r="AH276" s="290"/>
      <c r="AI276" s="290"/>
      <c r="AJ276" s="290"/>
      <c r="AK276" s="290"/>
      <c r="AL276" s="290"/>
      <c r="AM276" s="290"/>
      <c r="AN276" s="290"/>
      <c r="AO276" s="290"/>
      <c r="AP276" s="290"/>
      <c r="AQ276" s="290"/>
      <c r="AR276" s="290"/>
      <c r="AS276" s="290"/>
      <c r="AT276" s="290"/>
      <c r="AU276" s="290"/>
      <c r="AV276" s="290"/>
      <c r="AW276" s="290"/>
      <c r="AX276" s="290"/>
      <c r="AY276" s="290"/>
      <c r="AZ276" s="290"/>
      <c r="BA276" s="290"/>
      <c r="BB276" s="290"/>
      <c r="BC276" s="290"/>
      <c r="BD276" s="290"/>
      <c r="BE276" s="290"/>
      <c r="BF276" s="290"/>
      <c r="BG276" s="290"/>
      <c r="BH276" s="290"/>
      <c r="BI276" s="290"/>
      <c r="BJ276" s="290"/>
      <c r="BK276" s="290"/>
      <c r="BL276" s="290"/>
      <c r="BM276" s="290"/>
      <c r="BN276" s="290"/>
      <c r="BO276" s="290"/>
      <c r="BP276" s="290"/>
      <c r="BQ276" s="290"/>
      <c r="BR276" s="290"/>
      <c r="BS276" s="290"/>
      <c r="BT276" s="290"/>
      <c r="BU276" s="290"/>
      <c r="BV276" s="290"/>
      <c r="BW276" s="290"/>
      <c r="BX276" s="290"/>
      <c r="BY276" s="290"/>
      <c r="BZ276" s="290"/>
    </row>
    <row r="277" spans="1:78" x14ac:dyDescent="0.35">
      <c r="A277" s="310" t="s">
        <v>1776</v>
      </c>
      <c r="B277" s="290"/>
      <c r="C277" s="290"/>
      <c r="D277" s="290"/>
      <c r="E277" s="290"/>
      <c r="F277" s="290"/>
      <c r="G277" s="290"/>
      <c r="H277" s="290"/>
      <c r="I277" s="290"/>
      <c r="J277" s="290"/>
      <c r="K277" s="290"/>
      <c r="L277" s="290"/>
      <c r="M277" s="290"/>
      <c r="N277" s="290"/>
      <c r="O277" s="290"/>
      <c r="P277" s="290"/>
      <c r="Q277" s="290"/>
      <c r="R277" s="290"/>
      <c r="S277" s="290"/>
      <c r="T277" s="290"/>
      <c r="U277" s="290"/>
      <c r="V277" s="290"/>
      <c r="W277" s="290"/>
      <c r="X277" s="290"/>
      <c r="Y277" s="290"/>
      <c r="Z277" s="290"/>
      <c r="AA277" s="290"/>
      <c r="AB277" s="290"/>
      <c r="AC277" s="290"/>
      <c r="AD277" s="290"/>
      <c r="AE277" s="290"/>
      <c r="AF277" s="290"/>
      <c r="AG277" s="290"/>
      <c r="AH277" s="290"/>
      <c r="AI277" s="290"/>
      <c r="AJ277" s="290"/>
      <c r="AK277" s="290"/>
      <c r="AL277" s="290"/>
      <c r="AM277" s="290"/>
      <c r="AN277" s="290"/>
      <c r="AO277" s="290"/>
      <c r="AP277" s="290"/>
      <c r="AQ277" s="290"/>
      <c r="AR277" s="290"/>
      <c r="AS277" s="290"/>
      <c r="AT277" s="290"/>
      <c r="AU277" s="290"/>
      <c r="AV277" s="290"/>
      <c r="AW277" s="290"/>
      <c r="AX277" s="290"/>
      <c r="AY277" s="290"/>
      <c r="AZ277" s="290"/>
      <c r="BA277" s="290"/>
      <c r="BB277" s="290"/>
      <c r="BC277" s="290"/>
      <c r="BD277" s="290"/>
      <c r="BE277" s="290"/>
      <c r="BF277" s="290"/>
      <c r="BG277" s="290"/>
      <c r="BH277" s="290"/>
      <c r="BI277" s="290"/>
      <c r="BJ277" s="290"/>
      <c r="BK277" s="290"/>
      <c r="BL277" s="290"/>
      <c r="BM277" s="290"/>
      <c r="BN277" s="290"/>
      <c r="BO277" s="290"/>
      <c r="BP277" s="290"/>
      <c r="BQ277" s="290"/>
      <c r="BR277" s="290"/>
      <c r="BS277" s="290"/>
      <c r="BT277" s="290"/>
      <c r="BU277" s="290"/>
      <c r="BV277" s="290"/>
      <c r="BW277" s="290"/>
      <c r="BX277" s="290"/>
      <c r="BY277" s="290"/>
      <c r="BZ277" s="290"/>
    </row>
    <row r="278" spans="1:78" x14ac:dyDescent="0.35">
      <c r="A278" s="536" t="s">
        <v>1493</v>
      </c>
      <c r="B278" s="536" t="s">
        <v>1777</v>
      </c>
      <c r="C278" s="535" t="s">
        <v>1599</v>
      </c>
      <c r="D278" s="536" t="s">
        <v>1424</v>
      </c>
      <c r="E278" s="536" t="s">
        <v>1497</v>
      </c>
      <c r="F278" s="536" t="s">
        <v>1778</v>
      </c>
      <c r="G278" s="536" t="s">
        <v>1759</v>
      </c>
      <c r="H278" s="536" t="s">
        <v>1478</v>
      </c>
      <c r="I278" s="535" t="s">
        <v>1700</v>
      </c>
      <c r="J278" s="535" t="s">
        <v>1701</v>
      </c>
      <c r="K278" s="538" t="s">
        <v>1702</v>
      </c>
      <c r="L278" s="538" t="s">
        <v>1462</v>
      </c>
      <c r="M278" s="538" t="s">
        <v>1704</v>
      </c>
      <c r="N278" s="538" t="s">
        <v>1705</v>
      </c>
      <c r="O278" s="290"/>
      <c r="P278" s="290"/>
      <c r="Q278" s="290"/>
      <c r="R278" s="290"/>
      <c r="S278" s="290"/>
      <c r="T278" s="290"/>
      <c r="U278" s="290"/>
      <c r="V278" s="290"/>
      <c r="W278" s="290"/>
      <c r="X278" s="290"/>
      <c r="Y278" s="290"/>
      <c r="Z278" s="290"/>
      <c r="AA278" s="290"/>
      <c r="AB278" s="290"/>
      <c r="AC278" s="290"/>
      <c r="AD278" s="290"/>
      <c r="AE278" s="290"/>
      <c r="AF278" s="290"/>
      <c r="AG278" s="290"/>
      <c r="AH278" s="290"/>
      <c r="AI278" s="290"/>
      <c r="AJ278" s="290"/>
      <c r="AK278" s="290"/>
      <c r="AL278" s="290"/>
      <c r="AM278" s="290"/>
      <c r="AN278" s="290"/>
      <c r="AO278" s="290"/>
      <c r="AP278" s="290"/>
      <c r="AQ278" s="290"/>
      <c r="AR278" s="290"/>
      <c r="AS278" s="290"/>
      <c r="AT278" s="290"/>
      <c r="AU278" s="290"/>
      <c r="AV278" s="290"/>
      <c r="AW278" s="290"/>
      <c r="AX278" s="290"/>
      <c r="AY278" s="290"/>
      <c r="AZ278" s="290"/>
      <c r="BA278" s="290"/>
      <c r="BB278" s="290"/>
      <c r="BC278" s="290"/>
      <c r="BD278" s="290"/>
      <c r="BE278" s="290"/>
      <c r="BF278" s="290"/>
      <c r="BG278" s="290"/>
      <c r="BH278" s="290"/>
      <c r="BI278" s="290"/>
      <c r="BJ278" s="290"/>
      <c r="BK278" s="290"/>
      <c r="BL278" s="290"/>
      <c r="BM278" s="290"/>
      <c r="BN278" s="290"/>
      <c r="BO278" s="290"/>
      <c r="BP278" s="290"/>
      <c r="BQ278" s="290"/>
      <c r="BR278" s="290"/>
      <c r="BS278" s="290"/>
      <c r="BT278" s="290"/>
      <c r="BU278" s="290"/>
      <c r="BV278" s="290"/>
      <c r="BW278" s="290"/>
      <c r="BX278" s="290"/>
      <c r="BY278" s="290"/>
      <c r="BZ278" s="290"/>
    </row>
    <row r="279" spans="1:78" x14ac:dyDescent="0.35">
      <c r="A279" s="536"/>
      <c r="B279" s="536"/>
      <c r="C279" s="535"/>
      <c r="D279" s="536"/>
      <c r="E279" s="536"/>
      <c r="F279" s="536"/>
      <c r="G279" s="536"/>
      <c r="H279" s="536"/>
      <c r="I279" s="535"/>
      <c r="J279" s="535"/>
      <c r="K279" s="538"/>
      <c r="L279" s="538"/>
      <c r="M279" s="538"/>
      <c r="N279" s="538"/>
      <c r="O279" s="290"/>
      <c r="P279" s="290"/>
      <c r="Q279" s="290"/>
      <c r="R279" s="290"/>
      <c r="S279" s="290"/>
      <c r="T279" s="290"/>
      <c r="U279" s="290"/>
      <c r="V279" s="290"/>
      <c r="W279" s="290"/>
      <c r="X279" s="290"/>
      <c r="Y279" s="290"/>
      <c r="Z279" s="290"/>
      <c r="AA279" s="290"/>
      <c r="AB279" s="290"/>
      <c r="AC279" s="290"/>
      <c r="AD279" s="290"/>
      <c r="AE279" s="290"/>
      <c r="AF279" s="290"/>
      <c r="AG279" s="290"/>
      <c r="AH279" s="290"/>
      <c r="AI279" s="290"/>
      <c r="AJ279" s="290"/>
      <c r="AK279" s="290"/>
      <c r="AL279" s="290"/>
      <c r="AM279" s="290"/>
      <c r="AN279" s="290"/>
      <c r="AO279" s="290"/>
      <c r="AP279" s="290"/>
      <c r="AQ279" s="290"/>
      <c r="AR279" s="290"/>
      <c r="AS279" s="290"/>
      <c r="AT279" s="290"/>
      <c r="AU279" s="290"/>
      <c r="AV279" s="290"/>
      <c r="AW279" s="290"/>
      <c r="AX279" s="290"/>
      <c r="AY279" s="290"/>
      <c r="AZ279" s="290"/>
      <c r="BA279" s="290"/>
      <c r="BB279" s="290"/>
      <c r="BC279" s="290"/>
      <c r="BD279" s="290"/>
      <c r="BE279" s="290"/>
      <c r="BF279" s="290"/>
      <c r="BG279" s="290"/>
      <c r="BH279" s="290"/>
      <c r="BI279" s="290"/>
      <c r="BJ279" s="290"/>
      <c r="BK279" s="290"/>
      <c r="BL279" s="290"/>
      <c r="BM279" s="290"/>
      <c r="BN279" s="290"/>
      <c r="BO279" s="290"/>
      <c r="BP279" s="290"/>
      <c r="BQ279" s="290"/>
      <c r="BR279" s="290"/>
      <c r="BS279" s="290"/>
      <c r="BT279" s="290"/>
      <c r="BU279" s="290"/>
      <c r="BV279" s="290"/>
      <c r="BW279" s="290"/>
      <c r="BX279" s="290"/>
      <c r="BY279" s="290"/>
      <c r="BZ279" s="290"/>
    </row>
    <row r="280" spans="1:78" x14ac:dyDescent="0.35">
      <c r="A280" s="290" t="s">
        <v>1605</v>
      </c>
      <c r="B280" s="290" t="s">
        <v>1642</v>
      </c>
      <c r="C280" s="290">
        <f>C273</f>
        <v>238.03223043109097</v>
      </c>
      <c r="D280" s="290">
        <v>34.5</v>
      </c>
      <c r="E280" s="315">
        <f>(C280*1000)/(SQRT(3)*D280)</f>
        <v>3983.4194873970264</v>
      </c>
      <c r="F280" s="304">
        <v>6000</v>
      </c>
      <c r="G280" s="317">
        <v>5554</v>
      </c>
      <c r="H280" s="316">
        <v>5000</v>
      </c>
      <c r="I280" s="316">
        <f>MIN(AY273:BV273)</f>
        <v>4150.34976737959</v>
      </c>
      <c r="J280" s="316">
        <f>SMALL(AY273:BV273,2)</f>
        <v>4500</v>
      </c>
      <c r="K280" s="312">
        <f>MIN(E280:J280)</f>
        <v>3983.4194873970264</v>
      </c>
      <c r="L280" s="312" t="s">
        <v>1706</v>
      </c>
      <c r="M280" s="312">
        <f>SMALL(E280:J280,2)</f>
        <v>4150.34976737959</v>
      </c>
      <c r="N280" s="312" t="s">
        <v>1674</v>
      </c>
      <c r="O280" s="290"/>
      <c r="P280" s="290"/>
      <c r="Q280" s="290"/>
      <c r="R280" s="290"/>
      <c r="S280" s="290"/>
      <c r="T280" s="290"/>
      <c r="U280" s="290"/>
      <c r="V280" s="290"/>
      <c r="W280" s="290"/>
      <c r="X280" s="290"/>
      <c r="Y280" s="290"/>
      <c r="Z280" s="290"/>
      <c r="AA280" s="290"/>
      <c r="AB280" s="290"/>
      <c r="AC280" s="290"/>
      <c r="AD280" s="290"/>
      <c r="AE280" s="290"/>
      <c r="AF280" s="290"/>
      <c r="AG280" s="290"/>
      <c r="AH280" s="290"/>
      <c r="AI280" s="290"/>
      <c r="AJ280" s="290"/>
      <c r="AK280" s="290"/>
      <c r="AL280" s="290"/>
      <c r="AM280" s="290"/>
      <c r="AN280" s="290"/>
      <c r="AO280" s="290"/>
      <c r="AP280" s="290"/>
      <c r="AQ280" s="290"/>
      <c r="AR280" s="290"/>
      <c r="AS280" s="290"/>
      <c r="AT280" s="290"/>
      <c r="AU280" s="290"/>
      <c r="AV280" s="290"/>
      <c r="AW280" s="290"/>
      <c r="AX280" s="290"/>
      <c r="AY280" s="290"/>
      <c r="AZ280" s="290"/>
      <c r="BA280" s="290"/>
      <c r="BB280" s="290"/>
      <c r="BC280" s="290"/>
      <c r="BD280" s="290"/>
      <c r="BE280" s="290"/>
      <c r="BF280" s="290"/>
      <c r="BG280" s="290"/>
      <c r="BH280" s="290"/>
      <c r="BI280" s="290"/>
      <c r="BJ280" s="290"/>
      <c r="BK280" s="290"/>
      <c r="BL280" s="290"/>
      <c r="BM280" s="290"/>
      <c r="BN280" s="290"/>
      <c r="BO280" s="290"/>
      <c r="BP280" s="290"/>
      <c r="BQ280" s="290"/>
      <c r="BR280" s="290"/>
      <c r="BS280" s="290"/>
      <c r="BT280" s="290"/>
      <c r="BU280" s="290"/>
      <c r="BV280" s="290"/>
      <c r="BW280" s="290"/>
      <c r="BX280" s="290"/>
      <c r="BY280" s="290"/>
      <c r="BZ280" s="290"/>
    </row>
    <row r="281" spans="1:78" x14ac:dyDescent="0.35">
      <c r="A281" s="290" t="s">
        <v>1651</v>
      </c>
      <c r="B281" s="290" t="s">
        <v>1507</v>
      </c>
      <c r="C281" s="290" t="s">
        <v>1507</v>
      </c>
      <c r="D281" s="290" t="s">
        <v>1507</v>
      </c>
      <c r="E281" s="290" t="s">
        <v>1507</v>
      </c>
      <c r="F281" s="290" t="s">
        <v>1507</v>
      </c>
      <c r="G281" s="290" t="s">
        <v>1507</v>
      </c>
      <c r="H281" s="290" t="s">
        <v>1507</v>
      </c>
      <c r="I281" s="290" t="s">
        <v>1507</v>
      </c>
      <c r="J281" s="290" t="s">
        <v>1507</v>
      </c>
      <c r="K281" s="290" t="s">
        <v>1507</v>
      </c>
      <c r="L281" s="290" t="s">
        <v>1507</v>
      </c>
      <c r="M281" s="290" t="s">
        <v>1507</v>
      </c>
      <c r="N281" s="290" t="s">
        <v>1507</v>
      </c>
      <c r="O281" s="290"/>
      <c r="P281" s="290"/>
      <c r="Q281" s="290"/>
      <c r="R281" s="290"/>
      <c r="S281" s="290"/>
      <c r="T281" s="290"/>
      <c r="U281" s="290"/>
      <c r="V281" s="290"/>
      <c r="W281" s="290"/>
      <c r="X281" s="290"/>
      <c r="Y281" s="290"/>
      <c r="Z281" s="290"/>
      <c r="AA281" s="290"/>
      <c r="AB281" s="290"/>
      <c r="AC281" s="290"/>
      <c r="AD281" s="290"/>
      <c r="AE281" s="290"/>
      <c r="AF281" s="290"/>
      <c r="AG281" s="290"/>
      <c r="AH281" s="290"/>
      <c r="AI281" s="290"/>
      <c r="AJ281" s="290"/>
      <c r="AK281" s="290"/>
      <c r="AL281" s="290"/>
      <c r="AM281" s="290"/>
      <c r="AN281" s="290"/>
      <c r="AO281" s="290"/>
      <c r="AP281" s="290"/>
      <c r="AQ281" s="290"/>
      <c r="AR281" s="290"/>
      <c r="AS281" s="290"/>
      <c r="AT281" s="290"/>
      <c r="AU281" s="290"/>
      <c r="AV281" s="290"/>
      <c r="AW281" s="290"/>
      <c r="AX281" s="290"/>
      <c r="AY281" s="290"/>
      <c r="AZ281" s="290"/>
      <c r="BA281" s="290"/>
      <c r="BB281" s="290"/>
      <c r="BC281" s="290"/>
      <c r="BD281" s="290"/>
      <c r="BE281" s="290"/>
      <c r="BF281" s="290"/>
      <c r="BG281" s="290"/>
      <c r="BH281" s="290"/>
      <c r="BI281" s="290"/>
      <c r="BJ281" s="290"/>
      <c r="BK281" s="290"/>
      <c r="BL281" s="290"/>
      <c r="BM281" s="290"/>
      <c r="BN281" s="290"/>
      <c r="BO281" s="290"/>
      <c r="BP281" s="290"/>
      <c r="BQ281" s="290"/>
      <c r="BR281" s="290"/>
      <c r="BS281" s="290"/>
      <c r="BT281" s="290"/>
      <c r="BU281" s="290"/>
      <c r="BV281" s="290"/>
      <c r="BW281" s="290"/>
      <c r="BX281" s="290"/>
      <c r="BY281" s="290"/>
      <c r="BZ281" s="290"/>
    </row>
    <row r="282" spans="1:78" x14ac:dyDescent="0.35">
      <c r="A282" s="290"/>
      <c r="B282" s="290"/>
      <c r="C282" s="290"/>
      <c r="D282" s="290"/>
      <c r="E282" s="290"/>
      <c r="F282" s="290"/>
      <c r="G282" s="290"/>
      <c r="H282" s="290"/>
      <c r="I282" s="290"/>
      <c r="J282" s="290"/>
      <c r="K282" s="290"/>
      <c r="L282" s="290"/>
      <c r="M282" s="290"/>
      <c r="N282" s="290"/>
      <c r="O282" s="290"/>
      <c r="P282" s="290"/>
      <c r="Q282" s="290"/>
      <c r="R282" s="290"/>
      <c r="S282" s="290"/>
      <c r="T282" s="290"/>
      <c r="U282" s="290"/>
      <c r="V282" s="290"/>
      <c r="W282" s="290"/>
      <c r="X282" s="290"/>
      <c r="Y282" s="290"/>
      <c r="Z282" s="290"/>
      <c r="AA282" s="290"/>
      <c r="AB282" s="290"/>
      <c r="AC282" s="290"/>
      <c r="AD282" s="290"/>
      <c r="AE282" s="290"/>
      <c r="AF282" s="290"/>
      <c r="AG282" s="290"/>
      <c r="AH282" s="290"/>
      <c r="AI282" s="290"/>
      <c r="AJ282" s="290"/>
      <c r="AK282" s="290"/>
      <c r="AL282" s="290"/>
      <c r="AM282" s="290"/>
      <c r="AN282" s="290"/>
      <c r="AO282" s="290"/>
      <c r="AP282" s="290"/>
      <c r="AQ282" s="290"/>
      <c r="AR282" s="290"/>
      <c r="AS282" s="290"/>
      <c r="AT282" s="290"/>
      <c r="AU282" s="290"/>
      <c r="AV282" s="290"/>
      <c r="AW282" s="290"/>
      <c r="AX282" s="290"/>
      <c r="AY282" s="290"/>
      <c r="AZ282" s="290"/>
      <c r="BA282" s="290"/>
      <c r="BB282" s="290"/>
      <c r="BC282" s="290"/>
      <c r="BD282" s="290"/>
      <c r="BE282" s="290"/>
      <c r="BF282" s="290"/>
      <c r="BG282" s="290"/>
      <c r="BH282" s="290"/>
      <c r="BI282" s="290"/>
      <c r="BJ282" s="290"/>
      <c r="BK282" s="290"/>
      <c r="BL282" s="290"/>
      <c r="BM282" s="290"/>
      <c r="BN282" s="290"/>
      <c r="BO282" s="290"/>
      <c r="BP282" s="290"/>
      <c r="BQ282" s="290"/>
      <c r="BR282" s="290"/>
      <c r="BS282" s="290"/>
      <c r="BT282" s="290"/>
      <c r="BU282" s="290"/>
      <c r="BV282" s="290"/>
      <c r="BW282" s="290"/>
      <c r="BX282" s="290"/>
      <c r="BY282" s="290"/>
      <c r="BZ282" s="290"/>
    </row>
    <row r="283" spans="1:78" x14ac:dyDescent="0.35">
      <c r="A283" s="310" t="s">
        <v>1779</v>
      </c>
      <c r="B283" s="290"/>
      <c r="C283" s="290"/>
      <c r="D283" s="290"/>
      <c r="E283" s="290"/>
      <c r="F283" s="290"/>
      <c r="G283" s="290"/>
      <c r="H283" s="290"/>
      <c r="I283" s="290"/>
      <c r="J283" s="290"/>
      <c r="K283" s="290"/>
      <c r="L283" s="290"/>
      <c r="M283" s="290"/>
      <c r="N283" s="290"/>
      <c r="O283" s="290"/>
      <c r="P283" s="290"/>
      <c r="Q283" s="290"/>
      <c r="R283" s="290"/>
      <c r="S283" s="290"/>
      <c r="T283" s="290"/>
      <c r="U283" s="290"/>
      <c r="V283" s="290"/>
      <c r="W283" s="290"/>
      <c r="X283" s="290"/>
      <c r="Y283" s="290"/>
      <c r="Z283" s="290"/>
      <c r="AA283" s="290"/>
      <c r="AB283" s="290"/>
      <c r="AC283" s="290"/>
      <c r="AD283" s="290"/>
      <c r="AE283" s="290"/>
      <c r="AF283" s="290"/>
      <c r="AG283" s="290"/>
      <c r="AH283" s="290"/>
      <c r="AI283" s="290"/>
      <c r="AJ283" s="290"/>
      <c r="AK283" s="290"/>
      <c r="AL283" s="290"/>
      <c r="AM283" s="290"/>
      <c r="AN283" s="290"/>
      <c r="AO283" s="290"/>
      <c r="AP283" s="290"/>
      <c r="AQ283" s="290"/>
      <c r="AR283" s="290"/>
      <c r="AS283" s="290"/>
      <c r="AT283" s="290"/>
      <c r="AU283" s="290"/>
      <c r="AV283" s="290"/>
      <c r="AW283" s="290"/>
      <c r="AX283" s="290"/>
      <c r="AY283" s="290"/>
      <c r="AZ283" s="290"/>
      <c r="BA283" s="290"/>
      <c r="BB283" s="290"/>
      <c r="BC283" s="290"/>
      <c r="BD283" s="290"/>
      <c r="BE283" s="290"/>
      <c r="BF283" s="290"/>
      <c r="BG283" s="290"/>
      <c r="BH283" s="290"/>
      <c r="BI283" s="290"/>
      <c r="BJ283" s="290"/>
      <c r="BK283" s="290"/>
      <c r="BL283" s="290"/>
      <c r="BM283" s="290"/>
      <c r="BN283" s="290"/>
      <c r="BO283" s="290"/>
      <c r="BP283" s="290"/>
      <c r="BQ283" s="290"/>
      <c r="BR283" s="290"/>
      <c r="BS283" s="290"/>
      <c r="BT283" s="290"/>
      <c r="BU283" s="290"/>
      <c r="BV283" s="290"/>
      <c r="BW283" s="290"/>
      <c r="BX283" s="290"/>
      <c r="BY283" s="290"/>
      <c r="BZ283" s="290"/>
    </row>
    <row r="284" spans="1:78" x14ac:dyDescent="0.35">
      <c r="A284" s="536" t="s">
        <v>1493</v>
      </c>
      <c r="B284" s="536" t="s">
        <v>1563</v>
      </c>
      <c r="C284" s="535" t="s">
        <v>1599</v>
      </c>
      <c r="D284" s="536" t="s">
        <v>1424</v>
      </c>
      <c r="E284" s="536" t="s">
        <v>1497</v>
      </c>
      <c r="F284" s="535" t="s">
        <v>1780</v>
      </c>
      <c r="G284" s="535" t="s">
        <v>1781</v>
      </c>
      <c r="H284" s="535" t="s">
        <v>1700</v>
      </c>
      <c r="I284" s="535" t="s">
        <v>1701</v>
      </c>
      <c r="J284" s="538" t="s">
        <v>1702</v>
      </c>
      <c r="K284" s="538" t="s">
        <v>1703</v>
      </c>
      <c r="L284" s="538" t="s">
        <v>1704</v>
      </c>
      <c r="M284" s="538" t="s">
        <v>1705</v>
      </c>
      <c r="N284" s="290"/>
      <c r="O284" s="290"/>
      <c r="P284" s="290"/>
      <c r="Q284" s="290"/>
      <c r="R284" s="290"/>
      <c r="S284" s="290"/>
      <c r="T284" s="290"/>
      <c r="U284" s="290"/>
      <c r="V284" s="290"/>
      <c r="W284" s="290"/>
      <c r="X284" s="290"/>
      <c r="Y284" s="290"/>
      <c r="Z284" s="290"/>
      <c r="AA284" s="290"/>
      <c r="AB284" s="290"/>
      <c r="AC284" s="290"/>
      <c r="AD284" s="290"/>
      <c r="AE284" s="290"/>
      <c r="AF284" s="290"/>
      <c r="AG284" s="290"/>
      <c r="AH284" s="290"/>
      <c r="AI284" s="290"/>
      <c r="AJ284" s="290"/>
      <c r="AK284" s="290"/>
      <c r="AL284" s="290"/>
      <c r="AM284" s="290"/>
      <c r="AN284" s="290"/>
      <c r="AO284" s="290"/>
      <c r="AP284" s="290"/>
      <c r="AQ284" s="290"/>
      <c r="AR284" s="290"/>
      <c r="AS284" s="290"/>
      <c r="AT284" s="290"/>
      <c r="AU284" s="290"/>
      <c r="AV284" s="290"/>
      <c r="AW284" s="290"/>
      <c r="AX284" s="290"/>
      <c r="AY284" s="290"/>
      <c r="AZ284" s="290"/>
      <c r="BA284" s="290"/>
      <c r="BB284" s="290"/>
      <c r="BC284" s="290"/>
      <c r="BD284" s="290"/>
      <c r="BE284" s="290"/>
      <c r="BF284" s="290"/>
      <c r="BG284" s="290"/>
      <c r="BH284" s="290"/>
      <c r="BI284" s="290"/>
      <c r="BJ284" s="290"/>
      <c r="BK284" s="290"/>
      <c r="BL284" s="290"/>
      <c r="BM284" s="290"/>
      <c r="BN284" s="290"/>
      <c r="BO284" s="290"/>
      <c r="BP284" s="290"/>
      <c r="BQ284" s="290"/>
      <c r="BR284" s="290"/>
      <c r="BS284" s="290"/>
      <c r="BT284" s="290"/>
      <c r="BU284" s="290"/>
      <c r="BV284" s="290"/>
      <c r="BW284" s="290"/>
      <c r="BX284" s="290"/>
      <c r="BY284" s="290"/>
      <c r="BZ284" s="290"/>
    </row>
    <row r="285" spans="1:78" x14ac:dyDescent="0.35">
      <c r="A285" s="536"/>
      <c r="B285" s="536"/>
      <c r="C285" s="535"/>
      <c r="D285" s="536"/>
      <c r="E285" s="536"/>
      <c r="F285" s="535"/>
      <c r="G285" s="535"/>
      <c r="H285" s="535"/>
      <c r="I285" s="535"/>
      <c r="J285" s="538"/>
      <c r="K285" s="538"/>
      <c r="L285" s="538"/>
      <c r="M285" s="538"/>
      <c r="N285" s="290"/>
      <c r="O285" s="290"/>
      <c r="P285" s="290"/>
      <c r="Q285" s="290"/>
      <c r="R285" s="290"/>
      <c r="S285" s="290"/>
      <c r="T285" s="290"/>
      <c r="U285" s="290"/>
      <c r="V285" s="290"/>
      <c r="W285" s="290"/>
      <c r="X285" s="290"/>
      <c r="Y285" s="290"/>
      <c r="Z285" s="290"/>
      <c r="AA285" s="290"/>
      <c r="AB285" s="290"/>
      <c r="AC285" s="290"/>
      <c r="AD285" s="290"/>
      <c r="AE285" s="290"/>
      <c r="AF285" s="290"/>
      <c r="AG285" s="290"/>
      <c r="AH285" s="290"/>
      <c r="AI285" s="290"/>
      <c r="AJ285" s="290"/>
      <c r="AK285" s="290"/>
      <c r="AL285" s="290"/>
      <c r="AM285" s="290"/>
      <c r="AN285" s="290"/>
      <c r="AO285" s="290"/>
      <c r="AP285" s="290"/>
      <c r="AQ285" s="290"/>
      <c r="AR285" s="290"/>
      <c r="AS285" s="290"/>
      <c r="AT285" s="290"/>
      <c r="AU285" s="290"/>
      <c r="AV285" s="290"/>
      <c r="AW285" s="290"/>
      <c r="AX285" s="290"/>
      <c r="AY285" s="290"/>
      <c r="AZ285" s="290"/>
      <c r="BA285" s="290"/>
      <c r="BB285" s="290"/>
      <c r="BC285" s="290"/>
      <c r="BD285" s="290"/>
      <c r="BE285" s="290"/>
      <c r="BF285" s="290"/>
      <c r="BG285" s="290"/>
      <c r="BH285" s="290"/>
      <c r="BI285" s="290"/>
      <c r="BJ285" s="290"/>
      <c r="BK285" s="290"/>
      <c r="BL285" s="290"/>
      <c r="BM285" s="290"/>
      <c r="BN285" s="290"/>
      <c r="BO285" s="290"/>
      <c r="BP285" s="290"/>
      <c r="BQ285" s="290"/>
      <c r="BR285" s="290"/>
      <c r="BS285" s="290"/>
      <c r="BT285" s="290"/>
      <c r="BU285" s="290"/>
      <c r="BV285" s="290"/>
      <c r="BW285" s="290"/>
      <c r="BX285" s="290"/>
      <c r="BY285" s="290"/>
      <c r="BZ285" s="290"/>
    </row>
    <row r="286" spans="1:78" x14ac:dyDescent="0.35">
      <c r="A286" s="544" t="s">
        <v>1605</v>
      </c>
      <c r="B286" s="290" t="s">
        <v>1673</v>
      </c>
      <c r="C286" s="290">
        <f>MAX(SQRT((SUM(E186:E193,E196,E197:E198))^2+(SUM(F186:F193,F196,F197:F198,C258:C259))^2),SQRT((SUM(E186:E193,E196,E197:E198))^2+(SUM(G186:G193,G196,G197:G198,C256:C257))^2))</f>
        <v>362.54204060219001</v>
      </c>
      <c r="D286" s="290">
        <v>34.5</v>
      </c>
      <c r="E286" s="315">
        <f>(C286*1000)/(SQRT(3)*D286)</f>
        <v>6067.0650647603088</v>
      </c>
      <c r="F286" s="314">
        <f>MIN(AY273:BV273)</f>
        <v>4150.34976737959</v>
      </c>
      <c r="G286" s="313">
        <f>SMALL(AY273:BV273,2)</f>
        <v>4500</v>
      </c>
      <c r="H286" s="313">
        <f>MIN(P293:X293)</f>
        <v>8300.6995347591801</v>
      </c>
      <c r="I286" s="313">
        <f>SMALL(P293:X293,2)</f>
        <v>12000</v>
      </c>
      <c r="J286" s="312">
        <f>MIN(E286:I286)</f>
        <v>4150.34976737959</v>
      </c>
      <c r="K286" s="312" t="s">
        <v>1674</v>
      </c>
      <c r="L286" s="310">
        <f>SMALL(E286:G286,2)</f>
        <v>4500</v>
      </c>
      <c r="M286" s="310" t="s">
        <v>1747</v>
      </c>
      <c r="N286" s="290"/>
      <c r="O286" s="290"/>
      <c r="P286" s="290"/>
      <c r="Q286" s="290"/>
      <c r="R286" s="290"/>
      <c r="S286" s="290"/>
      <c r="T286" s="290"/>
      <c r="U286" s="290"/>
      <c r="V286" s="290"/>
      <c r="W286" s="290"/>
      <c r="X286" s="290"/>
      <c r="Y286" s="290"/>
      <c r="Z286" s="290"/>
      <c r="AA286" s="290"/>
      <c r="AB286" s="290"/>
      <c r="AC286" s="290"/>
      <c r="AD286" s="290"/>
      <c r="AE286" s="290"/>
      <c r="AF286" s="290"/>
      <c r="AG286" s="290"/>
      <c r="AH286" s="290"/>
      <c r="AI286" s="290"/>
      <c r="AJ286" s="290"/>
      <c r="AK286" s="290"/>
      <c r="AL286" s="290"/>
      <c r="AM286" s="290"/>
      <c r="AN286" s="290"/>
      <c r="AO286" s="290"/>
      <c r="AP286" s="290"/>
      <c r="AQ286" s="290"/>
      <c r="AR286" s="290"/>
      <c r="AS286" s="290"/>
      <c r="AT286" s="290"/>
      <c r="AU286" s="290"/>
      <c r="AV286" s="290"/>
      <c r="AW286" s="290"/>
      <c r="AX286" s="290"/>
      <c r="AY286" s="290"/>
      <c r="AZ286" s="290"/>
      <c r="BA286" s="290"/>
      <c r="BB286" s="290"/>
      <c r="BC286" s="290"/>
      <c r="BD286" s="290"/>
      <c r="BE286" s="290"/>
      <c r="BF286" s="290"/>
      <c r="BG286" s="290"/>
      <c r="BH286" s="290"/>
      <c r="BI286" s="290"/>
      <c r="BJ286" s="290"/>
      <c r="BK286" s="290"/>
      <c r="BL286" s="290"/>
      <c r="BM286" s="290"/>
      <c r="BN286" s="290"/>
      <c r="BO286" s="290"/>
      <c r="BP286" s="290"/>
      <c r="BQ286" s="290"/>
      <c r="BR286" s="290"/>
      <c r="BS286" s="290"/>
      <c r="BT286" s="290"/>
      <c r="BU286" s="290"/>
      <c r="BV286" s="290"/>
      <c r="BW286" s="290"/>
      <c r="BX286" s="290"/>
      <c r="BY286" s="290"/>
      <c r="BZ286" s="290"/>
    </row>
    <row r="287" spans="1:78" x14ac:dyDescent="0.35">
      <c r="A287" s="544"/>
      <c r="B287" s="290" t="s">
        <v>1775</v>
      </c>
      <c r="C287" s="290">
        <f>MAX(SQRT((SUM(E186:E193,E196,E197:E198))^2+(SUM(F186:F193,F196,F197:F198,C258:C259))^2),SQRT((SUM(E186:E193,E196,E197:E198))^2+(SUM(G186:G193,G196,G197:G198,C256:C257))^2))</f>
        <v>362.54204060219001</v>
      </c>
      <c r="D287" s="290">
        <v>34.5</v>
      </c>
      <c r="E287" s="315">
        <f>(C287*1000)/(SQRT(3)*D287)</f>
        <v>6067.0650647603088</v>
      </c>
      <c r="F287" s="314">
        <f>MIN(AY274:BV274)</f>
        <v>4150.34976737959</v>
      </c>
      <c r="G287" s="313">
        <f>SMALL(AY274:BV274,2)</f>
        <v>4500</v>
      </c>
      <c r="H287" s="313">
        <f>MIN(P293:X293)</f>
        <v>8300.6995347591801</v>
      </c>
      <c r="I287" s="313">
        <f>SMALL(P293:X293,2)</f>
        <v>12000</v>
      </c>
      <c r="J287" s="312">
        <f>MIN(E287:I287)</f>
        <v>4150.34976737959</v>
      </c>
      <c r="K287" s="312" t="s">
        <v>1674</v>
      </c>
      <c r="L287" s="310">
        <f>SMALL(E287:G287,2)</f>
        <v>4500</v>
      </c>
      <c r="M287" s="310" t="s">
        <v>1747</v>
      </c>
      <c r="N287" s="290"/>
      <c r="O287" s="290"/>
      <c r="P287" s="290"/>
      <c r="Q287" s="290"/>
      <c r="R287" s="290"/>
      <c r="S287" s="290"/>
      <c r="T287" s="290"/>
      <c r="U287" s="290"/>
      <c r="V287" s="290"/>
      <c r="W287" s="290"/>
      <c r="X287" s="290"/>
      <c r="Y287" s="290"/>
      <c r="Z287" s="290"/>
      <c r="AA287" s="290"/>
      <c r="AB287" s="290"/>
      <c r="AC287" s="290"/>
      <c r="AD287" s="290"/>
      <c r="AE287" s="290"/>
      <c r="AF287" s="290"/>
      <c r="AG287" s="290"/>
      <c r="AH287" s="290"/>
      <c r="AI287" s="290"/>
      <c r="AJ287" s="290"/>
      <c r="AK287" s="290"/>
      <c r="AL287" s="290"/>
      <c r="AM287" s="290"/>
      <c r="AN287" s="290"/>
      <c r="AO287" s="290"/>
      <c r="AP287" s="290"/>
      <c r="AQ287" s="290"/>
      <c r="AR287" s="290"/>
      <c r="AS287" s="290"/>
      <c r="AT287" s="290"/>
      <c r="AU287" s="290"/>
      <c r="AV287" s="290"/>
      <c r="AW287" s="290"/>
      <c r="AX287" s="290"/>
      <c r="AY287" s="290"/>
      <c r="AZ287" s="290"/>
      <c r="BA287" s="290"/>
      <c r="BB287" s="290"/>
      <c r="BC287" s="290"/>
      <c r="BD287" s="290"/>
      <c r="BE287" s="290"/>
      <c r="BF287" s="290"/>
      <c r="BG287" s="290"/>
      <c r="BH287" s="290"/>
      <c r="BI287" s="290"/>
      <c r="BJ287" s="290"/>
      <c r="BK287" s="290"/>
      <c r="BL287" s="290"/>
      <c r="BM287" s="290"/>
      <c r="BN287" s="290"/>
      <c r="BO287" s="290"/>
      <c r="BP287" s="290"/>
      <c r="BQ287" s="290"/>
      <c r="BR287" s="290"/>
      <c r="BS287" s="290"/>
      <c r="BT287" s="290"/>
      <c r="BU287" s="290"/>
      <c r="BV287" s="290"/>
      <c r="BW287" s="290"/>
      <c r="BX287" s="290"/>
      <c r="BY287" s="290"/>
      <c r="BZ287" s="290"/>
    </row>
    <row r="288" spans="1:78" x14ac:dyDescent="0.35">
      <c r="A288" s="290" t="s">
        <v>1651</v>
      </c>
      <c r="B288" s="290" t="s">
        <v>1507</v>
      </c>
      <c r="C288" s="290" t="s">
        <v>1507</v>
      </c>
      <c r="D288" s="290" t="s">
        <v>1507</v>
      </c>
      <c r="E288" s="315" t="s">
        <v>1507</v>
      </c>
      <c r="F288" s="314" t="s">
        <v>1507</v>
      </c>
      <c r="G288" s="314" t="s">
        <v>1507</v>
      </c>
      <c r="H288" s="314" t="s">
        <v>1507</v>
      </c>
      <c r="I288" s="314" t="s">
        <v>1507</v>
      </c>
      <c r="J288" s="290" t="s">
        <v>1507</v>
      </c>
      <c r="K288" s="290" t="s">
        <v>1507</v>
      </c>
      <c r="L288" s="290" t="s">
        <v>1507</v>
      </c>
      <c r="M288" s="290" t="s">
        <v>1507</v>
      </c>
      <c r="N288" s="290"/>
      <c r="O288" s="290"/>
      <c r="P288" s="290"/>
      <c r="Q288" s="290"/>
      <c r="R288" s="290"/>
      <c r="S288" s="290"/>
      <c r="T288" s="290"/>
      <c r="U288" s="290"/>
      <c r="V288" s="290"/>
      <c r="W288" s="290"/>
      <c r="X288" s="290"/>
      <c r="Y288" s="290"/>
      <c r="Z288" s="290"/>
      <c r="AA288" s="290"/>
      <c r="AB288" s="290"/>
      <c r="AC288" s="290"/>
      <c r="AD288" s="290"/>
      <c r="AE288" s="290"/>
      <c r="AF288" s="290"/>
      <c r="AG288" s="290"/>
      <c r="AH288" s="290"/>
      <c r="AI288" s="290"/>
      <c r="AJ288" s="290"/>
      <c r="AK288" s="290"/>
      <c r="AL288" s="290"/>
      <c r="AM288" s="290"/>
      <c r="AN288" s="290"/>
      <c r="AO288" s="290"/>
      <c r="AP288" s="290"/>
      <c r="AQ288" s="290"/>
      <c r="AR288" s="290"/>
      <c r="AS288" s="290"/>
      <c r="AT288" s="290"/>
      <c r="AU288" s="290"/>
      <c r="AV288" s="290"/>
      <c r="AW288" s="290"/>
      <c r="AX288" s="290"/>
      <c r="AY288" s="290"/>
      <c r="AZ288" s="290"/>
      <c r="BA288" s="290"/>
      <c r="BB288" s="290"/>
      <c r="BC288" s="290"/>
      <c r="BD288" s="290"/>
      <c r="BE288" s="290"/>
      <c r="BF288" s="290"/>
      <c r="BG288" s="290"/>
      <c r="BH288" s="290"/>
      <c r="BI288" s="290"/>
      <c r="BJ288" s="290"/>
      <c r="BK288" s="290"/>
      <c r="BL288" s="290"/>
      <c r="BM288" s="290"/>
      <c r="BN288" s="290"/>
      <c r="BO288" s="290"/>
      <c r="BP288" s="290"/>
      <c r="BQ288" s="290"/>
      <c r="BR288" s="290"/>
      <c r="BS288" s="290"/>
      <c r="BT288" s="290"/>
      <c r="BU288" s="290"/>
      <c r="BV288" s="290"/>
      <c r="BW288" s="290"/>
      <c r="BX288" s="290"/>
      <c r="BY288" s="290"/>
      <c r="BZ288" s="290"/>
    </row>
    <row r="289" spans="1:78" x14ac:dyDescent="0.35">
      <c r="A289" s="290"/>
      <c r="B289" s="290"/>
      <c r="C289" s="290"/>
      <c r="D289" s="290"/>
      <c r="E289" s="290"/>
      <c r="F289" s="290"/>
      <c r="G289" s="290"/>
      <c r="H289" s="290"/>
      <c r="I289" s="290"/>
      <c r="J289" s="290"/>
      <c r="K289" s="290"/>
      <c r="L289" s="290"/>
      <c r="M289" s="290"/>
      <c r="N289" s="290"/>
      <c r="O289" s="290"/>
      <c r="P289" s="290"/>
      <c r="Q289" s="290"/>
      <c r="R289" s="290"/>
      <c r="S289" s="290"/>
      <c r="T289" s="290"/>
      <c r="U289" s="290"/>
      <c r="V289" s="290"/>
      <c r="W289" s="290"/>
      <c r="X289" s="290"/>
      <c r="Y289" s="290"/>
      <c r="Z289" s="290"/>
      <c r="AA289" s="290"/>
      <c r="AB289" s="290"/>
      <c r="AC289" s="290"/>
      <c r="AD289" s="290"/>
      <c r="AE289" s="290"/>
      <c r="AF289" s="290"/>
      <c r="AG289" s="290"/>
      <c r="AH289" s="290"/>
      <c r="AI289" s="290"/>
      <c r="AJ289" s="290"/>
      <c r="AK289" s="290"/>
      <c r="AL289" s="290"/>
      <c r="AM289" s="290"/>
      <c r="AN289" s="290"/>
      <c r="AO289" s="290"/>
      <c r="AP289" s="290"/>
      <c r="AQ289" s="290"/>
      <c r="AR289" s="290"/>
      <c r="AS289" s="290"/>
      <c r="AT289" s="290"/>
      <c r="AU289" s="290"/>
      <c r="AV289" s="290"/>
      <c r="AW289" s="290"/>
      <c r="AX289" s="290"/>
      <c r="AY289" s="290"/>
      <c r="AZ289" s="290"/>
      <c r="BA289" s="290"/>
      <c r="BB289" s="290"/>
      <c r="BC289" s="290"/>
      <c r="BD289" s="290"/>
      <c r="BE289" s="290"/>
      <c r="BF289" s="290"/>
      <c r="BG289" s="290"/>
      <c r="BH289" s="290"/>
      <c r="BI289" s="290"/>
      <c r="BJ289" s="290"/>
      <c r="BK289" s="290"/>
      <c r="BL289" s="290"/>
      <c r="BM289" s="290"/>
      <c r="BN289" s="290"/>
      <c r="BO289" s="290"/>
      <c r="BP289" s="290"/>
      <c r="BQ289" s="290"/>
      <c r="BR289" s="290"/>
      <c r="BS289" s="290"/>
      <c r="BT289" s="290"/>
      <c r="BU289" s="290"/>
      <c r="BV289" s="290"/>
      <c r="BW289" s="290"/>
      <c r="BX289" s="290"/>
      <c r="BY289" s="290"/>
      <c r="BZ289" s="290"/>
    </row>
    <row r="290" spans="1:78" x14ac:dyDescent="0.35">
      <c r="A290" s="310" t="s">
        <v>2356</v>
      </c>
      <c r="B290" s="290"/>
      <c r="C290" s="290"/>
      <c r="D290" s="290"/>
      <c r="E290" s="290"/>
      <c r="F290" s="290"/>
      <c r="G290" s="290"/>
      <c r="H290" s="290"/>
      <c r="I290" s="290"/>
      <c r="J290" s="290"/>
      <c r="K290" s="290"/>
      <c r="L290" s="290"/>
      <c r="M290" s="290"/>
      <c r="N290" s="290"/>
      <c r="O290" s="290"/>
      <c r="P290" s="290"/>
      <c r="Q290" s="290"/>
      <c r="R290" s="290"/>
      <c r="S290" s="290"/>
      <c r="T290" s="290"/>
      <c r="U290" s="290"/>
      <c r="V290" s="290"/>
      <c r="W290" s="290"/>
      <c r="X290" s="290"/>
      <c r="Y290" s="290"/>
      <c r="Z290" s="290"/>
      <c r="AA290" s="290"/>
      <c r="AB290" s="290"/>
      <c r="AC290" s="290"/>
      <c r="AD290" s="290"/>
      <c r="AE290" s="290"/>
      <c r="AF290" s="290"/>
      <c r="AG290" s="290"/>
      <c r="AH290" s="290"/>
      <c r="AI290" s="290"/>
      <c r="AJ290" s="290"/>
      <c r="AK290" s="290"/>
      <c r="AL290" s="290"/>
      <c r="AM290" s="290"/>
      <c r="AN290" s="290"/>
      <c r="AO290" s="290"/>
      <c r="AP290" s="290"/>
      <c r="AQ290" s="290"/>
      <c r="AR290" s="290"/>
      <c r="AS290" s="290"/>
      <c r="AT290" s="290"/>
      <c r="AU290" s="290"/>
      <c r="AV290" s="290"/>
      <c r="AW290" s="290"/>
      <c r="AX290" s="290"/>
      <c r="AY290" s="290"/>
      <c r="AZ290" s="290"/>
      <c r="BA290" s="290"/>
      <c r="BB290" s="290"/>
      <c r="BC290" s="290"/>
      <c r="BD290" s="290"/>
      <c r="BE290" s="290"/>
      <c r="BF290" s="290"/>
      <c r="BG290" s="290"/>
      <c r="BH290" s="290"/>
      <c r="BI290" s="290"/>
      <c r="BJ290" s="290"/>
      <c r="BK290" s="290"/>
      <c r="BL290" s="290"/>
      <c r="BM290" s="290"/>
      <c r="BN290" s="290"/>
      <c r="BO290" s="290"/>
      <c r="BP290" s="290"/>
      <c r="BQ290" s="290"/>
      <c r="BR290" s="290"/>
      <c r="BS290" s="290"/>
      <c r="BT290" s="290"/>
      <c r="BU290" s="290"/>
      <c r="BV290" s="290"/>
      <c r="BW290" s="290"/>
      <c r="BX290" s="290"/>
      <c r="BY290" s="290"/>
      <c r="BZ290" s="290"/>
    </row>
    <row r="291" spans="1:78" x14ac:dyDescent="0.35">
      <c r="A291" s="536" t="s">
        <v>1493</v>
      </c>
      <c r="B291" s="535" t="s">
        <v>1599</v>
      </c>
      <c r="C291" s="536" t="s">
        <v>1424</v>
      </c>
      <c r="D291" s="536" t="s">
        <v>1497</v>
      </c>
      <c r="E291" s="535" t="s">
        <v>1784</v>
      </c>
      <c r="F291" s="559" t="s">
        <v>1785</v>
      </c>
      <c r="G291" s="535" t="s">
        <v>1786</v>
      </c>
      <c r="H291" s="535" t="s">
        <v>1787</v>
      </c>
      <c r="I291" s="535" t="s">
        <v>1768</v>
      </c>
      <c r="J291" s="535" t="s">
        <v>1788</v>
      </c>
      <c r="K291" s="535" t="s">
        <v>1722</v>
      </c>
      <c r="L291" s="555" t="s">
        <v>1789</v>
      </c>
      <c r="M291" s="535" t="s">
        <v>1790</v>
      </c>
      <c r="N291" s="535" t="s">
        <v>1791</v>
      </c>
      <c r="O291" s="535" t="s">
        <v>1792</v>
      </c>
      <c r="P291" s="535" t="s">
        <v>1754</v>
      </c>
      <c r="Q291" s="535" t="s">
        <v>1793</v>
      </c>
      <c r="R291" s="559" t="s">
        <v>1794</v>
      </c>
      <c r="S291" s="535" t="s">
        <v>1786</v>
      </c>
      <c r="T291" s="535" t="s">
        <v>1794</v>
      </c>
      <c r="U291" s="535" t="s">
        <v>1795</v>
      </c>
      <c r="V291" s="535" t="s">
        <v>1796</v>
      </c>
      <c r="W291" s="535" t="s">
        <v>1797</v>
      </c>
      <c r="X291" s="535" t="s">
        <v>1798</v>
      </c>
      <c r="Y291" s="535" t="s">
        <v>1799</v>
      </c>
      <c r="Z291" s="535" t="s">
        <v>1703</v>
      </c>
      <c r="AA291" s="535" t="s">
        <v>1704</v>
      </c>
      <c r="AB291" s="535" t="s">
        <v>1705</v>
      </c>
      <c r="AC291" s="290"/>
      <c r="AD291" s="290"/>
      <c r="AE291" s="290"/>
      <c r="AF291" s="290"/>
      <c r="AG291" s="290"/>
      <c r="AH291" s="290"/>
      <c r="AI291" s="290"/>
      <c r="AJ291" s="290"/>
      <c r="AK291" s="290"/>
      <c r="AL291" s="290"/>
      <c r="AM291" s="290"/>
      <c r="AN291" s="290"/>
      <c r="AO291" s="290"/>
      <c r="AP291" s="290"/>
      <c r="AQ291" s="290"/>
      <c r="AR291" s="290"/>
      <c r="AS291" s="290"/>
      <c r="AT291" s="290"/>
      <c r="AU291" s="290"/>
      <c r="AV291" s="290"/>
      <c r="AW291" s="290"/>
      <c r="AX291" s="290"/>
      <c r="AY291" s="290"/>
      <c r="AZ291" s="290"/>
      <c r="BA291" s="290"/>
      <c r="BB291" s="290"/>
      <c r="BC291" s="290"/>
      <c r="BD291" s="290"/>
      <c r="BE291" s="290"/>
      <c r="BF291" s="290"/>
      <c r="BG291" s="290"/>
      <c r="BH291" s="290"/>
      <c r="BI291" s="290"/>
      <c r="BJ291" s="290"/>
      <c r="BK291" s="290"/>
      <c r="BL291" s="290"/>
      <c r="BM291" s="290"/>
      <c r="BN291" s="290"/>
      <c r="BO291" s="290"/>
      <c r="BP291" s="290"/>
      <c r="BQ291" s="290"/>
      <c r="BR291" s="290"/>
      <c r="BS291" s="290"/>
      <c r="BT291" s="290"/>
      <c r="BU291" s="290"/>
      <c r="BV291" s="290"/>
      <c r="BW291" s="290"/>
      <c r="BX291" s="290"/>
      <c r="BY291" s="290"/>
    </row>
    <row r="292" spans="1:78" x14ac:dyDescent="0.35">
      <c r="A292" s="536"/>
      <c r="B292" s="535"/>
      <c r="C292" s="536"/>
      <c r="D292" s="536"/>
      <c r="E292" s="535"/>
      <c r="F292" s="559"/>
      <c r="G292" s="535"/>
      <c r="H292" s="535"/>
      <c r="I292" s="535"/>
      <c r="J292" s="535"/>
      <c r="K292" s="535"/>
      <c r="L292" s="555"/>
      <c r="M292" s="535"/>
      <c r="N292" s="535"/>
      <c r="O292" s="535"/>
      <c r="P292" s="535"/>
      <c r="Q292" s="535"/>
      <c r="R292" s="559"/>
      <c r="S292" s="535"/>
      <c r="T292" s="535"/>
      <c r="U292" s="535"/>
      <c r="V292" s="535"/>
      <c r="W292" s="535"/>
      <c r="X292" s="535"/>
      <c r="Y292" s="535"/>
      <c r="Z292" s="535"/>
      <c r="AA292" s="535"/>
      <c r="AB292" s="535"/>
      <c r="AC292" s="290"/>
      <c r="AD292" s="290"/>
      <c r="AE292" s="290"/>
      <c r="AF292" s="290"/>
      <c r="AG292" s="290"/>
      <c r="AH292" s="290"/>
      <c r="AI292" s="290"/>
      <c r="AJ292" s="290"/>
      <c r="AK292" s="290"/>
      <c r="AL292" s="290"/>
      <c r="AM292" s="290"/>
      <c r="AN292" s="290"/>
      <c r="AO292" s="290"/>
      <c r="AP292" s="290"/>
      <c r="AQ292" s="290"/>
      <c r="AR292" s="290"/>
      <c r="AS292" s="290"/>
      <c r="AT292" s="290"/>
      <c r="AU292" s="290"/>
      <c r="AV292" s="290"/>
      <c r="AW292" s="290"/>
      <c r="AX292" s="290"/>
      <c r="AY292" s="290"/>
      <c r="AZ292" s="290"/>
      <c r="BA292" s="290"/>
      <c r="BB292" s="290"/>
      <c r="BC292" s="290"/>
      <c r="BD292" s="290"/>
      <c r="BE292" s="290"/>
      <c r="BF292" s="290"/>
      <c r="BG292" s="290"/>
      <c r="BH292" s="290"/>
      <c r="BI292" s="290"/>
      <c r="BJ292" s="290"/>
      <c r="BK292" s="290"/>
      <c r="BL292" s="290"/>
      <c r="BM292" s="290"/>
      <c r="BN292" s="290"/>
      <c r="BO292" s="290"/>
      <c r="BP292" s="290"/>
      <c r="BQ292" s="290"/>
      <c r="BR292" s="290"/>
      <c r="BS292" s="290"/>
      <c r="BT292" s="290"/>
      <c r="BU292" s="290"/>
      <c r="BV292" s="290"/>
      <c r="BW292" s="290"/>
      <c r="BX292" s="290"/>
      <c r="BY292" s="290"/>
    </row>
    <row r="293" spans="1:78" x14ac:dyDescent="0.35">
      <c r="A293" s="290" t="s">
        <v>1605</v>
      </c>
      <c r="B293" s="290">
        <f>MAX((SQRT(((SUM(H184:H198)/MAX(B178:B179))*B175)^2+((SUM(H184:H198)/MAX(B178:B179))*B176+SUM(C258:C259))^2)),(SQRT(((SUM(H184:H198)/MAX(B178:B179))*B175)^2+((SUM(H184:H198)/MAX(B178:B179))*B177+SUM(C256:C257))^2)))</f>
        <v>457.29760225603223</v>
      </c>
      <c r="C293" s="290">
        <v>345</v>
      </c>
      <c r="D293" s="311">
        <f>(B293*1000)/(SQRT(3)*C293)</f>
        <v>765.27795293417569</v>
      </c>
      <c r="E293" s="290">
        <v>3850</v>
      </c>
      <c r="F293" s="290" t="s">
        <v>1507</v>
      </c>
      <c r="G293" s="290" t="s">
        <v>1507</v>
      </c>
      <c r="H293" s="290">
        <v>2034</v>
      </c>
      <c r="I293" s="290">
        <v>1200</v>
      </c>
      <c r="J293" s="290">
        <v>2034</v>
      </c>
      <c r="K293" s="314" t="s">
        <v>1507</v>
      </c>
      <c r="L293" s="290" t="s">
        <v>2357</v>
      </c>
      <c r="M293" s="290">
        <f>P273</f>
        <v>10</v>
      </c>
      <c r="N293" s="290">
        <f>SUM(M273:M274)</f>
        <v>496</v>
      </c>
      <c r="O293" s="313">
        <f>D293*M293</f>
        <v>7652.7795293417566</v>
      </c>
      <c r="P293" s="313">
        <f>(N293*1000)/(1.732*C293)*M293</f>
        <v>8300.6995347591801</v>
      </c>
      <c r="Q293" s="313">
        <f>E293*M293</f>
        <v>38500</v>
      </c>
      <c r="R293" s="313" t="s">
        <v>1507</v>
      </c>
      <c r="S293" s="313" t="s">
        <v>1507</v>
      </c>
      <c r="T293" s="313">
        <f>H293*M293</f>
        <v>20340</v>
      </c>
      <c r="U293" s="313">
        <f>I293*M293</f>
        <v>12000</v>
      </c>
      <c r="V293" s="313">
        <f>J293*M293</f>
        <v>20340</v>
      </c>
      <c r="W293" s="313" t="s">
        <v>1507</v>
      </c>
      <c r="X293" s="313" t="str">
        <f>L293</f>
        <v>TRANSFERRED TO SUBS</v>
      </c>
      <c r="Y293" s="311">
        <f>MIN(O293:X293)</f>
        <v>7652.7795293417566</v>
      </c>
      <c r="Z293" s="312" t="s">
        <v>1706</v>
      </c>
      <c r="AA293" s="290">
        <f>SMALL(O293:X293,2)</f>
        <v>8300.6995347591801</v>
      </c>
      <c r="AB293" s="312" t="s">
        <v>1674</v>
      </c>
      <c r="AC293" s="290"/>
      <c r="AD293" s="290"/>
      <c r="AE293" s="290"/>
      <c r="AF293" s="290"/>
      <c r="AG293" s="290"/>
      <c r="AH293" s="290"/>
      <c r="AI293" s="290"/>
      <c r="AJ293" s="290"/>
      <c r="AK293" s="290"/>
      <c r="AL293" s="290"/>
      <c r="AM293" s="290"/>
      <c r="AN293" s="290"/>
      <c r="AO293" s="290"/>
      <c r="AP293" s="290"/>
      <c r="AQ293" s="290"/>
      <c r="AR293" s="290"/>
      <c r="AS293" s="290"/>
      <c r="AT293" s="290"/>
      <c r="AU293" s="290"/>
      <c r="AV293" s="290"/>
      <c r="AW293" s="290"/>
      <c r="AX293" s="290"/>
      <c r="AY293" s="290"/>
      <c r="AZ293" s="290"/>
      <c r="BA293" s="290"/>
      <c r="BB293" s="290"/>
      <c r="BC293" s="290"/>
      <c r="BD293" s="290"/>
      <c r="BE293" s="290"/>
      <c r="BF293" s="290"/>
      <c r="BG293" s="290"/>
      <c r="BH293" s="290"/>
      <c r="BI293" s="290"/>
      <c r="BJ293" s="290"/>
      <c r="BK293" s="290"/>
      <c r="BL293" s="290"/>
      <c r="BM293" s="290"/>
      <c r="BN293" s="290"/>
      <c r="BO293" s="290"/>
      <c r="BP293" s="290"/>
      <c r="BQ293" s="290"/>
      <c r="BR293" s="290"/>
      <c r="BS293" s="290"/>
      <c r="BT293" s="290"/>
      <c r="BU293" s="290"/>
      <c r="BV293" s="290"/>
      <c r="BW293" s="290"/>
      <c r="BX293" s="290"/>
      <c r="BY293" s="290"/>
    </row>
    <row r="294" spans="1:78" x14ac:dyDescent="0.35">
      <c r="A294" s="290" t="s">
        <v>1651</v>
      </c>
      <c r="B294" s="290">
        <f>C275</f>
        <v>252.34294125257398</v>
      </c>
      <c r="C294" s="290">
        <v>345</v>
      </c>
      <c r="D294" s="311">
        <f>(B294*1000)/(SQRT(3)*C294)</f>
        <v>422.29062336311739</v>
      </c>
      <c r="E294" s="290">
        <v>3850</v>
      </c>
      <c r="F294" s="290" t="s">
        <v>1507</v>
      </c>
      <c r="G294" s="290" t="s">
        <v>1507</v>
      </c>
      <c r="H294" s="290">
        <v>2034</v>
      </c>
      <c r="I294" s="290">
        <v>1200</v>
      </c>
      <c r="J294" s="290">
        <v>2034</v>
      </c>
      <c r="K294" s="314" t="s">
        <v>1507</v>
      </c>
      <c r="L294" s="290" t="s">
        <v>2357</v>
      </c>
      <c r="M294" s="290">
        <f>P275</f>
        <v>10</v>
      </c>
      <c r="N294" s="290">
        <f>M275</f>
        <v>248</v>
      </c>
      <c r="O294" s="313">
        <f>D294*M294</f>
        <v>4222.9062336311736</v>
      </c>
      <c r="P294" s="313">
        <f>(N294*1000)/(1.732*C294)*M294</f>
        <v>4150.34976737959</v>
      </c>
      <c r="Q294" s="313">
        <f>E294*M294</f>
        <v>38500</v>
      </c>
      <c r="R294" s="314" t="s">
        <v>1507</v>
      </c>
      <c r="S294" s="314" t="s">
        <v>1507</v>
      </c>
      <c r="T294" s="313">
        <f>H294*M294</f>
        <v>20340</v>
      </c>
      <c r="U294" s="313">
        <f>I294*M294</f>
        <v>12000</v>
      </c>
      <c r="V294" s="313">
        <f>J294*M294</f>
        <v>20340</v>
      </c>
      <c r="W294" s="313" t="s">
        <v>1507</v>
      </c>
      <c r="X294" s="313" t="str">
        <f>L294</f>
        <v>TRANSFERRED TO SUBS</v>
      </c>
      <c r="Y294" s="311">
        <f>MIN(O294:X294)</f>
        <v>4150.34976737959</v>
      </c>
      <c r="Z294" s="312" t="s">
        <v>1674</v>
      </c>
      <c r="AA294" s="290">
        <f>SMALL(O294:X294,2)</f>
        <v>4222.9062336311736</v>
      </c>
      <c r="AB294" s="312" t="s">
        <v>1706</v>
      </c>
      <c r="AC294" s="290"/>
      <c r="AD294" s="290"/>
      <c r="AE294" s="290"/>
      <c r="AF294" s="290"/>
      <c r="AG294" s="290"/>
      <c r="AH294" s="290"/>
      <c r="AI294" s="290"/>
      <c r="AJ294" s="290"/>
      <c r="AK294" s="290"/>
      <c r="AL294" s="290"/>
      <c r="AM294" s="290"/>
      <c r="AN294" s="290"/>
      <c r="AO294" s="290"/>
      <c r="AP294" s="290"/>
      <c r="AQ294" s="290"/>
      <c r="AR294" s="290"/>
      <c r="AS294" s="290"/>
      <c r="AT294" s="290"/>
      <c r="AU294" s="290"/>
      <c r="AV294" s="290"/>
      <c r="AW294" s="290"/>
      <c r="AX294" s="290"/>
      <c r="AY294" s="290"/>
      <c r="AZ294" s="290"/>
      <c r="BA294" s="290"/>
      <c r="BB294" s="290"/>
      <c r="BC294" s="290"/>
      <c r="BD294" s="290"/>
      <c r="BE294" s="290"/>
      <c r="BF294" s="290"/>
      <c r="BG294" s="290"/>
      <c r="BH294" s="290"/>
      <c r="BI294" s="290"/>
      <c r="BJ294" s="290"/>
      <c r="BK294" s="290"/>
      <c r="BL294" s="290"/>
      <c r="BM294" s="290"/>
      <c r="BN294" s="290"/>
      <c r="BO294" s="290"/>
      <c r="BP294" s="290"/>
      <c r="BQ294" s="290"/>
      <c r="BR294" s="290"/>
      <c r="BS294" s="290"/>
      <c r="BT294" s="290"/>
      <c r="BU294" s="290"/>
      <c r="BV294" s="290"/>
      <c r="BW294" s="290"/>
      <c r="BX294" s="290"/>
      <c r="BY294" s="290"/>
    </row>
    <row r="295" spans="1:78" x14ac:dyDescent="0.35">
      <c r="A295" s="290"/>
      <c r="B295" s="290"/>
      <c r="C295" s="290"/>
      <c r="D295" s="290"/>
      <c r="E295" s="290"/>
      <c r="F295" s="290"/>
      <c r="G295" s="290"/>
      <c r="H295" s="290"/>
      <c r="I295" s="290"/>
      <c r="J295" s="290"/>
      <c r="K295" s="290"/>
      <c r="L295" s="290"/>
      <c r="M295" s="290"/>
      <c r="N295" s="290"/>
      <c r="O295" s="290"/>
      <c r="P295" s="290"/>
      <c r="Q295" s="290"/>
      <c r="R295" s="290"/>
      <c r="S295" s="290"/>
      <c r="T295" s="290"/>
      <c r="U295" s="290"/>
      <c r="V295" s="290"/>
      <c r="W295" s="290"/>
      <c r="X295" s="290"/>
      <c r="Y295" s="290"/>
      <c r="Z295" s="290"/>
      <c r="AA295" s="290"/>
      <c r="AB295" s="290"/>
      <c r="AC295" s="290"/>
      <c r="AD295" s="290"/>
      <c r="AE295" s="290"/>
      <c r="AF295" s="290"/>
      <c r="AG295" s="290"/>
      <c r="AH295" s="290"/>
      <c r="AI295" s="290"/>
      <c r="AJ295" s="290"/>
      <c r="AK295" s="290"/>
      <c r="AL295" s="290"/>
      <c r="AM295" s="290"/>
      <c r="AN295" s="290"/>
      <c r="AO295" s="290"/>
      <c r="AP295" s="290"/>
      <c r="AQ295" s="290"/>
      <c r="AR295" s="290"/>
      <c r="AS295" s="290"/>
      <c r="AT295" s="290"/>
      <c r="AU295" s="290"/>
      <c r="AV295" s="290"/>
      <c r="AW295" s="290"/>
      <c r="AX295" s="290"/>
      <c r="AY295" s="290"/>
      <c r="AZ295" s="290"/>
      <c r="BA295" s="290"/>
      <c r="BB295" s="290"/>
      <c r="BC295" s="290"/>
      <c r="BD295" s="290"/>
      <c r="BE295" s="290"/>
      <c r="BF295" s="290"/>
      <c r="BG295" s="290"/>
      <c r="BH295" s="290"/>
      <c r="BI295" s="290"/>
      <c r="BJ295" s="290"/>
      <c r="BK295" s="290"/>
      <c r="BL295" s="290"/>
      <c r="BM295" s="290"/>
      <c r="BN295" s="290"/>
      <c r="BO295" s="290"/>
      <c r="BP295" s="290"/>
      <c r="BQ295" s="290"/>
      <c r="BR295" s="290"/>
      <c r="BS295" s="290"/>
      <c r="BT295" s="290"/>
      <c r="BU295" s="290"/>
      <c r="BV295" s="290"/>
      <c r="BW295" s="290"/>
      <c r="BX295" s="290"/>
      <c r="BY295" s="290"/>
      <c r="BZ295" s="290"/>
    </row>
    <row r="296" spans="1:78" x14ac:dyDescent="0.35">
      <c r="A296" s="290"/>
      <c r="G296" s="290"/>
      <c r="H296" s="290"/>
      <c r="I296" s="290"/>
      <c r="J296" s="290"/>
      <c r="K296" s="290"/>
      <c r="L296" s="290"/>
      <c r="M296" s="311"/>
      <c r="N296" s="290"/>
      <c r="O296" s="290"/>
      <c r="P296" s="290"/>
      <c r="Q296" s="290"/>
      <c r="R296" s="290"/>
      <c r="S296" s="290"/>
      <c r="T296" s="290"/>
      <c r="U296" s="290"/>
      <c r="V296" s="290"/>
      <c r="W296" s="290"/>
      <c r="X296" s="290"/>
      <c r="Y296" s="290"/>
      <c r="Z296" s="290"/>
      <c r="AA296" s="290"/>
      <c r="AB296" s="290"/>
      <c r="AC296" s="290"/>
      <c r="AD296" s="290"/>
      <c r="AE296" s="290"/>
      <c r="AF296" s="290"/>
      <c r="AG296" s="290"/>
      <c r="AH296" s="290"/>
      <c r="AI296" s="290"/>
      <c r="AJ296" s="290"/>
      <c r="AK296" s="290"/>
      <c r="AL296" s="290"/>
      <c r="AM296" s="290"/>
      <c r="AN296" s="290"/>
      <c r="AO296" s="290"/>
      <c r="AP296" s="290"/>
      <c r="AQ296" s="290"/>
      <c r="AR296" s="290"/>
      <c r="AS296" s="290"/>
      <c r="AT296" s="290"/>
      <c r="AU296" s="290"/>
      <c r="AV296" s="290"/>
      <c r="AW296" s="290"/>
      <c r="AX296" s="290"/>
      <c r="AY296" s="290"/>
      <c r="AZ296" s="290"/>
      <c r="BA296" s="290"/>
      <c r="BB296" s="290"/>
      <c r="BC296" s="290"/>
      <c r="BD296" s="290"/>
      <c r="BE296" s="290"/>
      <c r="BF296" s="290"/>
      <c r="BG296" s="290"/>
      <c r="BH296" s="290"/>
      <c r="BI296" s="290"/>
      <c r="BJ296" s="290"/>
      <c r="BK296" s="290"/>
      <c r="BL296" s="290"/>
      <c r="BM296" s="290"/>
      <c r="BN296" s="290"/>
      <c r="BO296" s="290"/>
      <c r="BP296" s="290"/>
      <c r="BQ296" s="290"/>
      <c r="BR296" s="290"/>
      <c r="BS296" s="290"/>
      <c r="BT296" s="290"/>
      <c r="BU296" s="290"/>
      <c r="BV296" s="290"/>
      <c r="BW296" s="290"/>
      <c r="BX296" s="290"/>
      <c r="BY296" s="290"/>
    </row>
    <row r="297" spans="1:78" x14ac:dyDescent="0.35">
      <c r="A297" s="290"/>
      <c r="B297" s="290"/>
      <c r="C297" s="290"/>
      <c r="D297" s="311"/>
      <c r="E297" s="290"/>
      <c r="F297" s="290"/>
      <c r="G297" s="290"/>
      <c r="H297" s="290"/>
      <c r="I297" s="290"/>
      <c r="J297" s="290"/>
      <c r="K297" s="290"/>
      <c r="L297" s="290"/>
      <c r="M297" s="290"/>
      <c r="N297" s="290"/>
      <c r="O297" s="290"/>
      <c r="P297" s="290"/>
      <c r="Q297" s="290"/>
      <c r="R297" s="290"/>
      <c r="S297" s="290"/>
      <c r="T297" s="290"/>
      <c r="U297" s="290"/>
      <c r="V297" s="290"/>
      <c r="W297" s="290"/>
      <c r="X297" s="290"/>
      <c r="Y297" s="290"/>
      <c r="Z297" s="290"/>
      <c r="AA297" s="290"/>
      <c r="AB297" s="290"/>
      <c r="AC297" s="290"/>
      <c r="AD297" s="290"/>
      <c r="AE297" s="290"/>
      <c r="AF297" s="290"/>
      <c r="AG297" s="290"/>
      <c r="AH297" s="290"/>
      <c r="AI297" s="290"/>
      <c r="AJ297" s="290"/>
      <c r="AK297" s="290"/>
      <c r="AL297" s="290"/>
      <c r="AM297" s="290"/>
      <c r="AN297" s="290"/>
      <c r="AO297" s="290"/>
      <c r="AP297" s="290"/>
      <c r="AQ297" s="290"/>
      <c r="AR297" s="290"/>
      <c r="AS297" s="290"/>
      <c r="AT297" s="290"/>
      <c r="AU297" s="290"/>
      <c r="AV297" s="290"/>
      <c r="AW297" s="290"/>
      <c r="AX297" s="290"/>
      <c r="AY297" s="290"/>
      <c r="AZ297" s="290"/>
      <c r="BA297" s="290"/>
      <c r="BB297" s="290"/>
      <c r="BC297" s="290"/>
      <c r="BD297" s="290"/>
      <c r="BE297" s="290"/>
      <c r="BF297" s="290"/>
      <c r="BG297" s="290"/>
      <c r="BH297" s="290"/>
      <c r="BI297" s="290"/>
      <c r="BJ297" s="290"/>
      <c r="BK297" s="290"/>
      <c r="BL297" s="290"/>
      <c r="BM297" s="290"/>
      <c r="BN297" s="290"/>
      <c r="BO297" s="290"/>
      <c r="BP297" s="290"/>
      <c r="BQ297" s="290"/>
      <c r="BR297" s="290"/>
      <c r="BS297" s="290"/>
      <c r="BT297" s="290"/>
      <c r="BU297" s="290"/>
      <c r="BV297" s="290"/>
      <c r="BW297" s="290"/>
      <c r="BX297" s="290"/>
      <c r="BY297" s="290"/>
    </row>
    <row r="298" spans="1:78" x14ac:dyDescent="0.35">
      <c r="A298" s="290"/>
      <c r="B298" s="290"/>
      <c r="C298" s="290"/>
      <c r="D298" s="311"/>
      <c r="E298" s="290"/>
      <c r="F298" s="290"/>
      <c r="G298" s="290"/>
      <c r="H298" s="290"/>
      <c r="I298" s="290"/>
      <c r="J298" s="290"/>
      <c r="K298" s="290"/>
      <c r="L298" s="290"/>
      <c r="M298" s="290"/>
      <c r="N298" s="290"/>
      <c r="O298" s="290"/>
      <c r="P298" s="290"/>
      <c r="Q298" s="290"/>
      <c r="R298" s="290"/>
      <c r="S298" s="290"/>
      <c r="T298" s="290"/>
      <c r="U298" s="290"/>
      <c r="V298" s="290"/>
      <c r="W298" s="290"/>
      <c r="X298" s="290"/>
      <c r="Y298" s="290"/>
      <c r="Z298" s="290"/>
      <c r="AA298" s="290"/>
      <c r="AB298" s="290"/>
      <c r="AC298" s="290"/>
      <c r="AD298" s="290"/>
      <c r="AE298" s="290"/>
      <c r="AF298" s="290"/>
      <c r="AG298" s="290"/>
      <c r="AH298" s="290"/>
      <c r="AI298" s="290"/>
      <c r="AJ298" s="290"/>
      <c r="AK298" s="290"/>
      <c r="AL298" s="290"/>
      <c r="AM298" s="290"/>
      <c r="AN298" s="290"/>
      <c r="AO298" s="290"/>
      <c r="AP298" s="290"/>
      <c r="AQ298" s="290"/>
      <c r="AR298" s="290"/>
      <c r="AS298" s="290"/>
      <c r="AT298" s="290"/>
      <c r="AU298" s="290"/>
      <c r="AV298" s="290"/>
      <c r="AW298" s="290"/>
      <c r="AX298" s="290"/>
      <c r="AY298" s="290"/>
      <c r="AZ298" s="290"/>
      <c r="BA298" s="290"/>
      <c r="BB298" s="290"/>
      <c r="BC298" s="290"/>
      <c r="BD298" s="290"/>
      <c r="BE298" s="290"/>
      <c r="BF298" s="290"/>
      <c r="BG298" s="290"/>
      <c r="BH298" s="290"/>
      <c r="BI298" s="290"/>
      <c r="BJ298" s="290"/>
      <c r="BK298" s="290"/>
      <c r="BL298" s="290"/>
      <c r="BM298" s="290"/>
      <c r="BN298" s="290"/>
      <c r="BO298" s="290"/>
      <c r="BP298" s="290"/>
      <c r="BQ298" s="290"/>
      <c r="BR298" s="290"/>
      <c r="BS298" s="290"/>
      <c r="BT298" s="290"/>
      <c r="BU298" s="290"/>
      <c r="BV298" s="290"/>
      <c r="BW298" s="290"/>
      <c r="BX298" s="290"/>
      <c r="BY298" s="290"/>
    </row>
    <row r="299" spans="1:78" x14ac:dyDescent="0.35">
      <c r="A299" s="310" t="s">
        <v>1897</v>
      </c>
      <c r="B299" s="290"/>
      <c r="C299" s="290"/>
      <c r="D299" s="290"/>
      <c r="E299" s="290"/>
      <c r="F299" s="290"/>
      <c r="G299" s="290"/>
      <c r="H299" s="290"/>
      <c r="I299" s="290"/>
      <c r="J299" s="290"/>
      <c r="K299" s="290"/>
      <c r="L299" s="290"/>
      <c r="M299" s="290"/>
      <c r="N299" s="290"/>
      <c r="O299" s="290"/>
      <c r="P299" s="290"/>
      <c r="Q299" s="290"/>
      <c r="R299" s="290"/>
      <c r="S299" s="290"/>
      <c r="T299" s="290"/>
      <c r="U299" s="290"/>
      <c r="V299" s="290"/>
      <c r="W299" s="290"/>
      <c r="X299" s="290"/>
      <c r="Y299" s="290"/>
      <c r="Z299" s="290"/>
      <c r="AA299" s="290"/>
      <c r="AB299" s="290"/>
      <c r="AC299" s="290"/>
      <c r="AD299" s="290"/>
      <c r="AE299" s="290"/>
      <c r="AF299" s="290"/>
      <c r="AG299" s="290"/>
      <c r="AH299" s="290"/>
      <c r="AI299" s="290"/>
      <c r="AJ299" s="290"/>
      <c r="AK299" s="290"/>
      <c r="AL299" s="290"/>
      <c r="AM299" s="290"/>
      <c r="AN299" s="290"/>
      <c r="AO299" s="290"/>
      <c r="AP299" s="290"/>
      <c r="AQ299" s="290"/>
      <c r="AR299" s="290"/>
      <c r="AS299" s="290"/>
      <c r="AT299" s="290"/>
      <c r="AU299" s="290"/>
      <c r="AV299" s="290"/>
      <c r="AW299" s="290"/>
      <c r="AX299" s="290"/>
      <c r="AY299" s="290"/>
      <c r="AZ299" s="290"/>
      <c r="BA299" s="290"/>
      <c r="BB299" s="290"/>
      <c r="BC299" s="290"/>
      <c r="BD299" s="290"/>
      <c r="BE299" s="290"/>
      <c r="BF299" s="290"/>
      <c r="BG299" s="290"/>
      <c r="BH299" s="290"/>
      <c r="BI299" s="290"/>
      <c r="BJ299" s="290"/>
      <c r="BK299" s="290"/>
      <c r="BL299" s="290"/>
      <c r="BM299" s="290"/>
      <c r="BN299" s="290"/>
      <c r="BO299" s="290"/>
      <c r="BP299" s="290"/>
      <c r="BQ299" s="290"/>
      <c r="BR299" s="290"/>
      <c r="BS299" s="290"/>
      <c r="BT299" s="290"/>
      <c r="BU299" s="290"/>
      <c r="BV299" s="290"/>
      <c r="BW299" s="290"/>
      <c r="BX299" s="290"/>
      <c r="BY299" s="290"/>
      <c r="BZ299" s="290"/>
    </row>
    <row r="300" spans="1:78" x14ac:dyDescent="0.35">
      <c r="A300" s="285"/>
      <c r="B300" s="285"/>
      <c r="C300" s="285"/>
      <c r="D300" s="285"/>
      <c r="E300" s="285"/>
      <c r="F300" s="285"/>
      <c r="G300" s="285"/>
      <c r="H300" s="285"/>
      <c r="I300" s="285"/>
      <c r="J300" s="285"/>
      <c r="K300" s="285"/>
      <c r="L300" s="285"/>
      <c r="M300" s="285"/>
      <c r="N300" s="285"/>
      <c r="O300" s="285"/>
      <c r="P300" s="285"/>
      <c r="Q300" s="285"/>
      <c r="R300" s="285"/>
      <c r="S300" s="285"/>
      <c r="T300" s="285"/>
      <c r="U300" s="285"/>
      <c r="V300" s="285"/>
      <c r="W300" s="285"/>
      <c r="X300" s="285"/>
      <c r="Y300" s="285"/>
      <c r="Z300" s="285"/>
      <c r="AA300" s="285"/>
      <c r="AB300" s="285"/>
      <c r="AC300" s="285"/>
      <c r="AD300" s="285"/>
      <c r="AE300" s="285"/>
      <c r="AF300" s="285"/>
      <c r="AG300" s="285"/>
      <c r="AH300" s="285"/>
      <c r="AI300" s="285"/>
      <c r="AJ300" s="285"/>
      <c r="AK300" s="285"/>
      <c r="AL300" s="285"/>
      <c r="AM300" s="285"/>
      <c r="AN300" s="285"/>
    </row>
    <row r="301" spans="1:78" x14ac:dyDescent="0.35">
      <c r="A301" s="309" t="s">
        <v>1681</v>
      </c>
      <c r="B301" s="287"/>
      <c r="C301" s="295"/>
      <c r="D301" s="295"/>
      <c r="E301" s="295"/>
      <c r="F301" s="295"/>
      <c r="G301" s="295"/>
      <c r="H301" s="295"/>
      <c r="I301" s="295"/>
      <c r="J301" s="295"/>
      <c r="K301" s="295"/>
      <c r="L301" s="295"/>
      <c r="M301" s="295"/>
      <c r="N301" s="295"/>
      <c r="O301" s="295"/>
      <c r="P301" s="295"/>
      <c r="Q301" s="295"/>
      <c r="R301" s="295"/>
      <c r="S301" s="295"/>
      <c r="T301" s="295"/>
      <c r="U301" s="285"/>
      <c r="V301" s="285"/>
      <c r="W301" s="285"/>
      <c r="X301" s="285"/>
      <c r="Y301" s="285"/>
      <c r="Z301" s="285"/>
      <c r="AA301" s="285"/>
      <c r="AB301" s="285"/>
      <c r="AC301" s="285"/>
      <c r="AD301" s="285"/>
      <c r="AE301" s="285"/>
      <c r="AF301" s="285"/>
      <c r="AG301" s="285"/>
      <c r="AH301" s="285"/>
      <c r="AI301" s="285"/>
      <c r="AJ301" s="285"/>
      <c r="AK301" s="285"/>
      <c r="AL301" s="285"/>
      <c r="AM301" s="285"/>
      <c r="AN301" s="285"/>
    </row>
    <row r="302" spans="1:78" x14ac:dyDescent="0.35">
      <c r="A302" s="548" t="s">
        <v>1898</v>
      </c>
      <c r="B302" s="548"/>
      <c r="C302" s="295"/>
      <c r="D302" s="548" t="s">
        <v>1899</v>
      </c>
      <c r="E302" s="548"/>
      <c r="F302" s="295"/>
      <c r="G302" s="295"/>
      <c r="H302" s="295"/>
      <c r="I302" s="295"/>
      <c r="J302" s="295"/>
      <c r="K302" s="295"/>
      <c r="L302" s="295"/>
      <c r="M302" s="295"/>
      <c r="N302" s="295"/>
      <c r="O302" s="295"/>
      <c r="P302" s="295"/>
      <c r="Q302" s="295"/>
      <c r="R302" s="295"/>
      <c r="S302" s="295"/>
      <c r="T302" s="295"/>
      <c r="U302" s="285"/>
      <c r="V302" s="285"/>
      <c r="W302" s="285"/>
      <c r="X302" s="285"/>
      <c r="Y302" s="285"/>
      <c r="Z302" s="285"/>
      <c r="AA302" s="285"/>
      <c r="AB302" s="285"/>
      <c r="AC302" s="285"/>
      <c r="AD302" s="285"/>
      <c r="AE302" s="285"/>
      <c r="AF302" s="285"/>
      <c r="AG302" s="285"/>
      <c r="AH302" s="285"/>
      <c r="AI302" s="285"/>
      <c r="AJ302" s="285"/>
      <c r="AK302" s="285"/>
      <c r="AL302" s="285"/>
      <c r="AM302" s="285"/>
      <c r="AN302" s="285"/>
    </row>
    <row r="303" spans="1:78" x14ac:dyDescent="0.35">
      <c r="A303" s="285" t="s">
        <v>1684</v>
      </c>
      <c r="B303" s="285">
        <v>2</v>
      </c>
      <c r="C303" s="285"/>
      <c r="D303" s="285" t="s">
        <v>1684</v>
      </c>
      <c r="E303" s="285">
        <v>2.2000000000000002</v>
      </c>
      <c r="F303" s="285"/>
      <c r="G303" s="285"/>
      <c r="H303" s="285"/>
      <c r="I303" s="285"/>
      <c r="J303" s="285"/>
      <c r="K303" s="285"/>
      <c r="L303" s="285"/>
      <c r="M303" s="285"/>
      <c r="N303" s="285"/>
      <c r="O303" s="285"/>
      <c r="P303" s="285"/>
      <c r="Q303" s="285"/>
      <c r="R303" s="285"/>
      <c r="S303" s="285"/>
      <c r="T303" s="285"/>
      <c r="U303" s="285"/>
      <c r="V303" s="285"/>
      <c r="W303" s="285"/>
      <c r="X303" s="285"/>
      <c r="Y303" s="285"/>
      <c r="Z303" s="285"/>
      <c r="AA303" s="285"/>
      <c r="AB303" s="285"/>
      <c r="AC303" s="285"/>
      <c r="AD303" s="285"/>
      <c r="AE303" s="285"/>
      <c r="AF303" s="285"/>
      <c r="AG303" s="285"/>
      <c r="AH303" s="285"/>
      <c r="AI303" s="285"/>
      <c r="AJ303" s="285"/>
      <c r="AK303" s="285"/>
      <c r="AL303" s="285"/>
      <c r="AM303" s="285"/>
      <c r="AN303" s="285"/>
    </row>
    <row r="304" spans="1:78" x14ac:dyDescent="0.35">
      <c r="A304" s="285" t="s">
        <v>1685</v>
      </c>
      <c r="B304" s="285">
        <v>0.58299999999999996</v>
      </c>
      <c r="C304" s="285"/>
      <c r="D304" s="285" t="s">
        <v>1685</v>
      </c>
      <c r="E304" s="285">
        <v>0.72299999999999998</v>
      </c>
      <c r="F304" s="285"/>
      <c r="G304" s="285"/>
      <c r="H304" s="285"/>
      <c r="I304" s="285"/>
      <c r="J304" s="285"/>
      <c r="K304" s="285"/>
      <c r="L304" s="285"/>
      <c r="M304" s="285"/>
      <c r="N304" s="285"/>
      <c r="O304" s="285"/>
      <c r="P304" s="285"/>
      <c r="Q304" s="285"/>
      <c r="R304" s="285"/>
      <c r="S304" s="285"/>
      <c r="T304" s="285"/>
      <c r="U304" s="285"/>
      <c r="V304" s="285"/>
      <c r="W304" s="285"/>
      <c r="X304" s="285"/>
      <c r="Y304" s="285"/>
      <c r="Z304" s="285"/>
      <c r="AA304" s="285"/>
      <c r="AB304" s="285"/>
      <c r="AC304" s="285"/>
      <c r="AD304" s="285"/>
      <c r="AE304" s="285"/>
      <c r="AF304" s="285"/>
      <c r="AG304" s="285"/>
      <c r="AH304" s="285"/>
      <c r="AI304" s="285"/>
      <c r="AJ304" s="285"/>
      <c r="AK304" s="285"/>
      <c r="AL304" s="285"/>
      <c r="AM304" s="285"/>
      <c r="AN304" s="285"/>
    </row>
    <row r="305" spans="1:40" x14ac:dyDescent="0.35">
      <c r="A305" s="308" t="s">
        <v>1686</v>
      </c>
      <c r="B305" s="302">
        <v>0.40600000000000003</v>
      </c>
      <c r="C305" s="285"/>
      <c r="D305" s="308" t="s">
        <v>1686</v>
      </c>
      <c r="E305" s="302">
        <v>0.72299999999999998</v>
      </c>
      <c r="F305" s="285"/>
      <c r="G305" s="285"/>
      <c r="H305" s="285"/>
      <c r="I305" s="285"/>
      <c r="J305" s="285"/>
      <c r="K305" s="285"/>
      <c r="L305" s="285"/>
      <c r="M305" s="285"/>
      <c r="N305" s="285"/>
      <c r="O305" s="285"/>
      <c r="P305" s="285"/>
      <c r="Q305" s="285"/>
      <c r="R305" s="285"/>
      <c r="S305" s="285"/>
      <c r="T305" s="285"/>
      <c r="U305" s="285"/>
      <c r="V305" s="285"/>
      <c r="W305" s="285"/>
      <c r="X305" s="285"/>
      <c r="Y305" s="285"/>
      <c r="Z305" s="285"/>
      <c r="AA305" s="285"/>
      <c r="AB305" s="285"/>
      <c r="AC305" s="285"/>
      <c r="AD305" s="285"/>
      <c r="AE305" s="285"/>
      <c r="AF305" s="285"/>
      <c r="AG305" s="285"/>
      <c r="AH305" s="285"/>
      <c r="AI305" s="285"/>
      <c r="AJ305" s="285"/>
      <c r="AK305" s="285"/>
      <c r="AL305" s="285"/>
      <c r="AM305" s="285"/>
      <c r="AN305" s="285"/>
    </row>
    <row r="306" spans="1:40" x14ac:dyDescent="0.35">
      <c r="A306" s="285" t="s">
        <v>1687</v>
      </c>
      <c r="B306" s="285">
        <f>SQRT(B303^2+B304^2)</f>
        <v>2.0832400245771008</v>
      </c>
      <c r="C306" s="285"/>
      <c r="D306" s="285" t="s">
        <v>1687</v>
      </c>
      <c r="E306" s="285">
        <f>SQRT(E303^2+E304^2)</f>
        <v>2.3157566797917264</v>
      </c>
      <c r="F306" s="285"/>
      <c r="G306" s="285"/>
      <c r="H306" s="285"/>
      <c r="I306" s="285"/>
      <c r="J306" s="285"/>
      <c r="K306" s="285"/>
      <c r="L306" s="285"/>
      <c r="M306" s="285"/>
      <c r="N306" s="285"/>
      <c r="O306" s="285"/>
      <c r="P306" s="285"/>
      <c r="Q306" s="285"/>
      <c r="R306" s="285"/>
      <c r="S306" s="285"/>
      <c r="T306" s="285"/>
      <c r="U306" s="285"/>
      <c r="V306" s="285"/>
      <c r="W306" s="285"/>
      <c r="X306" s="285"/>
      <c r="Y306" s="285"/>
      <c r="Z306" s="285"/>
      <c r="AA306" s="285"/>
      <c r="AB306" s="285"/>
      <c r="AC306" s="285"/>
      <c r="AD306" s="285"/>
      <c r="AE306" s="285"/>
      <c r="AF306" s="285"/>
      <c r="AG306" s="285"/>
      <c r="AH306" s="285"/>
      <c r="AI306" s="285"/>
      <c r="AJ306" s="285"/>
      <c r="AK306" s="285"/>
      <c r="AL306" s="285"/>
      <c r="AM306" s="285"/>
      <c r="AN306" s="285"/>
    </row>
    <row r="307" spans="1:40" x14ac:dyDescent="0.35">
      <c r="A307" s="285" t="s">
        <v>1688</v>
      </c>
      <c r="B307" s="285">
        <f>SQRT(B303^2+B305^2)</f>
        <v>2.0407929831318024</v>
      </c>
      <c r="C307" s="285"/>
      <c r="D307" s="285" t="s">
        <v>1688</v>
      </c>
      <c r="E307" s="285">
        <f>SQRT(E303^2+E305^2)</f>
        <v>2.3157566797917264</v>
      </c>
      <c r="F307" s="285"/>
      <c r="G307" s="285"/>
      <c r="H307" s="285"/>
      <c r="I307" s="285"/>
      <c r="J307" s="285"/>
      <c r="K307" s="285"/>
      <c r="L307" s="285"/>
      <c r="M307" s="285"/>
      <c r="N307" s="285"/>
      <c r="O307" s="285"/>
      <c r="P307" s="285"/>
      <c r="Q307" s="285"/>
      <c r="R307" s="285"/>
      <c r="S307" s="285"/>
      <c r="T307" s="285"/>
      <c r="U307" s="285"/>
      <c r="V307" s="285"/>
      <c r="W307" s="285"/>
      <c r="X307" s="285"/>
      <c r="Y307" s="285"/>
      <c r="Z307" s="285"/>
      <c r="AA307" s="285"/>
      <c r="AB307" s="285"/>
      <c r="AC307" s="285"/>
      <c r="AD307" s="285"/>
      <c r="AE307" s="285"/>
      <c r="AF307" s="285"/>
      <c r="AG307" s="285"/>
      <c r="AH307" s="285"/>
      <c r="AI307" s="285"/>
      <c r="AJ307" s="285"/>
      <c r="AK307" s="285"/>
      <c r="AL307" s="285"/>
      <c r="AM307" s="285"/>
      <c r="AN307" s="285"/>
    </row>
    <row r="308" spans="1:40" x14ac:dyDescent="0.35">
      <c r="A308" s="285"/>
      <c r="B308" s="285"/>
      <c r="C308" s="285"/>
      <c r="D308" s="285"/>
      <c r="E308" s="285"/>
      <c r="F308" s="285"/>
      <c r="G308" s="285"/>
      <c r="H308" s="285"/>
      <c r="I308" s="285"/>
      <c r="J308" s="285"/>
      <c r="K308" s="285"/>
      <c r="L308" s="285"/>
      <c r="M308" s="285"/>
      <c r="N308" s="285"/>
      <c r="O308" s="285"/>
      <c r="P308" s="285"/>
      <c r="Q308" s="285"/>
      <c r="R308" s="285"/>
      <c r="S308" s="285"/>
      <c r="T308" s="285"/>
      <c r="U308" s="285"/>
      <c r="V308" s="285"/>
      <c r="W308" s="285"/>
      <c r="X308" s="285"/>
      <c r="Y308" s="285"/>
      <c r="Z308" s="285"/>
      <c r="AA308" s="285"/>
      <c r="AB308" s="285"/>
      <c r="AC308" s="285"/>
      <c r="AD308" s="285"/>
      <c r="AE308" s="285"/>
      <c r="AF308" s="285"/>
      <c r="AG308" s="285"/>
      <c r="AH308" s="285"/>
      <c r="AI308" s="285"/>
      <c r="AJ308" s="285"/>
      <c r="AK308" s="285"/>
      <c r="AL308" s="285"/>
      <c r="AM308" s="285"/>
      <c r="AN308" s="285"/>
    </row>
    <row r="309" spans="1:40" x14ac:dyDescent="0.35">
      <c r="A309" s="296" t="s">
        <v>1689</v>
      </c>
      <c r="B309" s="291"/>
      <c r="C309" s="291"/>
      <c r="D309" s="291"/>
      <c r="E309" s="291"/>
      <c r="F309" s="291"/>
      <c r="G309" s="291"/>
      <c r="H309" s="291"/>
      <c r="I309" s="291"/>
      <c r="J309" s="291"/>
      <c r="K309" s="291"/>
      <c r="L309" s="291"/>
      <c r="M309" s="291"/>
      <c r="N309" s="291"/>
      <c r="O309" s="291"/>
      <c r="P309" s="291"/>
      <c r="Q309" s="291"/>
      <c r="R309" s="291"/>
      <c r="S309" s="291"/>
      <c r="T309" s="291"/>
      <c r="U309" s="285"/>
      <c r="V309" s="285"/>
      <c r="W309" s="285"/>
      <c r="X309" s="285"/>
      <c r="Y309" s="285"/>
      <c r="Z309" s="285"/>
      <c r="AA309" s="285"/>
      <c r="AB309" s="285"/>
      <c r="AC309" s="285"/>
      <c r="AD309" s="285"/>
      <c r="AE309" s="285"/>
      <c r="AF309" s="285"/>
      <c r="AG309" s="285"/>
      <c r="AH309" s="285"/>
      <c r="AI309" s="285"/>
      <c r="AJ309" s="285"/>
      <c r="AK309" s="285"/>
      <c r="AL309" s="285"/>
      <c r="AM309" s="285"/>
      <c r="AN309" s="285"/>
    </row>
    <row r="310" spans="1:40" ht="15" customHeight="1" x14ac:dyDescent="0.35">
      <c r="A310" s="536" t="s">
        <v>1493</v>
      </c>
      <c r="B310" s="535" t="s">
        <v>1690</v>
      </c>
      <c r="C310" s="535" t="s">
        <v>1900</v>
      </c>
      <c r="D310" s="535" t="s">
        <v>1899</v>
      </c>
      <c r="E310" s="535" t="s">
        <v>1693</v>
      </c>
      <c r="F310" s="535" t="s">
        <v>1694</v>
      </c>
      <c r="G310" s="535" t="s">
        <v>1695</v>
      </c>
      <c r="H310" s="539" t="s">
        <v>1599</v>
      </c>
      <c r="I310" s="536" t="s">
        <v>1496</v>
      </c>
      <c r="J310" s="536" t="s">
        <v>1497</v>
      </c>
      <c r="K310" s="535" t="s">
        <v>1696</v>
      </c>
      <c r="L310" s="535" t="s">
        <v>1901</v>
      </c>
      <c r="M310" s="535" t="s">
        <v>1699</v>
      </c>
      <c r="N310" s="535" t="s">
        <v>1902</v>
      </c>
      <c r="O310" s="535" t="s">
        <v>1700</v>
      </c>
      <c r="P310" s="535" t="s">
        <v>1701</v>
      </c>
      <c r="Q310" s="535" t="s">
        <v>1702</v>
      </c>
      <c r="R310" s="535" t="s">
        <v>1703</v>
      </c>
      <c r="S310" s="535" t="s">
        <v>1704</v>
      </c>
      <c r="T310" s="535" t="s">
        <v>1705</v>
      </c>
      <c r="V310" s="303"/>
      <c r="W310" s="285"/>
      <c r="X310" s="285"/>
      <c r="Y310" s="285"/>
      <c r="Z310" s="285"/>
      <c r="AA310" s="285"/>
      <c r="AB310" s="285"/>
      <c r="AC310" s="285"/>
      <c r="AD310" s="285"/>
      <c r="AE310" s="285"/>
      <c r="AF310" s="285"/>
      <c r="AG310" s="285"/>
      <c r="AH310" s="285"/>
      <c r="AI310" s="285"/>
      <c r="AJ310" s="285"/>
      <c r="AK310" s="285"/>
      <c r="AL310" s="285"/>
      <c r="AM310" s="285"/>
      <c r="AN310" s="285"/>
    </row>
    <row r="311" spans="1:40" x14ac:dyDescent="0.35">
      <c r="A311" s="536"/>
      <c r="B311" s="535"/>
      <c r="C311" s="535"/>
      <c r="D311" s="535"/>
      <c r="E311" s="535"/>
      <c r="F311" s="535"/>
      <c r="G311" s="535"/>
      <c r="H311" s="539"/>
      <c r="I311" s="536"/>
      <c r="J311" s="536"/>
      <c r="K311" s="535"/>
      <c r="L311" s="535"/>
      <c r="M311" s="535"/>
      <c r="N311" s="535"/>
      <c r="O311" s="535"/>
      <c r="P311" s="535"/>
      <c r="Q311" s="535"/>
      <c r="R311" s="535"/>
      <c r="S311" s="535"/>
      <c r="T311" s="535"/>
      <c r="V311" s="303"/>
      <c r="W311" s="285"/>
      <c r="X311" s="285"/>
      <c r="Y311" s="285"/>
      <c r="Z311" s="285"/>
      <c r="AA311" s="285"/>
      <c r="AB311" s="285"/>
      <c r="AC311" s="285"/>
      <c r="AD311" s="285"/>
      <c r="AE311" s="285"/>
      <c r="AF311" s="285"/>
      <c r="AG311" s="285"/>
      <c r="AH311" s="285"/>
      <c r="AI311" s="285"/>
      <c r="AJ311" s="285"/>
      <c r="AK311" s="285"/>
      <c r="AL311" s="285"/>
      <c r="AM311" s="285"/>
      <c r="AN311" s="285"/>
    </row>
    <row r="312" spans="1:40" x14ac:dyDescent="0.35">
      <c r="A312" s="537" t="s">
        <v>1903</v>
      </c>
      <c r="B312" s="291" t="s">
        <v>1652</v>
      </c>
      <c r="C312" s="291">
        <v>8</v>
      </c>
      <c r="D312" s="291">
        <v>3</v>
      </c>
      <c r="E312" s="291">
        <f t="shared" ref="E312:E336" si="37">C312*$B$303+D312*$E$303</f>
        <v>22.6</v>
      </c>
      <c r="F312" s="298">
        <f t="shared" ref="F312:F336" si="38">C312*$B$304+D312*$E$304</f>
        <v>6.8330000000000002</v>
      </c>
      <c r="G312" s="298">
        <f t="shared" ref="G312:G336" si="39">C312*$B$305+D312*$E$305</f>
        <v>5.4169999999999998</v>
      </c>
      <c r="H312" s="298">
        <f t="shared" ref="H312:H336" si="40">SQRT(E312^2+MAX(F312:G312)^2)</f>
        <v>23.610376722958065</v>
      </c>
      <c r="I312" s="291">
        <v>34.5</v>
      </c>
      <c r="J312" s="297">
        <f t="shared" ref="J312:J336" si="41">(H312*1000)/(SQRT(3)*I312)</f>
        <v>395.11470599038591</v>
      </c>
      <c r="K312" s="292">
        <v>422.9</v>
      </c>
      <c r="L312" s="292">
        <v>1014</v>
      </c>
      <c r="M312" s="300">
        <v>600</v>
      </c>
      <c r="N312" s="292">
        <v>1014</v>
      </c>
      <c r="O312" s="301">
        <f>MIN(F344:P344)</f>
        <v>1014</v>
      </c>
      <c r="P312" s="301">
        <f>SMALL(F344:P344,2)</f>
        <v>1014</v>
      </c>
      <c r="Q312" s="286">
        <f t="shared" ref="Q312:Q336" si="42">MIN(J312:P312)</f>
        <v>395.11470599038591</v>
      </c>
      <c r="R312" s="286" t="s">
        <v>1706</v>
      </c>
      <c r="S312" s="307">
        <f t="shared" ref="S312:S336" si="43">SMALL(J312:P312,2)</f>
        <v>422.9</v>
      </c>
      <c r="T312" s="296" t="s">
        <v>1696</v>
      </c>
      <c r="V312" s="296"/>
      <c r="W312" s="285"/>
      <c r="X312" s="285"/>
      <c r="Y312" s="285"/>
      <c r="Z312" s="285"/>
      <c r="AA312" s="285"/>
      <c r="AB312" s="285"/>
      <c r="AC312" s="285"/>
      <c r="AD312" s="285"/>
      <c r="AE312" s="285"/>
      <c r="AF312" s="285"/>
      <c r="AG312" s="285"/>
      <c r="AH312" s="285"/>
      <c r="AI312" s="285"/>
      <c r="AJ312" s="285"/>
      <c r="AK312" s="285"/>
      <c r="AL312" s="285"/>
      <c r="AM312" s="285"/>
      <c r="AN312" s="285"/>
    </row>
    <row r="313" spans="1:40" x14ac:dyDescent="0.35">
      <c r="A313" s="537"/>
      <c r="B313" s="291" t="s">
        <v>1653</v>
      </c>
      <c r="C313" s="291">
        <v>0</v>
      </c>
      <c r="D313" s="291">
        <v>10</v>
      </c>
      <c r="E313" s="291">
        <f t="shared" si="37"/>
        <v>22</v>
      </c>
      <c r="F313" s="298">
        <f t="shared" si="38"/>
        <v>7.2299999999999995</v>
      </c>
      <c r="G313" s="298">
        <f t="shared" si="39"/>
        <v>7.2299999999999995</v>
      </c>
      <c r="H313" s="298">
        <f t="shared" si="40"/>
        <v>23.157566797917262</v>
      </c>
      <c r="I313" s="291">
        <v>34.5</v>
      </c>
      <c r="J313" s="297">
        <f t="shared" si="41"/>
        <v>387.53702679867456</v>
      </c>
      <c r="K313" s="292">
        <v>422.9</v>
      </c>
      <c r="L313" s="292">
        <v>1014</v>
      </c>
      <c r="M313" s="300">
        <v>600</v>
      </c>
      <c r="N313" s="292">
        <v>1014</v>
      </c>
      <c r="O313" s="301">
        <f>MIN(F344:P344)</f>
        <v>1014</v>
      </c>
      <c r="P313" s="301">
        <f>SMALL(F344:P344,2)</f>
        <v>1014</v>
      </c>
      <c r="Q313" s="286">
        <f t="shared" si="42"/>
        <v>387.53702679867456</v>
      </c>
      <c r="R313" s="286" t="s">
        <v>1706</v>
      </c>
      <c r="S313" s="307">
        <f t="shared" si="43"/>
        <v>422.9</v>
      </c>
      <c r="T313" s="296" t="s">
        <v>1696</v>
      </c>
      <c r="V313" s="296"/>
      <c r="W313" s="285"/>
      <c r="X313" s="285"/>
      <c r="Y313" s="285"/>
      <c r="Z313" s="285"/>
      <c r="AA313" s="285"/>
      <c r="AB313" s="285"/>
      <c r="AC313" s="285"/>
      <c r="AD313" s="285"/>
      <c r="AE313" s="285"/>
      <c r="AF313" s="285"/>
      <c r="AG313" s="285"/>
      <c r="AH313" s="285"/>
      <c r="AI313" s="285"/>
      <c r="AJ313" s="285"/>
      <c r="AK313" s="285"/>
      <c r="AL313" s="285"/>
      <c r="AM313" s="285"/>
      <c r="AN313" s="285"/>
    </row>
    <row r="314" spans="1:40" x14ac:dyDescent="0.35">
      <c r="A314" s="537"/>
      <c r="B314" s="291" t="s">
        <v>1656</v>
      </c>
      <c r="C314" s="291">
        <v>8</v>
      </c>
      <c r="D314" s="291">
        <v>3</v>
      </c>
      <c r="E314" s="291">
        <f t="shared" si="37"/>
        <v>22.6</v>
      </c>
      <c r="F314" s="298">
        <f t="shared" si="38"/>
        <v>6.8330000000000002</v>
      </c>
      <c r="G314" s="298">
        <f t="shared" si="39"/>
        <v>5.4169999999999998</v>
      </c>
      <c r="H314" s="298">
        <f t="shared" si="40"/>
        <v>23.610376722958065</v>
      </c>
      <c r="I314" s="291">
        <v>34.5</v>
      </c>
      <c r="J314" s="297">
        <f t="shared" si="41"/>
        <v>395.11470599038591</v>
      </c>
      <c r="K314" s="292">
        <v>422.9</v>
      </c>
      <c r="L314" s="292">
        <v>1014</v>
      </c>
      <c r="M314" s="300">
        <v>600</v>
      </c>
      <c r="N314" s="292">
        <v>1014</v>
      </c>
      <c r="O314" s="301">
        <f>MIN(F345:P345)</f>
        <v>1014</v>
      </c>
      <c r="P314" s="301">
        <f>SMALL(F345:P345,2)</f>
        <v>1014</v>
      </c>
      <c r="Q314" s="286">
        <f t="shared" si="42"/>
        <v>395.11470599038591</v>
      </c>
      <c r="R314" s="286" t="s">
        <v>1706</v>
      </c>
      <c r="S314" s="307">
        <f t="shared" si="43"/>
        <v>422.9</v>
      </c>
      <c r="T314" s="296" t="s">
        <v>1696</v>
      </c>
      <c r="V314" s="296"/>
      <c r="W314" s="285"/>
      <c r="X314" s="285"/>
      <c r="Y314" s="285"/>
      <c r="Z314" s="285"/>
      <c r="AA314" s="285"/>
      <c r="AB314" s="285"/>
      <c r="AC314" s="285"/>
      <c r="AD314" s="285"/>
      <c r="AE314" s="285"/>
      <c r="AF314" s="285"/>
      <c r="AG314" s="285"/>
      <c r="AH314" s="285"/>
      <c r="AI314" s="285"/>
      <c r="AJ314" s="285"/>
      <c r="AK314" s="285"/>
      <c r="AL314" s="285"/>
      <c r="AM314" s="285"/>
      <c r="AN314" s="285"/>
    </row>
    <row r="315" spans="1:40" x14ac:dyDescent="0.35">
      <c r="A315" s="537"/>
      <c r="B315" s="291" t="s">
        <v>1657</v>
      </c>
      <c r="C315" s="291">
        <v>11</v>
      </c>
      <c r="D315" s="291">
        <v>0</v>
      </c>
      <c r="E315" s="291">
        <f t="shared" si="37"/>
        <v>22</v>
      </c>
      <c r="F315" s="298">
        <f t="shared" si="38"/>
        <v>6.4129999999999994</v>
      </c>
      <c r="G315" s="298">
        <f t="shared" si="39"/>
        <v>4.4660000000000002</v>
      </c>
      <c r="H315" s="298">
        <f t="shared" si="40"/>
        <v>22.91564027034811</v>
      </c>
      <c r="I315" s="291">
        <v>34.5</v>
      </c>
      <c r="J315" s="297">
        <f t="shared" si="41"/>
        <v>383.48843706487281</v>
      </c>
      <c r="K315" s="292">
        <v>422.9</v>
      </c>
      <c r="L315" s="292">
        <v>1014</v>
      </c>
      <c r="M315" s="300">
        <v>600</v>
      </c>
      <c r="N315" s="292">
        <v>1014</v>
      </c>
      <c r="O315" s="301">
        <f>MIN(F345:P345)</f>
        <v>1014</v>
      </c>
      <c r="P315" s="301">
        <f>SMALL(F345:P345,2)</f>
        <v>1014</v>
      </c>
      <c r="Q315" s="286">
        <f t="shared" si="42"/>
        <v>383.48843706487281</v>
      </c>
      <c r="R315" s="286" t="s">
        <v>1706</v>
      </c>
      <c r="S315" s="307">
        <f t="shared" si="43"/>
        <v>422.9</v>
      </c>
      <c r="T315" s="296" t="s">
        <v>1696</v>
      </c>
      <c r="V315" s="296"/>
      <c r="W315" s="285"/>
      <c r="X315" s="285"/>
      <c r="Y315" s="285"/>
      <c r="Z315" s="285"/>
      <c r="AA315" s="285"/>
      <c r="AB315" s="285"/>
      <c r="AC315" s="285"/>
      <c r="AD315" s="285"/>
      <c r="AE315" s="285"/>
      <c r="AF315" s="285"/>
      <c r="AG315" s="285"/>
      <c r="AH315" s="285"/>
      <c r="AI315" s="285"/>
      <c r="AJ315" s="285"/>
      <c r="AK315" s="285"/>
      <c r="AL315" s="285"/>
      <c r="AM315" s="285"/>
      <c r="AN315" s="285"/>
    </row>
    <row r="316" spans="1:40" x14ac:dyDescent="0.35">
      <c r="A316" s="537"/>
      <c r="B316" s="291" t="s">
        <v>1658</v>
      </c>
      <c r="C316" s="291">
        <v>0</v>
      </c>
      <c r="D316" s="291">
        <v>4</v>
      </c>
      <c r="E316" s="291">
        <f t="shared" si="37"/>
        <v>8.8000000000000007</v>
      </c>
      <c r="F316" s="298">
        <f t="shared" si="38"/>
        <v>2.8919999999999999</v>
      </c>
      <c r="G316" s="298">
        <f t="shared" si="39"/>
        <v>2.8919999999999999</v>
      </c>
      <c r="H316" s="298">
        <f t="shared" si="40"/>
        <v>9.2630267191669056</v>
      </c>
      <c r="I316" s="291">
        <v>34.5</v>
      </c>
      <c r="J316" s="297">
        <f t="shared" si="41"/>
        <v>155.01481071946986</v>
      </c>
      <c r="K316" s="292">
        <v>316.60000000000002</v>
      </c>
      <c r="L316" s="292">
        <v>1014</v>
      </c>
      <c r="M316" s="300">
        <v>600</v>
      </c>
      <c r="N316" s="292">
        <v>1014</v>
      </c>
      <c r="O316" s="301">
        <f>MIN(F346:P346)</f>
        <v>1014</v>
      </c>
      <c r="P316" s="301">
        <f>SMALL(F346:P346,2)</f>
        <v>1014</v>
      </c>
      <c r="Q316" s="286">
        <f t="shared" si="42"/>
        <v>155.01481071946986</v>
      </c>
      <c r="R316" s="286" t="s">
        <v>1706</v>
      </c>
      <c r="S316" s="307">
        <f t="shared" si="43"/>
        <v>316.60000000000002</v>
      </c>
      <c r="T316" s="296" t="s">
        <v>1696</v>
      </c>
      <c r="V316" s="296"/>
      <c r="W316" s="285"/>
      <c r="X316" s="285"/>
      <c r="Y316" s="285"/>
      <c r="Z316" s="285"/>
      <c r="AA316" s="285"/>
      <c r="AB316" s="285"/>
      <c r="AC316" s="285"/>
      <c r="AD316" s="285"/>
      <c r="AE316" s="285"/>
      <c r="AF316" s="285"/>
      <c r="AG316" s="285"/>
      <c r="AH316" s="285"/>
      <c r="AI316" s="285"/>
      <c r="AJ316" s="285"/>
      <c r="AK316" s="285"/>
      <c r="AL316" s="285"/>
      <c r="AM316" s="285"/>
      <c r="AN316" s="285"/>
    </row>
    <row r="317" spans="1:40" x14ac:dyDescent="0.35">
      <c r="A317" s="537"/>
      <c r="B317" s="291" t="s">
        <v>1659</v>
      </c>
      <c r="C317" s="291">
        <v>0</v>
      </c>
      <c r="D317" s="291">
        <v>10</v>
      </c>
      <c r="E317" s="291">
        <f t="shared" si="37"/>
        <v>22</v>
      </c>
      <c r="F317" s="298">
        <f t="shared" si="38"/>
        <v>7.2299999999999995</v>
      </c>
      <c r="G317" s="298">
        <f t="shared" si="39"/>
        <v>7.2299999999999995</v>
      </c>
      <c r="H317" s="298">
        <f t="shared" si="40"/>
        <v>23.157566797917262</v>
      </c>
      <c r="I317" s="291">
        <v>34.5</v>
      </c>
      <c r="J317" s="297">
        <f t="shared" si="41"/>
        <v>387.53702679867456</v>
      </c>
      <c r="K317" s="292">
        <v>422.9</v>
      </c>
      <c r="L317" s="292">
        <v>1014</v>
      </c>
      <c r="M317" s="300">
        <v>600</v>
      </c>
      <c r="N317" s="292">
        <v>1014</v>
      </c>
      <c r="O317" s="301">
        <f>MIN(F346:P346)</f>
        <v>1014</v>
      </c>
      <c r="P317" s="301">
        <f>SMALL(F346:P346,2)</f>
        <v>1014</v>
      </c>
      <c r="Q317" s="286">
        <f t="shared" si="42"/>
        <v>387.53702679867456</v>
      </c>
      <c r="R317" s="286" t="s">
        <v>1706</v>
      </c>
      <c r="S317" s="307">
        <f t="shared" si="43"/>
        <v>422.9</v>
      </c>
      <c r="T317" s="296" t="s">
        <v>1696</v>
      </c>
      <c r="V317" s="296"/>
      <c r="W317" s="285"/>
      <c r="X317" s="285"/>
      <c r="Y317" s="285"/>
      <c r="Z317" s="285"/>
      <c r="AA317" s="285"/>
      <c r="AB317" s="285"/>
      <c r="AC317" s="285"/>
      <c r="AD317" s="285"/>
      <c r="AE317" s="285"/>
      <c r="AF317" s="285"/>
      <c r="AG317" s="285"/>
      <c r="AH317" s="285"/>
      <c r="AI317" s="285"/>
      <c r="AJ317" s="285"/>
      <c r="AK317" s="285"/>
      <c r="AL317" s="285"/>
      <c r="AM317" s="285"/>
      <c r="AN317" s="285"/>
    </row>
    <row r="318" spans="1:40" x14ac:dyDescent="0.35">
      <c r="A318" s="537"/>
      <c r="B318" s="291" t="s">
        <v>1865</v>
      </c>
      <c r="C318" s="291">
        <v>0</v>
      </c>
      <c r="D318" s="291">
        <v>10</v>
      </c>
      <c r="E318" s="291">
        <f t="shared" si="37"/>
        <v>22</v>
      </c>
      <c r="F318" s="298">
        <f t="shared" si="38"/>
        <v>7.2299999999999995</v>
      </c>
      <c r="G318" s="298">
        <f t="shared" si="39"/>
        <v>7.2299999999999995</v>
      </c>
      <c r="H318" s="298">
        <f t="shared" si="40"/>
        <v>23.157566797917262</v>
      </c>
      <c r="I318" s="291">
        <v>34.5</v>
      </c>
      <c r="J318" s="297">
        <f t="shared" si="41"/>
        <v>387.53702679867456</v>
      </c>
      <c r="K318" s="292">
        <v>422.9</v>
      </c>
      <c r="L318" s="292">
        <v>1014</v>
      </c>
      <c r="M318" s="300">
        <v>600</v>
      </c>
      <c r="N318" s="292">
        <v>1014</v>
      </c>
      <c r="O318" s="301">
        <f>MIN(F347:P347)</f>
        <v>1014</v>
      </c>
      <c r="P318" s="301">
        <f>SMALL(F347:P347,2)</f>
        <v>1014</v>
      </c>
      <c r="Q318" s="286">
        <f t="shared" si="42"/>
        <v>387.53702679867456</v>
      </c>
      <c r="R318" s="286" t="s">
        <v>1706</v>
      </c>
      <c r="S318" s="307">
        <f t="shared" si="43"/>
        <v>422.9</v>
      </c>
      <c r="T318" s="296" t="s">
        <v>1696</v>
      </c>
      <c r="V318" s="296"/>
      <c r="W318" s="285"/>
      <c r="X318" s="285"/>
      <c r="Y318" s="285"/>
      <c r="Z318" s="285"/>
      <c r="AA318" s="285"/>
      <c r="AB318" s="285"/>
      <c r="AC318" s="285"/>
      <c r="AD318" s="285"/>
      <c r="AE318" s="285"/>
      <c r="AF318" s="285"/>
      <c r="AG318" s="285"/>
      <c r="AH318" s="285"/>
      <c r="AI318" s="285"/>
      <c r="AJ318" s="285"/>
      <c r="AK318" s="285"/>
      <c r="AL318" s="285"/>
      <c r="AM318" s="285"/>
      <c r="AN318" s="285"/>
    </row>
    <row r="319" spans="1:40" x14ac:dyDescent="0.35">
      <c r="A319" s="537"/>
      <c r="B319" s="291" t="s">
        <v>1866</v>
      </c>
      <c r="C319" s="291">
        <v>0</v>
      </c>
      <c r="D319" s="291">
        <v>10</v>
      </c>
      <c r="E319" s="291">
        <f t="shared" si="37"/>
        <v>22</v>
      </c>
      <c r="F319" s="298">
        <f t="shared" si="38"/>
        <v>7.2299999999999995</v>
      </c>
      <c r="G319" s="298">
        <f t="shared" si="39"/>
        <v>7.2299999999999995</v>
      </c>
      <c r="H319" s="298">
        <f t="shared" si="40"/>
        <v>23.157566797917262</v>
      </c>
      <c r="I319" s="291">
        <v>34.5</v>
      </c>
      <c r="J319" s="297">
        <f t="shared" si="41"/>
        <v>387.53702679867456</v>
      </c>
      <c r="K319" s="292">
        <v>422.9</v>
      </c>
      <c r="L319" s="292">
        <v>1014</v>
      </c>
      <c r="M319" s="300">
        <v>600</v>
      </c>
      <c r="N319" s="292">
        <v>1014</v>
      </c>
      <c r="O319" s="301">
        <f>MIN(F347:P347)</f>
        <v>1014</v>
      </c>
      <c r="P319" s="301">
        <f>SMALL(F347:P347,2)</f>
        <v>1014</v>
      </c>
      <c r="Q319" s="286">
        <f t="shared" si="42"/>
        <v>387.53702679867456</v>
      </c>
      <c r="R319" s="286" t="s">
        <v>1706</v>
      </c>
      <c r="S319" s="307">
        <f t="shared" si="43"/>
        <v>422.9</v>
      </c>
      <c r="T319" s="296" t="s">
        <v>1696</v>
      </c>
      <c r="V319" s="296"/>
      <c r="W319" s="285"/>
      <c r="X319" s="285"/>
      <c r="Y319" s="285"/>
      <c r="Z319" s="285"/>
      <c r="AA319" s="285"/>
      <c r="AB319" s="285"/>
      <c r="AC319" s="285"/>
      <c r="AD319" s="285"/>
      <c r="AE319" s="285"/>
      <c r="AF319" s="285"/>
      <c r="AG319" s="285"/>
      <c r="AH319" s="285"/>
      <c r="AI319" s="285"/>
      <c r="AJ319" s="285"/>
      <c r="AK319" s="285"/>
      <c r="AL319" s="285"/>
      <c r="AM319" s="285"/>
      <c r="AN319" s="285"/>
    </row>
    <row r="320" spans="1:40" x14ac:dyDescent="0.35">
      <c r="A320" s="537"/>
      <c r="B320" s="291">
        <v>2202</v>
      </c>
      <c r="C320" s="291">
        <v>0</v>
      </c>
      <c r="D320" s="291">
        <v>10</v>
      </c>
      <c r="E320" s="291">
        <f t="shared" si="37"/>
        <v>22</v>
      </c>
      <c r="F320" s="298">
        <f t="shared" si="38"/>
        <v>7.2299999999999995</v>
      </c>
      <c r="G320" s="298">
        <f t="shared" si="39"/>
        <v>7.2299999999999995</v>
      </c>
      <c r="H320" s="298">
        <f t="shared" si="40"/>
        <v>23.157566797917262</v>
      </c>
      <c r="I320" s="291">
        <v>34.5</v>
      </c>
      <c r="J320" s="297">
        <f t="shared" si="41"/>
        <v>387.53702679867456</v>
      </c>
      <c r="K320" s="292">
        <v>422.9</v>
      </c>
      <c r="L320" s="292">
        <v>1014</v>
      </c>
      <c r="M320" s="300">
        <v>600</v>
      </c>
      <c r="N320" s="292">
        <v>1014</v>
      </c>
      <c r="O320" s="301">
        <f>MIN(F348:P348)</f>
        <v>1014</v>
      </c>
      <c r="P320" s="301">
        <f>SMALL(F348:P348,2)</f>
        <v>1014</v>
      </c>
      <c r="Q320" s="286">
        <f t="shared" si="42"/>
        <v>387.53702679867456</v>
      </c>
      <c r="R320" s="286" t="s">
        <v>1706</v>
      </c>
      <c r="S320" s="307">
        <f t="shared" si="43"/>
        <v>422.9</v>
      </c>
      <c r="T320" s="296" t="s">
        <v>1696</v>
      </c>
      <c r="V320" s="296"/>
      <c r="W320" s="285"/>
      <c r="X320" s="285"/>
      <c r="Y320" s="285"/>
      <c r="Z320" s="285"/>
      <c r="AA320" s="285"/>
      <c r="AB320" s="285"/>
      <c r="AC320" s="285"/>
      <c r="AD320" s="285"/>
      <c r="AE320" s="285"/>
      <c r="AF320" s="285"/>
      <c r="AG320" s="285"/>
      <c r="AH320" s="285"/>
      <c r="AI320" s="285"/>
      <c r="AJ320" s="285"/>
      <c r="AK320" s="285"/>
      <c r="AL320" s="285"/>
      <c r="AM320" s="285"/>
      <c r="AN320" s="285"/>
    </row>
    <row r="321" spans="1:40" x14ac:dyDescent="0.35">
      <c r="A321" s="537"/>
      <c r="B321" s="291" t="s">
        <v>1868</v>
      </c>
      <c r="C321" s="291">
        <v>0</v>
      </c>
      <c r="D321" s="291">
        <v>10</v>
      </c>
      <c r="E321" s="291">
        <f t="shared" si="37"/>
        <v>22</v>
      </c>
      <c r="F321" s="298">
        <f t="shared" si="38"/>
        <v>7.2299999999999995</v>
      </c>
      <c r="G321" s="298">
        <f t="shared" si="39"/>
        <v>7.2299999999999995</v>
      </c>
      <c r="H321" s="298">
        <f t="shared" si="40"/>
        <v>23.157566797917262</v>
      </c>
      <c r="I321" s="291">
        <v>34.5</v>
      </c>
      <c r="J321" s="297">
        <f t="shared" si="41"/>
        <v>387.53702679867456</v>
      </c>
      <c r="K321" s="292">
        <v>422.9</v>
      </c>
      <c r="L321" s="292">
        <v>1014</v>
      </c>
      <c r="M321" s="300">
        <v>600</v>
      </c>
      <c r="N321" s="292">
        <v>1014</v>
      </c>
      <c r="O321" s="301">
        <f>MIN(F349:P349)</f>
        <v>1014</v>
      </c>
      <c r="P321" s="301">
        <f>SMALL(F349:P349,2)</f>
        <v>1014</v>
      </c>
      <c r="Q321" s="286">
        <f t="shared" si="42"/>
        <v>387.53702679867456</v>
      </c>
      <c r="R321" s="286" t="s">
        <v>1706</v>
      </c>
      <c r="S321" s="307">
        <f t="shared" si="43"/>
        <v>422.9</v>
      </c>
      <c r="T321" s="296" t="s">
        <v>1696</v>
      </c>
      <c r="V321" s="296"/>
      <c r="W321" s="285"/>
      <c r="X321" s="285"/>
      <c r="Y321" s="285"/>
      <c r="Z321" s="285"/>
      <c r="AA321" s="285"/>
      <c r="AB321" s="285"/>
      <c r="AC321" s="285"/>
      <c r="AD321" s="285"/>
      <c r="AE321" s="285"/>
      <c r="AF321" s="285"/>
      <c r="AG321" s="285"/>
      <c r="AH321" s="285"/>
      <c r="AI321" s="285"/>
      <c r="AJ321" s="285"/>
      <c r="AK321" s="285"/>
      <c r="AL321" s="285"/>
      <c r="AM321" s="285"/>
      <c r="AN321" s="285"/>
    </row>
    <row r="322" spans="1:40" x14ac:dyDescent="0.35">
      <c r="A322" s="537"/>
      <c r="B322" s="291" t="s">
        <v>1869</v>
      </c>
      <c r="C322" s="291">
        <v>0</v>
      </c>
      <c r="D322" s="291">
        <v>10</v>
      </c>
      <c r="E322" s="291">
        <f t="shared" si="37"/>
        <v>22</v>
      </c>
      <c r="F322" s="298">
        <f t="shared" si="38"/>
        <v>7.2299999999999995</v>
      </c>
      <c r="G322" s="298">
        <f t="shared" si="39"/>
        <v>7.2299999999999995</v>
      </c>
      <c r="H322" s="298">
        <f t="shared" si="40"/>
        <v>23.157566797917262</v>
      </c>
      <c r="I322" s="291">
        <v>34.5</v>
      </c>
      <c r="J322" s="297">
        <f t="shared" si="41"/>
        <v>387.53702679867456</v>
      </c>
      <c r="K322" s="292">
        <v>422.9</v>
      </c>
      <c r="L322" s="292">
        <v>1014</v>
      </c>
      <c r="M322" s="300">
        <v>600</v>
      </c>
      <c r="N322" s="292">
        <v>1014</v>
      </c>
      <c r="O322" s="301">
        <f>MIN(F349:P349)</f>
        <v>1014</v>
      </c>
      <c r="P322" s="301">
        <f>SMALL(F349:P349,2)</f>
        <v>1014</v>
      </c>
      <c r="Q322" s="286">
        <f t="shared" si="42"/>
        <v>387.53702679867456</v>
      </c>
      <c r="R322" s="286" t="s">
        <v>1706</v>
      </c>
      <c r="S322" s="307">
        <f t="shared" si="43"/>
        <v>422.9</v>
      </c>
      <c r="T322" s="296" t="s">
        <v>1696</v>
      </c>
      <c r="V322" s="296"/>
      <c r="W322" s="285"/>
      <c r="X322" s="285"/>
      <c r="Y322" s="285"/>
      <c r="Z322" s="285"/>
      <c r="AA322" s="285"/>
      <c r="AB322" s="285"/>
      <c r="AC322" s="285"/>
      <c r="AD322" s="285"/>
      <c r="AE322" s="285"/>
      <c r="AF322" s="285"/>
      <c r="AG322" s="285"/>
      <c r="AH322" s="285"/>
      <c r="AI322" s="285"/>
      <c r="AJ322" s="285"/>
      <c r="AK322" s="285"/>
      <c r="AL322" s="285"/>
      <c r="AM322" s="285"/>
      <c r="AN322" s="285"/>
    </row>
    <row r="323" spans="1:40" x14ac:dyDescent="0.35">
      <c r="A323" s="537" t="s">
        <v>1879</v>
      </c>
      <c r="B323" s="291" t="s">
        <v>1606</v>
      </c>
      <c r="C323" s="291">
        <v>0</v>
      </c>
      <c r="D323" s="291">
        <v>8</v>
      </c>
      <c r="E323" s="291">
        <f t="shared" si="37"/>
        <v>17.600000000000001</v>
      </c>
      <c r="F323" s="298">
        <f t="shared" si="38"/>
        <v>5.7839999999999998</v>
      </c>
      <c r="G323" s="298">
        <f t="shared" si="39"/>
        <v>5.7839999999999998</v>
      </c>
      <c r="H323" s="298">
        <f t="shared" si="40"/>
        <v>18.526053438333811</v>
      </c>
      <c r="I323" s="291">
        <v>34.5</v>
      </c>
      <c r="J323" s="297">
        <f t="shared" si="41"/>
        <v>310.02962143893973</v>
      </c>
      <c r="K323" s="292">
        <v>348.6</v>
      </c>
      <c r="L323" s="292">
        <v>1014</v>
      </c>
      <c r="M323" s="300">
        <v>600</v>
      </c>
      <c r="N323" s="292">
        <v>1014</v>
      </c>
      <c r="O323" s="301">
        <f>MIN(F350:P350)</f>
        <v>1014</v>
      </c>
      <c r="P323" s="301">
        <f>SMALL(F350:P350,2)</f>
        <v>1014</v>
      </c>
      <c r="Q323" s="286">
        <f t="shared" si="42"/>
        <v>310.02962143893973</v>
      </c>
      <c r="R323" s="286" t="s">
        <v>1706</v>
      </c>
      <c r="S323" s="307">
        <f t="shared" si="43"/>
        <v>348.6</v>
      </c>
      <c r="T323" s="296" t="s">
        <v>1696</v>
      </c>
      <c r="V323" s="296"/>
      <c r="W323" s="285"/>
      <c r="X323" s="285"/>
      <c r="Y323" s="285"/>
      <c r="Z323" s="285"/>
      <c r="AA323" s="285"/>
      <c r="AB323" s="285"/>
      <c r="AC323" s="285"/>
      <c r="AD323" s="285"/>
      <c r="AE323" s="285"/>
      <c r="AF323" s="285"/>
      <c r="AG323" s="285"/>
      <c r="AH323" s="285"/>
      <c r="AI323" s="285"/>
      <c r="AJ323" s="285"/>
      <c r="AK323" s="285"/>
      <c r="AL323" s="285"/>
      <c r="AM323" s="285"/>
      <c r="AN323" s="285"/>
    </row>
    <row r="324" spans="1:40" x14ac:dyDescent="0.35">
      <c r="A324" s="537"/>
      <c r="B324" s="291" t="s">
        <v>1608</v>
      </c>
      <c r="C324" s="291">
        <v>0</v>
      </c>
      <c r="D324" s="291">
        <v>8</v>
      </c>
      <c r="E324" s="291">
        <f t="shared" si="37"/>
        <v>17.600000000000001</v>
      </c>
      <c r="F324" s="298">
        <f t="shared" si="38"/>
        <v>5.7839999999999998</v>
      </c>
      <c r="G324" s="298">
        <f t="shared" si="39"/>
        <v>5.7839999999999998</v>
      </c>
      <c r="H324" s="298">
        <f t="shared" si="40"/>
        <v>18.526053438333811</v>
      </c>
      <c r="I324" s="291">
        <v>34.5</v>
      </c>
      <c r="J324" s="297">
        <f t="shared" si="41"/>
        <v>310.02962143893973</v>
      </c>
      <c r="K324" s="292">
        <v>348.6</v>
      </c>
      <c r="L324" s="292">
        <v>1014</v>
      </c>
      <c r="M324" s="300">
        <v>600</v>
      </c>
      <c r="N324" s="292">
        <v>1014</v>
      </c>
      <c r="O324" s="301">
        <f>MIN(F350:P350)</f>
        <v>1014</v>
      </c>
      <c r="P324" s="301">
        <f>SMALL(F350:P350,2)</f>
        <v>1014</v>
      </c>
      <c r="Q324" s="286">
        <f t="shared" si="42"/>
        <v>310.02962143893973</v>
      </c>
      <c r="R324" s="286" t="s">
        <v>1706</v>
      </c>
      <c r="S324" s="307">
        <f t="shared" si="43"/>
        <v>348.6</v>
      </c>
      <c r="T324" s="296" t="s">
        <v>1696</v>
      </c>
      <c r="V324" s="296"/>
      <c r="W324" s="285"/>
      <c r="X324" s="285"/>
      <c r="Y324" s="285"/>
      <c r="Z324" s="285"/>
      <c r="AA324" s="285"/>
      <c r="AB324" s="285"/>
      <c r="AC324" s="285"/>
      <c r="AD324" s="285"/>
      <c r="AE324" s="285"/>
      <c r="AF324" s="285"/>
      <c r="AG324" s="285"/>
      <c r="AH324" s="285"/>
      <c r="AI324" s="285"/>
      <c r="AJ324" s="285"/>
      <c r="AK324" s="285"/>
      <c r="AL324" s="285"/>
      <c r="AM324" s="285"/>
      <c r="AN324" s="285"/>
    </row>
    <row r="325" spans="1:40" x14ac:dyDescent="0.35">
      <c r="A325" s="537"/>
      <c r="B325" s="291" t="s">
        <v>1880</v>
      </c>
      <c r="C325" s="291">
        <v>0</v>
      </c>
      <c r="D325" s="291">
        <v>7</v>
      </c>
      <c r="E325" s="291">
        <f t="shared" si="37"/>
        <v>15.400000000000002</v>
      </c>
      <c r="F325" s="298">
        <f t="shared" si="38"/>
        <v>5.0609999999999999</v>
      </c>
      <c r="G325" s="298">
        <f t="shared" si="39"/>
        <v>5.0609999999999999</v>
      </c>
      <c r="H325" s="298">
        <f t="shared" si="40"/>
        <v>16.210296758542086</v>
      </c>
      <c r="I325" s="291">
        <v>34.5</v>
      </c>
      <c r="J325" s="297">
        <f t="shared" si="41"/>
        <v>271.27591875907223</v>
      </c>
      <c r="K325" s="292">
        <v>348.6</v>
      </c>
      <c r="L325" s="292">
        <v>1014</v>
      </c>
      <c r="M325" s="300">
        <v>600</v>
      </c>
      <c r="N325" s="292">
        <v>1014</v>
      </c>
      <c r="O325" s="301">
        <f>MIN(F350:P350)</f>
        <v>1014</v>
      </c>
      <c r="P325" s="301">
        <f>SMALL(F350:P350,2)</f>
        <v>1014</v>
      </c>
      <c r="Q325" s="286">
        <f t="shared" si="42"/>
        <v>271.27591875907223</v>
      </c>
      <c r="R325" s="286" t="s">
        <v>1706</v>
      </c>
      <c r="S325" s="307">
        <f t="shared" si="43"/>
        <v>348.6</v>
      </c>
      <c r="T325" s="296" t="s">
        <v>1696</v>
      </c>
      <c r="V325" s="296"/>
      <c r="W325" s="285"/>
      <c r="X325" s="285"/>
      <c r="Y325" s="285"/>
      <c r="Z325" s="285"/>
      <c r="AA325" s="285"/>
      <c r="AB325" s="285"/>
      <c r="AC325" s="285"/>
      <c r="AD325" s="285"/>
      <c r="AE325" s="285"/>
      <c r="AF325" s="285"/>
      <c r="AG325" s="285"/>
      <c r="AH325" s="285"/>
      <c r="AI325" s="285"/>
      <c r="AJ325" s="285"/>
      <c r="AK325" s="285"/>
      <c r="AL325" s="285"/>
      <c r="AM325" s="285"/>
      <c r="AN325" s="285"/>
    </row>
    <row r="326" spans="1:40" x14ac:dyDescent="0.35">
      <c r="A326" s="537"/>
      <c r="B326" s="291" t="s">
        <v>1610</v>
      </c>
      <c r="C326" s="291">
        <v>0</v>
      </c>
      <c r="D326" s="291">
        <v>8</v>
      </c>
      <c r="E326" s="291">
        <f t="shared" si="37"/>
        <v>17.600000000000001</v>
      </c>
      <c r="F326" s="298">
        <f t="shared" si="38"/>
        <v>5.7839999999999998</v>
      </c>
      <c r="G326" s="298">
        <f t="shared" si="39"/>
        <v>5.7839999999999998</v>
      </c>
      <c r="H326" s="298">
        <f t="shared" si="40"/>
        <v>18.526053438333811</v>
      </c>
      <c r="I326" s="291">
        <v>34.5</v>
      </c>
      <c r="J326" s="297">
        <f t="shared" si="41"/>
        <v>310.02962143893973</v>
      </c>
      <c r="K326" s="292">
        <v>348.6</v>
      </c>
      <c r="L326" s="292">
        <v>1014</v>
      </c>
      <c r="M326" s="300">
        <v>600</v>
      </c>
      <c r="N326" s="292">
        <v>1014</v>
      </c>
      <c r="O326" s="301">
        <f>MIN(F351:P351)</f>
        <v>1014</v>
      </c>
      <c r="P326" s="301">
        <f>SMALL(F351:P351,2)</f>
        <v>1014</v>
      </c>
      <c r="Q326" s="286">
        <f t="shared" si="42"/>
        <v>310.02962143893973</v>
      </c>
      <c r="R326" s="286" t="s">
        <v>1706</v>
      </c>
      <c r="S326" s="307">
        <f t="shared" si="43"/>
        <v>348.6</v>
      </c>
      <c r="T326" s="296" t="s">
        <v>1696</v>
      </c>
      <c r="V326" s="296"/>
      <c r="W326" s="285"/>
      <c r="X326" s="285"/>
      <c r="Y326" s="285"/>
      <c r="Z326" s="285"/>
      <c r="AA326" s="285"/>
      <c r="AB326" s="285"/>
      <c r="AC326" s="285"/>
      <c r="AD326" s="285"/>
      <c r="AE326" s="285"/>
      <c r="AF326" s="285"/>
      <c r="AG326" s="285"/>
      <c r="AH326" s="285"/>
      <c r="AI326" s="285"/>
      <c r="AJ326" s="285"/>
      <c r="AK326" s="285"/>
      <c r="AL326" s="285"/>
      <c r="AM326" s="285"/>
      <c r="AN326" s="285"/>
    </row>
    <row r="327" spans="1:40" x14ac:dyDescent="0.35">
      <c r="A327" s="537"/>
      <c r="B327" s="291" t="s">
        <v>1611</v>
      </c>
      <c r="C327" s="291">
        <v>0</v>
      </c>
      <c r="D327" s="291">
        <v>8</v>
      </c>
      <c r="E327" s="291">
        <f t="shared" si="37"/>
        <v>17.600000000000001</v>
      </c>
      <c r="F327" s="298">
        <f t="shared" si="38"/>
        <v>5.7839999999999998</v>
      </c>
      <c r="G327" s="298">
        <f t="shared" si="39"/>
        <v>5.7839999999999998</v>
      </c>
      <c r="H327" s="298">
        <f t="shared" si="40"/>
        <v>18.526053438333811</v>
      </c>
      <c r="I327" s="291">
        <v>34.5</v>
      </c>
      <c r="J327" s="297">
        <f t="shared" si="41"/>
        <v>310.02962143893973</v>
      </c>
      <c r="K327" s="292">
        <v>348.6</v>
      </c>
      <c r="L327" s="292">
        <v>1014</v>
      </c>
      <c r="M327" s="300">
        <v>600</v>
      </c>
      <c r="N327" s="292">
        <v>1014</v>
      </c>
      <c r="O327" s="301">
        <f>MIN(F351:P351)</f>
        <v>1014</v>
      </c>
      <c r="P327" s="301">
        <f>SMALL(F351:P351,2)</f>
        <v>1014</v>
      </c>
      <c r="Q327" s="286">
        <f t="shared" si="42"/>
        <v>310.02962143893973</v>
      </c>
      <c r="R327" s="286" t="s">
        <v>1706</v>
      </c>
      <c r="S327" s="307">
        <f t="shared" si="43"/>
        <v>348.6</v>
      </c>
      <c r="T327" s="296" t="s">
        <v>1696</v>
      </c>
      <c r="V327" s="296"/>
      <c r="W327" s="285"/>
      <c r="X327" s="285"/>
      <c r="Y327" s="285"/>
      <c r="Z327" s="285"/>
      <c r="AA327" s="285"/>
      <c r="AB327" s="285"/>
      <c r="AC327" s="285"/>
      <c r="AD327" s="285"/>
      <c r="AE327" s="285"/>
      <c r="AF327" s="285"/>
      <c r="AG327" s="285"/>
      <c r="AH327" s="285"/>
      <c r="AI327" s="285"/>
      <c r="AJ327" s="285"/>
      <c r="AK327" s="285"/>
      <c r="AL327" s="285"/>
      <c r="AM327" s="285"/>
      <c r="AN327" s="285"/>
    </row>
    <row r="328" spans="1:40" x14ac:dyDescent="0.35">
      <c r="A328" s="537"/>
      <c r="B328" s="291" t="s">
        <v>1612</v>
      </c>
      <c r="C328" s="291">
        <v>0</v>
      </c>
      <c r="D328" s="291">
        <v>7</v>
      </c>
      <c r="E328" s="291">
        <f t="shared" si="37"/>
        <v>15.400000000000002</v>
      </c>
      <c r="F328" s="298">
        <f t="shared" si="38"/>
        <v>5.0609999999999999</v>
      </c>
      <c r="G328" s="298">
        <f t="shared" si="39"/>
        <v>5.0609999999999999</v>
      </c>
      <c r="H328" s="298">
        <f t="shared" si="40"/>
        <v>16.210296758542086</v>
      </c>
      <c r="I328" s="291">
        <v>34.5</v>
      </c>
      <c r="J328" s="297">
        <f t="shared" si="41"/>
        <v>271.27591875907223</v>
      </c>
      <c r="K328" s="292">
        <v>348.6</v>
      </c>
      <c r="L328" s="292">
        <v>1014</v>
      </c>
      <c r="M328" s="300">
        <v>600</v>
      </c>
      <c r="N328" s="292">
        <v>1014</v>
      </c>
      <c r="O328" s="301">
        <f>MIN(F352:P352)</f>
        <v>1014</v>
      </c>
      <c r="P328" s="301">
        <f>SMALL(F352:P352,2)</f>
        <v>1014</v>
      </c>
      <c r="Q328" s="286">
        <f t="shared" si="42"/>
        <v>271.27591875907223</v>
      </c>
      <c r="R328" s="286" t="s">
        <v>1706</v>
      </c>
      <c r="S328" s="307">
        <f t="shared" si="43"/>
        <v>348.6</v>
      </c>
      <c r="T328" s="296" t="s">
        <v>1696</v>
      </c>
      <c r="V328" s="296"/>
      <c r="W328" s="285"/>
      <c r="X328" s="285"/>
      <c r="Y328" s="285"/>
      <c r="Z328" s="285"/>
      <c r="AA328" s="285"/>
      <c r="AB328" s="285"/>
      <c r="AC328" s="285"/>
      <c r="AD328" s="285"/>
      <c r="AE328" s="285"/>
      <c r="AF328" s="285"/>
      <c r="AG328" s="285"/>
      <c r="AH328" s="285"/>
      <c r="AI328" s="285"/>
      <c r="AJ328" s="285"/>
      <c r="AK328" s="285"/>
      <c r="AL328" s="285"/>
      <c r="AM328" s="285"/>
      <c r="AN328" s="285"/>
    </row>
    <row r="329" spans="1:40" x14ac:dyDescent="0.35">
      <c r="A329" s="537"/>
      <c r="B329" s="291" t="s">
        <v>1613</v>
      </c>
      <c r="C329" s="291">
        <v>0</v>
      </c>
      <c r="D329" s="291">
        <v>8</v>
      </c>
      <c r="E329" s="291">
        <f t="shared" si="37"/>
        <v>17.600000000000001</v>
      </c>
      <c r="F329" s="298">
        <f t="shared" si="38"/>
        <v>5.7839999999999998</v>
      </c>
      <c r="G329" s="298">
        <f t="shared" si="39"/>
        <v>5.7839999999999998</v>
      </c>
      <c r="H329" s="298">
        <f t="shared" si="40"/>
        <v>18.526053438333811</v>
      </c>
      <c r="I329" s="291">
        <v>34.5</v>
      </c>
      <c r="J329" s="297">
        <f t="shared" si="41"/>
        <v>310.02962143893973</v>
      </c>
      <c r="K329" s="292">
        <v>348.6</v>
      </c>
      <c r="L329" s="292">
        <v>1014</v>
      </c>
      <c r="M329" s="300">
        <v>600</v>
      </c>
      <c r="N329" s="292">
        <v>1014</v>
      </c>
      <c r="O329" s="301">
        <f>MIN(F352:P352)</f>
        <v>1014</v>
      </c>
      <c r="P329" s="301">
        <f>SMALL(F352:P352,2)</f>
        <v>1014</v>
      </c>
      <c r="Q329" s="286">
        <f t="shared" si="42"/>
        <v>310.02962143893973</v>
      </c>
      <c r="R329" s="286" t="s">
        <v>1706</v>
      </c>
      <c r="S329" s="307">
        <f t="shared" si="43"/>
        <v>348.6</v>
      </c>
      <c r="T329" s="296" t="s">
        <v>1696</v>
      </c>
      <c r="V329" s="296"/>
      <c r="W329" s="285"/>
      <c r="X329" s="285"/>
      <c r="Y329" s="285"/>
      <c r="Z329" s="285"/>
      <c r="AA329" s="285"/>
      <c r="AB329" s="285"/>
      <c r="AC329" s="285"/>
      <c r="AD329" s="285"/>
      <c r="AE329" s="285"/>
      <c r="AF329" s="285"/>
      <c r="AG329" s="285"/>
      <c r="AH329" s="285"/>
      <c r="AI329" s="285"/>
      <c r="AJ329" s="285"/>
      <c r="AK329" s="285"/>
      <c r="AL329" s="285"/>
      <c r="AM329" s="285"/>
      <c r="AN329" s="285"/>
    </row>
    <row r="330" spans="1:40" x14ac:dyDescent="0.35">
      <c r="A330" s="537"/>
      <c r="B330" s="291" t="s">
        <v>1881</v>
      </c>
      <c r="C330" s="291">
        <v>0</v>
      </c>
      <c r="D330" s="291">
        <v>8</v>
      </c>
      <c r="E330" s="291">
        <f t="shared" si="37"/>
        <v>17.600000000000001</v>
      </c>
      <c r="F330" s="298">
        <f t="shared" si="38"/>
        <v>5.7839999999999998</v>
      </c>
      <c r="G330" s="298">
        <f t="shared" si="39"/>
        <v>5.7839999999999998</v>
      </c>
      <c r="H330" s="298">
        <f t="shared" si="40"/>
        <v>18.526053438333811</v>
      </c>
      <c r="I330" s="291">
        <v>34.5</v>
      </c>
      <c r="J330" s="297">
        <f t="shared" si="41"/>
        <v>310.02962143893973</v>
      </c>
      <c r="K330" s="292">
        <v>422.9</v>
      </c>
      <c r="L330" s="292">
        <v>1014</v>
      </c>
      <c r="M330" s="300">
        <v>600</v>
      </c>
      <c r="N330" s="292">
        <v>1014</v>
      </c>
      <c r="O330" s="301">
        <f>MIN(F352:P352)</f>
        <v>1014</v>
      </c>
      <c r="P330" s="301">
        <f>SMALL(F352:P352,2)</f>
        <v>1014</v>
      </c>
      <c r="Q330" s="286">
        <f t="shared" si="42"/>
        <v>310.02962143893973</v>
      </c>
      <c r="R330" s="286" t="s">
        <v>1706</v>
      </c>
      <c r="S330" s="307">
        <f t="shared" si="43"/>
        <v>422.9</v>
      </c>
      <c r="T330" s="296" t="s">
        <v>1696</v>
      </c>
      <c r="V330" s="296"/>
      <c r="W330" s="285"/>
      <c r="X330" s="285"/>
      <c r="Y330" s="285"/>
      <c r="Z330" s="285"/>
      <c r="AA330" s="285"/>
      <c r="AB330" s="285"/>
      <c r="AC330" s="285"/>
      <c r="AD330" s="285"/>
      <c r="AE330" s="285"/>
      <c r="AF330" s="285"/>
      <c r="AG330" s="285"/>
      <c r="AH330" s="285"/>
      <c r="AI330" s="285"/>
      <c r="AJ330" s="285"/>
      <c r="AK330" s="285"/>
      <c r="AL330" s="285"/>
      <c r="AM330" s="285"/>
      <c r="AN330" s="285"/>
    </row>
    <row r="331" spans="1:40" x14ac:dyDescent="0.35">
      <c r="A331" s="537"/>
      <c r="B331" s="291" t="s">
        <v>1628</v>
      </c>
      <c r="C331" s="291">
        <v>0</v>
      </c>
      <c r="D331" s="291">
        <v>10</v>
      </c>
      <c r="E331" s="291">
        <f t="shared" si="37"/>
        <v>22</v>
      </c>
      <c r="F331" s="298">
        <f t="shared" si="38"/>
        <v>7.2299999999999995</v>
      </c>
      <c r="G331" s="298">
        <f t="shared" si="39"/>
        <v>7.2299999999999995</v>
      </c>
      <c r="H331" s="298">
        <f t="shared" si="40"/>
        <v>23.157566797917262</v>
      </c>
      <c r="I331" s="291">
        <v>34.5</v>
      </c>
      <c r="J331" s="297">
        <f t="shared" si="41"/>
        <v>387.53702679867456</v>
      </c>
      <c r="K331" s="292">
        <v>422.9</v>
      </c>
      <c r="L331" s="292">
        <v>1014</v>
      </c>
      <c r="M331" s="300">
        <v>600</v>
      </c>
      <c r="N331" s="292">
        <v>1014</v>
      </c>
      <c r="O331" s="301">
        <f>MIN(F353:P353)</f>
        <v>1014</v>
      </c>
      <c r="P331" s="301">
        <f>SMALL(F353:P353,2)</f>
        <v>1014</v>
      </c>
      <c r="Q331" s="286">
        <f t="shared" si="42"/>
        <v>387.53702679867456</v>
      </c>
      <c r="R331" s="286" t="s">
        <v>1706</v>
      </c>
      <c r="S331" s="307">
        <f t="shared" si="43"/>
        <v>422.9</v>
      </c>
      <c r="T331" s="296" t="s">
        <v>1696</v>
      </c>
      <c r="V331" s="296"/>
      <c r="W331" s="285"/>
      <c r="X331" s="285"/>
      <c r="Y331" s="285"/>
      <c r="Z331" s="285"/>
      <c r="AA331" s="285"/>
      <c r="AB331" s="285"/>
      <c r="AC331" s="285"/>
      <c r="AD331" s="285"/>
      <c r="AE331" s="285"/>
      <c r="AF331" s="285"/>
      <c r="AG331" s="285"/>
      <c r="AH331" s="285"/>
      <c r="AI331" s="285"/>
      <c r="AJ331" s="285"/>
      <c r="AK331" s="285"/>
      <c r="AL331" s="285"/>
      <c r="AM331" s="285"/>
      <c r="AN331" s="285"/>
    </row>
    <row r="332" spans="1:40" x14ac:dyDescent="0.35">
      <c r="A332" s="537"/>
      <c r="B332" s="291" t="s">
        <v>1629</v>
      </c>
      <c r="C332" s="291">
        <v>0</v>
      </c>
      <c r="D332" s="291">
        <v>10</v>
      </c>
      <c r="E332" s="291">
        <f t="shared" si="37"/>
        <v>22</v>
      </c>
      <c r="F332" s="298">
        <f t="shared" si="38"/>
        <v>7.2299999999999995</v>
      </c>
      <c r="G332" s="298">
        <f t="shared" si="39"/>
        <v>7.2299999999999995</v>
      </c>
      <c r="H332" s="298">
        <f t="shared" si="40"/>
        <v>23.157566797917262</v>
      </c>
      <c r="I332" s="291">
        <v>34.5</v>
      </c>
      <c r="J332" s="297">
        <f t="shared" si="41"/>
        <v>387.53702679867456</v>
      </c>
      <c r="K332" s="292">
        <v>422.9</v>
      </c>
      <c r="L332" s="292">
        <v>1014</v>
      </c>
      <c r="M332" s="300">
        <v>600</v>
      </c>
      <c r="N332" s="292">
        <v>1014</v>
      </c>
      <c r="O332" s="301">
        <f>MIN(F353:P353)</f>
        <v>1014</v>
      </c>
      <c r="P332" s="301">
        <f>SMALL(F353:P353,2)</f>
        <v>1014</v>
      </c>
      <c r="Q332" s="286">
        <f t="shared" si="42"/>
        <v>387.53702679867456</v>
      </c>
      <c r="R332" s="286" t="s">
        <v>1706</v>
      </c>
      <c r="S332" s="307">
        <f t="shared" si="43"/>
        <v>422.9</v>
      </c>
      <c r="T332" s="296" t="s">
        <v>1696</v>
      </c>
      <c r="V332" s="296"/>
      <c r="W332" s="285"/>
      <c r="X332" s="285"/>
      <c r="Y332" s="285"/>
      <c r="Z332" s="285"/>
      <c r="AA332" s="285"/>
      <c r="AB332" s="285"/>
      <c r="AC332" s="285"/>
      <c r="AD332" s="285"/>
      <c r="AE332" s="285"/>
      <c r="AF332" s="285"/>
      <c r="AG332" s="285"/>
      <c r="AH332" s="285"/>
      <c r="AI332" s="285"/>
      <c r="AJ332" s="285"/>
      <c r="AK332" s="285"/>
      <c r="AL332" s="285"/>
      <c r="AM332" s="285"/>
      <c r="AN332" s="285"/>
    </row>
    <row r="333" spans="1:40" x14ac:dyDescent="0.35">
      <c r="A333" s="537"/>
      <c r="B333" s="291" t="s">
        <v>1630</v>
      </c>
      <c r="C333" s="291">
        <v>0</v>
      </c>
      <c r="D333" s="291">
        <v>10</v>
      </c>
      <c r="E333" s="291">
        <f t="shared" si="37"/>
        <v>22</v>
      </c>
      <c r="F333" s="298">
        <f t="shared" si="38"/>
        <v>7.2299999999999995</v>
      </c>
      <c r="G333" s="298">
        <f t="shared" si="39"/>
        <v>7.2299999999999995</v>
      </c>
      <c r="H333" s="298">
        <f t="shared" si="40"/>
        <v>23.157566797917262</v>
      </c>
      <c r="I333" s="291">
        <v>34.5</v>
      </c>
      <c r="J333" s="297">
        <f t="shared" si="41"/>
        <v>387.53702679867456</v>
      </c>
      <c r="K333" s="292">
        <v>422.9</v>
      </c>
      <c r="L333" s="292">
        <v>1014</v>
      </c>
      <c r="M333" s="300">
        <v>600</v>
      </c>
      <c r="N333" s="292">
        <v>1014</v>
      </c>
      <c r="O333" s="301">
        <f>MIN(F354:P354)</f>
        <v>1014</v>
      </c>
      <c r="P333" s="301">
        <f>SMALL(F354:P354,2)</f>
        <v>1014</v>
      </c>
      <c r="Q333" s="286">
        <f t="shared" si="42"/>
        <v>387.53702679867456</v>
      </c>
      <c r="R333" s="286" t="s">
        <v>1706</v>
      </c>
      <c r="S333" s="307">
        <f t="shared" si="43"/>
        <v>422.9</v>
      </c>
      <c r="T333" s="296" t="s">
        <v>1696</v>
      </c>
      <c r="V333" s="296"/>
      <c r="W333" s="285"/>
      <c r="X333" s="285"/>
      <c r="Y333" s="285"/>
      <c r="Z333" s="285"/>
      <c r="AA333" s="285"/>
      <c r="AB333" s="285"/>
      <c r="AC333" s="285"/>
      <c r="AD333" s="285"/>
      <c r="AE333" s="285"/>
      <c r="AF333" s="285"/>
      <c r="AG333" s="285"/>
      <c r="AH333" s="285"/>
      <c r="AI333" s="285"/>
      <c r="AJ333" s="285"/>
      <c r="AK333" s="285"/>
      <c r="AL333" s="285"/>
      <c r="AM333" s="285"/>
      <c r="AN333" s="285"/>
    </row>
    <row r="334" spans="1:40" x14ac:dyDescent="0.35">
      <c r="A334" s="537"/>
      <c r="B334" s="291" t="s">
        <v>1631</v>
      </c>
      <c r="C334" s="291">
        <v>0</v>
      </c>
      <c r="D334" s="291">
        <v>10</v>
      </c>
      <c r="E334" s="291">
        <f t="shared" si="37"/>
        <v>22</v>
      </c>
      <c r="F334" s="298">
        <f t="shared" si="38"/>
        <v>7.2299999999999995</v>
      </c>
      <c r="G334" s="298">
        <f t="shared" si="39"/>
        <v>7.2299999999999995</v>
      </c>
      <c r="H334" s="298">
        <f t="shared" si="40"/>
        <v>23.157566797917262</v>
      </c>
      <c r="I334" s="291">
        <v>34.5</v>
      </c>
      <c r="J334" s="297">
        <f t="shared" si="41"/>
        <v>387.53702679867456</v>
      </c>
      <c r="K334" s="292">
        <v>422.9</v>
      </c>
      <c r="L334" s="292">
        <v>1014</v>
      </c>
      <c r="M334" s="300">
        <v>600</v>
      </c>
      <c r="N334" s="292">
        <v>1014</v>
      </c>
      <c r="O334" s="301">
        <f>MIN(F354:P354)</f>
        <v>1014</v>
      </c>
      <c r="P334" s="301">
        <f>SMALL(F354:P354,2)</f>
        <v>1014</v>
      </c>
      <c r="Q334" s="286">
        <f t="shared" si="42"/>
        <v>387.53702679867456</v>
      </c>
      <c r="R334" s="286" t="s">
        <v>1706</v>
      </c>
      <c r="S334" s="307">
        <f t="shared" si="43"/>
        <v>422.9</v>
      </c>
      <c r="T334" s="296" t="s">
        <v>1696</v>
      </c>
      <c r="V334" s="296"/>
      <c r="W334" s="285"/>
      <c r="X334" s="285"/>
      <c r="Y334" s="285"/>
      <c r="Z334" s="285"/>
      <c r="AA334" s="285"/>
      <c r="AB334" s="285"/>
      <c r="AC334" s="285"/>
      <c r="AD334" s="285"/>
      <c r="AE334" s="285"/>
      <c r="AF334" s="285"/>
      <c r="AG334" s="285"/>
      <c r="AH334" s="285"/>
      <c r="AI334" s="285"/>
      <c r="AJ334" s="285"/>
      <c r="AK334" s="285"/>
      <c r="AL334" s="285"/>
      <c r="AM334" s="285"/>
      <c r="AN334" s="285"/>
    </row>
    <row r="335" spans="1:40" x14ac:dyDescent="0.35">
      <c r="A335" s="537"/>
      <c r="B335" s="291" t="s">
        <v>1885</v>
      </c>
      <c r="C335" s="291">
        <v>0</v>
      </c>
      <c r="D335" s="291">
        <v>10</v>
      </c>
      <c r="E335" s="291">
        <f t="shared" si="37"/>
        <v>22</v>
      </c>
      <c r="F335" s="298">
        <f t="shared" si="38"/>
        <v>7.2299999999999995</v>
      </c>
      <c r="G335" s="298">
        <f t="shared" si="39"/>
        <v>7.2299999999999995</v>
      </c>
      <c r="H335" s="298">
        <f t="shared" si="40"/>
        <v>23.157566797917262</v>
      </c>
      <c r="I335" s="291">
        <v>34.5</v>
      </c>
      <c r="J335" s="297">
        <f t="shared" si="41"/>
        <v>387.53702679867456</v>
      </c>
      <c r="K335" s="292">
        <v>422.9</v>
      </c>
      <c r="L335" s="292">
        <v>1014</v>
      </c>
      <c r="M335" s="300">
        <v>600</v>
      </c>
      <c r="N335" s="292">
        <v>1014</v>
      </c>
      <c r="O335" s="301">
        <f>MIN(F355:P355)</f>
        <v>1014</v>
      </c>
      <c r="P335" s="301">
        <f>SMALL(F355:P355,2)</f>
        <v>1014</v>
      </c>
      <c r="Q335" s="286">
        <f t="shared" si="42"/>
        <v>387.53702679867456</v>
      </c>
      <c r="R335" s="286" t="s">
        <v>1706</v>
      </c>
      <c r="S335" s="307">
        <f t="shared" si="43"/>
        <v>422.9</v>
      </c>
      <c r="T335" s="296" t="s">
        <v>1696</v>
      </c>
      <c r="V335" s="296"/>
      <c r="W335" s="285"/>
      <c r="X335" s="285"/>
      <c r="Y335" s="285"/>
      <c r="Z335" s="285"/>
      <c r="AA335" s="285"/>
      <c r="AB335" s="285"/>
      <c r="AC335" s="285"/>
      <c r="AD335" s="285"/>
      <c r="AE335" s="285"/>
      <c r="AF335" s="285"/>
      <c r="AG335" s="285"/>
      <c r="AH335" s="285"/>
      <c r="AI335" s="285"/>
      <c r="AJ335" s="285"/>
      <c r="AK335" s="285"/>
      <c r="AL335" s="285"/>
      <c r="AM335" s="285"/>
      <c r="AN335" s="285"/>
    </row>
    <row r="336" spans="1:40" x14ac:dyDescent="0.35">
      <c r="A336" s="537"/>
      <c r="B336" s="291" t="s">
        <v>1886</v>
      </c>
      <c r="C336" s="291">
        <v>0</v>
      </c>
      <c r="D336" s="291">
        <v>10</v>
      </c>
      <c r="E336" s="291">
        <f t="shared" si="37"/>
        <v>22</v>
      </c>
      <c r="F336" s="298">
        <f t="shared" si="38"/>
        <v>7.2299999999999995</v>
      </c>
      <c r="G336" s="298">
        <f t="shared" si="39"/>
        <v>7.2299999999999995</v>
      </c>
      <c r="H336" s="298">
        <f t="shared" si="40"/>
        <v>23.157566797917262</v>
      </c>
      <c r="I336" s="291">
        <v>34.5</v>
      </c>
      <c r="J336" s="297">
        <f t="shared" si="41"/>
        <v>387.53702679867456</v>
      </c>
      <c r="K336" s="292">
        <v>422.9</v>
      </c>
      <c r="L336" s="292">
        <v>1014</v>
      </c>
      <c r="M336" s="300">
        <v>600</v>
      </c>
      <c r="N336" s="292">
        <v>1014</v>
      </c>
      <c r="O336" s="301">
        <f>MIN(F355:P355)</f>
        <v>1014</v>
      </c>
      <c r="P336" s="301">
        <f>SMALL(F355:P355,2)</f>
        <v>1014</v>
      </c>
      <c r="Q336" s="286">
        <f t="shared" si="42"/>
        <v>387.53702679867456</v>
      </c>
      <c r="R336" s="286" t="s">
        <v>1706</v>
      </c>
      <c r="S336" s="307">
        <f t="shared" si="43"/>
        <v>422.9</v>
      </c>
      <c r="T336" s="296" t="s">
        <v>1696</v>
      </c>
      <c r="V336" s="296"/>
      <c r="W336" s="285"/>
      <c r="X336" s="285"/>
      <c r="Y336" s="285"/>
      <c r="Z336" s="285"/>
      <c r="AA336" s="285"/>
      <c r="AB336" s="285"/>
      <c r="AC336" s="285"/>
      <c r="AD336" s="285"/>
      <c r="AE336" s="285"/>
      <c r="AF336" s="285"/>
      <c r="AG336" s="285"/>
      <c r="AH336" s="285"/>
      <c r="AI336" s="285"/>
      <c r="AJ336" s="285"/>
      <c r="AK336" s="285"/>
      <c r="AL336" s="285"/>
      <c r="AM336" s="285"/>
      <c r="AN336" s="285"/>
    </row>
    <row r="337" spans="1:40" x14ac:dyDescent="0.35">
      <c r="A337" s="285"/>
      <c r="B337" s="285"/>
      <c r="C337" s="285"/>
      <c r="D337" s="285"/>
      <c r="E337" s="285"/>
      <c r="F337" s="285"/>
      <c r="G337" s="285"/>
      <c r="H337" s="285"/>
      <c r="I337" s="285"/>
      <c r="J337" s="285"/>
      <c r="K337" s="285"/>
      <c r="L337" s="285"/>
      <c r="M337" s="285"/>
      <c r="N337" s="285"/>
      <c r="O337" s="285"/>
      <c r="P337" s="285"/>
      <c r="Q337" s="285"/>
      <c r="R337" s="285"/>
      <c r="S337" s="285"/>
      <c r="T337" s="285"/>
      <c r="U337" s="285"/>
      <c r="V337" s="285"/>
      <c r="W337" s="285"/>
      <c r="X337" s="285"/>
      <c r="Y337" s="285"/>
      <c r="Z337" s="285"/>
      <c r="AA337" s="285"/>
      <c r="AB337" s="285"/>
      <c r="AC337" s="285"/>
      <c r="AD337" s="285"/>
      <c r="AE337" s="285"/>
      <c r="AF337" s="285"/>
      <c r="AG337" s="285"/>
      <c r="AH337" s="285"/>
      <c r="AI337" s="285"/>
      <c r="AJ337" s="285"/>
      <c r="AK337" s="285"/>
      <c r="AL337" s="285"/>
      <c r="AM337" s="285"/>
      <c r="AN337" s="285"/>
    </row>
    <row r="338" spans="1:40" x14ac:dyDescent="0.35">
      <c r="A338" s="285"/>
      <c r="B338" s="285"/>
      <c r="C338" s="285"/>
      <c r="D338" s="285"/>
      <c r="E338" s="285"/>
      <c r="F338" s="285"/>
      <c r="G338" s="285"/>
      <c r="H338" s="285"/>
      <c r="I338" s="285"/>
      <c r="J338" s="285"/>
      <c r="K338" s="285"/>
      <c r="L338" s="285"/>
      <c r="M338" s="285"/>
      <c r="N338" s="285"/>
      <c r="O338" s="285"/>
      <c r="P338" s="285"/>
      <c r="Q338" s="285"/>
      <c r="R338" s="285"/>
      <c r="S338" s="285"/>
      <c r="T338" s="285"/>
      <c r="U338" s="285"/>
      <c r="V338" s="285"/>
      <c r="W338" s="285"/>
      <c r="X338" s="285"/>
      <c r="Y338" s="285"/>
      <c r="Z338" s="285"/>
      <c r="AA338" s="285"/>
      <c r="AB338" s="285"/>
      <c r="AC338" s="285"/>
      <c r="AD338" s="285"/>
      <c r="AE338" s="285"/>
      <c r="AF338" s="285"/>
      <c r="AG338" s="285"/>
      <c r="AH338" s="285"/>
      <c r="AI338" s="285"/>
      <c r="AJ338" s="285"/>
      <c r="AK338" s="285"/>
      <c r="AL338" s="285"/>
      <c r="AM338" s="285"/>
      <c r="AN338" s="285"/>
    </row>
    <row r="339" spans="1:40" x14ac:dyDescent="0.35">
      <c r="A339" s="285"/>
      <c r="B339" s="285"/>
      <c r="C339" s="285"/>
      <c r="D339" s="285"/>
      <c r="E339" s="285"/>
      <c r="F339" s="285"/>
      <c r="G339" s="285"/>
      <c r="H339" s="285"/>
      <c r="I339" s="285"/>
      <c r="J339" s="285"/>
      <c r="K339" s="285"/>
      <c r="L339" s="285"/>
      <c r="M339" s="285"/>
      <c r="N339" s="285"/>
      <c r="O339" s="285"/>
      <c r="P339" s="285"/>
      <c r="Q339" s="285"/>
      <c r="R339" s="285"/>
      <c r="S339" s="285"/>
      <c r="T339" s="285"/>
      <c r="U339" s="285"/>
      <c r="V339" s="285"/>
      <c r="W339" s="285"/>
      <c r="X339" s="285"/>
      <c r="Y339" s="285"/>
      <c r="Z339" s="285"/>
      <c r="AA339" s="285"/>
      <c r="AB339" s="285"/>
      <c r="AC339" s="285"/>
      <c r="AD339" s="285"/>
      <c r="AE339" s="285"/>
      <c r="AF339" s="285"/>
      <c r="AG339" s="285"/>
      <c r="AH339" s="285"/>
      <c r="AI339" s="285"/>
      <c r="AJ339" s="285"/>
      <c r="AK339" s="285"/>
      <c r="AL339" s="285"/>
      <c r="AM339" s="285"/>
      <c r="AN339" s="285"/>
    </row>
    <row r="340" spans="1:40" x14ac:dyDescent="0.35">
      <c r="A340" s="285"/>
      <c r="B340" s="285"/>
      <c r="C340" s="285"/>
      <c r="D340" s="285"/>
      <c r="E340" s="285"/>
      <c r="F340" s="285"/>
      <c r="G340" s="285"/>
      <c r="H340" s="285"/>
      <c r="I340" s="285"/>
      <c r="J340" s="285"/>
      <c r="K340" s="285"/>
      <c r="L340" s="285"/>
      <c r="M340" s="285"/>
      <c r="N340" s="285"/>
      <c r="O340" s="285"/>
      <c r="P340" s="285"/>
      <c r="Q340" s="285"/>
      <c r="R340" s="285"/>
      <c r="S340" s="285"/>
      <c r="T340" s="285"/>
      <c r="U340" s="285"/>
      <c r="V340" s="285"/>
      <c r="W340" s="285"/>
      <c r="X340" s="285"/>
      <c r="Y340" s="285"/>
      <c r="Z340" s="285"/>
      <c r="AA340" s="285"/>
      <c r="AB340" s="285"/>
      <c r="AC340" s="285"/>
      <c r="AD340" s="285"/>
      <c r="AE340" s="285"/>
      <c r="AF340" s="285"/>
      <c r="AG340" s="285"/>
      <c r="AH340" s="285"/>
      <c r="AI340" s="285"/>
      <c r="AJ340" s="285"/>
      <c r="AK340" s="285"/>
      <c r="AL340" s="285"/>
      <c r="AM340" s="285"/>
      <c r="AN340" s="285"/>
    </row>
    <row r="341" spans="1:40" x14ac:dyDescent="0.35">
      <c r="A341" s="296" t="s">
        <v>1708</v>
      </c>
      <c r="B341" s="291"/>
      <c r="C341" s="291"/>
      <c r="D341" s="291"/>
      <c r="E341" s="291"/>
      <c r="F341" s="291"/>
      <c r="G341" s="291"/>
      <c r="H341" s="291"/>
      <c r="I341" s="291"/>
      <c r="J341" s="291"/>
      <c r="K341" s="291"/>
      <c r="L341" s="291"/>
      <c r="M341" s="291"/>
      <c r="N341" s="291"/>
      <c r="O341" s="291"/>
      <c r="P341" s="291"/>
      <c r="Q341" s="291"/>
      <c r="R341" s="291"/>
      <c r="S341" s="291"/>
      <c r="T341" s="285"/>
      <c r="U341" s="285"/>
      <c r="V341" s="285"/>
      <c r="W341" s="285"/>
      <c r="X341" s="285"/>
      <c r="Y341" s="285"/>
      <c r="Z341" s="285"/>
      <c r="AA341" s="285"/>
      <c r="AB341" s="285"/>
      <c r="AC341" s="285"/>
      <c r="AD341" s="285"/>
      <c r="AE341" s="285"/>
      <c r="AF341" s="285"/>
      <c r="AG341" s="285"/>
      <c r="AH341" s="285"/>
      <c r="AI341" s="285"/>
      <c r="AJ341" s="285"/>
      <c r="AK341" s="285"/>
      <c r="AL341" s="285"/>
      <c r="AM341" s="285"/>
      <c r="AN341" s="285"/>
    </row>
    <row r="342" spans="1:40" ht="15" customHeight="1" x14ac:dyDescent="0.35">
      <c r="A342" s="536" t="s">
        <v>1493</v>
      </c>
      <c r="B342" s="535" t="s">
        <v>1709</v>
      </c>
      <c r="C342" s="539" t="s">
        <v>1599</v>
      </c>
      <c r="D342" s="306"/>
      <c r="E342" s="306"/>
      <c r="F342" s="535" t="s">
        <v>1904</v>
      </c>
      <c r="G342" s="535" t="s">
        <v>1905</v>
      </c>
      <c r="H342" s="539" t="s">
        <v>1717</v>
      </c>
      <c r="I342" s="539" t="s">
        <v>1709</v>
      </c>
      <c r="J342" s="539" t="s">
        <v>1719</v>
      </c>
      <c r="K342" s="535" t="s">
        <v>1720</v>
      </c>
      <c r="L342" s="535" t="s">
        <v>1718</v>
      </c>
      <c r="M342" s="535" t="s">
        <v>1721</v>
      </c>
      <c r="N342" s="532" t="s">
        <v>1488</v>
      </c>
      <c r="O342" s="535" t="s">
        <v>1700</v>
      </c>
      <c r="P342" s="535" t="s">
        <v>1701</v>
      </c>
      <c r="Q342" s="538" t="s">
        <v>1702</v>
      </c>
      <c r="R342" s="538" t="s">
        <v>1703</v>
      </c>
      <c r="S342" s="540" t="s">
        <v>1704</v>
      </c>
      <c r="T342" s="538" t="s">
        <v>1723</v>
      </c>
      <c r="U342" s="285"/>
      <c r="V342" s="285"/>
      <c r="W342" s="285"/>
      <c r="X342" s="285"/>
      <c r="Y342" s="285"/>
      <c r="Z342" s="285"/>
      <c r="AA342" s="285"/>
      <c r="AB342" s="285"/>
      <c r="AC342" s="285"/>
      <c r="AD342" s="285"/>
      <c r="AE342" s="285"/>
      <c r="AF342" s="285"/>
      <c r="AG342" s="285"/>
      <c r="AH342" s="285"/>
      <c r="AI342" s="285"/>
      <c r="AJ342" s="285"/>
      <c r="AK342" s="285"/>
      <c r="AL342" s="285"/>
      <c r="AM342" s="285"/>
      <c r="AN342" s="285"/>
    </row>
    <row r="343" spans="1:40" x14ac:dyDescent="0.35">
      <c r="A343" s="536"/>
      <c r="B343" s="535"/>
      <c r="C343" s="539"/>
      <c r="D343" s="306" t="s">
        <v>1424</v>
      </c>
      <c r="E343" s="306" t="s">
        <v>1497</v>
      </c>
      <c r="F343" s="535"/>
      <c r="G343" s="535"/>
      <c r="H343" s="539"/>
      <c r="I343" s="539"/>
      <c r="J343" s="539"/>
      <c r="K343" s="535"/>
      <c r="L343" s="535"/>
      <c r="M343" s="535"/>
      <c r="N343" s="532"/>
      <c r="O343" s="535"/>
      <c r="P343" s="535"/>
      <c r="Q343" s="538"/>
      <c r="R343" s="538"/>
      <c r="S343" s="540"/>
      <c r="T343" s="538"/>
      <c r="U343" s="285"/>
      <c r="V343" s="285"/>
      <c r="W343" s="285"/>
      <c r="X343" s="285"/>
      <c r="Y343" s="285"/>
      <c r="Z343" s="285"/>
      <c r="AA343" s="285"/>
      <c r="AB343" s="285"/>
      <c r="AC343" s="285"/>
      <c r="AD343" s="285"/>
      <c r="AE343" s="285"/>
      <c r="AF343" s="285"/>
      <c r="AG343" s="285"/>
      <c r="AH343" s="285"/>
      <c r="AI343" s="285"/>
      <c r="AJ343" s="285"/>
      <c r="AK343" s="285"/>
      <c r="AL343" s="285"/>
      <c r="AM343" s="285"/>
      <c r="AN343" s="285"/>
    </row>
    <row r="344" spans="1:40" x14ac:dyDescent="0.35">
      <c r="A344" s="537" t="s">
        <v>1861</v>
      </c>
      <c r="B344" s="291">
        <v>2101</v>
      </c>
      <c r="C344" s="298">
        <f>SUM(H312:H313)</f>
        <v>46.767943520875328</v>
      </c>
      <c r="D344" s="291">
        <v>34.5</v>
      </c>
      <c r="E344" s="297">
        <f t="shared" ref="E344:E355" si="44">(C344*1000)/(SQRT(3)*D344)</f>
        <v>782.65173278906047</v>
      </c>
      <c r="F344" s="292">
        <v>1226</v>
      </c>
      <c r="G344" s="292">
        <v>1014</v>
      </c>
      <c r="H344" s="304">
        <v>4000</v>
      </c>
      <c r="I344" s="288">
        <v>1200</v>
      </c>
      <c r="J344" s="304">
        <v>4000</v>
      </c>
      <c r="K344" s="292">
        <v>1014</v>
      </c>
      <c r="L344" s="304">
        <v>1200</v>
      </c>
      <c r="M344" s="292">
        <v>1014</v>
      </c>
      <c r="N344" s="288">
        <v>1128</v>
      </c>
      <c r="O344" s="301">
        <f>$O$396</f>
        <v>2610.6273041617865</v>
      </c>
      <c r="P344" s="297">
        <f>$P$396</f>
        <v>3000</v>
      </c>
      <c r="Q344" s="286">
        <f t="shared" ref="Q344:Q355" si="45">MIN(E344:P344)</f>
        <v>782.65173278906047</v>
      </c>
      <c r="R344" s="286" t="s">
        <v>1706</v>
      </c>
      <c r="S344" s="286">
        <f t="shared" ref="S344:S355" si="46">SMALL(E344:P344,2)</f>
        <v>1014</v>
      </c>
      <c r="T344" s="296" t="s">
        <v>1906</v>
      </c>
      <c r="U344" s="285"/>
      <c r="V344" s="285"/>
      <c r="W344" s="285"/>
      <c r="X344" s="285"/>
      <c r="Y344" s="285"/>
      <c r="Z344" s="285"/>
      <c r="AA344" s="285"/>
      <c r="AB344" s="285"/>
      <c r="AC344" s="285"/>
      <c r="AD344" s="285"/>
      <c r="AE344" s="285"/>
      <c r="AF344" s="285"/>
      <c r="AG344" s="285"/>
      <c r="AH344" s="285"/>
      <c r="AI344" s="285"/>
      <c r="AJ344" s="285"/>
      <c r="AK344" s="285"/>
      <c r="AL344" s="285"/>
      <c r="AM344" s="285"/>
      <c r="AN344" s="285"/>
    </row>
    <row r="345" spans="1:40" x14ac:dyDescent="0.35">
      <c r="A345" s="537"/>
      <c r="B345" s="291">
        <v>2102</v>
      </c>
      <c r="C345" s="298">
        <f>SUM(H314:H315)</f>
        <v>46.526016993306172</v>
      </c>
      <c r="D345" s="291">
        <v>34.5</v>
      </c>
      <c r="E345" s="297">
        <f t="shared" si="44"/>
        <v>778.60314305525867</v>
      </c>
      <c r="F345" s="292">
        <v>1226</v>
      </c>
      <c r="G345" s="292">
        <v>1014</v>
      </c>
      <c r="H345" s="304">
        <v>4000</v>
      </c>
      <c r="I345" s="288">
        <v>1200</v>
      </c>
      <c r="J345" s="304">
        <v>4000</v>
      </c>
      <c r="K345" s="292">
        <v>1014</v>
      </c>
      <c r="L345" s="304">
        <v>1200</v>
      </c>
      <c r="M345" s="292">
        <v>1014</v>
      </c>
      <c r="N345" s="288">
        <v>1128</v>
      </c>
      <c r="O345" s="301">
        <f>$O$396</f>
        <v>2610.6273041617865</v>
      </c>
      <c r="P345" s="297">
        <f>$P$396</f>
        <v>3000</v>
      </c>
      <c r="Q345" s="286">
        <f t="shared" si="45"/>
        <v>778.60314305525867</v>
      </c>
      <c r="R345" s="286" t="s">
        <v>1706</v>
      </c>
      <c r="S345" s="286">
        <f t="shared" si="46"/>
        <v>1014</v>
      </c>
      <c r="T345" s="296" t="s">
        <v>1906</v>
      </c>
      <c r="U345" s="285"/>
      <c r="V345" s="285"/>
      <c r="W345" s="285"/>
      <c r="X345" s="285"/>
      <c r="Y345" s="285"/>
      <c r="Z345" s="285"/>
      <c r="AA345" s="285"/>
      <c r="AB345" s="285"/>
      <c r="AC345" s="285"/>
      <c r="AD345" s="285"/>
      <c r="AE345" s="285"/>
      <c r="AF345" s="285"/>
      <c r="AG345" s="285"/>
      <c r="AH345" s="285"/>
      <c r="AI345" s="285"/>
      <c r="AJ345" s="285"/>
      <c r="AK345" s="285"/>
      <c r="AL345" s="285"/>
      <c r="AM345" s="285"/>
      <c r="AN345" s="285"/>
    </row>
    <row r="346" spans="1:40" x14ac:dyDescent="0.35">
      <c r="A346" s="537"/>
      <c r="B346" s="291">
        <v>2103</v>
      </c>
      <c r="C346" s="298">
        <f>SUM(H316:H317)</f>
        <v>32.420593517084171</v>
      </c>
      <c r="D346" s="291">
        <v>34.5</v>
      </c>
      <c r="E346" s="297">
        <f t="shared" si="44"/>
        <v>542.55183751814445</v>
      </c>
      <c r="F346" s="292">
        <v>1226</v>
      </c>
      <c r="G346" s="292">
        <v>1014</v>
      </c>
      <c r="H346" s="304">
        <v>4000</v>
      </c>
      <c r="I346" s="288">
        <v>1200</v>
      </c>
      <c r="J346" s="304">
        <v>4000</v>
      </c>
      <c r="K346" s="292">
        <v>1014</v>
      </c>
      <c r="L346" s="304">
        <v>1200</v>
      </c>
      <c r="M346" s="292">
        <v>1014</v>
      </c>
      <c r="N346" s="288">
        <v>1128</v>
      </c>
      <c r="O346" s="301">
        <f>$O$396</f>
        <v>2610.6273041617865</v>
      </c>
      <c r="P346" s="297">
        <f>$P$396</f>
        <v>3000</v>
      </c>
      <c r="Q346" s="286">
        <f t="shared" si="45"/>
        <v>542.55183751814445</v>
      </c>
      <c r="R346" s="286" t="s">
        <v>1706</v>
      </c>
      <c r="S346" s="286">
        <f t="shared" si="46"/>
        <v>1014</v>
      </c>
      <c r="T346" s="296" t="s">
        <v>1906</v>
      </c>
      <c r="U346" s="285"/>
      <c r="V346" s="285"/>
      <c r="W346" s="285"/>
      <c r="X346" s="285"/>
      <c r="Y346" s="285"/>
      <c r="Z346" s="285"/>
      <c r="AA346" s="285"/>
      <c r="AB346" s="285"/>
      <c r="AC346" s="285"/>
      <c r="AD346" s="285"/>
      <c r="AE346" s="285"/>
      <c r="AF346" s="285"/>
      <c r="AG346" s="285"/>
      <c r="AH346" s="285"/>
      <c r="AI346" s="285"/>
      <c r="AJ346" s="285"/>
      <c r="AK346" s="285"/>
      <c r="AL346" s="285"/>
      <c r="AM346" s="285"/>
      <c r="AN346" s="285"/>
    </row>
    <row r="347" spans="1:40" x14ac:dyDescent="0.35">
      <c r="A347" s="537"/>
      <c r="B347" s="291">
        <v>2201</v>
      </c>
      <c r="C347" s="298">
        <f>SUM(H318:H319)</f>
        <v>46.315133595834524</v>
      </c>
      <c r="D347" s="291">
        <v>34.5</v>
      </c>
      <c r="E347" s="297">
        <f t="shared" si="44"/>
        <v>775.07405359734912</v>
      </c>
      <c r="F347" s="292">
        <v>1226</v>
      </c>
      <c r="G347" s="292">
        <v>1014</v>
      </c>
      <c r="H347" s="304">
        <v>4000</v>
      </c>
      <c r="I347" s="288">
        <v>1200</v>
      </c>
      <c r="J347" s="304">
        <v>4000</v>
      </c>
      <c r="K347" s="292">
        <v>1014</v>
      </c>
      <c r="L347" s="304">
        <v>1200</v>
      </c>
      <c r="M347" s="292">
        <v>1014</v>
      </c>
      <c r="N347" s="288">
        <v>1128</v>
      </c>
      <c r="O347" s="301">
        <f>$O$397</f>
        <v>2610.6273041617865</v>
      </c>
      <c r="P347" s="297">
        <f>$P$397</f>
        <v>3000</v>
      </c>
      <c r="Q347" s="286">
        <f t="shared" si="45"/>
        <v>775.07405359734912</v>
      </c>
      <c r="R347" s="286" t="s">
        <v>1706</v>
      </c>
      <c r="S347" s="286">
        <f t="shared" si="46"/>
        <v>1014</v>
      </c>
      <c r="T347" s="296" t="s">
        <v>1906</v>
      </c>
      <c r="U347" s="285"/>
      <c r="V347" s="285"/>
      <c r="W347" s="285"/>
      <c r="X347" s="285"/>
      <c r="Y347" s="285"/>
      <c r="Z347" s="285"/>
      <c r="AA347" s="285"/>
      <c r="AB347" s="285"/>
      <c r="AC347" s="285"/>
      <c r="AD347" s="285"/>
      <c r="AE347" s="285"/>
      <c r="AF347" s="285"/>
      <c r="AG347" s="285"/>
      <c r="AH347" s="285"/>
      <c r="AI347" s="285"/>
      <c r="AJ347" s="285"/>
      <c r="AK347" s="285"/>
      <c r="AL347" s="285"/>
      <c r="AM347" s="285"/>
      <c r="AN347" s="285"/>
    </row>
    <row r="348" spans="1:40" x14ac:dyDescent="0.35">
      <c r="A348" s="537"/>
      <c r="B348" s="291">
        <v>2202</v>
      </c>
      <c r="C348" s="298">
        <f>SUM(H320)</f>
        <v>23.157566797917262</v>
      </c>
      <c r="D348" s="291">
        <v>34.5</v>
      </c>
      <c r="E348" s="297">
        <f t="shared" si="44"/>
        <v>387.53702679867456</v>
      </c>
      <c r="F348" s="292">
        <v>1226</v>
      </c>
      <c r="G348" s="292">
        <v>1014</v>
      </c>
      <c r="H348" s="304">
        <v>4000</v>
      </c>
      <c r="I348" s="288">
        <v>1200</v>
      </c>
      <c r="J348" s="304">
        <v>4000</v>
      </c>
      <c r="K348" s="292">
        <v>1014</v>
      </c>
      <c r="L348" s="304">
        <v>1200</v>
      </c>
      <c r="M348" s="292">
        <v>1014</v>
      </c>
      <c r="N348" s="288">
        <v>1128</v>
      </c>
      <c r="O348" s="301">
        <f>$O$397</f>
        <v>2610.6273041617865</v>
      </c>
      <c r="P348" s="297">
        <f>$P$397</f>
        <v>3000</v>
      </c>
      <c r="Q348" s="286">
        <f t="shared" si="45"/>
        <v>387.53702679867456</v>
      </c>
      <c r="R348" s="286" t="s">
        <v>1706</v>
      </c>
      <c r="S348" s="296">
        <f t="shared" si="46"/>
        <v>1014</v>
      </c>
      <c r="T348" s="296" t="s">
        <v>1906</v>
      </c>
      <c r="U348" s="285"/>
      <c r="V348" s="285"/>
      <c r="W348" s="285"/>
      <c r="X348" s="285"/>
      <c r="Y348" s="285"/>
      <c r="Z348" s="285"/>
      <c r="AA348" s="285"/>
      <c r="AB348" s="285"/>
      <c r="AC348" s="285"/>
      <c r="AD348" s="285"/>
      <c r="AE348" s="285"/>
      <c r="AF348" s="285"/>
      <c r="AG348" s="285"/>
      <c r="AH348" s="285"/>
      <c r="AI348" s="285"/>
      <c r="AJ348" s="285"/>
      <c r="AK348" s="285"/>
      <c r="AL348" s="285"/>
      <c r="AM348" s="285"/>
      <c r="AN348" s="285"/>
    </row>
    <row r="349" spans="1:40" x14ac:dyDescent="0.35">
      <c r="A349" s="537"/>
      <c r="B349" s="291">
        <v>2203</v>
      </c>
      <c r="C349" s="298">
        <f>SUM(H321:H322)</f>
        <v>46.315133595834524</v>
      </c>
      <c r="D349" s="291">
        <v>34.5</v>
      </c>
      <c r="E349" s="297">
        <f t="shared" si="44"/>
        <v>775.07405359734912</v>
      </c>
      <c r="F349" s="292">
        <v>1226</v>
      </c>
      <c r="G349" s="292">
        <v>1014</v>
      </c>
      <c r="H349" s="304">
        <v>4000</v>
      </c>
      <c r="I349" s="288">
        <v>1200</v>
      </c>
      <c r="J349" s="304">
        <v>4000</v>
      </c>
      <c r="K349" s="292">
        <v>1014</v>
      </c>
      <c r="L349" s="304">
        <v>1200</v>
      </c>
      <c r="M349" s="292">
        <v>1014</v>
      </c>
      <c r="N349" s="288">
        <v>1128</v>
      </c>
      <c r="O349" s="301">
        <f>$O$397</f>
        <v>2610.6273041617865</v>
      </c>
      <c r="P349" s="297">
        <f>$P$397</f>
        <v>3000</v>
      </c>
      <c r="Q349" s="286">
        <f t="shared" si="45"/>
        <v>775.07405359734912</v>
      </c>
      <c r="R349" s="286" t="s">
        <v>1706</v>
      </c>
      <c r="S349" s="286">
        <f t="shared" si="46"/>
        <v>1014</v>
      </c>
      <c r="T349" s="296" t="s">
        <v>1906</v>
      </c>
      <c r="U349" s="285"/>
      <c r="V349" s="285"/>
      <c r="W349" s="285"/>
      <c r="X349" s="285"/>
      <c r="Y349" s="285"/>
      <c r="Z349" s="285"/>
      <c r="AA349" s="285"/>
      <c r="AB349" s="285"/>
      <c r="AC349" s="285"/>
      <c r="AD349" s="285"/>
      <c r="AE349" s="285"/>
      <c r="AF349" s="285"/>
      <c r="AG349" s="285"/>
      <c r="AH349" s="285"/>
      <c r="AI349" s="285"/>
      <c r="AJ349" s="285"/>
      <c r="AK349" s="285"/>
      <c r="AL349" s="285"/>
      <c r="AM349" s="285"/>
      <c r="AN349" s="285"/>
    </row>
    <row r="350" spans="1:40" x14ac:dyDescent="0.35">
      <c r="A350" s="537" t="s">
        <v>1879</v>
      </c>
      <c r="B350" s="291">
        <v>1101</v>
      </c>
      <c r="C350" s="298">
        <f>SUM(H323:H325)</f>
        <v>53.262403635209708</v>
      </c>
      <c r="D350" s="291">
        <v>34.5</v>
      </c>
      <c r="E350" s="297">
        <f t="shared" si="44"/>
        <v>891.33516163695163</v>
      </c>
      <c r="F350" s="292">
        <v>1226</v>
      </c>
      <c r="G350" s="292">
        <v>1014</v>
      </c>
      <c r="H350" s="304">
        <v>4000</v>
      </c>
      <c r="I350" s="288">
        <v>1200</v>
      </c>
      <c r="J350" s="304">
        <v>4000</v>
      </c>
      <c r="K350" s="292">
        <v>1014</v>
      </c>
      <c r="L350" s="304">
        <v>1200</v>
      </c>
      <c r="M350" s="292">
        <v>1014</v>
      </c>
      <c r="N350" s="288">
        <v>1284</v>
      </c>
      <c r="O350" s="301">
        <f>$O$398</f>
        <v>2610.6273041617865</v>
      </c>
      <c r="P350" s="297">
        <f>$P$398</f>
        <v>3000</v>
      </c>
      <c r="Q350" s="286">
        <f t="shared" si="45"/>
        <v>891.33516163695163</v>
      </c>
      <c r="R350" s="286" t="s">
        <v>1706</v>
      </c>
      <c r="S350" s="286">
        <f t="shared" si="46"/>
        <v>1014</v>
      </c>
      <c r="T350" s="296" t="s">
        <v>1906</v>
      </c>
      <c r="U350" s="285"/>
      <c r="V350" s="285"/>
      <c r="W350" s="285"/>
      <c r="X350" s="285"/>
      <c r="Y350" s="285"/>
      <c r="Z350" s="285"/>
      <c r="AA350" s="285"/>
      <c r="AB350" s="285"/>
      <c r="AC350" s="285"/>
      <c r="AD350" s="285"/>
      <c r="AE350" s="285"/>
      <c r="AF350" s="285"/>
      <c r="AG350" s="285"/>
      <c r="AH350" s="285"/>
      <c r="AI350" s="285"/>
      <c r="AJ350" s="285"/>
      <c r="AK350" s="285"/>
      <c r="AL350" s="285"/>
      <c r="AM350" s="285"/>
      <c r="AN350" s="285"/>
    </row>
    <row r="351" spans="1:40" x14ac:dyDescent="0.35">
      <c r="A351" s="537"/>
      <c r="B351" s="291">
        <v>1102</v>
      </c>
      <c r="C351" s="298">
        <f>SUM(H326:H327)</f>
        <v>37.052106876667622</v>
      </c>
      <c r="D351" s="291">
        <v>34.5</v>
      </c>
      <c r="E351" s="297">
        <f t="shared" si="44"/>
        <v>620.05924287787946</v>
      </c>
      <c r="F351" s="292">
        <v>1226</v>
      </c>
      <c r="G351" s="292">
        <v>1014</v>
      </c>
      <c r="H351" s="304">
        <v>4000</v>
      </c>
      <c r="I351" s="288">
        <v>1200</v>
      </c>
      <c r="J351" s="304">
        <v>4000</v>
      </c>
      <c r="K351" s="292">
        <v>1014</v>
      </c>
      <c r="L351" s="304">
        <v>1200</v>
      </c>
      <c r="M351" s="292">
        <v>1014</v>
      </c>
      <c r="N351" s="288">
        <v>1284</v>
      </c>
      <c r="O351" s="301">
        <f>$O$398</f>
        <v>2610.6273041617865</v>
      </c>
      <c r="P351" s="297">
        <f>$P$398</f>
        <v>3000</v>
      </c>
      <c r="Q351" s="286">
        <f t="shared" si="45"/>
        <v>620.05924287787946</v>
      </c>
      <c r="R351" s="286" t="s">
        <v>1706</v>
      </c>
      <c r="S351" s="286">
        <f t="shared" si="46"/>
        <v>1014</v>
      </c>
      <c r="T351" s="296" t="s">
        <v>1906</v>
      </c>
      <c r="U351" s="285"/>
      <c r="V351" s="285"/>
      <c r="W351" s="285"/>
      <c r="X351" s="285"/>
      <c r="Y351" s="285"/>
      <c r="Z351" s="285"/>
      <c r="AA351" s="285"/>
      <c r="AB351" s="285"/>
      <c r="AC351" s="285"/>
      <c r="AD351" s="285"/>
      <c r="AE351" s="285"/>
      <c r="AF351" s="285"/>
      <c r="AG351" s="285"/>
      <c r="AH351" s="285"/>
      <c r="AI351" s="285"/>
      <c r="AJ351" s="285"/>
      <c r="AK351" s="285"/>
      <c r="AL351" s="285"/>
      <c r="AM351" s="285"/>
      <c r="AN351" s="285"/>
    </row>
    <row r="352" spans="1:40" x14ac:dyDescent="0.35">
      <c r="A352" s="537"/>
      <c r="B352" s="291">
        <v>1103</v>
      </c>
      <c r="C352" s="298">
        <f>SUM(H328:H330)</f>
        <v>53.262403635209708</v>
      </c>
      <c r="D352" s="291">
        <v>34.5</v>
      </c>
      <c r="E352" s="297">
        <f t="shared" si="44"/>
        <v>891.33516163695163</v>
      </c>
      <c r="F352" s="292">
        <v>1226</v>
      </c>
      <c r="G352" s="292">
        <v>1014</v>
      </c>
      <c r="H352" s="304">
        <v>4000</v>
      </c>
      <c r="I352" s="288">
        <v>1200</v>
      </c>
      <c r="J352" s="304">
        <v>4000</v>
      </c>
      <c r="K352" s="292">
        <v>1014</v>
      </c>
      <c r="L352" s="304">
        <v>1200</v>
      </c>
      <c r="M352" s="292">
        <v>1014</v>
      </c>
      <c r="N352" s="288">
        <v>1284</v>
      </c>
      <c r="O352" s="301">
        <f>$O$398</f>
        <v>2610.6273041617865</v>
      </c>
      <c r="P352" s="297">
        <f>$P$398</f>
        <v>3000</v>
      </c>
      <c r="Q352" s="286">
        <f t="shared" si="45"/>
        <v>891.33516163695163</v>
      </c>
      <c r="R352" s="286" t="s">
        <v>1706</v>
      </c>
      <c r="S352" s="286">
        <f t="shared" si="46"/>
        <v>1014</v>
      </c>
      <c r="T352" s="296" t="s">
        <v>1906</v>
      </c>
      <c r="U352" s="285"/>
      <c r="V352" s="285"/>
      <c r="W352" s="285"/>
      <c r="X352" s="285"/>
      <c r="Y352" s="285"/>
      <c r="Z352" s="285"/>
      <c r="AA352" s="285"/>
      <c r="AB352" s="285"/>
      <c r="AC352" s="285"/>
      <c r="AD352" s="285"/>
      <c r="AE352" s="285"/>
      <c r="AF352" s="285"/>
      <c r="AG352" s="285"/>
      <c r="AH352" s="285"/>
      <c r="AI352" s="285"/>
      <c r="AJ352" s="285"/>
      <c r="AK352" s="285"/>
      <c r="AL352" s="285"/>
      <c r="AM352" s="285"/>
      <c r="AN352" s="285"/>
    </row>
    <row r="353" spans="1:40" x14ac:dyDescent="0.35">
      <c r="A353" s="537"/>
      <c r="B353" s="291">
        <v>1201</v>
      </c>
      <c r="C353" s="298">
        <f>SUM(H331:H332)</f>
        <v>46.315133595834524</v>
      </c>
      <c r="D353" s="291">
        <v>34.5</v>
      </c>
      <c r="E353" s="297">
        <f t="shared" si="44"/>
        <v>775.07405359734912</v>
      </c>
      <c r="F353" s="292">
        <v>1226</v>
      </c>
      <c r="G353" s="292">
        <v>1014</v>
      </c>
      <c r="H353" s="304">
        <v>4000</v>
      </c>
      <c r="I353" s="288">
        <v>1200</v>
      </c>
      <c r="J353" s="304">
        <v>4000</v>
      </c>
      <c r="K353" s="292">
        <v>1014</v>
      </c>
      <c r="L353" s="304">
        <v>1200</v>
      </c>
      <c r="M353" s="292">
        <v>1014</v>
      </c>
      <c r="N353" s="288">
        <v>1284</v>
      </c>
      <c r="O353" s="301">
        <f>$O$399</f>
        <v>2610.6273041617865</v>
      </c>
      <c r="P353" s="297">
        <f>$P$399</f>
        <v>3000</v>
      </c>
      <c r="Q353" s="286">
        <f t="shared" si="45"/>
        <v>775.07405359734912</v>
      </c>
      <c r="R353" s="286" t="s">
        <v>1706</v>
      </c>
      <c r="S353" s="286">
        <f t="shared" si="46"/>
        <v>1014</v>
      </c>
      <c r="T353" s="296" t="s">
        <v>1906</v>
      </c>
      <c r="U353" s="285"/>
      <c r="V353" s="285"/>
      <c r="W353" s="285"/>
      <c r="X353" s="285"/>
      <c r="Y353" s="285"/>
      <c r="Z353" s="285"/>
      <c r="AA353" s="285"/>
      <c r="AB353" s="285"/>
      <c r="AC353" s="285"/>
      <c r="AD353" s="285"/>
      <c r="AE353" s="285"/>
      <c r="AF353" s="285"/>
      <c r="AG353" s="285"/>
      <c r="AH353" s="285"/>
      <c r="AI353" s="285"/>
      <c r="AJ353" s="285"/>
      <c r="AK353" s="285"/>
      <c r="AL353" s="285"/>
      <c r="AM353" s="285"/>
      <c r="AN353" s="285"/>
    </row>
    <row r="354" spans="1:40" x14ac:dyDescent="0.35">
      <c r="A354" s="537"/>
      <c r="B354" s="291">
        <v>1202</v>
      </c>
      <c r="C354" s="298">
        <f>SUM(H333:H334)</f>
        <v>46.315133595834524</v>
      </c>
      <c r="D354" s="291">
        <v>34.5</v>
      </c>
      <c r="E354" s="297">
        <f t="shared" si="44"/>
        <v>775.07405359734912</v>
      </c>
      <c r="F354" s="292">
        <v>1226</v>
      </c>
      <c r="G354" s="292">
        <v>1014</v>
      </c>
      <c r="H354" s="304">
        <v>4000</v>
      </c>
      <c r="I354" s="288">
        <v>1200</v>
      </c>
      <c r="J354" s="304">
        <v>4000</v>
      </c>
      <c r="K354" s="292">
        <v>1014</v>
      </c>
      <c r="L354" s="304">
        <v>1200</v>
      </c>
      <c r="M354" s="292">
        <v>1014</v>
      </c>
      <c r="N354" s="288">
        <v>1284</v>
      </c>
      <c r="O354" s="301">
        <f>$O$399</f>
        <v>2610.6273041617865</v>
      </c>
      <c r="P354" s="297">
        <f>$P$399</f>
        <v>3000</v>
      </c>
      <c r="Q354" s="286">
        <f t="shared" si="45"/>
        <v>775.07405359734912</v>
      </c>
      <c r="R354" s="286" t="s">
        <v>1706</v>
      </c>
      <c r="S354" s="286">
        <f t="shared" si="46"/>
        <v>1014</v>
      </c>
      <c r="T354" s="296" t="s">
        <v>1906</v>
      </c>
      <c r="U354" s="285"/>
      <c r="V354" s="285"/>
      <c r="W354" s="285"/>
      <c r="X354" s="285"/>
      <c r="Y354" s="285"/>
      <c r="Z354" s="285"/>
      <c r="AA354" s="285"/>
      <c r="AB354" s="285"/>
      <c r="AC354" s="285"/>
      <c r="AD354" s="285"/>
      <c r="AE354" s="285"/>
      <c r="AF354" s="285"/>
      <c r="AG354" s="285"/>
      <c r="AH354" s="285"/>
      <c r="AI354" s="285"/>
      <c r="AJ354" s="285"/>
      <c r="AK354" s="285"/>
      <c r="AL354" s="285"/>
      <c r="AM354" s="285"/>
      <c r="AN354" s="285"/>
    </row>
    <row r="355" spans="1:40" x14ac:dyDescent="0.35">
      <c r="A355" s="537"/>
      <c r="B355" s="291">
        <v>1203</v>
      </c>
      <c r="C355" s="298">
        <f>SUM(H335:H336)</f>
        <v>46.315133595834524</v>
      </c>
      <c r="D355" s="291">
        <v>34.5</v>
      </c>
      <c r="E355" s="297">
        <f t="shared" si="44"/>
        <v>775.07405359734912</v>
      </c>
      <c r="F355" s="292">
        <v>1226</v>
      </c>
      <c r="G355" s="292">
        <v>1014</v>
      </c>
      <c r="H355" s="304">
        <v>4000</v>
      </c>
      <c r="I355" s="288">
        <v>1200</v>
      </c>
      <c r="J355" s="304">
        <v>4000</v>
      </c>
      <c r="K355" s="292">
        <v>1014</v>
      </c>
      <c r="L355" s="304">
        <v>1200</v>
      </c>
      <c r="M355" s="292">
        <v>1014</v>
      </c>
      <c r="N355" s="288">
        <v>1284</v>
      </c>
      <c r="O355" s="301">
        <f>$O$399</f>
        <v>2610.6273041617865</v>
      </c>
      <c r="P355" s="297">
        <f>$P$399</f>
        <v>3000</v>
      </c>
      <c r="Q355" s="286">
        <f t="shared" si="45"/>
        <v>775.07405359734912</v>
      </c>
      <c r="R355" s="286" t="s">
        <v>1706</v>
      </c>
      <c r="S355" s="286">
        <f t="shared" si="46"/>
        <v>1014</v>
      </c>
      <c r="T355" s="296" t="s">
        <v>1906</v>
      </c>
      <c r="U355" s="285"/>
      <c r="V355" s="285"/>
      <c r="W355" s="285"/>
      <c r="X355" s="285"/>
      <c r="Y355" s="285"/>
      <c r="Z355" s="285"/>
      <c r="AA355" s="285"/>
      <c r="AB355" s="285"/>
      <c r="AC355" s="285"/>
      <c r="AD355" s="285"/>
      <c r="AE355" s="285"/>
      <c r="AF355" s="285"/>
      <c r="AG355" s="285"/>
      <c r="AH355" s="285"/>
      <c r="AI355" s="285"/>
      <c r="AJ355" s="285"/>
      <c r="AK355" s="285"/>
      <c r="AL355" s="285"/>
      <c r="AM355" s="285"/>
      <c r="AN355" s="285"/>
    </row>
    <row r="356" spans="1:40" x14ac:dyDescent="0.35">
      <c r="A356" s="285"/>
      <c r="B356" s="285"/>
      <c r="C356" s="285"/>
      <c r="D356" s="285"/>
      <c r="E356" s="285"/>
      <c r="F356" s="285"/>
      <c r="G356" s="285"/>
      <c r="H356" s="285"/>
      <c r="I356" s="285"/>
      <c r="J356" s="285"/>
      <c r="K356" s="285"/>
      <c r="L356" s="285"/>
      <c r="M356" s="285"/>
      <c r="N356" s="285"/>
      <c r="O356" s="285"/>
      <c r="P356" s="285"/>
      <c r="Q356" s="285"/>
      <c r="R356" s="285"/>
      <c r="S356" s="285"/>
      <c r="T356" s="285"/>
      <c r="U356" s="285"/>
      <c r="V356" s="285"/>
      <c r="W356" s="285"/>
      <c r="X356" s="285"/>
      <c r="Y356" s="285"/>
      <c r="Z356" s="285"/>
      <c r="AA356" s="285"/>
      <c r="AB356" s="285"/>
      <c r="AC356" s="285"/>
      <c r="AD356" s="285"/>
      <c r="AE356" s="285"/>
      <c r="AF356" s="285"/>
      <c r="AG356" s="285"/>
      <c r="AH356" s="285"/>
      <c r="AI356" s="285"/>
      <c r="AJ356" s="285"/>
      <c r="AK356" s="285"/>
      <c r="AL356" s="285"/>
      <c r="AM356" s="285"/>
      <c r="AN356" s="285"/>
    </row>
    <row r="357" spans="1:40" x14ac:dyDescent="0.35">
      <c r="A357" s="285"/>
      <c r="B357" s="285"/>
      <c r="C357" s="285"/>
      <c r="D357" s="285"/>
      <c r="E357" s="285"/>
      <c r="F357" s="285"/>
      <c r="G357" s="285"/>
      <c r="H357" s="285"/>
      <c r="I357" s="285"/>
      <c r="J357" s="285"/>
      <c r="K357" s="285"/>
      <c r="L357" s="285"/>
      <c r="M357" s="285"/>
      <c r="N357" s="285"/>
      <c r="O357" s="285"/>
      <c r="P357" s="285"/>
      <c r="Q357" s="285"/>
      <c r="R357" s="285"/>
      <c r="S357" s="285"/>
      <c r="T357" s="285"/>
      <c r="U357" s="285"/>
      <c r="V357" s="285"/>
      <c r="W357" s="285"/>
      <c r="X357" s="285"/>
      <c r="Y357" s="285"/>
      <c r="Z357" s="285"/>
      <c r="AA357" s="285"/>
      <c r="AB357" s="285"/>
      <c r="AC357" s="285"/>
      <c r="AD357" s="285"/>
      <c r="AE357" s="285"/>
      <c r="AF357" s="285"/>
      <c r="AG357" s="285"/>
      <c r="AH357" s="285"/>
      <c r="AI357" s="285"/>
      <c r="AJ357" s="285"/>
      <c r="AK357" s="285"/>
      <c r="AL357" s="285"/>
      <c r="AM357" s="285"/>
      <c r="AN357" s="285"/>
    </row>
    <row r="358" spans="1:40" x14ac:dyDescent="0.35">
      <c r="A358" s="296" t="s">
        <v>1725</v>
      </c>
      <c r="B358" s="291"/>
      <c r="C358" s="291"/>
      <c r="D358" s="291"/>
      <c r="E358" s="291"/>
      <c r="F358" s="291"/>
      <c r="G358" s="291"/>
      <c r="H358" s="291"/>
      <c r="I358" s="291"/>
      <c r="J358" s="291"/>
      <c r="K358" s="291"/>
      <c r="L358" s="291"/>
      <c r="M358" s="291"/>
      <c r="N358" s="291"/>
      <c r="O358" s="291"/>
      <c r="P358" s="285"/>
      <c r="Q358" s="285"/>
      <c r="R358" s="285"/>
      <c r="S358" s="285"/>
      <c r="T358" s="285"/>
      <c r="U358" s="285"/>
      <c r="V358" s="285"/>
      <c r="W358" s="285"/>
      <c r="X358" s="285"/>
      <c r="Y358" s="285"/>
      <c r="Z358" s="285"/>
      <c r="AA358" s="285"/>
      <c r="AB358" s="285"/>
      <c r="AC358" s="285"/>
      <c r="AD358" s="285"/>
      <c r="AE358" s="285"/>
      <c r="AF358" s="285"/>
      <c r="AG358" s="285"/>
      <c r="AH358" s="285"/>
      <c r="AI358" s="285"/>
      <c r="AJ358" s="285"/>
      <c r="AK358" s="285"/>
      <c r="AL358" s="285"/>
      <c r="AM358" s="285"/>
      <c r="AN358" s="285"/>
    </row>
    <row r="359" spans="1:40" ht="15" customHeight="1" x14ac:dyDescent="0.35">
      <c r="A359" s="536" t="s">
        <v>1493</v>
      </c>
      <c r="B359" s="535" t="s">
        <v>1726</v>
      </c>
      <c r="C359" s="535" t="s">
        <v>1599</v>
      </c>
      <c r="D359" s="535" t="s">
        <v>1424</v>
      </c>
      <c r="E359" s="535" t="s">
        <v>1497</v>
      </c>
      <c r="F359" s="535" t="s">
        <v>1727</v>
      </c>
      <c r="G359" s="535" t="s">
        <v>1726</v>
      </c>
      <c r="H359" s="535" t="s">
        <v>1907</v>
      </c>
      <c r="I359" s="532" t="s">
        <v>1478</v>
      </c>
      <c r="J359" s="532" t="s">
        <v>1908</v>
      </c>
      <c r="K359" s="532" t="s">
        <v>1909</v>
      </c>
      <c r="L359" s="535" t="s">
        <v>1700</v>
      </c>
      <c r="M359" s="535" t="s">
        <v>1701</v>
      </c>
      <c r="N359" s="535" t="s">
        <v>1702</v>
      </c>
      <c r="O359" s="535" t="s">
        <v>1703</v>
      </c>
      <c r="P359" s="535" t="s">
        <v>1704</v>
      </c>
      <c r="Q359" s="535" t="s">
        <v>1705</v>
      </c>
      <c r="R359" s="285"/>
      <c r="S359" s="285"/>
      <c r="T359" s="285"/>
      <c r="U359" s="285"/>
      <c r="V359" s="285"/>
      <c r="W359" s="285"/>
      <c r="X359" s="285"/>
      <c r="Y359" s="285"/>
      <c r="Z359" s="285"/>
      <c r="AA359" s="285"/>
      <c r="AB359" s="285"/>
      <c r="AC359" s="285"/>
      <c r="AD359" s="285"/>
      <c r="AE359" s="285"/>
      <c r="AF359" s="285"/>
      <c r="AG359" s="285"/>
      <c r="AH359" s="285"/>
      <c r="AI359" s="285"/>
      <c r="AJ359" s="285"/>
      <c r="AK359" s="285"/>
      <c r="AL359" s="285"/>
      <c r="AM359" s="285"/>
      <c r="AN359" s="285"/>
    </row>
    <row r="360" spans="1:40" x14ac:dyDescent="0.35">
      <c r="A360" s="536"/>
      <c r="B360" s="535"/>
      <c r="C360" s="535"/>
      <c r="D360" s="535"/>
      <c r="E360" s="535"/>
      <c r="F360" s="535"/>
      <c r="G360" s="535"/>
      <c r="H360" s="535"/>
      <c r="I360" s="532"/>
      <c r="J360" s="532"/>
      <c r="K360" s="532"/>
      <c r="L360" s="535"/>
      <c r="M360" s="535"/>
      <c r="N360" s="535"/>
      <c r="O360" s="535"/>
      <c r="P360" s="535"/>
      <c r="Q360" s="535"/>
      <c r="R360" s="285"/>
      <c r="S360" s="285"/>
      <c r="T360" s="285"/>
      <c r="U360" s="285"/>
      <c r="V360" s="285"/>
      <c r="W360" s="285"/>
      <c r="X360" s="285"/>
      <c r="Y360" s="285"/>
      <c r="Z360" s="285"/>
      <c r="AA360" s="285"/>
      <c r="AB360" s="285"/>
      <c r="AC360" s="285"/>
      <c r="AD360" s="285"/>
      <c r="AE360" s="285"/>
      <c r="AF360" s="285"/>
      <c r="AG360" s="285"/>
      <c r="AH360" s="285"/>
      <c r="AI360" s="285"/>
      <c r="AJ360" s="285"/>
      <c r="AK360" s="285"/>
      <c r="AL360" s="285"/>
      <c r="AM360" s="285"/>
      <c r="AN360" s="285"/>
    </row>
    <row r="361" spans="1:40" x14ac:dyDescent="0.35">
      <c r="A361" s="537" t="s">
        <v>1861</v>
      </c>
      <c r="B361" s="291" t="s">
        <v>1862</v>
      </c>
      <c r="C361" s="291">
        <v>12.5</v>
      </c>
      <c r="D361" s="291">
        <v>34.5</v>
      </c>
      <c r="E361" s="297">
        <f t="shared" ref="E361:E368" si="47">(C361*1000)/(SQRT(3)*D361)</f>
        <v>209.18488014116878</v>
      </c>
      <c r="F361" s="294">
        <f t="shared" ref="F361:F368" si="48">E361</f>
        <v>209.18488014116878</v>
      </c>
      <c r="G361" s="304">
        <v>600</v>
      </c>
      <c r="H361" s="292">
        <v>1014</v>
      </c>
      <c r="I361" s="305">
        <v>1200</v>
      </c>
      <c r="J361" s="288">
        <v>3175</v>
      </c>
      <c r="K361" s="288">
        <v>3256</v>
      </c>
      <c r="L361" s="294">
        <f>MIN(F383:I383)</f>
        <v>636</v>
      </c>
      <c r="M361" s="294">
        <f>SMALL(F383:I383,2)</f>
        <v>1014</v>
      </c>
      <c r="N361" s="286">
        <f t="shared" ref="N361:N368" si="49">MIN(E361:M361)</f>
        <v>209.18488014116878</v>
      </c>
      <c r="O361" s="286" t="s">
        <v>1706</v>
      </c>
      <c r="P361" s="286">
        <f t="shared" ref="P361:P368" si="50">SMALL(E361:M361,2)</f>
        <v>209.18488014116878</v>
      </c>
      <c r="Q361" s="296" t="s">
        <v>1727</v>
      </c>
      <c r="R361" s="285"/>
      <c r="S361" s="285"/>
      <c r="T361" s="285"/>
      <c r="U361" s="285"/>
      <c r="V361" s="285"/>
      <c r="W361" s="285"/>
      <c r="X361" s="285"/>
      <c r="Y361" s="285"/>
      <c r="Z361" s="285"/>
      <c r="AA361" s="285"/>
      <c r="AB361" s="285"/>
      <c r="AC361" s="285"/>
      <c r="AD361" s="285"/>
      <c r="AE361" s="285"/>
      <c r="AF361" s="285"/>
      <c r="AG361" s="285"/>
      <c r="AH361" s="285"/>
      <c r="AI361" s="285"/>
      <c r="AJ361" s="285"/>
      <c r="AK361" s="285"/>
      <c r="AL361" s="285"/>
      <c r="AM361" s="285"/>
      <c r="AN361" s="285"/>
    </row>
    <row r="362" spans="1:40" x14ac:dyDescent="0.35">
      <c r="A362" s="537"/>
      <c r="B362" s="291" t="s">
        <v>1666</v>
      </c>
      <c r="C362" s="291">
        <v>12.5</v>
      </c>
      <c r="D362" s="291">
        <v>34.5</v>
      </c>
      <c r="E362" s="297">
        <f t="shared" si="47"/>
        <v>209.18488014116878</v>
      </c>
      <c r="F362" s="294">
        <f t="shared" si="48"/>
        <v>209.18488014116878</v>
      </c>
      <c r="G362" s="304">
        <v>600</v>
      </c>
      <c r="H362" s="292">
        <v>1014</v>
      </c>
      <c r="I362" s="305">
        <v>1200</v>
      </c>
      <c r="J362" s="288">
        <v>3175</v>
      </c>
      <c r="K362" s="288">
        <v>3256</v>
      </c>
      <c r="L362" s="294">
        <f>MIN(F383:I383)</f>
        <v>636</v>
      </c>
      <c r="M362" s="294">
        <f>SMALL(F383:I383,2)</f>
        <v>1014</v>
      </c>
      <c r="N362" s="286">
        <f t="shared" si="49"/>
        <v>209.18488014116878</v>
      </c>
      <c r="O362" s="286" t="s">
        <v>1706</v>
      </c>
      <c r="P362" s="286">
        <f t="shared" si="50"/>
        <v>209.18488014116878</v>
      </c>
      <c r="Q362" s="296" t="s">
        <v>1727</v>
      </c>
      <c r="R362" s="285"/>
      <c r="S362" s="285"/>
      <c r="T362" s="285"/>
      <c r="U362" s="285"/>
      <c r="V362" s="285"/>
      <c r="W362" s="285"/>
      <c r="X362" s="285"/>
      <c r="Y362" s="285"/>
      <c r="Z362" s="285"/>
      <c r="AA362" s="285"/>
      <c r="AB362" s="285"/>
      <c r="AC362" s="285"/>
      <c r="AD362" s="285"/>
      <c r="AE362" s="285"/>
      <c r="AF362" s="285"/>
      <c r="AG362" s="285"/>
      <c r="AH362" s="285"/>
      <c r="AI362" s="285"/>
      <c r="AJ362" s="285"/>
      <c r="AK362" s="285"/>
      <c r="AL362" s="285"/>
      <c r="AM362" s="285"/>
      <c r="AN362" s="285"/>
    </row>
    <row r="363" spans="1:40" x14ac:dyDescent="0.35">
      <c r="A363" s="537"/>
      <c r="B363" s="291" t="s">
        <v>1870</v>
      </c>
      <c r="C363" s="291">
        <v>12.5</v>
      </c>
      <c r="D363" s="291">
        <v>34.5</v>
      </c>
      <c r="E363" s="297">
        <f t="shared" si="47"/>
        <v>209.18488014116878</v>
      </c>
      <c r="F363" s="294">
        <f t="shared" si="48"/>
        <v>209.18488014116878</v>
      </c>
      <c r="G363" s="304">
        <v>600</v>
      </c>
      <c r="H363" s="292">
        <v>1014</v>
      </c>
      <c r="I363" s="305">
        <v>1200</v>
      </c>
      <c r="J363" s="288">
        <v>3175</v>
      </c>
      <c r="K363" s="288">
        <v>3256</v>
      </c>
      <c r="L363" s="294">
        <f>MIN(F385:I385)</f>
        <v>636</v>
      </c>
      <c r="M363" s="294">
        <f>SMALL(F385:I385,2)</f>
        <v>1014</v>
      </c>
      <c r="N363" s="286">
        <f t="shared" si="49"/>
        <v>209.18488014116878</v>
      </c>
      <c r="O363" s="286" t="s">
        <v>1706</v>
      </c>
      <c r="P363" s="286">
        <f t="shared" si="50"/>
        <v>209.18488014116878</v>
      </c>
      <c r="Q363" s="296" t="s">
        <v>1727</v>
      </c>
      <c r="R363" s="285"/>
      <c r="S363" s="285"/>
      <c r="T363" s="285"/>
      <c r="U363" s="285"/>
      <c r="V363" s="285"/>
      <c r="W363" s="285"/>
      <c r="X363" s="285"/>
      <c r="Y363" s="285"/>
      <c r="Z363" s="285"/>
      <c r="AA363" s="285"/>
      <c r="AB363" s="285"/>
      <c r="AC363" s="285"/>
      <c r="AD363" s="285"/>
      <c r="AE363" s="285"/>
      <c r="AF363" s="285"/>
      <c r="AG363" s="285"/>
      <c r="AH363" s="285"/>
      <c r="AI363" s="285"/>
      <c r="AJ363" s="285"/>
      <c r="AK363" s="285"/>
      <c r="AL363" s="285"/>
      <c r="AM363" s="285"/>
      <c r="AN363" s="285"/>
    </row>
    <row r="364" spans="1:40" x14ac:dyDescent="0.35">
      <c r="A364" s="537"/>
      <c r="B364" s="291" t="s">
        <v>1871</v>
      </c>
      <c r="C364" s="291">
        <v>12.5</v>
      </c>
      <c r="D364" s="291">
        <v>34.5</v>
      </c>
      <c r="E364" s="297">
        <f t="shared" si="47"/>
        <v>209.18488014116878</v>
      </c>
      <c r="F364" s="294">
        <f t="shared" si="48"/>
        <v>209.18488014116878</v>
      </c>
      <c r="G364" s="304">
        <v>600</v>
      </c>
      <c r="H364" s="292">
        <v>1014</v>
      </c>
      <c r="I364" s="305">
        <v>1200</v>
      </c>
      <c r="J364" s="288">
        <v>3175</v>
      </c>
      <c r="K364" s="288">
        <v>3256</v>
      </c>
      <c r="L364" s="294">
        <f>MIN(F385:I385)</f>
        <v>636</v>
      </c>
      <c r="M364" s="294">
        <f>SMALL(F385:I385,2)</f>
        <v>1014</v>
      </c>
      <c r="N364" s="286">
        <f t="shared" si="49"/>
        <v>209.18488014116878</v>
      </c>
      <c r="O364" s="286" t="s">
        <v>1706</v>
      </c>
      <c r="P364" s="286">
        <f t="shared" si="50"/>
        <v>209.18488014116878</v>
      </c>
      <c r="Q364" s="296" t="s">
        <v>1727</v>
      </c>
      <c r="R364" s="285"/>
      <c r="S364" s="285"/>
      <c r="T364" s="285"/>
      <c r="U364" s="285"/>
      <c r="V364" s="285"/>
      <c r="W364" s="285"/>
      <c r="X364" s="285"/>
      <c r="Y364" s="285"/>
      <c r="Z364" s="285"/>
      <c r="AA364" s="285"/>
      <c r="AB364" s="285"/>
      <c r="AC364" s="285"/>
      <c r="AD364" s="285"/>
      <c r="AE364" s="285"/>
      <c r="AF364" s="285"/>
      <c r="AG364" s="285"/>
      <c r="AH364" s="285"/>
      <c r="AI364" s="285"/>
      <c r="AJ364" s="285"/>
      <c r="AK364" s="285"/>
      <c r="AL364" s="285"/>
      <c r="AM364" s="285"/>
      <c r="AN364" s="285"/>
    </row>
    <row r="365" spans="1:40" x14ac:dyDescent="0.35">
      <c r="A365" s="537" t="s">
        <v>1879</v>
      </c>
      <c r="B365" s="291" t="s">
        <v>1882</v>
      </c>
      <c r="C365" s="291">
        <v>16.5</v>
      </c>
      <c r="D365" s="291">
        <v>34.5</v>
      </c>
      <c r="E365" s="297">
        <f t="shared" si="47"/>
        <v>276.12404178634279</v>
      </c>
      <c r="F365" s="294">
        <f t="shared" si="48"/>
        <v>276.12404178634279</v>
      </c>
      <c r="G365" s="304">
        <v>600</v>
      </c>
      <c r="H365" s="292">
        <v>1014</v>
      </c>
      <c r="I365" s="305">
        <v>1200</v>
      </c>
      <c r="J365" s="288">
        <v>3175</v>
      </c>
      <c r="K365" s="288">
        <v>3256</v>
      </c>
      <c r="L365" s="294">
        <f>MIN(F387:I387)</f>
        <v>796</v>
      </c>
      <c r="M365" s="294">
        <f>SMALL(F387:I387,2)</f>
        <v>1014</v>
      </c>
      <c r="N365" s="286">
        <f t="shared" si="49"/>
        <v>276.12404178634279</v>
      </c>
      <c r="O365" s="286" t="s">
        <v>1706</v>
      </c>
      <c r="P365" s="286">
        <f t="shared" si="50"/>
        <v>276.12404178634279</v>
      </c>
      <c r="Q365" s="296" t="s">
        <v>1727</v>
      </c>
      <c r="R365" s="285"/>
      <c r="S365" s="285"/>
      <c r="T365" s="285"/>
      <c r="U365" s="285"/>
      <c r="V365" s="285"/>
      <c r="W365" s="285"/>
      <c r="X365" s="285"/>
      <c r="Y365" s="285"/>
      <c r="Z365" s="285"/>
      <c r="AA365" s="285"/>
      <c r="AB365" s="285"/>
      <c r="AC365" s="285"/>
      <c r="AD365" s="285"/>
      <c r="AE365" s="285"/>
      <c r="AF365" s="285"/>
      <c r="AG365" s="285"/>
      <c r="AH365" s="285"/>
      <c r="AI365" s="285"/>
      <c r="AJ365" s="285"/>
      <c r="AK365" s="285"/>
      <c r="AL365" s="285"/>
      <c r="AM365" s="285"/>
      <c r="AN365" s="285"/>
    </row>
    <row r="366" spans="1:40" x14ac:dyDescent="0.35">
      <c r="A366" s="537"/>
      <c r="B366" s="291" t="s">
        <v>1616</v>
      </c>
      <c r="C366" s="291">
        <v>16.5</v>
      </c>
      <c r="D366" s="291">
        <v>34.5</v>
      </c>
      <c r="E366" s="297">
        <f t="shared" si="47"/>
        <v>276.12404178634279</v>
      </c>
      <c r="F366" s="294">
        <f t="shared" si="48"/>
        <v>276.12404178634279</v>
      </c>
      <c r="G366" s="304">
        <v>600</v>
      </c>
      <c r="H366" s="292">
        <v>1014</v>
      </c>
      <c r="I366" s="305">
        <v>1200</v>
      </c>
      <c r="J366" s="288">
        <v>3175</v>
      </c>
      <c r="K366" s="288">
        <v>3256</v>
      </c>
      <c r="L366" s="294">
        <f>MIN(F387:I387)</f>
        <v>796</v>
      </c>
      <c r="M366" s="294">
        <f>SMALL(F387:I387,2)</f>
        <v>1014</v>
      </c>
      <c r="N366" s="286">
        <f t="shared" si="49"/>
        <v>276.12404178634279</v>
      </c>
      <c r="O366" s="286" t="s">
        <v>1706</v>
      </c>
      <c r="P366" s="286">
        <f t="shared" si="50"/>
        <v>276.12404178634279</v>
      </c>
      <c r="Q366" s="296" t="s">
        <v>1727</v>
      </c>
      <c r="R366" s="285"/>
      <c r="S366" s="285"/>
      <c r="T366" s="285"/>
      <c r="U366" s="285"/>
      <c r="V366" s="285"/>
      <c r="W366" s="285"/>
      <c r="X366" s="285"/>
      <c r="Y366" s="285"/>
      <c r="Z366" s="285"/>
      <c r="AA366" s="285"/>
      <c r="AB366" s="285"/>
      <c r="AC366" s="285"/>
      <c r="AD366" s="285"/>
      <c r="AE366" s="285"/>
      <c r="AF366" s="285"/>
      <c r="AG366" s="285"/>
      <c r="AH366" s="285"/>
      <c r="AI366" s="285"/>
      <c r="AJ366" s="285"/>
      <c r="AK366" s="285"/>
      <c r="AL366" s="285"/>
      <c r="AM366" s="285"/>
      <c r="AN366" s="285"/>
    </row>
    <row r="367" spans="1:40" x14ac:dyDescent="0.35">
      <c r="A367" s="537"/>
      <c r="B367" s="291" t="s">
        <v>1887</v>
      </c>
      <c r="C367" s="291">
        <v>16.5</v>
      </c>
      <c r="D367" s="291">
        <v>34.5</v>
      </c>
      <c r="E367" s="297">
        <f t="shared" si="47"/>
        <v>276.12404178634279</v>
      </c>
      <c r="F367" s="294">
        <f t="shared" si="48"/>
        <v>276.12404178634279</v>
      </c>
      <c r="G367" s="304">
        <v>600</v>
      </c>
      <c r="H367" s="292">
        <v>1014</v>
      </c>
      <c r="I367" s="305">
        <v>1200</v>
      </c>
      <c r="J367" s="288">
        <v>3175</v>
      </c>
      <c r="K367" s="288">
        <v>3256</v>
      </c>
      <c r="L367" s="294">
        <f>MIN(F389:I389)</f>
        <v>796</v>
      </c>
      <c r="M367" s="294">
        <f>SMALL(F389:I389,2)</f>
        <v>1014</v>
      </c>
      <c r="N367" s="286">
        <f t="shared" si="49"/>
        <v>276.12404178634279</v>
      </c>
      <c r="O367" s="286" t="s">
        <v>1706</v>
      </c>
      <c r="P367" s="286">
        <f t="shared" si="50"/>
        <v>276.12404178634279</v>
      </c>
      <c r="Q367" s="296" t="s">
        <v>1727</v>
      </c>
      <c r="R367" s="285"/>
      <c r="S367" s="285"/>
      <c r="T367" s="285"/>
      <c r="U367" s="285"/>
      <c r="V367" s="285"/>
      <c r="W367" s="285"/>
      <c r="X367" s="285"/>
      <c r="Y367" s="285"/>
      <c r="Z367" s="285"/>
      <c r="AA367" s="285"/>
      <c r="AB367" s="285"/>
      <c r="AC367" s="285"/>
      <c r="AD367" s="285"/>
      <c r="AE367" s="285"/>
      <c r="AF367" s="285"/>
      <c r="AG367" s="285"/>
      <c r="AH367" s="285"/>
      <c r="AI367" s="285"/>
      <c r="AJ367" s="285"/>
      <c r="AK367" s="285"/>
      <c r="AL367" s="285"/>
      <c r="AM367" s="285"/>
      <c r="AN367" s="285"/>
    </row>
    <row r="368" spans="1:40" x14ac:dyDescent="0.35">
      <c r="A368" s="537"/>
      <c r="B368" s="291" t="s">
        <v>1636</v>
      </c>
      <c r="C368" s="291">
        <v>16.5</v>
      </c>
      <c r="D368" s="291">
        <v>34.5</v>
      </c>
      <c r="E368" s="297">
        <f t="shared" si="47"/>
        <v>276.12404178634279</v>
      </c>
      <c r="F368" s="294">
        <f t="shared" si="48"/>
        <v>276.12404178634279</v>
      </c>
      <c r="G368" s="304">
        <v>600</v>
      </c>
      <c r="H368" s="292">
        <v>1014</v>
      </c>
      <c r="I368" s="305">
        <v>1200</v>
      </c>
      <c r="J368" s="288">
        <v>3175</v>
      </c>
      <c r="K368" s="288">
        <v>3256</v>
      </c>
      <c r="L368" s="294">
        <f>MIN(F389:I389)</f>
        <v>796</v>
      </c>
      <c r="M368" s="294">
        <f>SMALL(F389:I389,2)</f>
        <v>1014</v>
      </c>
      <c r="N368" s="286">
        <f t="shared" si="49"/>
        <v>276.12404178634279</v>
      </c>
      <c r="O368" s="286" t="s">
        <v>1706</v>
      </c>
      <c r="P368" s="286">
        <f t="shared" si="50"/>
        <v>276.12404178634279</v>
      </c>
      <c r="Q368" s="296" t="s">
        <v>1727</v>
      </c>
      <c r="R368" s="285"/>
      <c r="S368" s="285"/>
      <c r="T368" s="285"/>
      <c r="U368" s="285"/>
      <c r="V368" s="285"/>
      <c r="W368" s="285"/>
      <c r="X368" s="285"/>
      <c r="Y368" s="285"/>
      <c r="Z368" s="285"/>
      <c r="AA368" s="285"/>
      <c r="AB368" s="285"/>
      <c r="AC368" s="285"/>
      <c r="AD368" s="285"/>
      <c r="AE368" s="285"/>
      <c r="AF368" s="285"/>
      <c r="AG368" s="285"/>
      <c r="AH368" s="285"/>
      <c r="AI368" s="285"/>
      <c r="AJ368" s="285"/>
      <c r="AK368" s="285"/>
      <c r="AL368" s="285"/>
      <c r="AM368" s="285"/>
      <c r="AN368" s="285"/>
    </row>
    <row r="369" spans="1:40" x14ac:dyDescent="0.35">
      <c r="A369" s="285"/>
      <c r="B369" s="285"/>
      <c r="C369" s="285"/>
      <c r="D369" s="285"/>
      <c r="E369" s="285"/>
      <c r="F369" s="285"/>
      <c r="G369" s="285"/>
      <c r="H369" s="285"/>
      <c r="I369" s="285"/>
      <c r="J369" s="285"/>
      <c r="K369" s="285"/>
      <c r="L369" s="285"/>
      <c r="M369" s="285"/>
      <c r="N369" s="285"/>
      <c r="O369" s="285"/>
      <c r="P369" s="285"/>
      <c r="Q369" s="285"/>
      <c r="R369" s="285"/>
      <c r="S369" s="285"/>
      <c r="T369" s="285"/>
      <c r="U369" s="285"/>
      <c r="V369" s="285"/>
      <c r="W369" s="285"/>
      <c r="X369" s="285"/>
      <c r="Y369" s="285"/>
      <c r="Z369" s="285"/>
      <c r="AA369" s="285"/>
      <c r="AB369" s="285"/>
      <c r="AC369" s="285"/>
      <c r="AD369" s="285"/>
      <c r="AE369" s="285"/>
      <c r="AF369" s="285"/>
      <c r="AG369" s="285"/>
      <c r="AH369" s="285"/>
      <c r="AI369" s="285"/>
      <c r="AJ369" s="285"/>
      <c r="AK369" s="285"/>
      <c r="AL369" s="285"/>
      <c r="AM369" s="285"/>
      <c r="AN369" s="285"/>
    </row>
    <row r="370" spans="1:40" x14ac:dyDescent="0.35">
      <c r="A370" s="285"/>
      <c r="B370" s="285"/>
      <c r="C370" s="285"/>
      <c r="D370" s="285"/>
      <c r="E370" s="285"/>
      <c r="F370" s="285"/>
      <c r="G370" s="285"/>
      <c r="H370" s="285"/>
      <c r="I370" s="285"/>
      <c r="J370" s="285"/>
      <c r="K370" s="285"/>
      <c r="L370" s="285"/>
      <c r="M370" s="285"/>
      <c r="N370" s="285"/>
      <c r="O370" s="285"/>
      <c r="P370" s="285"/>
      <c r="Q370" s="285"/>
      <c r="R370" s="285"/>
      <c r="S370" s="285"/>
      <c r="T370" s="285"/>
      <c r="U370" s="285"/>
      <c r="V370" s="285"/>
      <c r="W370" s="285"/>
      <c r="X370" s="285"/>
      <c r="Y370" s="285"/>
      <c r="Z370" s="285"/>
      <c r="AA370" s="285"/>
      <c r="AB370" s="285"/>
      <c r="AC370" s="285"/>
      <c r="AD370" s="285"/>
      <c r="AE370" s="285"/>
      <c r="AF370" s="285"/>
      <c r="AG370" s="285"/>
      <c r="AH370" s="285"/>
      <c r="AI370" s="285"/>
      <c r="AJ370" s="285"/>
      <c r="AK370" s="285"/>
      <c r="AL370" s="285"/>
      <c r="AM370" s="285"/>
      <c r="AN370" s="285"/>
    </row>
    <row r="371" spans="1:40" x14ac:dyDescent="0.35">
      <c r="A371" s="296" t="s">
        <v>1729</v>
      </c>
      <c r="B371" s="291"/>
      <c r="C371" s="291"/>
      <c r="D371" s="291"/>
      <c r="E371" s="291"/>
      <c r="F371" s="291"/>
      <c r="G371" s="291"/>
      <c r="H371" s="291"/>
      <c r="I371" s="291"/>
      <c r="J371" s="291"/>
      <c r="K371" s="291"/>
      <c r="L371" s="291"/>
      <c r="M371" s="291"/>
      <c r="N371" s="291"/>
      <c r="O371" s="291"/>
      <c r="P371" s="291"/>
      <c r="Q371" s="285"/>
      <c r="R371" s="285"/>
      <c r="S371" s="285"/>
      <c r="T371" s="285"/>
      <c r="U371" s="285"/>
      <c r="V371" s="285"/>
      <c r="W371" s="285"/>
      <c r="X371" s="285"/>
      <c r="Y371" s="285"/>
      <c r="Z371" s="285"/>
      <c r="AA371" s="285"/>
      <c r="AB371" s="285"/>
      <c r="AC371" s="285"/>
      <c r="AD371" s="285"/>
      <c r="AE371" s="285"/>
      <c r="AF371" s="285"/>
      <c r="AG371" s="285"/>
      <c r="AH371" s="285"/>
      <c r="AI371" s="285"/>
      <c r="AJ371" s="285"/>
      <c r="AK371" s="285"/>
      <c r="AL371" s="285"/>
      <c r="AM371" s="285"/>
      <c r="AN371" s="285"/>
    </row>
    <row r="372" spans="1:40" ht="15" customHeight="1" x14ac:dyDescent="0.35">
      <c r="A372" s="536" t="s">
        <v>1493</v>
      </c>
      <c r="B372" s="535" t="s">
        <v>1726</v>
      </c>
      <c r="C372" s="535" t="s">
        <v>1599</v>
      </c>
      <c r="D372" s="535" t="s">
        <v>1424</v>
      </c>
      <c r="E372" s="535" t="s">
        <v>1497</v>
      </c>
      <c r="F372" s="535" t="s">
        <v>1713</v>
      </c>
      <c r="G372" s="535" t="s">
        <v>1730</v>
      </c>
      <c r="H372" s="535" t="s">
        <v>1910</v>
      </c>
      <c r="I372" s="535" t="s">
        <v>1726</v>
      </c>
      <c r="J372" s="535" t="s">
        <v>1911</v>
      </c>
      <c r="K372" s="532" t="s">
        <v>1478</v>
      </c>
      <c r="L372" s="532" t="s">
        <v>1908</v>
      </c>
      <c r="M372" s="532" t="s">
        <v>1909</v>
      </c>
      <c r="N372" s="535" t="s">
        <v>1700</v>
      </c>
      <c r="O372" s="535" t="s">
        <v>1701</v>
      </c>
      <c r="P372" s="535" t="s">
        <v>1702</v>
      </c>
      <c r="Q372" s="535" t="s">
        <v>1703</v>
      </c>
      <c r="R372" s="535" t="s">
        <v>1704</v>
      </c>
      <c r="S372" s="535" t="s">
        <v>1418</v>
      </c>
      <c r="T372" s="285"/>
      <c r="U372" s="285"/>
      <c r="V372" s="285"/>
      <c r="W372" s="285"/>
      <c r="X372" s="285"/>
      <c r="Y372" s="285"/>
      <c r="Z372" s="285"/>
      <c r="AA372" s="285"/>
      <c r="AB372" s="285"/>
      <c r="AC372" s="285"/>
      <c r="AD372" s="285"/>
      <c r="AE372" s="285"/>
      <c r="AF372" s="285"/>
      <c r="AG372" s="285"/>
      <c r="AH372" s="285"/>
      <c r="AI372" s="285"/>
      <c r="AJ372" s="285"/>
      <c r="AK372" s="285"/>
      <c r="AL372" s="285"/>
      <c r="AM372" s="285"/>
      <c r="AN372" s="285"/>
    </row>
    <row r="373" spans="1:40" x14ac:dyDescent="0.35">
      <c r="A373" s="536"/>
      <c r="B373" s="535"/>
      <c r="C373" s="535"/>
      <c r="D373" s="535"/>
      <c r="E373" s="535"/>
      <c r="F373" s="535"/>
      <c r="G373" s="535"/>
      <c r="H373" s="535"/>
      <c r="I373" s="535"/>
      <c r="J373" s="535"/>
      <c r="K373" s="532"/>
      <c r="L373" s="532"/>
      <c r="M373" s="532"/>
      <c r="N373" s="535"/>
      <c r="O373" s="535"/>
      <c r="P373" s="535"/>
      <c r="Q373" s="535"/>
      <c r="R373" s="535"/>
      <c r="S373" s="535"/>
      <c r="T373" s="285"/>
      <c r="U373" s="285"/>
      <c r="V373" s="285"/>
      <c r="W373" s="285"/>
      <c r="X373" s="285"/>
      <c r="Y373" s="285"/>
      <c r="Z373" s="285"/>
      <c r="AA373" s="285"/>
      <c r="AB373" s="285"/>
      <c r="AC373" s="285"/>
      <c r="AD373" s="285"/>
      <c r="AE373" s="285"/>
      <c r="AF373" s="285"/>
      <c r="AG373" s="285"/>
      <c r="AH373" s="285"/>
      <c r="AI373" s="285"/>
      <c r="AJ373" s="285"/>
      <c r="AK373" s="285"/>
      <c r="AL373" s="285"/>
      <c r="AM373" s="285"/>
      <c r="AN373" s="285"/>
    </row>
    <row r="374" spans="1:40" x14ac:dyDescent="0.35">
      <c r="A374" s="537" t="s">
        <v>1861</v>
      </c>
      <c r="B374" s="291" t="s">
        <v>1670</v>
      </c>
      <c r="C374" s="291">
        <v>13</v>
      </c>
      <c r="D374" s="291">
        <v>34.5</v>
      </c>
      <c r="E374" s="297">
        <f>(C374*1000)/(SQRT(3)*D374)</f>
        <v>217.55227534681552</v>
      </c>
      <c r="F374" s="292">
        <v>1014</v>
      </c>
      <c r="G374" s="292">
        <v>1226</v>
      </c>
      <c r="H374" s="292">
        <v>1014</v>
      </c>
      <c r="I374" s="304">
        <v>600</v>
      </c>
      <c r="J374" s="292">
        <v>1014</v>
      </c>
      <c r="K374" s="288">
        <v>1200</v>
      </c>
      <c r="L374" s="288">
        <v>3175</v>
      </c>
      <c r="M374" s="288">
        <v>3256</v>
      </c>
      <c r="N374" s="294">
        <f>MIN(F384:I384)</f>
        <v>636</v>
      </c>
      <c r="O374" s="292">
        <f>SMALL(F383:I383,2)</f>
        <v>1014</v>
      </c>
      <c r="P374" s="286">
        <f>MIN(E374:O374)</f>
        <v>217.55227534681552</v>
      </c>
      <c r="Q374" s="286" t="s">
        <v>1706</v>
      </c>
      <c r="R374" s="296">
        <f>SMALL(E374:O374,2)</f>
        <v>600</v>
      </c>
      <c r="S374" s="296" t="s">
        <v>1726</v>
      </c>
      <c r="T374" s="285"/>
      <c r="U374" s="285"/>
      <c r="V374" s="285"/>
      <c r="W374" s="285"/>
      <c r="X374" s="285"/>
      <c r="Y374" s="285"/>
      <c r="Z374" s="285"/>
      <c r="AA374" s="285"/>
      <c r="AB374" s="285"/>
      <c r="AC374" s="285"/>
      <c r="AD374" s="285"/>
      <c r="AE374" s="285"/>
      <c r="AF374" s="285"/>
      <c r="AG374" s="285"/>
      <c r="AH374" s="285"/>
      <c r="AI374" s="285"/>
      <c r="AJ374" s="285"/>
      <c r="AK374" s="285"/>
      <c r="AL374" s="285"/>
      <c r="AM374" s="285"/>
      <c r="AN374" s="285"/>
    </row>
    <row r="375" spans="1:40" x14ac:dyDescent="0.35">
      <c r="A375" s="537"/>
      <c r="B375" s="291" t="s">
        <v>1873</v>
      </c>
      <c r="C375" s="291">
        <v>13</v>
      </c>
      <c r="D375" s="291">
        <v>34.5</v>
      </c>
      <c r="E375" s="297">
        <f>(C375*1000)/(SQRT(3)*D375)</f>
        <v>217.55227534681552</v>
      </c>
      <c r="F375" s="292">
        <v>1014</v>
      </c>
      <c r="G375" s="292">
        <v>1226</v>
      </c>
      <c r="H375" s="292">
        <v>1014</v>
      </c>
      <c r="I375" s="304">
        <v>600</v>
      </c>
      <c r="J375" s="292">
        <v>1014</v>
      </c>
      <c r="K375" s="288">
        <v>1200</v>
      </c>
      <c r="L375" s="288">
        <v>3175</v>
      </c>
      <c r="M375" s="288">
        <v>3256</v>
      </c>
      <c r="N375" s="292">
        <f>MIN(F386:I386)</f>
        <v>636</v>
      </c>
      <c r="O375" s="292">
        <f>SMALL(F386:I386,2)</f>
        <v>1014</v>
      </c>
      <c r="P375" s="286">
        <f>MIN(E375:O375)</f>
        <v>217.55227534681552</v>
      </c>
      <c r="Q375" s="286" t="s">
        <v>1706</v>
      </c>
      <c r="R375" s="296">
        <f>SMALL(E375:O375,2)</f>
        <v>600</v>
      </c>
      <c r="S375" s="296" t="s">
        <v>1726</v>
      </c>
      <c r="T375" s="285"/>
      <c r="U375" s="285"/>
      <c r="V375" s="285"/>
      <c r="W375" s="285"/>
      <c r="X375" s="285"/>
      <c r="Y375" s="285"/>
      <c r="Z375" s="285"/>
      <c r="AA375" s="285"/>
      <c r="AB375" s="285"/>
      <c r="AC375" s="285"/>
      <c r="AD375" s="285"/>
      <c r="AE375" s="285"/>
      <c r="AF375" s="285"/>
      <c r="AG375" s="285"/>
      <c r="AH375" s="285"/>
      <c r="AI375" s="285"/>
      <c r="AJ375" s="285"/>
      <c r="AK375" s="285"/>
      <c r="AL375" s="285"/>
      <c r="AM375" s="285"/>
      <c r="AN375" s="285"/>
    </row>
    <row r="376" spans="1:40" x14ac:dyDescent="0.35">
      <c r="A376" s="537" t="s">
        <v>1879</v>
      </c>
      <c r="B376" s="291" t="s">
        <v>1622</v>
      </c>
      <c r="C376" s="291">
        <v>12</v>
      </c>
      <c r="D376" s="291">
        <v>34.5</v>
      </c>
      <c r="E376" s="297">
        <f>(C376*1000)/(SQRT(3)*D376)</f>
        <v>200.81748493552203</v>
      </c>
      <c r="F376" s="292">
        <v>1014</v>
      </c>
      <c r="G376" s="292">
        <v>1226</v>
      </c>
      <c r="H376" s="292">
        <v>1014</v>
      </c>
      <c r="I376" s="304">
        <v>600</v>
      </c>
      <c r="J376" s="292">
        <v>1014</v>
      </c>
      <c r="K376" s="288">
        <v>1200</v>
      </c>
      <c r="L376" s="288">
        <v>3175</v>
      </c>
      <c r="M376" s="288">
        <v>3256</v>
      </c>
      <c r="N376" s="294">
        <f>MIN(F388:I388)</f>
        <v>796</v>
      </c>
      <c r="O376" s="292">
        <f>SMALL(F388:I388,2)</f>
        <v>1014</v>
      </c>
      <c r="P376" s="286">
        <f>MIN(E376:O376)</f>
        <v>200.81748493552203</v>
      </c>
      <c r="Q376" s="286" t="s">
        <v>1706</v>
      </c>
      <c r="R376" s="296">
        <f>SMALL(E376:O376,2)</f>
        <v>600</v>
      </c>
      <c r="S376" s="296" t="s">
        <v>1726</v>
      </c>
      <c r="T376" s="285"/>
      <c r="U376" s="285"/>
      <c r="V376" s="285"/>
      <c r="W376" s="285"/>
      <c r="X376" s="285"/>
      <c r="Y376" s="285"/>
      <c r="Z376" s="285"/>
      <c r="AA376" s="285"/>
      <c r="AB376" s="285"/>
      <c r="AC376" s="285"/>
      <c r="AD376" s="285"/>
      <c r="AE376" s="285"/>
      <c r="AF376" s="285"/>
      <c r="AG376" s="285"/>
      <c r="AH376" s="285"/>
      <c r="AI376" s="285"/>
      <c r="AJ376" s="285"/>
      <c r="AK376" s="285"/>
      <c r="AL376" s="285"/>
      <c r="AM376" s="285"/>
      <c r="AN376" s="285"/>
    </row>
    <row r="377" spans="1:40" x14ac:dyDescent="0.35">
      <c r="A377" s="537"/>
      <c r="B377" s="291" t="s">
        <v>1640</v>
      </c>
      <c r="C377" s="291">
        <v>12</v>
      </c>
      <c r="D377" s="291">
        <v>34.5</v>
      </c>
      <c r="E377" s="297">
        <f>(C377*1000)/(SQRT(3)*D377)</f>
        <v>200.81748493552203</v>
      </c>
      <c r="F377" s="292">
        <v>1014</v>
      </c>
      <c r="G377" s="292">
        <v>1226</v>
      </c>
      <c r="H377" s="292">
        <v>1014</v>
      </c>
      <c r="I377" s="304">
        <v>600</v>
      </c>
      <c r="J377" s="292">
        <v>1014</v>
      </c>
      <c r="K377" s="288">
        <v>1200</v>
      </c>
      <c r="L377" s="288">
        <v>3175</v>
      </c>
      <c r="M377" s="288">
        <v>3256</v>
      </c>
      <c r="N377" s="294">
        <f>MIN(F390:I390)</f>
        <v>796</v>
      </c>
      <c r="O377" s="292">
        <f>SMALL(F390:I390,2)</f>
        <v>1014</v>
      </c>
      <c r="P377" s="286">
        <f>MIN(E377:O377)</f>
        <v>200.81748493552203</v>
      </c>
      <c r="Q377" s="286" t="s">
        <v>1706</v>
      </c>
      <c r="R377" s="296">
        <f>SMALL(E377:O377,2)</f>
        <v>600</v>
      </c>
      <c r="S377" s="296" t="s">
        <v>1726</v>
      </c>
      <c r="T377" s="285"/>
      <c r="U377" s="285"/>
      <c r="V377" s="285"/>
      <c r="W377" s="285"/>
      <c r="X377" s="285"/>
      <c r="Y377" s="285"/>
      <c r="Z377" s="285"/>
      <c r="AA377" s="285"/>
      <c r="AB377" s="285"/>
      <c r="AC377" s="285"/>
      <c r="AD377" s="285"/>
      <c r="AE377" s="285"/>
      <c r="AF377" s="285"/>
      <c r="AG377" s="285"/>
      <c r="AH377" s="285"/>
      <c r="AI377" s="285"/>
      <c r="AJ377" s="285"/>
      <c r="AK377" s="285"/>
      <c r="AL377" s="285"/>
      <c r="AM377" s="285"/>
      <c r="AN377" s="285"/>
    </row>
    <row r="378" spans="1:40" x14ac:dyDescent="0.35">
      <c r="A378" s="285"/>
      <c r="B378" s="285"/>
      <c r="C378" s="285"/>
      <c r="D378" s="285"/>
      <c r="E378" s="285"/>
      <c r="F378" s="285"/>
      <c r="G378" s="285"/>
      <c r="H378" s="285"/>
      <c r="I378" s="285"/>
      <c r="J378" s="285"/>
      <c r="K378" s="285"/>
      <c r="L378" s="285"/>
      <c r="M378" s="285"/>
      <c r="N378" s="285"/>
      <c r="O378" s="285"/>
      <c r="P378" s="285"/>
      <c r="Q378" s="285"/>
      <c r="R378" s="285"/>
      <c r="S378" s="285"/>
      <c r="T378" s="285"/>
      <c r="U378" s="285"/>
      <c r="V378" s="285"/>
      <c r="W378" s="285"/>
      <c r="X378" s="285"/>
      <c r="Y378" s="285"/>
      <c r="Z378" s="285"/>
      <c r="AA378" s="285"/>
      <c r="AB378" s="285"/>
      <c r="AC378" s="285"/>
      <c r="AD378" s="285"/>
      <c r="AE378" s="285"/>
      <c r="AF378" s="285"/>
      <c r="AG378" s="285"/>
      <c r="AH378" s="285"/>
      <c r="AI378" s="285"/>
      <c r="AJ378" s="285"/>
      <c r="AK378" s="285"/>
      <c r="AL378" s="285"/>
      <c r="AM378" s="285"/>
      <c r="AN378" s="285"/>
    </row>
    <row r="379" spans="1:40" x14ac:dyDescent="0.35">
      <c r="A379" s="285"/>
      <c r="B379" s="285"/>
      <c r="C379" s="285"/>
      <c r="D379" s="285"/>
      <c r="E379" s="285"/>
      <c r="F379" s="285"/>
      <c r="G379" s="285"/>
      <c r="H379" s="285"/>
      <c r="I379" s="285"/>
      <c r="J379" s="285"/>
      <c r="K379" s="285"/>
      <c r="L379" s="285"/>
      <c r="M379" s="285"/>
      <c r="N379" s="285"/>
      <c r="O379" s="285"/>
      <c r="P379" s="285"/>
      <c r="Q379" s="285"/>
      <c r="R379" s="285"/>
      <c r="S379" s="285"/>
      <c r="T379" s="285"/>
      <c r="U379" s="285"/>
      <c r="V379" s="285"/>
      <c r="W379" s="285"/>
      <c r="X379" s="285"/>
      <c r="Y379" s="285"/>
      <c r="Z379" s="285"/>
      <c r="AA379" s="285"/>
      <c r="AB379" s="285"/>
      <c r="AC379" s="285"/>
      <c r="AD379" s="285"/>
      <c r="AE379" s="285"/>
      <c r="AF379" s="285"/>
      <c r="AG379" s="285"/>
      <c r="AH379" s="285"/>
      <c r="AI379" s="285"/>
      <c r="AJ379" s="285"/>
      <c r="AK379" s="285"/>
      <c r="AL379" s="285"/>
      <c r="AM379" s="285"/>
      <c r="AN379" s="285"/>
    </row>
    <row r="380" spans="1:40" x14ac:dyDescent="0.35">
      <c r="A380" s="296" t="s">
        <v>1733</v>
      </c>
      <c r="B380" s="291"/>
      <c r="C380" s="291"/>
      <c r="D380" s="291"/>
      <c r="E380" s="291"/>
      <c r="F380" s="291"/>
      <c r="G380" s="291"/>
      <c r="H380" s="291"/>
      <c r="I380" s="291"/>
      <c r="J380" s="291"/>
      <c r="K380" s="291"/>
      <c r="L380" s="291"/>
      <c r="M380" s="291"/>
      <c r="N380" s="285"/>
      <c r="O380" s="285"/>
      <c r="P380" s="285"/>
      <c r="Q380" s="285"/>
      <c r="R380" s="285"/>
      <c r="S380" s="285"/>
      <c r="T380" s="285"/>
      <c r="U380" s="285"/>
      <c r="V380" s="285"/>
      <c r="W380" s="285"/>
      <c r="X380" s="285"/>
      <c r="Y380" s="285"/>
      <c r="Z380" s="285"/>
      <c r="AA380" s="285"/>
      <c r="AB380" s="285"/>
      <c r="AC380" s="285"/>
      <c r="AD380" s="285"/>
      <c r="AE380" s="285"/>
      <c r="AF380" s="285"/>
      <c r="AG380" s="285"/>
      <c r="AH380" s="285"/>
      <c r="AI380" s="285"/>
      <c r="AJ380" s="285"/>
      <c r="AK380" s="285"/>
      <c r="AL380" s="285"/>
      <c r="AM380" s="285"/>
      <c r="AN380" s="285"/>
    </row>
    <row r="381" spans="1:40" ht="15" customHeight="1" x14ac:dyDescent="0.35">
      <c r="A381" s="536" t="s">
        <v>1493</v>
      </c>
      <c r="B381" s="535" t="s">
        <v>1690</v>
      </c>
      <c r="C381" s="535" t="s">
        <v>1599</v>
      </c>
      <c r="D381" s="535" t="s">
        <v>1424</v>
      </c>
      <c r="E381" s="535" t="s">
        <v>1497</v>
      </c>
      <c r="F381" s="535" t="s">
        <v>1912</v>
      </c>
      <c r="G381" s="535" t="s">
        <v>1739</v>
      </c>
      <c r="H381" s="535" t="s">
        <v>1700</v>
      </c>
      <c r="I381" s="535" t="s">
        <v>1701</v>
      </c>
      <c r="J381" s="538" t="s">
        <v>1702</v>
      </c>
      <c r="K381" s="538" t="s">
        <v>1703</v>
      </c>
      <c r="L381" s="538" t="s">
        <v>1704</v>
      </c>
      <c r="M381" s="538" t="s">
        <v>1418</v>
      </c>
      <c r="N381" s="285"/>
      <c r="O381" s="285"/>
      <c r="P381" s="285"/>
      <c r="Q381" s="285"/>
      <c r="R381" s="285"/>
      <c r="S381" s="285"/>
      <c r="T381" s="285"/>
      <c r="U381" s="285"/>
      <c r="V381" s="285"/>
      <c r="W381" s="285"/>
      <c r="X381" s="285"/>
      <c r="Y381" s="285"/>
      <c r="Z381" s="285"/>
      <c r="AA381" s="285"/>
      <c r="AB381" s="285"/>
      <c r="AC381" s="285"/>
      <c r="AD381" s="285"/>
      <c r="AE381" s="285"/>
      <c r="AF381" s="285"/>
      <c r="AG381" s="285"/>
      <c r="AH381" s="285"/>
      <c r="AI381" s="285"/>
      <c r="AJ381" s="285"/>
      <c r="AK381" s="285"/>
      <c r="AL381" s="285"/>
      <c r="AM381" s="285"/>
      <c r="AN381" s="285"/>
    </row>
    <row r="382" spans="1:40" x14ac:dyDescent="0.35">
      <c r="A382" s="536"/>
      <c r="B382" s="535"/>
      <c r="C382" s="535"/>
      <c r="D382" s="535"/>
      <c r="E382" s="535"/>
      <c r="F382" s="535"/>
      <c r="G382" s="535"/>
      <c r="H382" s="535"/>
      <c r="I382" s="535"/>
      <c r="J382" s="538"/>
      <c r="K382" s="538"/>
      <c r="L382" s="538"/>
      <c r="M382" s="538"/>
      <c r="N382" s="285"/>
      <c r="O382" s="285"/>
      <c r="P382" s="285"/>
      <c r="Q382" s="285"/>
      <c r="R382" s="285"/>
      <c r="S382" s="285"/>
      <c r="T382" s="285"/>
      <c r="U382" s="285"/>
      <c r="V382" s="285"/>
      <c r="W382" s="285"/>
      <c r="X382" s="285"/>
      <c r="Y382" s="285"/>
      <c r="Z382" s="285"/>
      <c r="AA382" s="285"/>
      <c r="AB382" s="285"/>
      <c r="AC382" s="285"/>
      <c r="AD382" s="285"/>
      <c r="AE382" s="285"/>
      <c r="AF382" s="285"/>
      <c r="AG382" s="285"/>
      <c r="AH382" s="285"/>
      <c r="AI382" s="285"/>
      <c r="AJ382" s="285"/>
      <c r="AK382" s="285"/>
      <c r="AL382" s="285"/>
      <c r="AM382" s="285"/>
      <c r="AN382" s="285"/>
    </row>
    <row r="383" spans="1:40" x14ac:dyDescent="0.35">
      <c r="A383" s="537" t="s">
        <v>1861</v>
      </c>
      <c r="B383" s="291" t="s">
        <v>1669</v>
      </c>
      <c r="C383" s="291">
        <f>SUM(C361:C362)</f>
        <v>25</v>
      </c>
      <c r="D383" s="291">
        <v>34.5</v>
      </c>
      <c r="E383" s="297">
        <f t="shared" ref="E383:E390" si="51">(C383*1000)/(SQRT(3)*D383)</f>
        <v>418.36976028233755</v>
      </c>
      <c r="F383" s="292">
        <v>3175</v>
      </c>
      <c r="G383" s="304">
        <v>1014</v>
      </c>
      <c r="H383" s="300">
        <f>MIN(F396:P396)</f>
        <v>636</v>
      </c>
      <c r="I383" s="300">
        <f>SMALL(F396:P396,2)</f>
        <v>1014</v>
      </c>
      <c r="J383" s="286">
        <f t="shared" ref="J383:J390" si="52">MIN(E383:I383)</f>
        <v>418.36976028233755</v>
      </c>
      <c r="K383" s="296" t="s">
        <v>1706</v>
      </c>
      <c r="L383" s="296">
        <f t="shared" ref="L383:L390" si="53">SMALL(E383:I383,2)</f>
        <v>636</v>
      </c>
      <c r="M383" s="296" t="s">
        <v>1913</v>
      </c>
      <c r="N383" s="285"/>
      <c r="O383" s="285"/>
      <c r="P383" s="285"/>
      <c r="Q383" s="285"/>
      <c r="R383" s="285"/>
      <c r="S383" s="285"/>
      <c r="T383" s="285"/>
      <c r="U383" s="285"/>
      <c r="V383" s="285"/>
      <c r="W383" s="285"/>
      <c r="X383" s="285"/>
      <c r="Y383" s="285"/>
      <c r="Z383" s="285"/>
      <c r="AA383" s="285"/>
      <c r="AB383" s="285"/>
      <c r="AC383" s="285"/>
      <c r="AD383" s="285"/>
      <c r="AE383" s="285"/>
      <c r="AF383" s="285"/>
      <c r="AG383" s="285"/>
      <c r="AH383" s="285"/>
      <c r="AI383" s="285"/>
      <c r="AJ383" s="285"/>
      <c r="AK383" s="285"/>
      <c r="AL383" s="285"/>
      <c r="AM383" s="285"/>
      <c r="AN383" s="285"/>
    </row>
    <row r="384" spans="1:40" x14ac:dyDescent="0.35">
      <c r="A384" s="537"/>
      <c r="B384" s="291" t="s">
        <v>1672</v>
      </c>
      <c r="C384" s="291">
        <f>SUM(C374)</f>
        <v>13</v>
      </c>
      <c r="D384" s="291">
        <v>34.5</v>
      </c>
      <c r="E384" s="297">
        <f t="shared" si="51"/>
        <v>217.55227534681552</v>
      </c>
      <c r="F384" s="292">
        <v>3175</v>
      </c>
      <c r="G384" s="304">
        <v>1014</v>
      </c>
      <c r="H384" s="300">
        <f>MIN(F396:P396)</f>
        <v>636</v>
      </c>
      <c r="I384" s="300">
        <f>SMALL(F396:P396,2)</f>
        <v>1014</v>
      </c>
      <c r="J384" s="286">
        <f t="shared" si="52"/>
        <v>217.55227534681552</v>
      </c>
      <c r="K384" s="296" t="s">
        <v>1706</v>
      </c>
      <c r="L384" s="296">
        <f t="shared" si="53"/>
        <v>636</v>
      </c>
      <c r="M384" s="296" t="s">
        <v>1913</v>
      </c>
      <c r="N384" s="285"/>
      <c r="O384" s="285"/>
      <c r="P384" s="285"/>
      <c r="Q384" s="285"/>
      <c r="R384" s="285"/>
      <c r="S384" s="285"/>
      <c r="T384" s="285"/>
      <c r="U384" s="285"/>
      <c r="V384" s="285"/>
      <c r="W384" s="285"/>
      <c r="X384" s="285"/>
      <c r="Y384" s="285"/>
      <c r="Z384" s="285"/>
      <c r="AA384" s="285"/>
      <c r="AB384" s="285"/>
      <c r="AC384" s="285"/>
      <c r="AD384" s="285"/>
      <c r="AE384" s="285"/>
      <c r="AF384" s="285"/>
      <c r="AG384" s="285"/>
      <c r="AH384" s="285"/>
      <c r="AI384" s="285"/>
      <c r="AJ384" s="285"/>
      <c r="AK384" s="285"/>
      <c r="AL384" s="285"/>
      <c r="AM384" s="285"/>
      <c r="AN384" s="285"/>
    </row>
    <row r="385" spans="1:40" x14ac:dyDescent="0.35">
      <c r="A385" s="537"/>
      <c r="B385" s="291" t="s">
        <v>1914</v>
      </c>
      <c r="C385" s="291">
        <f>SUM(C363:C364)</f>
        <v>25</v>
      </c>
      <c r="D385" s="291">
        <v>34.5</v>
      </c>
      <c r="E385" s="297">
        <f t="shared" si="51"/>
        <v>418.36976028233755</v>
      </c>
      <c r="F385" s="292">
        <v>3175</v>
      </c>
      <c r="G385" s="304">
        <v>1014</v>
      </c>
      <c r="H385" s="300">
        <f>MIN(F397:P397)</f>
        <v>636</v>
      </c>
      <c r="I385" s="300">
        <f>SMALL(F397:P397,2)</f>
        <v>1014</v>
      </c>
      <c r="J385" s="286">
        <f t="shared" si="52"/>
        <v>418.36976028233755</v>
      </c>
      <c r="K385" s="296" t="s">
        <v>1706</v>
      </c>
      <c r="L385" s="296">
        <f t="shared" si="53"/>
        <v>636</v>
      </c>
      <c r="M385" s="296" t="s">
        <v>1913</v>
      </c>
      <c r="N385" s="285"/>
      <c r="O385" s="285"/>
      <c r="P385" s="285"/>
      <c r="Q385" s="285"/>
      <c r="R385" s="285"/>
      <c r="S385" s="285"/>
      <c r="T385" s="285"/>
      <c r="U385" s="285"/>
      <c r="V385" s="285"/>
      <c r="W385" s="285"/>
      <c r="X385" s="285"/>
      <c r="Y385" s="285"/>
      <c r="Z385" s="285"/>
      <c r="AA385" s="285"/>
      <c r="AB385" s="285"/>
      <c r="AC385" s="285"/>
      <c r="AD385" s="285"/>
      <c r="AE385" s="285"/>
      <c r="AF385" s="285"/>
      <c r="AG385" s="285"/>
      <c r="AH385" s="285"/>
      <c r="AI385" s="285"/>
      <c r="AJ385" s="285"/>
      <c r="AK385" s="285"/>
      <c r="AL385" s="285"/>
      <c r="AM385" s="285"/>
      <c r="AN385" s="285"/>
    </row>
    <row r="386" spans="1:40" x14ac:dyDescent="0.35">
      <c r="A386" s="537"/>
      <c r="B386" s="291" t="s">
        <v>1915</v>
      </c>
      <c r="C386" s="291">
        <f>SUM(C375)</f>
        <v>13</v>
      </c>
      <c r="D386" s="291">
        <v>34.5</v>
      </c>
      <c r="E386" s="297">
        <f t="shared" si="51"/>
        <v>217.55227534681552</v>
      </c>
      <c r="F386" s="292">
        <v>3175</v>
      </c>
      <c r="G386" s="304">
        <v>1014</v>
      </c>
      <c r="H386" s="300">
        <f>MIN(F397:P397)</f>
        <v>636</v>
      </c>
      <c r="I386" s="300">
        <f>SMALL(F397:P397,2)</f>
        <v>1014</v>
      </c>
      <c r="J386" s="286">
        <f t="shared" si="52"/>
        <v>217.55227534681552</v>
      </c>
      <c r="K386" s="296" t="s">
        <v>1706</v>
      </c>
      <c r="L386" s="296">
        <f t="shared" si="53"/>
        <v>636</v>
      </c>
      <c r="M386" s="296" t="s">
        <v>1913</v>
      </c>
      <c r="N386" s="285"/>
      <c r="O386" s="285"/>
      <c r="P386" s="285"/>
      <c r="Q386" s="285"/>
      <c r="R386" s="285"/>
      <c r="S386" s="285"/>
      <c r="T386" s="285"/>
      <c r="U386" s="285"/>
      <c r="V386" s="285"/>
      <c r="W386" s="285"/>
      <c r="X386" s="285"/>
      <c r="Y386" s="285"/>
      <c r="Z386" s="285"/>
      <c r="AA386" s="285"/>
      <c r="AB386" s="285"/>
      <c r="AC386" s="285"/>
      <c r="AD386" s="285"/>
      <c r="AE386" s="285"/>
      <c r="AF386" s="285"/>
      <c r="AG386" s="285"/>
      <c r="AH386" s="285"/>
      <c r="AI386" s="285"/>
      <c r="AJ386" s="285"/>
      <c r="AK386" s="285"/>
      <c r="AL386" s="285"/>
      <c r="AM386" s="285"/>
      <c r="AN386" s="285"/>
    </row>
    <row r="387" spans="1:40" x14ac:dyDescent="0.35">
      <c r="A387" s="537" t="s">
        <v>1879</v>
      </c>
      <c r="B387" s="291" t="s">
        <v>1620</v>
      </c>
      <c r="C387" s="291">
        <f>SUM(C365:C366)</f>
        <v>33</v>
      </c>
      <c r="D387" s="291">
        <v>34.5</v>
      </c>
      <c r="E387" s="297">
        <f t="shared" si="51"/>
        <v>552.24808357268557</v>
      </c>
      <c r="F387" s="292">
        <v>3175</v>
      </c>
      <c r="G387" s="304">
        <v>1014</v>
      </c>
      <c r="H387" s="300">
        <f>MIN(F398:P398)</f>
        <v>796</v>
      </c>
      <c r="I387" s="300">
        <f>SMALL(F398:P398,2)</f>
        <v>1014</v>
      </c>
      <c r="J387" s="286">
        <f t="shared" si="52"/>
        <v>552.24808357268557</v>
      </c>
      <c r="K387" s="296" t="s">
        <v>1706</v>
      </c>
      <c r="L387" s="296">
        <f t="shared" si="53"/>
        <v>796</v>
      </c>
      <c r="M387" s="296" t="s">
        <v>1913</v>
      </c>
      <c r="N387" s="285"/>
      <c r="O387" s="285"/>
      <c r="P387" s="285"/>
      <c r="Q387" s="285"/>
      <c r="R387" s="285"/>
      <c r="S387" s="285"/>
      <c r="T387" s="285"/>
      <c r="U387" s="285"/>
      <c r="V387" s="285"/>
      <c r="W387" s="285"/>
      <c r="X387" s="285"/>
      <c r="Y387" s="285"/>
      <c r="Z387" s="285"/>
      <c r="AA387" s="285"/>
      <c r="AB387" s="285"/>
      <c r="AC387" s="285"/>
      <c r="AD387" s="285"/>
      <c r="AE387" s="285"/>
      <c r="AF387" s="285"/>
      <c r="AG387" s="285"/>
      <c r="AH387" s="285"/>
      <c r="AI387" s="285"/>
      <c r="AJ387" s="285"/>
      <c r="AK387" s="285"/>
      <c r="AL387" s="285"/>
      <c r="AM387" s="285"/>
      <c r="AN387" s="285"/>
    </row>
    <row r="388" spans="1:40" x14ac:dyDescent="0.35">
      <c r="A388" s="537"/>
      <c r="B388" s="291" t="s">
        <v>1625</v>
      </c>
      <c r="C388" s="291">
        <f>SUM(C376)</f>
        <v>12</v>
      </c>
      <c r="D388" s="291">
        <v>34.5</v>
      </c>
      <c r="E388" s="297">
        <f t="shared" si="51"/>
        <v>200.81748493552203</v>
      </c>
      <c r="F388" s="292">
        <v>3175</v>
      </c>
      <c r="G388" s="304">
        <v>1014</v>
      </c>
      <c r="H388" s="300">
        <f>MIN(F398:P398)</f>
        <v>796</v>
      </c>
      <c r="I388" s="300">
        <f>SMALL(F398:P398,2)</f>
        <v>1014</v>
      </c>
      <c r="J388" s="286">
        <f t="shared" si="52"/>
        <v>200.81748493552203</v>
      </c>
      <c r="K388" s="296" t="s">
        <v>1706</v>
      </c>
      <c r="L388" s="296">
        <f t="shared" si="53"/>
        <v>796</v>
      </c>
      <c r="M388" s="296" t="s">
        <v>1913</v>
      </c>
      <c r="N388" s="285"/>
      <c r="O388" s="285"/>
      <c r="P388" s="285"/>
      <c r="Q388" s="285"/>
      <c r="R388" s="285"/>
      <c r="S388" s="285"/>
      <c r="T388" s="285"/>
      <c r="U388" s="285"/>
      <c r="V388" s="285"/>
      <c r="W388" s="285"/>
      <c r="X388" s="285"/>
      <c r="Y388" s="285"/>
      <c r="Z388" s="285"/>
      <c r="AA388" s="285"/>
      <c r="AB388" s="285"/>
      <c r="AC388" s="285"/>
      <c r="AD388" s="285"/>
      <c r="AE388" s="285"/>
      <c r="AF388" s="285"/>
      <c r="AG388" s="285"/>
      <c r="AH388" s="285"/>
      <c r="AI388" s="285"/>
      <c r="AJ388" s="285"/>
      <c r="AK388" s="285"/>
      <c r="AL388" s="285"/>
      <c r="AM388" s="285"/>
      <c r="AN388" s="285"/>
    </row>
    <row r="389" spans="1:40" x14ac:dyDescent="0.35">
      <c r="A389" s="537"/>
      <c r="B389" s="291" t="s">
        <v>1639</v>
      </c>
      <c r="C389" s="291">
        <f>SUM(C367:C368)</f>
        <v>33</v>
      </c>
      <c r="D389" s="291">
        <v>34.5</v>
      </c>
      <c r="E389" s="297">
        <f t="shared" si="51"/>
        <v>552.24808357268557</v>
      </c>
      <c r="F389" s="292">
        <v>3175</v>
      </c>
      <c r="G389" s="304">
        <v>1014</v>
      </c>
      <c r="H389" s="300">
        <f>MIN(F399:P399)</f>
        <v>796</v>
      </c>
      <c r="I389" s="300">
        <f>SMALL(F399:P399,2)</f>
        <v>1014</v>
      </c>
      <c r="J389" s="286">
        <f t="shared" si="52"/>
        <v>552.24808357268557</v>
      </c>
      <c r="K389" s="296" t="s">
        <v>1706</v>
      </c>
      <c r="L389" s="296">
        <f t="shared" si="53"/>
        <v>796</v>
      </c>
      <c r="M389" s="296" t="s">
        <v>1913</v>
      </c>
      <c r="N389" s="285"/>
      <c r="O389" s="285"/>
      <c r="P389" s="285"/>
      <c r="Q389" s="285"/>
      <c r="R389" s="285"/>
      <c r="S389" s="285"/>
      <c r="T389" s="285"/>
      <c r="U389" s="285"/>
      <c r="V389" s="285"/>
      <c r="W389" s="285"/>
      <c r="X389" s="285"/>
      <c r="Y389" s="285"/>
      <c r="Z389" s="285"/>
      <c r="AA389" s="285"/>
      <c r="AB389" s="285"/>
      <c r="AC389" s="285"/>
      <c r="AD389" s="285"/>
      <c r="AE389" s="285"/>
      <c r="AF389" s="285"/>
      <c r="AG389" s="285"/>
      <c r="AH389" s="285"/>
      <c r="AI389" s="285"/>
      <c r="AJ389" s="285"/>
      <c r="AK389" s="285"/>
      <c r="AL389" s="285"/>
      <c r="AM389" s="285"/>
      <c r="AN389" s="285"/>
    </row>
    <row r="390" spans="1:40" x14ac:dyDescent="0.35">
      <c r="A390" s="537"/>
      <c r="B390" s="291" t="s">
        <v>1641</v>
      </c>
      <c r="C390" s="291">
        <f>SUM(C377)</f>
        <v>12</v>
      </c>
      <c r="D390" s="291">
        <v>34.5</v>
      </c>
      <c r="E390" s="297">
        <f t="shared" si="51"/>
        <v>200.81748493552203</v>
      </c>
      <c r="F390" s="292">
        <v>3175</v>
      </c>
      <c r="G390" s="304">
        <v>1014</v>
      </c>
      <c r="H390" s="300">
        <f>MIN(F399:P399)</f>
        <v>796</v>
      </c>
      <c r="I390" s="300">
        <f>SMALL(F399:P399,2)</f>
        <v>1014</v>
      </c>
      <c r="J390" s="286">
        <f t="shared" si="52"/>
        <v>200.81748493552203</v>
      </c>
      <c r="K390" s="296" t="s">
        <v>1706</v>
      </c>
      <c r="L390" s="296">
        <f t="shared" si="53"/>
        <v>796</v>
      </c>
      <c r="M390" s="296" t="s">
        <v>1913</v>
      </c>
      <c r="N390" s="285"/>
      <c r="O390" s="285"/>
      <c r="P390" s="285"/>
      <c r="Q390" s="285"/>
      <c r="R390" s="285"/>
      <c r="S390" s="285"/>
      <c r="T390" s="285"/>
      <c r="U390" s="285"/>
      <c r="V390" s="285"/>
      <c r="W390" s="285"/>
      <c r="X390" s="285"/>
      <c r="Y390" s="285"/>
      <c r="Z390" s="285"/>
      <c r="AA390" s="285"/>
      <c r="AB390" s="285"/>
      <c r="AC390" s="285"/>
      <c r="AD390" s="285"/>
      <c r="AE390" s="285"/>
      <c r="AF390" s="285"/>
      <c r="AG390" s="285"/>
      <c r="AH390" s="285"/>
      <c r="AI390" s="285"/>
      <c r="AJ390" s="285"/>
      <c r="AK390" s="285"/>
      <c r="AL390" s="285"/>
      <c r="AM390" s="285"/>
      <c r="AN390" s="285"/>
    </row>
    <row r="391" spans="1:40" x14ac:dyDescent="0.35">
      <c r="A391" s="285"/>
      <c r="B391" s="285"/>
      <c r="C391" s="285"/>
      <c r="D391" s="285"/>
      <c r="E391" s="285"/>
      <c r="F391" s="285"/>
      <c r="G391" s="285"/>
      <c r="H391" s="285"/>
      <c r="I391" s="285"/>
      <c r="J391" s="285"/>
      <c r="K391" s="285"/>
      <c r="L391" s="285"/>
      <c r="M391" s="285"/>
      <c r="N391" s="285"/>
      <c r="O391" s="285"/>
      <c r="P391" s="285"/>
      <c r="Q391" s="285"/>
      <c r="R391" s="285"/>
      <c r="S391" s="285"/>
      <c r="T391" s="285"/>
      <c r="U391" s="285"/>
      <c r="V391" s="285"/>
      <c r="W391" s="285"/>
      <c r="X391" s="285"/>
      <c r="Y391" s="285"/>
      <c r="Z391" s="285"/>
      <c r="AA391" s="285"/>
      <c r="AB391" s="285"/>
      <c r="AC391" s="285"/>
      <c r="AD391" s="285"/>
      <c r="AE391" s="285"/>
      <c r="AF391" s="285"/>
      <c r="AG391" s="285"/>
      <c r="AH391" s="285"/>
      <c r="AI391" s="285"/>
      <c r="AJ391" s="285"/>
      <c r="AK391" s="285"/>
      <c r="AL391" s="285"/>
      <c r="AM391" s="285"/>
      <c r="AN391" s="285"/>
    </row>
    <row r="392" spans="1:40" x14ac:dyDescent="0.35">
      <c r="A392" s="285"/>
      <c r="B392" s="285"/>
      <c r="C392" s="285"/>
      <c r="D392" s="285"/>
      <c r="E392" s="285"/>
      <c r="F392" s="285"/>
      <c r="G392" s="285"/>
      <c r="H392" s="285"/>
      <c r="I392" s="285"/>
      <c r="J392" s="285"/>
      <c r="K392" s="285"/>
      <c r="L392" s="285"/>
      <c r="M392" s="285"/>
      <c r="N392" s="285"/>
      <c r="O392" s="285"/>
      <c r="P392" s="285"/>
      <c r="Q392" s="285"/>
      <c r="R392" s="285"/>
      <c r="S392" s="285"/>
      <c r="T392" s="285"/>
      <c r="U392" s="285"/>
      <c r="V392" s="285"/>
      <c r="W392" s="285"/>
      <c r="X392" s="285"/>
      <c r="Y392" s="285"/>
      <c r="Z392" s="285"/>
      <c r="AA392" s="285"/>
      <c r="AB392" s="285"/>
      <c r="AC392" s="285"/>
      <c r="AD392" s="285"/>
      <c r="AE392" s="285"/>
      <c r="AF392" s="285"/>
      <c r="AG392" s="285"/>
      <c r="AH392" s="285"/>
      <c r="AI392" s="285"/>
      <c r="AJ392" s="285"/>
      <c r="AK392" s="285"/>
      <c r="AL392" s="285"/>
      <c r="AM392" s="285"/>
      <c r="AN392" s="285"/>
    </row>
    <row r="393" spans="1:40" x14ac:dyDescent="0.35">
      <c r="A393" s="296" t="s">
        <v>1737</v>
      </c>
      <c r="B393" s="291"/>
      <c r="C393" s="291"/>
      <c r="D393" s="291"/>
      <c r="E393" s="291"/>
      <c r="F393" s="291"/>
      <c r="G393" s="291"/>
      <c r="H393" s="291"/>
      <c r="I393" s="291"/>
      <c r="J393" s="291"/>
      <c r="K393" s="291"/>
      <c r="L393" s="291"/>
      <c r="M393" s="291"/>
      <c r="N393" s="291"/>
      <c r="O393" s="291"/>
      <c r="P393" s="291"/>
      <c r="Q393" s="291"/>
      <c r="R393" s="291"/>
      <c r="S393" s="291"/>
      <c r="T393" s="285"/>
      <c r="U393" s="285"/>
      <c r="V393" s="285"/>
      <c r="W393" s="285"/>
      <c r="X393" s="285"/>
      <c r="Y393" s="285"/>
      <c r="Z393" s="285"/>
      <c r="AA393" s="285"/>
      <c r="AB393" s="285"/>
      <c r="AC393" s="285"/>
      <c r="AD393" s="285"/>
      <c r="AE393" s="285"/>
      <c r="AF393" s="285"/>
      <c r="AG393" s="285"/>
      <c r="AH393" s="285"/>
      <c r="AI393" s="285"/>
      <c r="AJ393" s="285"/>
      <c r="AK393" s="285"/>
      <c r="AL393" s="285"/>
      <c r="AM393" s="285"/>
      <c r="AN393" s="285"/>
    </row>
    <row r="394" spans="1:40" ht="15" customHeight="1" x14ac:dyDescent="0.35">
      <c r="A394" s="536" t="s">
        <v>1493</v>
      </c>
      <c r="B394" s="535" t="s">
        <v>1709</v>
      </c>
      <c r="C394" s="535" t="s">
        <v>1599</v>
      </c>
      <c r="D394" s="535" t="s">
        <v>1424</v>
      </c>
      <c r="E394" s="535" t="s">
        <v>1497</v>
      </c>
      <c r="F394" s="535" t="s">
        <v>1738</v>
      </c>
      <c r="G394" s="535" t="s">
        <v>1739</v>
      </c>
      <c r="H394" s="535" t="s">
        <v>1717</v>
      </c>
      <c r="I394" s="535" t="s">
        <v>1709</v>
      </c>
      <c r="J394" s="535" t="s">
        <v>1719</v>
      </c>
      <c r="K394" s="535" t="s">
        <v>1740</v>
      </c>
      <c r="L394" s="535" t="s">
        <v>1478</v>
      </c>
      <c r="M394" s="535" t="s">
        <v>1902</v>
      </c>
      <c r="N394" s="532" t="s">
        <v>1488</v>
      </c>
      <c r="O394" s="535" t="s">
        <v>1700</v>
      </c>
      <c r="P394" s="535" t="s">
        <v>1701</v>
      </c>
      <c r="Q394" s="538" t="s">
        <v>1702</v>
      </c>
      <c r="R394" s="538" t="s">
        <v>1703</v>
      </c>
      <c r="S394" s="538" t="s">
        <v>1704</v>
      </c>
      <c r="T394" s="538" t="s">
        <v>1723</v>
      </c>
      <c r="U394" s="285"/>
      <c r="V394" s="285"/>
      <c r="W394" s="285"/>
      <c r="X394" s="285"/>
      <c r="Y394" s="285"/>
      <c r="Z394" s="285"/>
      <c r="AA394" s="285"/>
      <c r="AB394" s="285"/>
      <c r="AC394" s="285"/>
      <c r="AD394" s="285"/>
      <c r="AE394" s="285"/>
      <c r="AF394" s="285"/>
      <c r="AG394" s="285"/>
      <c r="AH394" s="285"/>
      <c r="AI394" s="285"/>
      <c r="AJ394" s="285"/>
      <c r="AK394" s="285"/>
      <c r="AL394" s="285"/>
      <c r="AM394" s="285"/>
      <c r="AN394" s="285"/>
    </row>
    <row r="395" spans="1:40" x14ac:dyDescent="0.35">
      <c r="A395" s="536"/>
      <c r="B395" s="535"/>
      <c r="C395" s="535"/>
      <c r="D395" s="535"/>
      <c r="E395" s="535"/>
      <c r="F395" s="535"/>
      <c r="G395" s="535"/>
      <c r="H395" s="535"/>
      <c r="I395" s="535"/>
      <c r="J395" s="535"/>
      <c r="K395" s="535"/>
      <c r="L395" s="535"/>
      <c r="M395" s="535"/>
      <c r="N395" s="532"/>
      <c r="O395" s="535"/>
      <c r="P395" s="535"/>
      <c r="Q395" s="538"/>
      <c r="R395" s="538"/>
      <c r="S395" s="538"/>
      <c r="T395" s="538"/>
      <c r="U395" s="285"/>
      <c r="V395" s="285"/>
      <c r="W395" s="285"/>
      <c r="X395" s="285"/>
      <c r="Y395" s="285"/>
      <c r="Z395" s="285"/>
      <c r="AA395" s="285"/>
      <c r="AB395" s="285"/>
      <c r="AC395" s="285"/>
      <c r="AD395" s="285"/>
      <c r="AE395" s="285"/>
      <c r="AF395" s="285"/>
      <c r="AG395" s="285"/>
      <c r="AH395" s="285"/>
      <c r="AI395" s="285"/>
      <c r="AJ395" s="285"/>
      <c r="AK395" s="285"/>
      <c r="AL395" s="285"/>
      <c r="AM395" s="285"/>
      <c r="AN395" s="285"/>
    </row>
    <row r="396" spans="1:40" x14ac:dyDescent="0.35">
      <c r="A396" s="537" t="s">
        <v>1861</v>
      </c>
      <c r="B396" s="291">
        <v>2150</v>
      </c>
      <c r="C396" s="291">
        <f>MAX(C384,C383)</f>
        <v>25</v>
      </c>
      <c r="D396" s="291">
        <v>34.5</v>
      </c>
      <c r="E396" s="297">
        <f>(C396*1000)/(SQRT(3)*D396)</f>
        <v>418.36976028233755</v>
      </c>
      <c r="F396" s="292">
        <v>3175</v>
      </c>
      <c r="G396" s="292">
        <v>1014</v>
      </c>
      <c r="H396" s="304">
        <v>4000</v>
      </c>
      <c r="I396" s="304">
        <v>1200</v>
      </c>
      <c r="J396" s="304">
        <v>4000</v>
      </c>
      <c r="K396" s="292">
        <v>1014</v>
      </c>
      <c r="L396" s="304">
        <v>1200</v>
      </c>
      <c r="M396" s="292">
        <v>1014</v>
      </c>
      <c r="N396" s="304">
        <v>636</v>
      </c>
      <c r="O396" s="301">
        <f>MIN(F405:AF405)</f>
        <v>2610.6273041617865</v>
      </c>
      <c r="P396" s="301">
        <f>SMALL(F405:AF405,2)</f>
        <v>3000</v>
      </c>
      <c r="Q396" s="286">
        <f>MIN(E396:P396)</f>
        <v>418.36976028233755</v>
      </c>
      <c r="R396" s="286" t="s">
        <v>1706</v>
      </c>
      <c r="S396" s="296">
        <f>SMALL(E396:P396,2)</f>
        <v>636</v>
      </c>
      <c r="T396" s="296" t="s">
        <v>1913</v>
      </c>
      <c r="U396" s="285"/>
      <c r="V396" s="285"/>
      <c r="W396" s="285"/>
      <c r="X396" s="285"/>
      <c r="Y396" s="285"/>
      <c r="Z396" s="285"/>
      <c r="AA396" s="285"/>
      <c r="AB396" s="285"/>
      <c r="AC396" s="285"/>
      <c r="AD396" s="285"/>
      <c r="AE396" s="285"/>
      <c r="AF396" s="285"/>
      <c r="AG396" s="285"/>
      <c r="AH396" s="285"/>
      <c r="AI396" s="285"/>
      <c r="AJ396" s="285"/>
      <c r="AK396" s="285"/>
      <c r="AL396" s="285"/>
      <c r="AM396" s="285"/>
      <c r="AN396" s="285"/>
    </row>
    <row r="397" spans="1:40" ht="15" customHeight="1" x14ac:dyDescent="0.35">
      <c r="A397" s="537"/>
      <c r="B397" s="291">
        <v>2250</v>
      </c>
      <c r="C397" s="291">
        <f>MAX(C385,C386)</f>
        <v>25</v>
      </c>
      <c r="D397" s="291">
        <v>34.5</v>
      </c>
      <c r="E397" s="297">
        <f>(C397*1000)/(SQRT(3)*D397)</f>
        <v>418.36976028233755</v>
      </c>
      <c r="F397" s="292">
        <v>3175</v>
      </c>
      <c r="G397" s="292">
        <v>1014</v>
      </c>
      <c r="H397" s="304">
        <v>4000</v>
      </c>
      <c r="I397" s="304">
        <v>1200</v>
      </c>
      <c r="J397" s="304">
        <v>4000</v>
      </c>
      <c r="K397" s="292">
        <v>1014</v>
      </c>
      <c r="L397" s="304">
        <v>1200</v>
      </c>
      <c r="M397" s="292">
        <v>1014</v>
      </c>
      <c r="N397" s="304">
        <v>636</v>
      </c>
      <c r="O397" s="301">
        <f>MIN(F406:AF406)</f>
        <v>2610.6273041617865</v>
      </c>
      <c r="P397" s="301">
        <f>SMALL(F406:AF406,2)</f>
        <v>3000</v>
      </c>
      <c r="Q397" s="286">
        <f>MIN(E397:P397)</f>
        <v>418.36976028233755</v>
      </c>
      <c r="R397" s="286" t="s">
        <v>1706</v>
      </c>
      <c r="S397" s="296">
        <f>SMALL(E397:P397,2)</f>
        <v>636</v>
      </c>
      <c r="T397" s="296" t="s">
        <v>1913</v>
      </c>
      <c r="U397" s="285"/>
      <c r="V397" s="285"/>
      <c r="W397" s="285"/>
      <c r="X397" s="285"/>
      <c r="Y397" s="285"/>
      <c r="Z397" s="285"/>
      <c r="AA397" s="285"/>
      <c r="AB397" s="285"/>
      <c r="AC397" s="285"/>
      <c r="AD397" s="285"/>
      <c r="AE397" s="285"/>
      <c r="AF397" s="285"/>
      <c r="AG397" s="285"/>
      <c r="AH397" s="285"/>
      <c r="AI397" s="285"/>
      <c r="AJ397" s="285"/>
      <c r="AK397" s="285"/>
      <c r="AL397" s="285"/>
      <c r="AM397" s="285"/>
      <c r="AN397" s="285"/>
    </row>
    <row r="398" spans="1:40" x14ac:dyDescent="0.35">
      <c r="A398" s="537" t="s">
        <v>1879</v>
      </c>
      <c r="B398" s="291">
        <v>1150</v>
      </c>
      <c r="C398" s="291">
        <f>MAX(C387:C388)</f>
        <v>33</v>
      </c>
      <c r="D398" s="291">
        <v>34.5</v>
      </c>
      <c r="E398" s="297">
        <f>(C398*1000)/(SQRT(3)*D398)</f>
        <v>552.24808357268557</v>
      </c>
      <c r="F398" s="292">
        <v>3175</v>
      </c>
      <c r="G398" s="292">
        <v>1014</v>
      </c>
      <c r="H398" s="304">
        <v>4000</v>
      </c>
      <c r="I398" s="304">
        <v>1200</v>
      </c>
      <c r="J398" s="304">
        <v>4000</v>
      </c>
      <c r="K398" s="292">
        <v>1014</v>
      </c>
      <c r="L398" s="304">
        <v>1200</v>
      </c>
      <c r="M398" s="292">
        <v>1014</v>
      </c>
      <c r="N398" s="304">
        <v>796</v>
      </c>
      <c r="O398" s="301">
        <f>MIN(F407:AF407)</f>
        <v>2610.6273041617865</v>
      </c>
      <c r="P398" s="301">
        <f>SMALL(F407:AF407,2)</f>
        <v>3000</v>
      </c>
      <c r="Q398" s="286">
        <f>MIN(E398:P398)</f>
        <v>552.24808357268557</v>
      </c>
      <c r="R398" s="286" t="s">
        <v>1706</v>
      </c>
      <c r="S398" s="296">
        <f>SMALL(E398:P398,2)</f>
        <v>796</v>
      </c>
      <c r="T398" s="296" t="s">
        <v>1913</v>
      </c>
      <c r="U398" s="285"/>
      <c r="V398" s="285"/>
      <c r="W398" s="285"/>
      <c r="X398" s="285"/>
      <c r="Y398" s="285"/>
      <c r="Z398" s="285"/>
      <c r="AA398" s="285"/>
      <c r="AB398" s="285"/>
      <c r="AC398" s="285"/>
      <c r="AD398" s="285"/>
      <c r="AE398" s="285"/>
      <c r="AF398" s="285"/>
      <c r="AG398" s="285"/>
      <c r="AH398" s="285"/>
      <c r="AI398" s="285"/>
      <c r="AJ398" s="285"/>
      <c r="AK398" s="285"/>
      <c r="AL398" s="285"/>
      <c r="AM398" s="285"/>
      <c r="AN398" s="285"/>
    </row>
    <row r="399" spans="1:40" x14ac:dyDescent="0.35">
      <c r="A399" s="537"/>
      <c r="B399" s="291">
        <v>1250</v>
      </c>
      <c r="C399" s="291">
        <f>MAX(C390,C389)</f>
        <v>33</v>
      </c>
      <c r="D399" s="291">
        <v>34.5</v>
      </c>
      <c r="E399" s="297">
        <f>(C399*1000)/(SQRT(3)*D399)</f>
        <v>552.24808357268557</v>
      </c>
      <c r="F399" s="292">
        <v>3175</v>
      </c>
      <c r="G399" s="292">
        <v>1014</v>
      </c>
      <c r="H399" s="304">
        <v>4000</v>
      </c>
      <c r="I399" s="304">
        <v>1200</v>
      </c>
      <c r="J399" s="304">
        <v>4000</v>
      </c>
      <c r="K399" s="292">
        <v>1014</v>
      </c>
      <c r="L399" s="304">
        <v>1200</v>
      </c>
      <c r="M399" s="292">
        <v>1014</v>
      </c>
      <c r="N399" s="304">
        <v>796</v>
      </c>
      <c r="O399" s="301">
        <f>MIN(F408:AF408)</f>
        <v>2610.6273041617865</v>
      </c>
      <c r="P399" s="301">
        <f>SMALL(F408:AF408,2)</f>
        <v>3000</v>
      </c>
      <c r="Q399" s="286">
        <f>MIN(E399:P399)</f>
        <v>552.24808357268557</v>
      </c>
      <c r="R399" s="286" t="s">
        <v>1706</v>
      </c>
      <c r="S399" s="296">
        <f>SMALL(E399:P399,2)</f>
        <v>796</v>
      </c>
      <c r="T399" s="296" t="s">
        <v>1913</v>
      </c>
      <c r="U399" s="285"/>
      <c r="V399" s="285"/>
      <c r="W399" s="285"/>
      <c r="X399" s="285"/>
      <c r="Y399" s="285"/>
      <c r="Z399" s="285"/>
      <c r="AA399" s="285"/>
      <c r="AB399" s="285"/>
      <c r="AC399" s="285"/>
      <c r="AD399" s="285"/>
      <c r="AE399" s="285"/>
      <c r="AF399" s="285"/>
      <c r="AG399" s="285"/>
      <c r="AH399" s="285"/>
      <c r="AI399" s="285"/>
      <c r="AJ399" s="285"/>
      <c r="AK399" s="285"/>
      <c r="AL399" s="285"/>
      <c r="AM399" s="285"/>
      <c r="AN399" s="285"/>
    </row>
    <row r="400" spans="1:40" x14ac:dyDescent="0.35">
      <c r="A400" s="285"/>
      <c r="B400" s="285"/>
      <c r="C400" s="285"/>
      <c r="D400" s="285"/>
      <c r="E400" s="285"/>
      <c r="F400" s="285"/>
      <c r="G400" s="285"/>
      <c r="H400" s="285"/>
      <c r="I400" s="285"/>
      <c r="J400" s="285"/>
      <c r="K400" s="285"/>
      <c r="L400" s="285"/>
      <c r="M400" s="285"/>
      <c r="N400" s="285"/>
      <c r="O400" s="285"/>
      <c r="P400" s="285"/>
      <c r="Q400" s="285"/>
      <c r="R400" s="285"/>
      <c r="S400" s="285"/>
      <c r="T400" s="285"/>
      <c r="U400" s="285"/>
      <c r="V400" s="285"/>
      <c r="W400" s="285"/>
      <c r="X400" s="285"/>
      <c r="Y400" s="285"/>
      <c r="Z400" s="285"/>
      <c r="AA400" s="285"/>
      <c r="AB400" s="285"/>
      <c r="AC400" s="285"/>
      <c r="AD400" s="285"/>
      <c r="AE400" s="285"/>
      <c r="AF400" s="285"/>
      <c r="AG400" s="285"/>
      <c r="AH400" s="285"/>
      <c r="AI400" s="285"/>
      <c r="AJ400" s="285"/>
      <c r="AK400" s="285"/>
      <c r="AL400" s="285"/>
      <c r="AM400" s="285"/>
      <c r="AN400" s="285"/>
    </row>
    <row r="401" spans="1:40" x14ac:dyDescent="0.35">
      <c r="A401" s="285"/>
      <c r="B401" s="285"/>
      <c r="C401" s="285"/>
      <c r="D401" s="285"/>
      <c r="E401" s="285"/>
      <c r="F401" s="285"/>
      <c r="G401" s="285"/>
      <c r="H401" s="285"/>
      <c r="I401" s="285"/>
      <c r="J401" s="285"/>
      <c r="K401" s="285"/>
      <c r="L401" s="285"/>
      <c r="M401" s="285"/>
      <c r="N401" s="285"/>
      <c r="O401" s="285"/>
      <c r="P401" s="285"/>
      <c r="Q401" s="285"/>
      <c r="R401" s="285"/>
      <c r="S401" s="285"/>
      <c r="T401" s="285"/>
      <c r="U401" s="285"/>
      <c r="V401" s="285"/>
      <c r="W401" s="285"/>
      <c r="X401" s="285"/>
      <c r="Y401" s="285"/>
      <c r="Z401" s="285"/>
      <c r="AA401" s="285"/>
      <c r="AB401" s="285"/>
      <c r="AC401" s="285"/>
      <c r="AD401" s="285"/>
      <c r="AE401" s="285"/>
      <c r="AF401" s="285"/>
      <c r="AG401" s="285"/>
      <c r="AH401" s="285"/>
      <c r="AI401" s="285"/>
      <c r="AJ401" s="285"/>
      <c r="AK401" s="285"/>
      <c r="AL401" s="285"/>
      <c r="AM401" s="285"/>
      <c r="AN401" s="285"/>
    </row>
    <row r="402" spans="1:40" x14ac:dyDescent="0.35">
      <c r="A402" s="296" t="s">
        <v>1742</v>
      </c>
      <c r="B402" s="291"/>
      <c r="C402" s="291"/>
      <c r="D402" s="291"/>
      <c r="E402" s="291"/>
      <c r="F402" s="291"/>
      <c r="G402" s="291"/>
      <c r="H402" s="291"/>
      <c r="I402" s="291"/>
      <c r="J402" s="291"/>
      <c r="K402" s="291"/>
      <c r="L402" s="291"/>
      <c r="M402" s="291"/>
      <c r="N402" s="291"/>
      <c r="O402" s="291"/>
      <c r="P402" s="291"/>
      <c r="Q402" s="291"/>
      <c r="R402" s="291"/>
      <c r="S402" s="291"/>
      <c r="T402" s="291"/>
      <c r="U402" s="291"/>
      <c r="V402" s="291"/>
      <c r="W402" s="291"/>
      <c r="X402" s="291"/>
      <c r="Y402" s="291"/>
      <c r="Z402" s="291"/>
      <c r="AA402" s="291"/>
      <c r="AB402" s="291"/>
      <c r="AC402" s="291"/>
      <c r="AD402" s="291"/>
      <c r="AE402" s="291"/>
      <c r="AF402" s="291"/>
      <c r="AG402" s="291"/>
      <c r="AH402" s="291"/>
      <c r="AI402" s="291"/>
      <c r="AJ402" s="291"/>
      <c r="AK402" s="291"/>
      <c r="AL402" s="291"/>
      <c r="AM402" s="291"/>
      <c r="AN402" s="285"/>
    </row>
    <row r="403" spans="1:40" ht="15" customHeight="1" x14ac:dyDescent="0.35">
      <c r="A403" s="536" t="s">
        <v>1493</v>
      </c>
      <c r="B403" s="536" t="s">
        <v>1563</v>
      </c>
      <c r="C403" s="535" t="s">
        <v>1599</v>
      </c>
      <c r="D403" s="535" t="s">
        <v>1424</v>
      </c>
      <c r="E403" s="535" t="s">
        <v>1497</v>
      </c>
      <c r="F403" s="532" t="s">
        <v>1759</v>
      </c>
      <c r="G403" s="535" t="s">
        <v>1916</v>
      </c>
      <c r="H403" s="535" t="s">
        <v>1734</v>
      </c>
      <c r="I403" s="535" t="s">
        <v>1917</v>
      </c>
      <c r="J403" s="535" t="s">
        <v>1734</v>
      </c>
      <c r="K403" s="535" t="s">
        <v>1478</v>
      </c>
      <c r="L403" s="535" t="s">
        <v>1739</v>
      </c>
      <c r="M403" s="535" t="s">
        <v>1918</v>
      </c>
      <c r="N403" s="535" t="s">
        <v>1709</v>
      </c>
      <c r="O403" s="535" t="s">
        <v>1919</v>
      </c>
      <c r="P403" s="535" t="s">
        <v>1740</v>
      </c>
      <c r="Q403" s="535" t="s">
        <v>1478</v>
      </c>
      <c r="R403" s="535" t="s">
        <v>1920</v>
      </c>
      <c r="S403" s="535" t="s">
        <v>1921</v>
      </c>
      <c r="T403" s="535" t="s">
        <v>1922</v>
      </c>
      <c r="U403" s="535" t="s">
        <v>1923</v>
      </c>
      <c r="V403" s="535" t="s">
        <v>1924</v>
      </c>
      <c r="W403" s="535" t="s">
        <v>1923</v>
      </c>
      <c r="X403" s="535" t="s">
        <v>1925</v>
      </c>
      <c r="Y403" s="535" t="s">
        <v>1926</v>
      </c>
      <c r="Z403" s="535" t="s">
        <v>1927</v>
      </c>
      <c r="AA403" s="535" t="s">
        <v>1923</v>
      </c>
      <c r="AB403" s="535" t="s">
        <v>1928</v>
      </c>
      <c r="AC403" s="535" t="s">
        <v>1924</v>
      </c>
      <c r="AD403" s="535" t="s">
        <v>1929</v>
      </c>
      <c r="AE403" s="535" t="s">
        <v>1930</v>
      </c>
      <c r="AF403" s="532" t="s">
        <v>1488</v>
      </c>
      <c r="AG403" s="535" t="s">
        <v>1931</v>
      </c>
      <c r="AH403" s="535" t="s">
        <v>1932</v>
      </c>
      <c r="AI403" s="535" t="s">
        <v>1702</v>
      </c>
      <c r="AJ403" s="535" t="s">
        <v>1703</v>
      </c>
      <c r="AK403" s="535" t="s">
        <v>1704</v>
      </c>
      <c r="AL403" s="535" t="s">
        <v>1705</v>
      </c>
      <c r="AM403" s="532" t="s">
        <v>1933</v>
      </c>
      <c r="AN403" s="532"/>
    </row>
    <row r="404" spans="1:40" x14ac:dyDescent="0.35">
      <c r="A404" s="536"/>
      <c r="B404" s="536"/>
      <c r="C404" s="535"/>
      <c r="D404" s="535"/>
      <c r="E404" s="535"/>
      <c r="F404" s="532"/>
      <c r="G404" s="535"/>
      <c r="H404" s="535"/>
      <c r="I404" s="535"/>
      <c r="J404" s="535"/>
      <c r="K404" s="535"/>
      <c r="L404" s="535"/>
      <c r="M404" s="535"/>
      <c r="N404" s="535"/>
      <c r="O404" s="535"/>
      <c r="P404" s="535"/>
      <c r="Q404" s="535"/>
      <c r="R404" s="535"/>
      <c r="S404" s="535"/>
      <c r="T404" s="535"/>
      <c r="U404" s="535"/>
      <c r="V404" s="535"/>
      <c r="W404" s="535"/>
      <c r="X404" s="535"/>
      <c r="Y404" s="535"/>
      <c r="Z404" s="535"/>
      <c r="AA404" s="535"/>
      <c r="AB404" s="535"/>
      <c r="AC404" s="535"/>
      <c r="AD404" s="535"/>
      <c r="AE404" s="535"/>
      <c r="AF404" s="532"/>
      <c r="AG404" s="535"/>
      <c r="AH404" s="535"/>
      <c r="AI404" s="535"/>
      <c r="AJ404" s="535"/>
      <c r="AK404" s="535"/>
      <c r="AL404" s="535"/>
      <c r="AM404" s="532"/>
      <c r="AN404" s="532"/>
    </row>
    <row r="405" spans="1:40" x14ac:dyDescent="0.35">
      <c r="A405" s="537" t="s">
        <v>1861</v>
      </c>
      <c r="B405" s="291" t="s">
        <v>1934</v>
      </c>
      <c r="C405" s="302">
        <f>MAX((SQRT(SUM(E312:E317)^2+(SUM(F312:F317)+C384)^2)),(SQRT(SUM(E312:E317)^2+(SUM(G312:G317)+C383)^2)))</f>
        <v>133.13058665836337</v>
      </c>
      <c r="D405" s="291">
        <v>34.5</v>
      </c>
      <c r="E405" s="297">
        <f>(C405*1000)/(SQRT(3)*D405)</f>
        <v>2227.912465060258</v>
      </c>
      <c r="F405" s="305">
        <v>3175</v>
      </c>
      <c r="G405" s="297">
        <v>3042</v>
      </c>
      <c r="H405" s="297">
        <v>3175</v>
      </c>
      <c r="I405" s="297">
        <v>4500</v>
      </c>
      <c r="J405" s="297">
        <v>3175</v>
      </c>
      <c r="K405" s="297">
        <v>3000</v>
      </c>
      <c r="L405" s="297">
        <v>3042</v>
      </c>
      <c r="M405" s="297">
        <v>4000</v>
      </c>
      <c r="N405" s="297">
        <v>3000</v>
      </c>
      <c r="O405" s="297">
        <v>4000</v>
      </c>
      <c r="P405" s="297">
        <v>3042</v>
      </c>
      <c r="Q405" s="297">
        <v>3000</v>
      </c>
      <c r="R405" s="297">
        <v>3042</v>
      </c>
      <c r="S405" s="297">
        <f>2620*2</f>
        <v>5240</v>
      </c>
      <c r="T405" s="297">
        <v>6000</v>
      </c>
      <c r="U405" s="297">
        <f>10*1706</f>
        <v>17060</v>
      </c>
      <c r="V405" s="297">
        <f>10*3175</f>
        <v>31750</v>
      </c>
      <c r="W405" s="297">
        <f>10*1706</f>
        <v>17060</v>
      </c>
      <c r="X405" s="297">
        <f>10*4000</f>
        <v>40000</v>
      </c>
      <c r="Y405" s="297">
        <v>20000</v>
      </c>
      <c r="Z405" s="297">
        <f>10*4000</f>
        <v>40000</v>
      </c>
      <c r="AA405" s="297">
        <f>10*1706</f>
        <v>17060</v>
      </c>
      <c r="AB405" s="297">
        <f>10*1200</f>
        <v>12000</v>
      </c>
      <c r="AC405" s="297">
        <f>10*3175</f>
        <v>31750</v>
      </c>
      <c r="AD405" s="293">
        <f>3256*10</f>
        <v>32560</v>
      </c>
      <c r="AE405" s="297">
        <f>(156*1000/(SQRT(3)*34.5))</f>
        <v>2610.6273041617865</v>
      </c>
      <c r="AF405" s="288">
        <v>6328</v>
      </c>
      <c r="AG405" s="294">
        <f t="array" ref="AG405">MIN((F430:K430)*10,U405:AD405)</f>
        <v>12000</v>
      </c>
      <c r="AH405" s="304">
        <f>SMALL(AM405:AN405,2)</f>
        <v>12000</v>
      </c>
      <c r="AI405" s="286">
        <f>MIN(E405:AF405)</f>
        <v>2227.912465060258</v>
      </c>
      <c r="AJ405" s="286" t="s">
        <v>1706</v>
      </c>
      <c r="AK405" s="286">
        <f>SMALL(E405:AF405,2)</f>
        <v>2610.6273041617865</v>
      </c>
      <c r="AL405" s="286" t="s">
        <v>1674</v>
      </c>
      <c r="AM405" s="285">
        <f t="array" ref="AM405">SMALL((F430:K430)*10,1)</f>
        <v>12000</v>
      </c>
      <c r="AN405" s="285">
        <f>SMALL( U405:AD405,1)</f>
        <v>12000</v>
      </c>
    </row>
    <row r="406" spans="1:40" x14ac:dyDescent="0.35">
      <c r="A406" s="537"/>
      <c r="B406" s="291" t="s">
        <v>1935</v>
      </c>
      <c r="C406" s="302">
        <f>MAX((SQRT(SUM(E318:E322)^2+(SUM(F318:F322)+C386)^2)),(SQRT(SUM(E318:E322)^2+(SUM(G318:G322)+C385)^2)))</f>
        <v>125.85437020620301</v>
      </c>
      <c r="D406" s="291">
        <v>34.5</v>
      </c>
      <c r="E406" s="297">
        <f>(C406*1000)/(SQRT(3)*D406)</f>
        <v>2106.1465077461489</v>
      </c>
      <c r="F406" s="305">
        <v>3175</v>
      </c>
      <c r="G406" s="297">
        <v>3042</v>
      </c>
      <c r="H406" s="297">
        <v>3175</v>
      </c>
      <c r="I406" s="297">
        <v>4500</v>
      </c>
      <c r="J406" s="297">
        <v>3175</v>
      </c>
      <c r="K406" s="297">
        <v>3000</v>
      </c>
      <c r="L406" s="297">
        <v>3042</v>
      </c>
      <c r="M406" s="297">
        <v>4000</v>
      </c>
      <c r="N406" s="297">
        <v>3000</v>
      </c>
      <c r="O406" s="297">
        <v>4000</v>
      </c>
      <c r="P406" s="297">
        <v>3042</v>
      </c>
      <c r="Q406" s="297">
        <v>3000</v>
      </c>
      <c r="R406" s="297">
        <v>3042</v>
      </c>
      <c r="S406" s="297">
        <f>2620*2</f>
        <v>5240</v>
      </c>
      <c r="T406" s="297">
        <v>6000</v>
      </c>
      <c r="U406" s="297">
        <f>10*1706</f>
        <v>17060</v>
      </c>
      <c r="V406" s="297">
        <f>10*3175</f>
        <v>31750</v>
      </c>
      <c r="W406" s="297">
        <f>10*1706</f>
        <v>17060</v>
      </c>
      <c r="X406" s="297">
        <f>10*4000</f>
        <v>40000</v>
      </c>
      <c r="Y406" s="297">
        <v>20000</v>
      </c>
      <c r="Z406" s="297">
        <f>10*4000</f>
        <v>40000</v>
      </c>
      <c r="AA406" s="297">
        <f>10*1706</f>
        <v>17060</v>
      </c>
      <c r="AB406" s="297">
        <f>10*1200</f>
        <v>12000</v>
      </c>
      <c r="AC406" s="297">
        <f>10*3175</f>
        <v>31750</v>
      </c>
      <c r="AD406" s="293">
        <f>3256*10</f>
        <v>32560</v>
      </c>
      <c r="AE406" s="297">
        <f>(156*1000/(SQRT(3)*34.5))</f>
        <v>2610.6273041617865</v>
      </c>
      <c r="AF406" s="288">
        <v>6328</v>
      </c>
      <c r="AG406" s="294">
        <f t="array" ref="AG406">MIN((F430:K430)*10,U406:AD406)</f>
        <v>12000</v>
      </c>
      <c r="AH406" s="304">
        <f>SMALL(AM406:AN406,2)</f>
        <v>12000</v>
      </c>
      <c r="AI406" s="286">
        <f>MIN(E406:AF406)</f>
        <v>2106.1465077461489</v>
      </c>
      <c r="AJ406" s="286" t="s">
        <v>1706</v>
      </c>
      <c r="AK406" s="286">
        <f>SMALL(E406:AF406,2)</f>
        <v>2610.6273041617865</v>
      </c>
      <c r="AL406" s="286" t="s">
        <v>1674</v>
      </c>
      <c r="AM406" s="285">
        <f t="array" ref="AM406">SMALL((F430:K430)*10,1)</f>
        <v>12000</v>
      </c>
      <c r="AN406" s="285">
        <f>SMALL( U406:AD406,1)</f>
        <v>12000</v>
      </c>
    </row>
    <row r="407" spans="1:40" x14ac:dyDescent="0.35">
      <c r="A407" s="537" t="s">
        <v>1879</v>
      </c>
      <c r="B407" s="291" t="s">
        <v>1934</v>
      </c>
      <c r="C407" s="302">
        <f>MAX((SQRT(SUM(E323:E330)^2+(SUM(F323:F330)+C388)^2)),(SQRT(SUM(E323:E330)^2+(SUM(G323:G330)+C387)^2)))</f>
        <v>157.04090637792436</v>
      </c>
      <c r="D407" s="291">
        <v>34.5</v>
      </c>
      <c r="E407" s="297">
        <f>(C407*1000)/(SQRT(3)*D407)</f>
        <v>2628.0466542341287</v>
      </c>
      <c r="F407" s="305">
        <v>3175</v>
      </c>
      <c r="G407" s="297">
        <v>3042</v>
      </c>
      <c r="H407" s="297">
        <v>3175</v>
      </c>
      <c r="I407" s="297">
        <v>4500</v>
      </c>
      <c r="J407" s="297">
        <v>3175</v>
      </c>
      <c r="K407" s="297">
        <v>3000</v>
      </c>
      <c r="L407" s="297">
        <v>3042</v>
      </c>
      <c r="M407" s="297">
        <v>4000</v>
      </c>
      <c r="N407" s="297">
        <v>3000</v>
      </c>
      <c r="O407" s="297">
        <v>4000</v>
      </c>
      <c r="P407" s="297">
        <v>3042</v>
      </c>
      <c r="Q407" s="297">
        <v>3000</v>
      </c>
      <c r="R407" s="297">
        <v>3042</v>
      </c>
      <c r="S407" s="297">
        <f>2620*2</f>
        <v>5240</v>
      </c>
      <c r="T407" s="297">
        <v>6000</v>
      </c>
      <c r="U407" s="297">
        <f>10*1706</f>
        <v>17060</v>
      </c>
      <c r="V407" s="297">
        <f>10*3175</f>
        <v>31750</v>
      </c>
      <c r="W407" s="297">
        <f>10*1706</f>
        <v>17060</v>
      </c>
      <c r="X407" s="297">
        <f>10*4000</f>
        <v>40000</v>
      </c>
      <c r="Y407" s="297">
        <v>20000</v>
      </c>
      <c r="Z407" s="297">
        <f>10*4000</f>
        <v>40000</v>
      </c>
      <c r="AA407" s="297">
        <f>10*1706</f>
        <v>17060</v>
      </c>
      <c r="AB407" s="297">
        <f>10*1200</f>
        <v>12000</v>
      </c>
      <c r="AC407" s="297">
        <f>10*3175</f>
        <v>31750</v>
      </c>
      <c r="AD407" s="293">
        <f>3256*10</f>
        <v>32560</v>
      </c>
      <c r="AE407" s="297">
        <f>(156*1000/(SQRT(3)*34.5))</f>
        <v>2610.6273041617865</v>
      </c>
      <c r="AF407" s="288">
        <v>7464</v>
      </c>
      <c r="AG407" s="294" cm="1">
        <f t="array" ref="AG407">MIN((F436:J436)*10,U407:AD407)</f>
        <v>12000</v>
      </c>
      <c r="AH407" s="304">
        <f>SMALL(AM407:AN407,2)</f>
        <v>12000</v>
      </c>
      <c r="AI407" s="286">
        <f>MIN(E407:AF407)</f>
        <v>2610.6273041617865</v>
      </c>
      <c r="AJ407" s="286" t="s">
        <v>1674</v>
      </c>
      <c r="AK407" s="286">
        <f>SMALL(E407:AF407,2)</f>
        <v>2628.0466542341287</v>
      </c>
      <c r="AL407" s="286" t="s">
        <v>1706</v>
      </c>
      <c r="AM407" s="285" cm="1">
        <f t="array" ref="AM407">SMALL((F436:J436)*10,1)</f>
        <v>12000</v>
      </c>
      <c r="AN407" s="285">
        <f>SMALL( U407:AD407,1)</f>
        <v>12000</v>
      </c>
    </row>
    <row r="408" spans="1:40" x14ac:dyDescent="0.35">
      <c r="A408" s="537"/>
      <c r="B408" s="291" t="s">
        <v>1935</v>
      </c>
      <c r="C408" s="302">
        <f>MAX((SQRT(SUM(E331:E336)^2+(SUM(F331:F336)+C390)^2)),(SQRT(SUM(E331:E336)^2+(SUM(G331:G336)+C389)^2)))</f>
        <v>152.5054241658309</v>
      </c>
      <c r="D408" s="291">
        <v>34.5</v>
      </c>
      <c r="E408" s="297">
        <f>(C408*1000)/(SQRT(3)*D408)</f>
        <v>2552.1463100005949</v>
      </c>
      <c r="F408" s="305">
        <v>3175</v>
      </c>
      <c r="G408" s="297">
        <v>3042</v>
      </c>
      <c r="H408" s="297">
        <v>3175</v>
      </c>
      <c r="I408" s="297">
        <v>4500</v>
      </c>
      <c r="J408" s="297">
        <v>3175</v>
      </c>
      <c r="K408" s="297">
        <v>3000</v>
      </c>
      <c r="L408" s="297">
        <v>3042</v>
      </c>
      <c r="M408" s="297">
        <v>4000</v>
      </c>
      <c r="N408" s="297">
        <v>3000</v>
      </c>
      <c r="O408" s="297">
        <v>4000</v>
      </c>
      <c r="P408" s="297">
        <v>3042</v>
      </c>
      <c r="Q408" s="297">
        <v>3000</v>
      </c>
      <c r="R408" s="297">
        <v>3042</v>
      </c>
      <c r="S408" s="297">
        <f>2620*2</f>
        <v>5240</v>
      </c>
      <c r="T408" s="297">
        <v>6000</v>
      </c>
      <c r="U408" s="297">
        <f>10*1706</f>
        <v>17060</v>
      </c>
      <c r="V408" s="297">
        <f>10*3175</f>
        <v>31750</v>
      </c>
      <c r="W408" s="297">
        <f>10*1706</f>
        <v>17060</v>
      </c>
      <c r="X408" s="297">
        <f>10*4000</f>
        <v>40000</v>
      </c>
      <c r="Y408" s="297">
        <v>20000</v>
      </c>
      <c r="Z408" s="297">
        <f>10*4000</f>
        <v>40000</v>
      </c>
      <c r="AA408" s="297">
        <f>10*1706</f>
        <v>17060</v>
      </c>
      <c r="AB408" s="297">
        <f>10*1200</f>
        <v>12000</v>
      </c>
      <c r="AC408" s="297">
        <f>10*3175</f>
        <v>31750</v>
      </c>
      <c r="AD408" s="293">
        <f>3256*10</f>
        <v>32560</v>
      </c>
      <c r="AE408" s="297">
        <f>(156*1000/(SQRT(3)*34.5))</f>
        <v>2610.6273041617865</v>
      </c>
      <c r="AF408" s="288">
        <v>7464</v>
      </c>
      <c r="AG408" s="294" cm="1">
        <f t="array" ref="AG408">MIN((F436:J436)*10,U408:AD408)</f>
        <v>12000</v>
      </c>
      <c r="AH408" s="304">
        <f>SMALL(AM408:AN408,2)</f>
        <v>12000</v>
      </c>
      <c r="AI408" s="286">
        <f>MIN(E408:AF408)</f>
        <v>2552.1463100005949</v>
      </c>
      <c r="AJ408" s="286" t="s">
        <v>1706</v>
      </c>
      <c r="AK408" s="286">
        <f>SMALL(E408:AF408,2)</f>
        <v>2610.6273041617865</v>
      </c>
      <c r="AL408" s="286" t="s">
        <v>1674</v>
      </c>
      <c r="AM408" s="285" cm="1">
        <f t="array" ref="AM408">SMALL((F436:J436)*10,1)</f>
        <v>12000</v>
      </c>
      <c r="AN408" s="285">
        <f>SMALL( U408:AD408,1)</f>
        <v>12000</v>
      </c>
    </row>
    <row r="409" spans="1:40" x14ac:dyDescent="0.35">
      <c r="A409" s="285"/>
      <c r="B409" s="285"/>
      <c r="C409" s="285"/>
      <c r="D409" s="285"/>
      <c r="E409" s="285"/>
      <c r="F409" s="285"/>
      <c r="G409" s="285"/>
      <c r="H409" s="285"/>
      <c r="I409" s="285"/>
      <c r="J409" s="285"/>
      <c r="K409" s="285"/>
      <c r="L409" s="285"/>
      <c r="M409" s="285"/>
      <c r="N409" s="285"/>
      <c r="O409" s="285"/>
      <c r="P409" s="285"/>
      <c r="Q409" s="285"/>
      <c r="R409" s="285"/>
      <c r="S409" s="285"/>
      <c r="T409" s="285"/>
      <c r="U409" s="285"/>
      <c r="V409" s="285"/>
      <c r="W409" s="285"/>
      <c r="X409" s="285"/>
      <c r="Y409" s="285"/>
      <c r="Z409" s="285"/>
      <c r="AA409" s="285"/>
      <c r="AB409" s="285"/>
      <c r="AC409" s="285"/>
      <c r="AD409" s="285"/>
      <c r="AE409" s="285"/>
      <c r="AF409" s="285"/>
      <c r="AG409" s="285"/>
      <c r="AH409" s="285"/>
      <c r="AI409" s="285"/>
      <c r="AJ409" s="285"/>
      <c r="AK409" s="285"/>
      <c r="AL409" s="285"/>
      <c r="AM409" s="285"/>
      <c r="AN409" s="285"/>
    </row>
    <row r="410" spans="1:40" x14ac:dyDescent="0.35">
      <c r="A410" s="285"/>
      <c r="B410" s="285"/>
      <c r="C410" s="285"/>
      <c r="D410" s="285"/>
      <c r="E410" s="285"/>
      <c r="F410" s="285"/>
      <c r="G410" s="285"/>
      <c r="H410" s="285"/>
      <c r="I410" s="285"/>
      <c r="J410" s="285"/>
      <c r="K410" s="285"/>
      <c r="L410" s="285"/>
      <c r="M410" s="285"/>
      <c r="N410" s="285"/>
      <c r="O410" s="285"/>
      <c r="P410" s="285"/>
      <c r="Q410" s="285"/>
      <c r="R410" s="285"/>
      <c r="S410" s="285"/>
      <c r="T410" s="285"/>
      <c r="U410" s="285"/>
      <c r="V410" s="285"/>
      <c r="W410" s="285"/>
      <c r="X410" s="285"/>
      <c r="Y410" s="285"/>
      <c r="Z410" s="285"/>
      <c r="AA410" s="285"/>
      <c r="AB410" s="285"/>
      <c r="AC410" s="285"/>
      <c r="AD410" s="285"/>
      <c r="AE410" s="285"/>
      <c r="AF410" s="285"/>
      <c r="AG410" s="285"/>
      <c r="AH410" s="285"/>
      <c r="AI410" s="285"/>
      <c r="AJ410" s="285"/>
      <c r="AK410" s="285"/>
      <c r="AL410" s="285"/>
      <c r="AM410" s="285"/>
      <c r="AN410" s="285"/>
    </row>
    <row r="411" spans="1:40" x14ac:dyDescent="0.35">
      <c r="A411" s="296" t="s">
        <v>1776</v>
      </c>
      <c r="B411" s="291"/>
      <c r="C411" s="291"/>
      <c r="D411" s="291"/>
      <c r="E411" s="291"/>
      <c r="F411" s="291"/>
      <c r="G411" s="291"/>
      <c r="H411" s="291"/>
      <c r="I411" s="291"/>
      <c r="J411" s="291"/>
      <c r="K411" s="291"/>
      <c r="L411" s="291"/>
      <c r="M411" s="291"/>
      <c r="N411" s="291"/>
      <c r="O411" s="291"/>
      <c r="P411" s="291"/>
      <c r="Q411" s="291"/>
      <c r="R411" s="291"/>
      <c r="S411" s="291"/>
      <c r="T411" s="291"/>
      <c r="U411" s="291"/>
      <c r="V411" s="285"/>
      <c r="W411" s="285"/>
      <c r="X411" s="285"/>
      <c r="Y411" s="285"/>
      <c r="Z411" s="285"/>
      <c r="AA411" s="285"/>
      <c r="AB411" s="285"/>
      <c r="AC411" s="285"/>
      <c r="AD411" s="285"/>
      <c r="AE411" s="285"/>
      <c r="AF411" s="285"/>
      <c r="AG411" s="285"/>
      <c r="AH411" s="285"/>
      <c r="AI411" s="285"/>
      <c r="AJ411" s="285"/>
      <c r="AK411" s="285"/>
      <c r="AL411" s="285"/>
      <c r="AM411" s="285"/>
      <c r="AN411" s="285"/>
    </row>
    <row r="412" spans="1:40" ht="15" customHeight="1" x14ac:dyDescent="0.35">
      <c r="A412" s="536" t="s">
        <v>1493</v>
      </c>
      <c r="B412" s="536" t="s">
        <v>1709</v>
      </c>
      <c r="C412" s="535" t="s">
        <v>1599</v>
      </c>
      <c r="D412" s="536" t="s">
        <v>1424</v>
      </c>
      <c r="E412" s="536" t="s">
        <v>1497</v>
      </c>
      <c r="F412" s="535" t="s">
        <v>1734</v>
      </c>
      <c r="G412" s="535" t="s">
        <v>1478</v>
      </c>
      <c r="H412" s="535" t="s">
        <v>1936</v>
      </c>
      <c r="I412" s="535" t="s">
        <v>1937</v>
      </c>
      <c r="J412" s="535" t="s">
        <v>1709</v>
      </c>
      <c r="K412" s="535" t="s">
        <v>1938</v>
      </c>
      <c r="L412" s="535" t="s">
        <v>1938</v>
      </c>
      <c r="M412" s="535" t="s">
        <v>1939</v>
      </c>
      <c r="N412" s="535" t="s">
        <v>1478</v>
      </c>
      <c r="O412" s="535" t="s">
        <v>1734</v>
      </c>
      <c r="P412" s="535" t="s">
        <v>1700</v>
      </c>
      <c r="Q412" s="535" t="s">
        <v>1701</v>
      </c>
      <c r="R412" s="535" t="s">
        <v>1702</v>
      </c>
      <c r="S412" s="535" t="s">
        <v>1462</v>
      </c>
      <c r="T412" s="535" t="s">
        <v>1704</v>
      </c>
      <c r="U412" s="535" t="s">
        <v>1705</v>
      </c>
      <c r="V412" s="535"/>
      <c r="W412" s="303"/>
      <c r="X412" s="285"/>
      <c r="Y412" s="285"/>
      <c r="Z412" s="285"/>
      <c r="AA412" s="285"/>
      <c r="AB412" s="285"/>
      <c r="AC412" s="285"/>
      <c r="AD412" s="285"/>
      <c r="AE412" s="285"/>
      <c r="AF412" s="285"/>
      <c r="AG412" s="285"/>
      <c r="AH412" s="285"/>
      <c r="AI412" s="285"/>
      <c r="AJ412" s="285"/>
      <c r="AK412" s="285"/>
      <c r="AL412" s="285"/>
      <c r="AM412" s="285"/>
      <c r="AN412" s="285"/>
    </row>
    <row r="413" spans="1:40" x14ac:dyDescent="0.35">
      <c r="A413" s="536"/>
      <c r="B413" s="536"/>
      <c r="C413" s="535"/>
      <c r="D413" s="536"/>
      <c r="E413" s="536"/>
      <c r="F413" s="535"/>
      <c r="G413" s="535"/>
      <c r="H413" s="535"/>
      <c r="I413" s="535"/>
      <c r="J413" s="535"/>
      <c r="K413" s="535"/>
      <c r="L413" s="535"/>
      <c r="M413" s="535"/>
      <c r="N413" s="535"/>
      <c r="O413" s="535"/>
      <c r="P413" s="535"/>
      <c r="Q413" s="535"/>
      <c r="R413" s="535"/>
      <c r="S413" s="535"/>
      <c r="T413" s="535"/>
      <c r="U413" s="535"/>
      <c r="V413" s="535"/>
      <c r="W413" s="303"/>
      <c r="X413" s="285"/>
      <c r="Y413" s="285"/>
      <c r="Z413" s="285"/>
      <c r="AA413" s="285"/>
      <c r="AB413" s="285"/>
      <c r="AC413" s="285"/>
      <c r="AD413" s="285"/>
      <c r="AE413" s="285"/>
      <c r="AF413" s="285"/>
      <c r="AI413" s="285"/>
      <c r="AJ413" s="285"/>
      <c r="AK413" s="285"/>
      <c r="AL413" s="285"/>
      <c r="AM413" s="285"/>
      <c r="AN413" s="285"/>
    </row>
    <row r="414" spans="1:40" ht="15" customHeight="1" x14ac:dyDescent="0.35">
      <c r="A414" s="291" t="s">
        <v>1861</v>
      </c>
      <c r="B414" s="291">
        <v>2001</v>
      </c>
      <c r="C414" s="302">
        <f>C405</f>
        <v>133.13058665836337</v>
      </c>
      <c r="D414" s="291">
        <v>34.5</v>
      </c>
      <c r="E414" s="297">
        <f>(C414*1000)/(SQRT(3)*D414)</f>
        <v>2227.912465060258</v>
      </c>
      <c r="F414" s="297">
        <v>3175</v>
      </c>
      <c r="G414" s="297">
        <v>3000</v>
      </c>
      <c r="H414" s="297">
        <v>3042</v>
      </c>
      <c r="I414" s="297">
        <v>4000</v>
      </c>
      <c r="J414" s="297">
        <v>3000</v>
      </c>
      <c r="K414" s="297">
        <v>4000</v>
      </c>
      <c r="L414" s="297">
        <v>4000</v>
      </c>
      <c r="M414" s="297">
        <v>3042</v>
      </c>
      <c r="N414" s="297">
        <v>3000</v>
      </c>
      <c r="O414" s="297">
        <v>3175</v>
      </c>
      <c r="P414" s="301">
        <f>MIN(F406:AE406)</f>
        <v>2610.6273041617865</v>
      </c>
      <c r="Q414" s="300">
        <f>SMALL(F406:AE406,2)</f>
        <v>3000</v>
      </c>
      <c r="R414" s="286">
        <f>MIN(E414:Q414)</f>
        <v>2227.912465060258</v>
      </c>
      <c r="S414" s="286" t="s">
        <v>1706</v>
      </c>
      <c r="T414" s="286">
        <f>SMALL(E414:Q414,2)</f>
        <v>2610.6273041617865</v>
      </c>
      <c r="U414" s="286" t="s">
        <v>1674</v>
      </c>
      <c r="V414" s="291"/>
      <c r="W414" s="285"/>
      <c r="X414" s="285"/>
      <c r="Y414" s="285"/>
      <c r="Z414" s="285"/>
      <c r="AA414" s="285"/>
      <c r="AB414" s="285"/>
      <c r="AC414" s="285"/>
      <c r="AD414" s="285"/>
      <c r="AE414" s="285"/>
      <c r="AF414" s="285"/>
      <c r="AG414" s="285"/>
      <c r="AH414" s="285"/>
      <c r="AI414" s="285"/>
      <c r="AJ414" s="285"/>
      <c r="AK414" s="285"/>
      <c r="AL414" s="285"/>
      <c r="AM414" s="285"/>
      <c r="AN414" s="285"/>
    </row>
    <row r="415" spans="1:40" x14ac:dyDescent="0.35">
      <c r="A415" s="291" t="s">
        <v>1879</v>
      </c>
      <c r="B415" s="291">
        <v>1001</v>
      </c>
      <c r="C415" s="302">
        <f>C407</f>
        <v>157.04090637792436</v>
      </c>
      <c r="D415" s="291">
        <v>34.5</v>
      </c>
      <c r="E415" s="297">
        <f>(C415*1000)/(SQRT(3)*D415)</f>
        <v>2628.0466542341287</v>
      </c>
      <c r="F415" s="297">
        <v>3175</v>
      </c>
      <c r="G415" s="297">
        <v>3000</v>
      </c>
      <c r="H415" s="297">
        <v>3042</v>
      </c>
      <c r="I415" s="297">
        <v>4000</v>
      </c>
      <c r="J415" s="297">
        <v>3000</v>
      </c>
      <c r="K415" s="297">
        <v>4000</v>
      </c>
      <c r="L415" s="297">
        <v>4000</v>
      </c>
      <c r="M415" s="297">
        <v>3042</v>
      </c>
      <c r="N415" s="297">
        <v>3000</v>
      </c>
      <c r="O415" s="297">
        <v>3175</v>
      </c>
      <c r="P415" s="301">
        <f>MIN(F407:AE407)</f>
        <v>2610.6273041617865</v>
      </c>
      <c r="Q415" s="300">
        <f>SMALL(F407:AE407,2)</f>
        <v>3000</v>
      </c>
      <c r="R415" s="286">
        <f>MIN(E415:Q415)</f>
        <v>2610.6273041617865</v>
      </c>
      <c r="S415" s="296" t="s">
        <v>1674</v>
      </c>
      <c r="T415" s="286">
        <f>SMALL(E415:Q415,2)</f>
        <v>2628.0466542341287</v>
      </c>
      <c r="U415" s="296" t="s">
        <v>1706</v>
      </c>
      <c r="V415" s="299"/>
      <c r="W415" s="299"/>
      <c r="X415" s="285"/>
      <c r="Y415" s="285"/>
      <c r="Z415" s="285"/>
      <c r="AA415" s="285"/>
      <c r="AB415" s="285"/>
      <c r="AC415" s="285"/>
      <c r="AD415" s="285"/>
      <c r="AE415" s="285"/>
      <c r="AF415" s="285"/>
      <c r="AG415" s="285"/>
      <c r="AH415" s="285"/>
      <c r="AI415" s="285"/>
      <c r="AJ415" s="285"/>
      <c r="AK415" s="285"/>
      <c r="AL415" s="285"/>
      <c r="AM415" s="285"/>
      <c r="AN415" s="285"/>
    </row>
    <row r="416" spans="1:40" x14ac:dyDescent="0.35">
      <c r="A416" s="285"/>
      <c r="B416" s="285"/>
      <c r="C416" s="285"/>
      <c r="D416" s="285"/>
      <c r="E416" s="285"/>
      <c r="F416" s="285"/>
      <c r="G416" s="285"/>
      <c r="H416" s="285"/>
      <c r="I416" s="285"/>
      <c r="J416" s="285"/>
      <c r="K416" s="285"/>
      <c r="L416" s="285"/>
      <c r="M416" s="285"/>
      <c r="N416" s="285"/>
      <c r="O416" s="285"/>
      <c r="P416" s="285"/>
      <c r="Q416" s="285"/>
      <c r="R416" s="285"/>
      <c r="S416" s="285"/>
      <c r="T416" s="285"/>
      <c r="U416" s="285"/>
      <c r="V416" s="285"/>
      <c r="W416" s="285"/>
      <c r="X416" s="285"/>
      <c r="Y416" s="285"/>
      <c r="Z416" s="285"/>
      <c r="AA416" s="285"/>
      <c r="AB416" s="285"/>
      <c r="AC416" s="285"/>
      <c r="AD416" s="285"/>
      <c r="AE416" s="285"/>
      <c r="AF416" s="285"/>
      <c r="AG416" s="285"/>
      <c r="AH416" s="285"/>
      <c r="AI416" s="285"/>
      <c r="AJ416" s="285"/>
      <c r="AK416" s="285"/>
      <c r="AL416" s="285"/>
      <c r="AM416" s="285"/>
      <c r="AN416" s="285"/>
    </row>
    <row r="417" spans="1:75" x14ac:dyDescent="0.35">
      <c r="A417" s="285"/>
      <c r="B417" s="285"/>
      <c r="C417" s="285"/>
      <c r="D417" s="285"/>
      <c r="E417" s="285"/>
      <c r="F417" s="285"/>
      <c r="G417" s="285"/>
      <c r="H417" s="285"/>
      <c r="I417" s="285"/>
      <c r="J417" s="285"/>
      <c r="K417" s="285"/>
      <c r="L417" s="285"/>
      <c r="M417" s="285"/>
      <c r="N417" s="285"/>
      <c r="O417" s="285"/>
      <c r="P417" s="285"/>
      <c r="Q417" s="285"/>
      <c r="R417" s="285"/>
      <c r="S417" s="285"/>
      <c r="T417" s="285"/>
      <c r="U417" s="285"/>
      <c r="V417" s="285"/>
      <c r="W417" s="285"/>
      <c r="X417" s="285"/>
      <c r="Y417" s="285"/>
      <c r="Z417" s="285"/>
      <c r="AA417" s="285"/>
      <c r="AB417" s="285"/>
      <c r="AC417" s="285"/>
      <c r="AD417" s="285"/>
      <c r="AE417" s="285"/>
      <c r="AF417" s="285"/>
      <c r="AG417" s="285"/>
      <c r="AH417" s="285"/>
      <c r="AI417" s="285"/>
      <c r="AJ417" s="285"/>
      <c r="AK417" s="285"/>
      <c r="AL417" s="285"/>
      <c r="AM417" s="285"/>
      <c r="AN417" s="285"/>
    </row>
    <row r="418" spans="1:75" x14ac:dyDescent="0.35">
      <c r="A418" s="296" t="s">
        <v>1779</v>
      </c>
      <c r="B418" s="291"/>
      <c r="C418" s="291"/>
      <c r="D418" s="291"/>
      <c r="E418" s="291"/>
      <c r="F418" s="291"/>
      <c r="G418" s="291"/>
      <c r="H418" s="291"/>
      <c r="I418" s="291"/>
      <c r="J418" s="291"/>
      <c r="K418" s="291"/>
      <c r="L418" s="291"/>
      <c r="M418" s="291"/>
      <c r="N418" s="291"/>
      <c r="O418" s="285"/>
      <c r="P418" s="285"/>
      <c r="Q418" s="285"/>
      <c r="R418" s="285"/>
      <c r="S418" s="285"/>
      <c r="T418" s="285"/>
      <c r="U418" s="285"/>
      <c r="V418" s="285"/>
      <c r="W418" s="285"/>
      <c r="X418" s="285"/>
      <c r="Y418" s="285"/>
      <c r="Z418" s="285"/>
      <c r="AA418" s="285"/>
      <c r="AB418" s="285"/>
      <c r="AC418" s="285"/>
      <c r="AD418" s="285"/>
      <c r="AE418" s="285"/>
      <c r="AF418" s="285"/>
      <c r="AG418" s="285"/>
      <c r="AH418" s="285"/>
      <c r="AI418" s="285"/>
      <c r="AJ418" s="285"/>
      <c r="AK418" s="285"/>
      <c r="AL418" s="285"/>
      <c r="AM418" s="285"/>
      <c r="AN418" s="285"/>
    </row>
    <row r="419" spans="1:75" x14ac:dyDescent="0.35">
      <c r="A419" s="536" t="s">
        <v>1493</v>
      </c>
      <c r="B419" s="536" t="s">
        <v>1563</v>
      </c>
      <c r="C419" s="535" t="s">
        <v>1940</v>
      </c>
      <c r="D419" s="536" t="s">
        <v>1424</v>
      </c>
      <c r="E419" s="536" t="s">
        <v>1497</v>
      </c>
      <c r="F419" s="535" t="s">
        <v>1780</v>
      </c>
      <c r="G419" s="535" t="s">
        <v>1781</v>
      </c>
      <c r="H419" s="535" t="s">
        <v>1931</v>
      </c>
      <c r="I419" s="535" t="s">
        <v>1932</v>
      </c>
      <c r="J419" s="538" t="s">
        <v>1702</v>
      </c>
      <c r="K419" s="538" t="s">
        <v>1703</v>
      </c>
      <c r="L419" s="538" t="s">
        <v>1704</v>
      </c>
      <c r="M419" s="538" t="s">
        <v>1705</v>
      </c>
      <c r="N419" s="291"/>
      <c r="O419" s="285"/>
      <c r="P419" s="285"/>
      <c r="Q419" s="285"/>
      <c r="R419" s="285"/>
      <c r="S419" s="285"/>
      <c r="T419" s="285"/>
      <c r="U419" s="285"/>
      <c r="V419" s="285"/>
      <c r="W419" s="285"/>
      <c r="X419" s="285"/>
      <c r="Y419" s="285"/>
      <c r="Z419" s="285"/>
      <c r="AA419" s="285"/>
      <c r="AB419" s="285"/>
      <c r="AC419" s="285"/>
      <c r="AD419" s="285"/>
      <c r="AE419" s="285"/>
      <c r="AF419" s="285"/>
      <c r="AG419" s="285"/>
      <c r="AH419" s="285"/>
      <c r="AI419" s="285"/>
      <c r="AJ419" s="285"/>
      <c r="AK419" s="285"/>
      <c r="AL419" s="285"/>
      <c r="AM419" s="285"/>
      <c r="AN419" s="285"/>
    </row>
    <row r="420" spans="1:75" x14ac:dyDescent="0.35">
      <c r="A420" s="536"/>
      <c r="B420" s="536"/>
      <c r="C420" s="535"/>
      <c r="D420" s="536"/>
      <c r="E420" s="536"/>
      <c r="F420" s="535"/>
      <c r="G420" s="535"/>
      <c r="H420" s="535"/>
      <c r="I420" s="535"/>
      <c r="J420" s="538"/>
      <c r="K420" s="538"/>
      <c r="L420" s="538"/>
      <c r="M420" s="538"/>
      <c r="N420" s="291"/>
      <c r="O420" s="285"/>
      <c r="P420" s="285"/>
      <c r="Q420" s="285"/>
      <c r="R420" s="285"/>
      <c r="S420" s="285"/>
      <c r="T420" s="285"/>
      <c r="U420" s="285"/>
      <c r="V420" s="285"/>
      <c r="W420" s="285"/>
      <c r="X420" s="285"/>
      <c r="Y420" s="285"/>
      <c r="Z420" s="285"/>
      <c r="AA420" s="285"/>
      <c r="AB420" s="285"/>
      <c r="AC420" s="285"/>
      <c r="AD420" s="285"/>
      <c r="AE420" s="285"/>
      <c r="AF420" s="285"/>
      <c r="AG420" s="285"/>
      <c r="AH420" s="285"/>
      <c r="AI420" s="285"/>
      <c r="AJ420" s="285"/>
      <c r="AK420" s="285"/>
      <c r="AL420" s="285"/>
      <c r="AM420" s="285"/>
      <c r="AN420" s="285"/>
    </row>
    <row r="421" spans="1:75" x14ac:dyDescent="0.35">
      <c r="A421" s="537" t="s">
        <v>1861</v>
      </c>
      <c r="B421" s="291" t="s">
        <v>1673</v>
      </c>
      <c r="C421" s="298">
        <f>SUM(C405:C406)</f>
        <v>258.98495686456636</v>
      </c>
      <c r="D421" s="291">
        <v>34.5</v>
      </c>
      <c r="E421" s="297">
        <f>(C421*1000)/(SQRT(3)*D421)</f>
        <v>4334.058972806406</v>
      </c>
      <c r="F421" s="294">
        <f>MIN(S405:AH405)</f>
        <v>2610.6273041617865</v>
      </c>
      <c r="G421" s="294">
        <f>SMALL(S405:AH405,2)</f>
        <v>5240</v>
      </c>
      <c r="H421" s="294">
        <f>MIN(F430:K430)*10</f>
        <v>12000</v>
      </c>
      <c r="I421" s="294">
        <f>SMALL(F430:K430,2)*10</f>
        <v>17060</v>
      </c>
      <c r="J421" s="286">
        <f>MIN(E421:I421)</f>
        <v>2610.6273041617865</v>
      </c>
      <c r="K421" s="286" t="s">
        <v>1674</v>
      </c>
      <c r="L421" s="286">
        <f>SMALL(F421:G421,2)</f>
        <v>5240</v>
      </c>
      <c r="M421" s="296" t="s">
        <v>1941</v>
      </c>
      <c r="N421" s="291"/>
      <c r="O421" s="285"/>
      <c r="P421" s="285"/>
      <c r="Q421" s="285"/>
      <c r="R421" s="285"/>
      <c r="S421" s="285"/>
      <c r="T421" s="285"/>
      <c r="U421" s="285"/>
      <c r="V421" s="285"/>
      <c r="W421" s="285"/>
      <c r="X421" s="285"/>
      <c r="Y421" s="285"/>
      <c r="Z421" s="285"/>
      <c r="AA421" s="285"/>
      <c r="AB421" s="285"/>
      <c r="AC421" s="285"/>
      <c r="AD421" s="285"/>
      <c r="AE421" s="285"/>
      <c r="AF421" s="285"/>
      <c r="AG421" s="285"/>
      <c r="AH421" s="285"/>
      <c r="AI421" s="285"/>
      <c r="AJ421" s="285"/>
      <c r="AK421" s="285"/>
      <c r="AL421" s="285"/>
      <c r="AM421" s="285"/>
      <c r="AN421" s="285"/>
    </row>
    <row r="422" spans="1:75" x14ac:dyDescent="0.35">
      <c r="A422" s="537"/>
      <c r="B422" s="291" t="s">
        <v>1775</v>
      </c>
      <c r="C422" s="298">
        <f>SUM(C405:C406)</f>
        <v>258.98495686456636</v>
      </c>
      <c r="D422" s="291">
        <v>34.5</v>
      </c>
      <c r="E422" s="297">
        <f>(C422*1000)/(SQRT(3)*D422)</f>
        <v>4334.058972806406</v>
      </c>
      <c r="F422" s="294">
        <f>MIN(S406:AH406)</f>
        <v>2610.6273041617865</v>
      </c>
      <c r="G422" s="294">
        <f>SMALL(S406:AH406,2)</f>
        <v>5240</v>
      </c>
      <c r="H422" s="294">
        <f>MIN(F430:K430)*10</f>
        <v>12000</v>
      </c>
      <c r="I422" s="294">
        <f>SMALL(F430:K430,2)*10</f>
        <v>17060</v>
      </c>
      <c r="J422" s="286">
        <f>MIN(E422:I422)</f>
        <v>2610.6273041617865</v>
      </c>
      <c r="K422" s="286" t="s">
        <v>1674</v>
      </c>
      <c r="L422" s="286">
        <f>SMALL(F422:I422,2)</f>
        <v>5240</v>
      </c>
      <c r="M422" s="296" t="s">
        <v>1941</v>
      </c>
      <c r="N422" s="291"/>
      <c r="O422" s="285"/>
      <c r="P422" s="285"/>
      <c r="Q422" s="285"/>
      <c r="R422" s="285"/>
      <c r="S422" s="285"/>
      <c r="T422" s="285"/>
      <c r="U422" s="285"/>
      <c r="V422" s="285"/>
      <c r="W422" s="285"/>
      <c r="X422" s="285"/>
      <c r="Y422" s="285"/>
      <c r="Z422" s="285"/>
      <c r="AA422" s="285"/>
      <c r="AB422" s="285"/>
      <c r="AC422" s="285"/>
      <c r="AD422" s="285"/>
      <c r="AE422" s="285"/>
      <c r="AF422" s="285"/>
      <c r="AG422" s="285"/>
      <c r="AH422" s="285"/>
      <c r="AI422" s="285"/>
      <c r="AJ422" s="285"/>
      <c r="AK422" s="285"/>
      <c r="AL422" s="285"/>
      <c r="AM422" s="285"/>
      <c r="AN422" s="285"/>
    </row>
    <row r="423" spans="1:75" x14ac:dyDescent="0.35">
      <c r="A423" s="537" t="s">
        <v>1879</v>
      </c>
      <c r="B423" s="291" t="s">
        <v>1673</v>
      </c>
      <c r="C423" s="298">
        <f>SUM(C407:C408)</f>
        <v>309.54633054375529</v>
      </c>
      <c r="D423" s="291">
        <v>34.5</v>
      </c>
      <c r="E423" s="297">
        <f>(C423*1000)/(SQRT(3)*D423)</f>
        <v>5180.1929642347241</v>
      </c>
      <c r="F423" s="294">
        <f>MIN(S407:AH407)</f>
        <v>2610.6273041617865</v>
      </c>
      <c r="G423" s="294">
        <f>SMALL(S407:AH407,2)</f>
        <v>5240</v>
      </c>
      <c r="H423" s="294">
        <f>MIN(F433:U433)*10</f>
        <v>12000</v>
      </c>
      <c r="I423" s="294">
        <f>SMALL(F433:U433,2)*10</f>
        <v>12000</v>
      </c>
      <c r="J423" s="286">
        <f>MIN(E423:I423)</f>
        <v>2610.6273041617865</v>
      </c>
      <c r="K423" s="286" t="s">
        <v>1674</v>
      </c>
      <c r="L423" s="296">
        <f>SMALL(F423:I423,2)</f>
        <v>5240</v>
      </c>
      <c r="M423" s="296" t="s">
        <v>1941</v>
      </c>
      <c r="N423" s="291"/>
      <c r="O423" s="285"/>
      <c r="P423" s="285"/>
      <c r="Q423" s="285"/>
      <c r="R423" s="285"/>
      <c r="S423" s="285"/>
      <c r="T423" s="285"/>
      <c r="U423" s="285"/>
      <c r="V423" s="285"/>
      <c r="W423" s="285"/>
      <c r="X423" s="285"/>
      <c r="Y423" s="285"/>
      <c r="Z423" s="285"/>
      <c r="AA423" s="285"/>
      <c r="AB423" s="285"/>
      <c r="AC423" s="285"/>
      <c r="AD423" s="285"/>
      <c r="AE423" s="285"/>
      <c r="AF423" s="285"/>
      <c r="AG423" s="285"/>
      <c r="AH423" s="285"/>
      <c r="AI423" s="285"/>
      <c r="AJ423" s="285"/>
      <c r="AK423" s="285"/>
      <c r="AL423" s="285"/>
      <c r="AM423" s="285"/>
      <c r="AN423" s="285"/>
    </row>
    <row r="424" spans="1:75" x14ac:dyDescent="0.35">
      <c r="A424" s="537"/>
      <c r="B424" s="291" t="s">
        <v>1775</v>
      </c>
      <c r="C424" s="298">
        <f>SUM(C407:C408)</f>
        <v>309.54633054375529</v>
      </c>
      <c r="D424" s="291">
        <v>34.5</v>
      </c>
      <c r="E424" s="297">
        <f>(C424*1000)/(SQRT(3)*D424)</f>
        <v>5180.1929642347241</v>
      </c>
      <c r="F424" s="294">
        <f>MIN(S408:AH408)</f>
        <v>2610.6273041617865</v>
      </c>
      <c r="G424" s="294">
        <f>SMALL(S408:AH408,2)</f>
        <v>5240</v>
      </c>
      <c r="H424" s="294">
        <f>MIN(F433:U433)*10</f>
        <v>12000</v>
      </c>
      <c r="I424" s="294">
        <f>SMALL(F433:U433,2)*10</f>
        <v>12000</v>
      </c>
      <c r="J424" s="286">
        <f>MIN(E424:I424)</f>
        <v>2610.6273041617865</v>
      </c>
      <c r="K424" s="286" t="s">
        <v>1674</v>
      </c>
      <c r="L424" s="296">
        <f>SMALL(F424:I424,2)</f>
        <v>5240</v>
      </c>
      <c r="M424" s="296" t="s">
        <v>1941</v>
      </c>
      <c r="N424" s="291"/>
      <c r="O424" s="285"/>
      <c r="P424" s="285"/>
      <c r="Q424" s="285"/>
      <c r="R424" s="285"/>
      <c r="S424" s="285"/>
      <c r="T424" s="285"/>
      <c r="U424" s="285"/>
      <c r="V424" s="285"/>
      <c r="W424" s="285"/>
      <c r="X424" s="285"/>
      <c r="Y424" s="285"/>
      <c r="Z424" s="285"/>
      <c r="AA424" s="285"/>
      <c r="AB424" s="285"/>
      <c r="AC424" s="285"/>
      <c r="AD424" s="285"/>
      <c r="AE424" s="285"/>
      <c r="AF424" s="285"/>
      <c r="AG424" s="285"/>
      <c r="AH424" s="285"/>
      <c r="AI424" s="285"/>
      <c r="AJ424" s="285"/>
      <c r="AK424" s="285"/>
      <c r="AL424" s="285"/>
      <c r="AM424" s="285"/>
      <c r="AN424" s="285"/>
    </row>
    <row r="425" spans="1:75" x14ac:dyDescent="0.35">
      <c r="A425" s="285"/>
      <c r="B425" s="285"/>
      <c r="C425" s="285"/>
      <c r="D425" s="285"/>
      <c r="E425" s="285"/>
      <c r="F425" s="285"/>
      <c r="G425" s="285"/>
      <c r="H425" s="285"/>
      <c r="I425" s="285"/>
      <c r="J425" s="285"/>
      <c r="K425" s="285"/>
      <c r="L425" s="285"/>
      <c r="M425" s="285"/>
      <c r="N425" s="285"/>
      <c r="O425" s="285"/>
      <c r="P425" s="285"/>
      <c r="Q425" s="285"/>
      <c r="R425" s="285"/>
      <c r="S425" s="285"/>
      <c r="T425" s="285"/>
      <c r="U425" s="285"/>
      <c r="V425" s="285"/>
      <c r="W425" s="285"/>
      <c r="X425" s="285"/>
      <c r="Y425" s="285"/>
      <c r="Z425" s="285"/>
      <c r="AA425" s="285"/>
      <c r="AB425" s="285"/>
      <c r="AC425" s="285"/>
      <c r="AD425" s="285"/>
      <c r="AE425" s="285"/>
      <c r="AF425" s="285"/>
      <c r="AG425" s="285"/>
      <c r="AH425" s="285"/>
      <c r="AI425" s="285"/>
      <c r="AJ425" s="285"/>
      <c r="AK425" s="285"/>
      <c r="AL425" s="285"/>
      <c r="AM425" s="285"/>
      <c r="AN425" s="285"/>
    </row>
    <row r="426" spans="1:75" x14ac:dyDescent="0.35">
      <c r="A426" s="285"/>
      <c r="B426" s="285"/>
      <c r="C426" s="285"/>
      <c r="D426" s="285"/>
      <c r="E426" s="285"/>
      <c r="F426" s="285"/>
      <c r="G426" s="285"/>
      <c r="H426" s="285"/>
      <c r="I426" s="285"/>
      <c r="J426" s="285"/>
      <c r="K426" s="285"/>
      <c r="L426" s="285"/>
      <c r="M426" s="285"/>
      <c r="N426" s="285"/>
      <c r="O426" s="285"/>
      <c r="P426" s="285"/>
      <c r="Q426" s="285"/>
      <c r="R426" s="285"/>
      <c r="S426" s="285"/>
      <c r="T426" s="285"/>
      <c r="U426" s="285"/>
      <c r="V426" s="285"/>
      <c r="W426" s="285"/>
      <c r="X426" s="285"/>
      <c r="Y426" s="285"/>
      <c r="Z426" s="285"/>
      <c r="AA426" s="285"/>
      <c r="AB426" s="285"/>
      <c r="AC426" s="285"/>
      <c r="AD426" s="285"/>
      <c r="AE426" s="285"/>
      <c r="AF426" s="285"/>
      <c r="AG426" s="285"/>
      <c r="AH426" s="285"/>
      <c r="AI426" s="285"/>
      <c r="AJ426" s="285"/>
      <c r="AK426" s="285"/>
      <c r="AL426" s="285"/>
      <c r="AM426" s="285"/>
      <c r="AN426" s="285"/>
    </row>
    <row r="427" spans="1:75" x14ac:dyDescent="0.35">
      <c r="A427" s="296" t="s">
        <v>1782</v>
      </c>
      <c r="B427" s="291"/>
      <c r="C427" s="291"/>
      <c r="D427" s="291"/>
      <c r="E427" s="291"/>
      <c r="F427" s="291"/>
      <c r="G427" s="291"/>
      <c r="H427" s="291"/>
      <c r="I427" s="291"/>
      <c r="J427" s="291"/>
      <c r="K427" s="291"/>
      <c r="L427" s="291"/>
      <c r="M427" s="291"/>
      <c r="N427" s="291"/>
      <c r="O427" s="291"/>
      <c r="P427" s="291"/>
      <c r="Q427" s="291"/>
      <c r="R427" s="291"/>
      <c r="S427" s="291"/>
      <c r="T427" s="291"/>
      <c r="U427" s="291"/>
      <c r="V427" s="291"/>
      <c r="W427" s="291"/>
      <c r="X427" s="291"/>
      <c r="Y427" s="291"/>
      <c r="Z427" s="291"/>
      <c r="AA427" s="291"/>
      <c r="AB427" s="291"/>
      <c r="AC427" s="285"/>
      <c r="AD427" s="285"/>
      <c r="AE427" s="285"/>
      <c r="AF427" s="285"/>
      <c r="AG427" s="285"/>
      <c r="AH427" s="285"/>
      <c r="AI427" s="285"/>
      <c r="AJ427" s="285"/>
      <c r="AK427" s="285"/>
      <c r="AL427" s="285"/>
      <c r="AM427" s="285"/>
      <c r="AN427" s="285"/>
    </row>
    <row r="428" spans="1:75" ht="15" customHeight="1" x14ac:dyDescent="0.35">
      <c r="A428" s="536" t="s">
        <v>1493</v>
      </c>
      <c r="B428" s="536" t="s">
        <v>1783</v>
      </c>
      <c r="C428" s="535" t="s">
        <v>1599</v>
      </c>
      <c r="D428" s="536" t="s">
        <v>1424</v>
      </c>
      <c r="E428" s="536" t="s">
        <v>1497</v>
      </c>
      <c r="F428" s="532" t="s">
        <v>1942</v>
      </c>
      <c r="G428" s="532" t="s">
        <v>1478</v>
      </c>
      <c r="H428" s="533" t="s">
        <v>1943</v>
      </c>
      <c r="I428" s="532" t="s">
        <v>1786</v>
      </c>
      <c r="J428" s="532" t="s">
        <v>1944</v>
      </c>
      <c r="K428" s="532" t="s">
        <v>1945</v>
      </c>
      <c r="L428" s="532" t="s">
        <v>1946</v>
      </c>
      <c r="M428" s="535" t="s">
        <v>1947</v>
      </c>
      <c r="N428" s="535" t="s">
        <v>1703</v>
      </c>
      <c r="O428" s="535" t="s">
        <v>1948</v>
      </c>
      <c r="P428" s="535" t="s">
        <v>1705</v>
      </c>
      <c r="Q428" s="295"/>
      <c r="R428" s="295"/>
      <c r="S428" s="295"/>
      <c r="T428" s="295"/>
      <c r="U428" s="295"/>
      <c r="V428" s="295"/>
      <c r="W428" s="295"/>
      <c r="X428" s="295"/>
      <c r="Y428" s="295"/>
      <c r="Z428" s="295"/>
      <c r="AA428" s="295"/>
      <c r="AB428" s="295"/>
      <c r="AC428" s="295"/>
      <c r="AD428" s="285"/>
      <c r="AI428" s="285"/>
      <c r="AJ428" s="285"/>
      <c r="AK428" s="285"/>
      <c r="AL428" s="285"/>
      <c r="AM428" s="285"/>
      <c r="AN428" s="285"/>
    </row>
    <row r="429" spans="1:75" x14ac:dyDescent="0.35">
      <c r="A429" s="536"/>
      <c r="B429" s="536"/>
      <c r="C429" s="535"/>
      <c r="D429" s="536"/>
      <c r="E429" s="536"/>
      <c r="F429" s="532"/>
      <c r="G429" s="532"/>
      <c r="H429" s="533"/>
      <c r="I429" s="532"/>
      <c r="J429" s="532"/>
      <c r="K429" s="532"/>
      <c r="L429" s="532"/>
      <c r="M429" s="535"/>
      <c r="N429" s="535"/>
      <c r="O429" s="535"/>
      <c r="P429" s="535"/>
      <c r="Q429" s="295"/>
      <c r="R429" s="295"/>
      <c r="S429" s="295"/>
      <c r="T429" s="295"/>
      <c r="U429" s="295"/>
      <c r="V429" s="295"/>
      <c r="W429" s="295"/>
      <c r="X429" s="295"/>
      <c r="Y429" s="295"/>
      <c r="Z429" s="295"/>
      <c r="AA429" s="295"/>
      <c r="AB429" s="295"/>
      <c r="AC429" s="295"/>
      <c r="AD429" s="285"/>
      <c r="AI429" s="285"/>
      <c r="AJ429" s="285"/>
      <c r="AK429" s="285"/>
      <c r="AL429" s="285"/>
      <c r="AM429" s="285"/>
      <c r="AN429" s="285"/>
      <c r="BW429" s="290"/>
    </row>
    <row r="430" spans="1:75" x14ac:dyDescent="0.35">
      <c r="A430" s="291" t="s">
        <v>1861</v>
      </c>
      <c r="B430" s="291">
        <v>7215</v>
      </c>
      <c r="C430" s="291">
        <f>SUM(C405:C406)</f>
        <v>258.98495686456636</v>
      </c>
      <c r="D430" s="291">
        <v>345</v>
      </c>
      <c r="E430" s="294">
        <f>(C430*1000)/(SQRT(3)*D430)</f>
        <v>433.4058972806406</v>
      </c>
      <c r="F430" s="288">
        <v>3175</v>
      </c>
      <c r="G430" s="288">
        <v>1200</v>
      </c>
      <c r="H430" s="288">
        <v>1706</v>
      </c>
      <c r="I430" s="288">
        <v>3000</v>
      </c>
      <c r="J430" s="288">
        <v>1706</v>
      </c>
      <c r="K430" s="288">
        <v>2412</v>
      </c>
      <c r="L430" s="288">
        <f>261.1*2</f>
        <v>522.20000000000005</v>
      </c>
      <c r="M430" s="294">
        <f>MIN(E430:L430)*10</f>
        <v>4334.058972806406</v>
      </c>
      <c r="N430" s="286" t="s">
        <v>1706</v>
      </c>
      <c r="O430" s="287">
        <f>SMALL(E430:L430,2)*10</f>
        <v>5222</v>
      </c>
      <c r="P430" s="286" t="s">
        <v>1674</v>
      </c>
      <c r="Q430" s="291"/>
      <c r="R430" s="291"/>
      <c r="S430" s="291"/>
      <c r="T430" s="291"/>
      <c r="U430" s="291"/>
      <c r="V430" s="291"/>
      <c r="W430" s="291"/>
      <c r="X430" s="291"/>
      <c r="Y430" s="291"/>
      <c r="Z430" s="291"/>
      <c r="AA430" s="291"/>
      <c r="AB430" s="291"/>
      <c r="AC430" s="291"/>
      <c r="AD430" s="285"/>
      <c r="AI430" s="285"/>
      <c r="AJ430" s="285"/>
      <c r="AK430" s="285"/>
      <c r="AL430" s="285"/>
      <c r="AM430" s="285"/>
      <c r="AN430" s="285"/>
      <c r="BW430" s="290"/>
    </row>
    <row r="431" spans="1:75" x14ac:dyDescent="0.35">
      <c r="A431" s="532" t="s">
        <v>1493</v>
      </c>
      <c r="B431" s="532" t="s">
        <v>1783</v>
      </c>
      <c r="C431" s="532" t="s">
        <v>1599</v>
      </c>
      <c r="D431" s="532" t="s">
        <v>1424</v>
      </c>
      <c r="E431" s="532" t="s">
        <v>1497</v>
      </c>
      <c r="F431" s="532" t="s">
        <v>1945</v>
      </c>
      <c r="G431" s="533" t="s">
        <v>1949</v>
      </c>
      <c r="H431" s="532" t="s">
        <v>1786</v>
      </c>
      <c r="I431" s="532" t="s">
        <v>1950</v>
      </c>
      <c r="J431" s="532" t="s">
        <v>1478</v>
      </c>
      <c r="K431" s="532" t="s">
        <v>1936</v>
      </c>
      <c r="L431" s="532" t="s">
        <v>1951</v>
      </c>
      <c r="M431" s="532" t="s">
        <v>1709</v>
      </c>
      <c r="N431" s="532" t="s">
        <v>1952</v>
      </c>
      <c r="O431" s="532" t="s">
        <v>1740</v>
      </c>
      <c r="P431" s="532" t="s">
        <v>1478</v>
      </c>
      <c r="Q431" s="533" t="s">
        <v>1953</v>
      </c>
      <c r="R431" s="532" t="s">
        <v>1954</v>
      </c>
      <c r="S431" s="532" t="s">
        <v>1943</v>
      </c>
      <c r="T431" s="532" t="s">
        <v>1786</v>
      </c>
      <c r="U431" s="532" t="s">
        <v>1955</v>
      </c>
      <c r="V431" s="533" t="s">
        <v>1956</v>
      </c>
      <c r="W431" s="535" t="s">
        <v>1947</v>
      </c>
      <c r="X431" s="535" t="s">
        <v>1703</v>
      </c>
      <c r="Y431" s="535" t="s">
        <v>1948</v>
      </c>
      <c r="Z431" s="535" t="s">
        <v>1705</v>
      </c>
      <c r="AA431" s="532"/>
      <c r="AB431" s="532"/>
      <c r="AC431" s="532"/>
      <c r="AD431" s="532"/>
      <c r="AJ431" s="285"/>
      <c r="AK431" s="285"/>
      <c r="AL431" s="285"/>
      <c r="AM431" s="285"/>
      <c r="AN431" s="285"/>
      <c r="BW431" s="290"/>
    </row>
    <row r="432" spans="1:75" x14ac:dyDescent="0.35">
      <c r="A432" s="532"/>
      <c r="B432" s="532"/>
      <c r="C432" s="532"/>
      <c r="D432" s="532"/>
      <c r="E432" s="532"/>
      <c r="F432" s="532"/>
      <c r="G432" s="533"/>
      <c r="H432" s="532"/>
      <c r="I432" s="532"/>
      <c r="J432" s="532"/>
      <c r="K432" s="532"/>
      <c r="L432" s="532"/>
      <c r="M432" s="532"/>
      <c r="N432" s="532"/>
      <c r="O432" s="532"/>
      <c r="P432" s="532"/>
      <c r="Q432" s="533"/>
      <c r="R432" s="532"/>
      <c r="S432" s="532"/>
      <c r="T432" s="532"/>
      <c r="U432" s="532"/>
      <c r="V432" s="533"/>
      <c r="W432" s="535"/>
      <c r="X432" s="535"/>
      <c r="Y432" s="535"/>
      <c r="Z432" s="535"/>
      <c r="AA432" s="532"/>
      <c r="AB432" s="532"/>
      <c r="AC432" s="532"/>
      <c r="AD432" s="532"/>
      <c r="AE432" s="285"/>
      <c r="AF432" s="285"/>
      <c r="AG432" s="285"/>
      <c r="AH432" s="285"/>
      <c r="AI432" s="285"/>
      <c r="AJ432" s="285"/>
      <c r="AK432" s="285"/>
      <c r="AL432" s="285"/>
      <c r="AM432" s="285"/>
      <c r="AN432" s="285"/>
      <c r="BW432" s="290"/>
    </row>
    <row r="433" spans="1:75" x14ac:dyDescent="0.35">
      <c r="A433" s="291" t="s">
        <v>1891</v>
      </c>
      <c r="B433" s="291">
        <v>7199</v>
      </c>
      <c r="C433" s="291">
        <f>SUM(C405:C408)</f>
        <v>568.53128740832153</v>
      </c>
      <c r="D433" s="291">
        <v>345</v>
      </c>
      <c r="E433" s="294">
        <f>(C433*1000)/(SQRT(3)*D433)</f>
        <v>951.42519370411276</v>
      </c>
      <c r="F433" s="293">
        <v>2412</v>
      </c>
      <c r="G433" s="292">
        <v>1706</v>
      </c>
      <c r="H433" s="292">
        <v>3000</v>
      </c>
      <c r="I433" s="292">
        <v>1706</v>
      </c>
      <c r="J433" s="292">
        <v>1200</v>
      </c>
      <c r="K433" s="292">
        <v>1706</v>
      </c>
      <c r="L433" s="292">
        <v>4000</v>
      </c>
      <c r="M433" s="292">
        <v>2000</v>
      </c>
      <c r="N433" s="292">
        <v>4000</v>
      </c>
      <c r="O433" s="292">
        <v>1706</v>
      </c>
      <c r="P433" s="292">
        <v>1200</v>
      </c>
      <c r="Q433" s="292">
        <v>3175</v>
      </c>
      <c r="R433" s="292">
        <v>1200</v>
      </c>
      <c r="S433" s="292">
        <v>1706</v>
      </c>
      <c r="T433" s="292">
        <v>3000</v>
      </c>
      <c r="U433" s="292">
        <v>1706</v>
      </c>
      <c r="V433" s="292">
        <v>1200</v>
      </c>
      <c r="W433" s="287">
        <f>MIN(E433:U433)*10</f>
        <v>9514.2519370411283</v>
      </c>
      <c r="X433" s="286" t="s">
        <v>1706</v>
      </c>
      <c r="Y433" s="287">
        <f>SMALL(E433:U433,2)*10</f>
        <v>12000</v>
      </c>
      <c r="Z433" s="286" t="s">
        <v>1957</v>
      </c>
      <c r="AA433" s="291"/>
      <c r="AB433" s="291"/>
      <c r="AC433" s="287"/>
      <c r="AD433" s="285"/>
      <c r="AI433" s="285"/>
      <c r="AJ433" s="285"/>
      <c r="AK433" s="285"/>
      <c r="AL433" s="285"/>
      <c r="AM433" s="285"/>
      <c r="AN433" s="285"/>
      <c r="BW433" s="290"/>
    </row>
    <row r="434" spans="1:75" ht="15" customHeight="1" x14ac:dyDescent="0.35">
      <c r="A434" s="532" t="s">
        <v>1493</v>
      </c>
      <c r="B434" s="532" t="s">
        <v>1783</v>
      </c>
      <c r="C434" s="532" t="s">
        <v>1599</v>
      </c>
      <c r="D434" s="532" t="s">
        <v>1424</v>
      </c>
      <c r="E434" s="532" t="s">
        <v>1497</v>
      </c>
      <c r="F434" s="532" t="s">
        <v>1942</v>
      </c>
      <c r="G434" s="532" t="s">
        <v>1478</v>
      </c>
      <c r="H434" s="533" t="s">
        <v>1943</v>
      </c>
      <c r="I434" s="532" t="s">
        <v>1786</v>
      </c>
      <c r="J434" s="532" t="s">
        <v>1955</v>
      </c>
      <c r="K434" s="534" t="s">
        <v>2752</v>
      </c>
      <c r="L434" s="532" t="s">
        <v>1946</v>
      </c>
      <c r="M434" s="535" t="s">
        <v>1947</v>
      </c>
      <c r="N434" s="535" t="s">
        <v>1703</v>
      </c>
      <c r="O434" s="535" t="s">
        <v>1948</v>
      </c>
      <c r="P434" s="535" t="s">
        <v>1705</v>
      </c>
      <c r="Q434" s="285"/>
      <c r="R434" s="285"/>
      <c r="S434" s="285"/>
      <c r="T434" s="285"/>
      <c r="U434" s="285"/>
      <c r="V434" s="285"/>
      <c r="W434" s="285"/>
      <c r="X434" s="285"/>
      <c r="Y434" s="285"/>
      <c r="Z434" s="285"/>
      <c r="AA434" s="285"/>
      <c r="AB434" s="285"/>
      <c r="AC434" s="285"/>
      <c r="AD434" s="285"/>
      <c r="AE434" s="285"/>
      <c r="AF434" s="285"/>
      <c r="AG434" s="285"/>
      <c r="AH434" s="285"/>
      <c r="AI434" s="285"/>
      <c r="AJ434" s="285"/>
      <c r="AK434" s="285"/>
      <c r="AL434" s="285"/>
      <c r="AM434" s="285"/>
      <c r="AN434" s="285"/>
    </row>
    <row r="435" spans="1:75" x14ac:dyDescent="0.35">
      <c r="A435" s="532"/>
      <c r="B435" s="532"/>
      <c r="C435" s="532"/>
      <c r="D435" s="532"/>
      <c r="E435" s="532"/>
      <c r="F435" s="532"/>
      <c r="G435" s="532"/>
      <c r="H435" s="533"/>
      <c r="I435" s="532"/>
      <c r="J435" s="532"/>
      <c r="K435" s="534"/>
      <c r="L435" s="532"/>
      <c r="M435" s="535"/>
      <c r="N435" s="535"/>
      <c r="O435" s="535"/>
      <c r="P435" s="535"/>
    </row>
    <row r="436" spans="1:75" x14ac:dyDescent="0.35">
      <c r="A436" s="285" t="s">
        <v>2358</v>
      </c>
      <c r="B436" s="285">
        <v>7215</v>
      </c>
      <c r="C436" s="285">
        <f>SUM(C407:C408)</f>
        <v>309.54633054375529</v>
      </c>
      <c r="D436" s="285">
        <v>345</v>
      </c>
      <c r="E436" s="289">
        <f>C436*1000/(SQRT(3)*D436)</f>
        <v>518.01929642347238</v>
      </c>
      <c r="F436" s="288">
        <v>3175</v>
      </c>
      <c r="G436" s="288">
        <v>1200</v>
      </c>
      <c r="H436" s="288">
        <v>1706</v>
      </c>
      <c r="I436" s="288">
        <v>3000</v>
      </c>
      <c r="J436" s="288">
        <v>1706</v>
      </c>
      <c r="K436" s="288" t="s">
        <v>2359</v>
      </c>
      <c r="L436" s="288">
        <f>261.1*2</f>
        <v>522.20000000000005</v>
      </c>
      <c r="M436" s="287">
        <f>MIN(E436:L436)*10</f>
        <v>5180.1929642347241</v>
      </c>
      <c r="N436" s="286" t="s">
        <v>1706</v>
      </c>
      <c r="O436" s="287">
        <f>SMALL(E436:L436,2)*10</f>
        <v>5222</v>
      </c>
      <c r="P436" s="286" t="s">
        <v>1674</v>
      </c>
    </row>
    <row r="437" spans="1:75" x14ac:dyDescent="0.35">
      <c r="B437" s="285"/>
      <c r="C437" s="285"/>
    </row>
  </sheetData>
  <mergeCells count="530">
    <mergeCell ref="A291:A292"/>
    <mergeCell ref="B182:B183"/>
    <mergeCell ref="K182:K183"/>
    <mergeCell ref="L182:L183"/>
    <mergeCell ref="A225:A229"/>
    <mergeCell ref="A217:A224"/>
    <mergeCell ref="A240:A242"/>
    <mergeCell ref="A234:A239"/>
    <mergeCell ref="D232:D233"/>
    <mergeCell ref="F232:F233"/>
    <mergeCell ref="H232:H233"/>
    <mergeCell ref="C215:C216"/>
    <mergeCell ref="A266:A267"/>
    <mergeCell ref="A286:A287"/>
    <mergeCell ref="A250:A251"/>
    <mergeCell ref="B291:B292"/>
    <mergeCell ref="G245:G246"/>
    <mergeCell ref="F291:F292"/>
    <mergeCell ref="C232:C233"/>
    <mergeCell ref="G291:G292"/>
    <mergeCell ref="C291:C292"/>
    <mergeCell ref="D291:D292"/>
    <mergeCell ref="E291:E292"/>
    <mergeCell ref="H291:H292"/>
    <mergeCell ref="A1:L1"/>
    <mergeCell ref="A174:B174"/>
    <mergeCell ref="D174:E174"/>
    <mergeCell ref="C182:C183"/>
    <mergeCell ref="D182:D183"/>
    <mergeCell ref="E182:E183"/>
    <mergeCell ref="F182:F183"/>
    <mergeCell ref="G182:G183"/>
    <mergeCell ref="H284:H285"/>
    <mergeCell ref="E278:E279"/>
    <mergeCell ref="H278:H279"/>
    <mergeCell ref="F278:F279"/>
    <mergeCell ref="G278:G279"/>
    <mergeCell ref="D284:D285"/>
    <mergeCell ref="E284:E285"/>
    <mergeCell ref="F284:F285"/>
    <mergeCell ref="G284:G285"/>
    <mergeCell ref="J284:J285"/>
    <mergeCell ref="F271:F272"/>
    <mergeCell ref="L232:L233"/>
    <mergeCell ref="G3:G5"/>
    <mergeCell ref="H3:H5"/>
    <mergeCell ref="D2:D5"/>
    <mergeCell ref="B215:B216"/>
    <mergeCell ref="I271:I272"/>
    <mergeCell ref="J271:J272"/>
    <mergeCell ref="L271:L272"/>
    <mergeCell ref="M271:M272"/>
    <mergeCell ref="L254:L255"/>
    <mergeCell ref="J254:J255"/>
    <mergeCell ref="K254:K255"/>
    <mergeCell ref="M254:M255"/>
    <mergeCell ref="N245:N246"/>
    <mergeCell ref="N271:N272"/>
    <mergeCell ref="K271:K272"/>
    <mergeCell ref="T291:T292"/>
    <mergeCell ref="U291:U292"/>
    <mergeCell ref="V291:V292"/>
    <mergeCell ref="X291:X292"/>
    <mergeCell ref="O291:O292"/>
    <mergeCell ref="N232:N233"/>
    <mergeCell ref="M232:M233"/>
    <mergeCell ref="N254:N255"/>
    <mergeCell ref="K245:K246"/>
    <mergeCell ref="L245:L246"/>
    <mergeCell ref="J291:J292"/>
    <mergeCell ref="M291:M292"/>
    <mergeCell ref="I291:I292"/>
    <mergeCell ref="N264:N265"/>
    <mergeCell ref="O254:O255"/>
    <mergeCell ref="O264:O265"/>
    <mergeCell ref="AB291:AB292"/>
    <mergeCell ref="N291:N292"/>
    <mergeCell ref="P291:P292"/>
    <mergeCell ref="K291:K292"/>
    <mergeCell ref="W291:W292"/>
    <mergeCell ref="Y291:Y292"/>
    <mergeCell ref="AA291:AA292"/>
    <mergeCell ref="K278:K279"/>
    <mergeCell ref="L278:L279"/>
    <mergeCell ref="M278:M279"/>
    <mergeCell ref="N278:N279"/>
    <mergeCell ref="R264:R265"/>
    <mergeCell ref="R271:R272"/>
    <mergeCell ref="L291:L292"/>
    <mergeCell ref="R291:R292"/>
    <mergeCell ref="S291:S292"/>
    <mergeCell ref="Z291:Z292"/>
    <mergeCell ref="Q291:Q292"/>
    <mergeCell ref="H254:H255"/>
    <mergeCell ref="K264:K265"/>
    <mergeCell ref="M264:M265"/>
    <mergeCell ref="J264:J265"/>
    <mergeCell ref="L264:L265"/>
    <mergeCell ref="I264:I265"/>
    <mergeCell ref="M245:M246"/>
    <mergeCell ref="A264:A265"/>
    <mergeCell ref="O245:O246"/>
    <mergeCell ref="D245:D246"/>
    <mergeCell ref="E245:E246"/>
    <mergeCell ref="B245:B246"/>
    <mergeCell ref="H264:H265"/>
    <mergeCell ref="C245:C246"/>
    <mergeCell ref="G254:G255"/>
    <mergeCell ref="I254:I255"/>
    <mergeCell ref="B264:B265"/>
    <mergeCell ref="F264:F265"/>
    <mergeCell ref="G264:G265"/>
    <mergeCell ref="F245:F246"/>
    <mergeCell ref="B254:B255"/>
    <mergeCell ref="A254:A255"/>
    <mergeCell ref="A245:A246"/>
    <mergeCell ref="A247:A249"/>
    <mergeCell ref="AS271:AS272"/>
    <mergeCell ref="AR271:AR272"/>
    <mergeCell ref="AO271:AO272"/>
    <mergeCell ref="Q271:Q272"/>
    <mergeCell ref="A284:A285"/>
    <mergeCell ref="B284:B285"/>
    <mergeCell ref="C284:C285"/>
    <mergeCell ref="K284:K285"/>
    <mergeCell ref="O271:O272"/>
    <mergeCell ref="G271:G272"/>
    <mergeCell ref="H271:H272"/>
    <mergeCell ref="AN271:AN272"/>
    <mergeCell ref="C278:C279"/>
    <mergeCell ref="D278:D279"/>
    <mergeCell ref="A271:A272"/>
    <mergeCell ref="M284:M285"/>
    <mergeCell ref="I278:I279"/>
    <mergeCell ref="J278:J279"/>
    <mergeCell ref="L284:L285"/>
    <mergeCell ref="I284:I285"/>
    <mergeCell ref="P271:P272"/>
    <mergeCell ref="B271:B272"/>
    <mergeCell ref="C271:C272"/>
    <mergeCell ref="D271:D272"/>
    <mergeCell ref="BX271:BX272"/>
    <mergeCell ref="AB271:AB272"/>
    <mergeCell ref="AC271:AC272"/>
    <mergeCell ref="AD271:AD272"/>
    <mergeCell ref="BB271:BB272"/>
    <mergeCell ref="AX271:AX272"/>
    <mergeCell ref="AY271:AY272"/>
    <mergeCell ref="AW271:AW272"/>
    <mergeCell ref="AT271:AT272"/>
    <mergeCell ref="AU271:AU272"/>
    <mergeCell ref="AP271:AP272"/>
    <mergeCell ref="AQ271:AQ272"/>
    <mergeCell ref="BC271:BC272"/>
    <mergeCell ref="BD271:BD272"/>
    <mergeCell ref="BE271:BE272"/>
    <mergeCell ref="BW271:BW272"/>
    <mergeCell ref="AZ271:AZ272"/>
    <mergeCell ref="BA271:BA272"/>
    <mergeCell ref="BU271:BU272"/>
    <mergeCell ref="BV271:BV272"/>
    <mergeCell ref="AV271:AV272"/>
    <mergeCell ref="AK271:AK272"/>
    <mergeCell ref="AL271:AL272"/>
    <mergeCell ref="AM271:AM272"/>
    <mergeCell ref="S264:S265"/>
    <mergeCell ref="S271:S272"/>
    <mergeCell ref="Q264:Q265"/>
    <mergeCell ref="P245:P246"/>
    <mergeCell ref="P264:P265"/>
    <mergeCell ref="AI271:AI272"/>
    <mergeCell ref="AJ271:AJ272"/>
    <mergeCell ref="W271:W272"/>
    <mergeCell ref="X271:X272"/>
    <mergeCell ref="T264:T265"/>
    <mergeCell ref="AE271:AE272"/>
    <mergeCell ref="AF271:AF272"/>
    <mergeCell ref="AG271:AG272"/>
    <mergeCell ref="AH271:AH272"/>
    <mergeCell ref="T271:T272"/>
    <mergeCell ref="U271:U272"/>
    <mergeCell ref="V271:V272"/>
    <mergeCell ref="Y271:Y272"/>
    <mergeCell ref="Z271:Z272"/>
    <mergeCell ref="AA271:AA272"/>
    <mergeCell ref="N182:N183"/>
    <mergeCell ref="R182:R183"/>
    <mergeCell ref="P182:P183"/>
    <mergeCell ref="C160:K160"/>
    <mergeCell ref="C166:K166"/>
    <mergeCell ref="H182:H183"/>
    <mergeCell ref="H215:H216"/>
    <mergeCell ref="I215:I216"/>
    <mergeCell ref="J215:J216"/>
    <mergeCell ref="C161:K161"/>
    <mergeCell ref="C168:K168"/>
    <mergeCell ref="F215:F216"/>
    <mergeCell ref="G215:G216"/>
    <mergeCell ref="N215:N216"/>
    <mergeCell ref="P215:P216"/>
    <mergeCell ref="O215:O216"/>
    <mergeCell ref="M215:M216"/>
    <mergeCell ref="M182:M183"/>
    <mergeCell ref="C167:K167"/>
    <mergeCell ref="C169:K169"/>
    <mergeCell ref="Q215:Q216"/>
    <mergeCell ref="R215:R216"/>
    <mergeCell ref="O182:O183"/>
    <mergeCell ref="U11:W11"/>
    <mergeCell ref="X11:Z11"/>
    <mergeCell ref="Y215:Y216"/>
    <mergeCell ref="W215:W216"/>
    <mergeCell ref="X215:X216"/>
    <mergeCell ref="V215:V216"/>
    <mergeCell ref="U215:U216"/>
    <mergeCell ref="T182:T183"/>
    <mergeCell ref="Q182:Q183"/>
    <mergeCell ref="S182:S183"/>
    <mergeCell ref="T215:T216"/>
    <mergeCell ref="S215:S216"/>
    <mergeCell ref="J2:L2"/>
    <mergeCell ref="J3:J5"/>
    <mergeCell ref="K3:K5"/>
    <mergeCell ref="L3:L5"/>
    <mergeCell ref="F2:F5"/>
    <mergeCell ref="G2:I2"/>
    <mergeCell ref="L215:L216"/>
    <mergeCell ref="K215:K216"/>
    <mergeCell ref="I182:I183"/>
    <mergeCell ref="A302:B302"/>
    <mergeCell ref="D302:E302"/>
    <mergeCell ref="A310:A311"/>
    <mergeCell ref="B310:B311"/>
    <mergeCell ref="C310:C311"/>
    <mergeCell ref="D310:D311"/>
    <mergeCell ref="E310:E311"/>
    <mergeCell ref="F310:F311"/>
    <mergeCell ref="C2:C5"/>
    <mergeCell ref="E232:E233"/>
    <mergeCell ref="C163:K163"/>
    <mergeCell ref="C164:K164"/>
    <mergeCell ref="C165:K165"/>
    <mergeCell ref="G232:G233"/>
    <mergeCell ref="A50:A78"/>
    <mergeCell ref="A184:A198"/>
    <mergeCell ref="A79:A113"/>
    <mergeCell ref="A114:A151"/>
    <mergeCell ref="A232:A233"/>
    <mergeCell ref="A182:A183"/>
    <mergeCell ref="A215:A216"/>
    <mergeCell ref="A199:A212"/>
    <mergeCell ref="B232:B233"/>
    <mergeCell ref="H245:H246"/>
    <mergeCell ref="B2:B5"/>
    <mergeCell ref="A2:A5"/>
    <mergeCell ref="A6:A49"/>
    <mergeCell ref="A256:A259"/>
    <mergeCell ref="A273:A274"/>
    <mergeCell ref="A278:A279"/>
    <mergeCell ref="B278:B279"/>
    <mergeCell ref="E2:E5"/>
    <mergeCell ref="C162:K162"/>
    <mergeCell ref="I232:I233"/>
    <mergeCell ref="J182:J183"/>
    <mergeCell ref="J245:J246"/>
    <mergeCell ref="I245:I246"/>
    <mergeCell ref="J232:J233"/>
    <mergeCell ref="K232:K233"/>
    <mergeCell ref="E271:E272"/>
    <mergeCell ref="I3:I5"/>
    <mergeCell ref="C264:C265"/>
    <mergeCell ref="D264:D265"/>
    <mergeCell ref="E264:E265"/>
    <mergeCell ref="E254:E255"/>
    <mergeCell ref="F254:F255"/>
    <mergeCell ref="C254:C255"/>
    <mergeCell ref="D254:D255"/>
    <mergeCell ref="O310:O311"/>
    <mergeCell ref="P310:P311"/>
    <mergeCell ref="Q310:Q311"/>
    <mergeCell ref="R310:R311"/>
    <mergeCell ref="S310:S311"/>
    <mergeCell ref="T310:T311"/>
    <mergeCell ref="G342:G343"/>
    <mergeCell ref="H342:H343"/>
    <mergeCell ref="I342:I343"/>
    <mergeCell ref="L310:L311"/>
    <mergeCell ref="M310:M311"/>
    <mergeCell ref="N310:N311"/>
    <mergeCell ref="G310:G311"/>
    <mergeCell ref="H310:H311"/>
    <mergeCell ref="I310:I311"/>
    <mergeCell ref="J310:J311"/>
    <mergeCell ref="S342:S343"/>
    <mergeCell ref="T342:T343"/>
    <mergeCell ref="R342:R343"/>
    <mergeCell ref="K310:K311"/>
    <mergeCell ref="A312:A322"/>
    <mergeCell ref="A323:A336"/>
    <mergeCell ref="A342:A343"/>
    <mergeCell ref="B342:B343"/>
    <mergeCell ref="C342:C343"/>
    <mergeCell ref="F342:F343"/>
    <mergeCell ref="E359:E360"/>
    <mergeCell ref="F359:F360"/>
    <mergeCell ref="G359:G360"/>
    <mergeCell ref="A374:A375"/>
    <mergeCell ref="A376:A377"/>
    <mergeCell ref="H372:H373"/>
    <mergeCell ref="Q359:Q360"/>
    <mergeCell ref="J342:J343"/>
    <mergeCell ref="K342:K343"/>
    <mergeCell ref="L342:L343"/>
    <mergeCell ref="M342:M343"/>
    <mergeCell ref="N342:N343"/>
    <mergeCell ref="O342:O343"/>
    <mergeCell ref="A344:A349"/>
    <mergeCell ref="A350:A355"/>
    <mergeCell ref="A359:A360"/>
    <mergeCell ref="B359:B360"/>
    <mergeCell ref="C359:C360"/>
    <mergeCell ref="D359:D360"/>
    <mergeCell ref="L359:L360"/>
    <mergeCell ref="M359:M360"/>
    <mergeCell ref="N359:N360"/>
    <mergeCell ref="O359:O360"/>
    <mergeCell ref="P359:P360"/>
    <mergeCell ref="P342:P343"/>
    <mergeCell ref="Q342:Q343"/>
    <mergeCell ref="H359:H360"/>
    <mergeCell ref="I359:I360"/>
    <mergeCell ref="J359:J360"/>
    <mergeCell ref="K359:K360"/>
    <mergeCell ref="A361:A364"/>
    <mergeCell ref="A365:A368"/>
    <mergeCell ref="A372:A373"/>
    <mergeCell ref="B372:B373"/>
    <mergeCell ref="C372:C373"/>
    <mergeCell ref="D372:D373"/>
    <mergeCell ref="R372:R373"/>
    <mergeCell ref="S372:S373"/>
    <mergeCell ref="L372:L373"/>
    <mergeCell ref="M372:M373"/>
    <mergeCell ref="N372:N373"/>
    <mergeCell ref="O372:O373"/>
    <mergeCell ref="E381:E382"/>
    <mergeCell ref="F381:F382"/>
    <mergeCell ref="G381:G382"/>
    <mergeCell ref="H381:H382"/>
    <mergeCell ref="I381:I382"/>
    <mergeCell ref="Q372:Q373"/>
    <mergeCell ref="P372:P373"/>
    <mergeCell ref="M381:M382"/>
    <mergeCell ref="I372:I373"/>
    <mergeCell ref="J372:J373"/>
    <mergeCell ref="K372:K373"/>
    <mergeCell ref="E372:E373"/>
    <mergeCell ref="F372:F373"/>
    <mergeCell ref="G372:G373"/>
    <mergeCell ref="A383:A386"/>
    <mergeCell ref="A387:A390"/>
    <mergeCell ref="A381:A382"/>
    <mergeCell ref="B381:B382"/>
    <mergeCell ref="C381:C382"/>
    <mergeCell ref="D381:D382"/>
    <mergeCell ref="Q394:Q395"/>
    <mergeCell ref="R394:R395"/>
    <mergeCell ref="S394:S395"/>
    <mergeCell ref="E394:E395"/>
    <mergeCell ref="F394:F395"/>
    <mergeCell ref="G394:G395"/>
    <mergeCell ref="H394:H395"/>
    <mergeCell ref="I394:I395"/>
    <mergeCell ref="J394:J395"/>
    <mergeCell ref="J381:J382"/>
    <mergeCell ref="K381:K382"/>
    <mergeCell ref="L381:L382"/>
    <mergeCell ref="T394:T395"/>
    <mergeCell ref="A396:A397"/>
    <mergeCell ref="A398:A399"/>
    <mergeCell ref="A394:A395"/>
    <mergeCell ref="B394:B395"/>
    <mergeCell ref="C394:C395"/>
    <mergeCell ref="D394:D395"/>
    <mergeCell ref="G403:G404"/>
    <mergeCell ref="H403:H404"/>
    <mergeCell ref="I403:I404"/>
    <mergeCell ref="N394:N395"/>
    <mergeCell ref="O394:O395"/>
    <mergeCell ref="P394:P395"/>
    <mergeCell ref="K394:K395"/>
    <mergeCell ref="L394:L395"/>
    <mergeCell ref="M394:M395"/>
    <mergeCell ref="A403:A404"/>
    <mergeCell ref="B403:B404"/>
    <mergeCell ref="C403:C404"/>
    <mergeCell ref="D403:D404"/>
    <mergeCell ref="E403:E404"/>
    <mergeCell ref="F403:F404"/>
    <mergeCell ref="J403:J404"/>
    <mergeCell ref="K403:K404"/>
    <mergeCell ref="AJ403:AJ404"/>
    <mergeCell ref="S403:S404"/>
    <mergeCell ref="T403:T404"/>
    <mergeCell ref="U403:U404"/>
    <mergeCell ref="V403:V404"/>
    <mergeCell ref="W403:W404"/>
    <mergeCell ref="X403:X404"/>
    <mergeCell ref="Y403:Y404"/>
    <mergeCell ref="Z403:Z404"/>
    <mergeCell ref="AA403:AA404"/>
    <mergeCell ref="AD403:AD404"/>
    <mergeCell ref="AE403:AE404"/>
    <mergeCell ref="AF403:AF404"/>
    <mergeCell ref="AG403:AG404"/>
    <mergeCell ref="AH403:AH404"/>
    <mergeCell ref="AI403:AI404"/>
    <mergeCell ref="H412:H413"/>
    <mergeCell ref="I412:I413"/>
    <mergeCell ref="P412:P413"/>
    <mergeCell ref="Q412:Q413"/>
    <mergeCell ref="R412:R413"/>
    <mergeCell ref="S412:S413"/>
    <mergeCell ref="AB403:AB404"/>
    <mergeCell ref="AC403:AC404"/>
    <mergeCell ref="P403:P404"/>
    <mergeCell ref="Q403:Q404"/>
    <mergeCell ref="R403:R404"/>
    <mergeCell ref="L403:L404"/>
    <mergeCell ref="M403:M404"/>
    <mergeCell ref="N403:N404"/>
    <mergeCell ref="O403:O404"/>
    <mergeCell ref="T412:T413"/>
    <mergeCell ref="U412:U413"/>
    <mergeCell ref="V412:V413"/>
    <mergeCell ref="AK403:AK404"/>
    <mergeCell ref="AL403:AL404"/>
    <mergeCell ref="AM403:AN404"/>
    <mergeCell ref="A405:A406"/>
    <mergeCell ref="A407:A408"/>
    <mergeCell ref="A412:A413"/>
    <mergeCell ref="B412:B413"/>
    <mergeCell ref="C412:C413"/>
    <mergeCell ref="F419:F420"/>
    <mergeCell ref="G419:G420"/>
    <mergeCell ref="H419:H420"/>
    <mergeCell ref="I419:I420"/>
    <mergeCell ref="J419:J420"/>
    <mergeCell ref="K419:K420"/>
    <mergeCell ref="J412:J413"/>
    <mergeCell ref="K412:K413"/>
    <mergeCell ref="L412:L413"/>
    <mergeCell ref="M412:M413"/>
    <mergeCell ref="N412:N413"/>
    <mergeCell ref="O412:O413"/>
    <mergeCell ref="D412:D413"/>
    <mergeCell ref="E412:E413"/>
    <mergeCell ref="F412:F413"/>
    <mergeCell ref="G412:G413"/>
    <mergeCell ref="A419:A420"/>
    <mergeCell ref="B419:B420"/>
    <mergeCell ref="C419:C420"/>
    <mergeCell ref="D419:D420"/>
    <mergeCell ref="E419:E420"/>
    <mergeCell ref="N428:N429"/>
    <mergeCell ref="O428:O429"/>
    <mergeCell ref="P428:P429"/>
    <mergeCell ref="A421:A422"/>
    <mergeCell ref="A423:A424"/>
    <mergeCell ref="A428:A429"/>
    <mergeCell ref="B428:B429"/>
    <mergeCell ref="C428:C429"/>
    <mergeCell ref="D428:D429"/>
    <mergeCell ref="E428:E429"/>
    <mergeCell ref="H428:H429"/>
    <mergeCell ref="I428:I429"/>
    <mergeCell ref="J428:J429"/>
    <mergeCell ref="K428:K429"/>
    <mergeCell ref="L419:L420"/>
    <mergeCell ref="M419:M420"/>
    <mergeCell ref="L431:L432"/>
    <mergeCell ref="M431:M432"/>
    <mergeCell ref="N431:N432"/>
    <mergeCell ref="L428:L429"/>
    <mergeCell ref="M428:M429"/>
    <mergeCell ref="V431:V432"/>
    <mergeCell ref="A431:A432"/>
    <mergeCell ref="B431:B432"/>
    <mergeCell ref="C431:C432"/>
    <mergeCell ref="D431:D432"/>
    <mergeCell ref="E431:E432"/>
    <mergeCell ref="F431:F432"/>
    <mergeCell ref="G431:G432"/>
    <mergeCell ref="H431:H432"/>
    <mergeCell ref="I431:I432"/>
    <mergeCell ref="F428:F429"/>
    <mergeCell ref="G428:G429"/>
    <mergeCell ref="J434:J435"/>
    <mergeCell ref="K434:K435"/>
    <mergeCell ref="L434:L435"/>
    <mergeCell ref="M434:M435"/>
    <mergeCell ref="AB431:AB432"/>
    <mergeCell ref="AC431:AC432"/>
    <mergeCell ref="AD431:AD432"/>
    <mergeCell ref="N434:N435"/>
    <mergeCell ref="O434:O435"/>
    <mergeCell ref="P434:P435"/>
    <mergeCell ref="S431:S432"/>
    <mergeCell ref="T431:T432"/>
    <mergeCell ref="U431:U432"/>
    <mergeCell ref="O431:O432"/>
    <mergeCell ref="P431:P432"/>
    <mergeCell ref="Q431:Q432"/>
    <mergeCell ref="R431:R432"/>
    <mergeCell ref="W431:W432"/>
    <mergeCell ref="X431:X432"/>
    <mergeCell ref="Y431:Y432"/>
    <mergeCell ref="Z431:Z432"/>
    <mergeCell ref="AA431:AA432"/>
    <mergeCell ref="J431:J432"/>
    <mergeCell ref="K431:K432"/>
    <mergeCell ref="A434:A435"/>
    <mergeCell ref="B434:B435"/>
    <mergeCell ref="C434:C435"/>
    <mergeCell ref="D434:D435"/>
    <mergeCell ref="E434:E435"/>
    <mergeCell ref="F434:F435"/>
    <mergeCell ref="G434:G435"/>
    <mergeCell ref="H434:H435"/>
    <mergeCell ref="I434:I435"/>
  </mergeCells>
  <pageMargins left="0.7" right="0.7" top="0.75" bottom="0.75" header="0.3" footer="0.3"/>
  <pageSetup scale="54" fitToHeight="0" orientation="landscape" r:id="rId1"/>
  <rowBreaks count="2" manualBreakCount="2">
    <brk id="49" max="11" man="1"/>
    <brk id="113" max="11"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Line Ratings (2)</vt:lpstr>
      <vt:lpstr>Cover</vt:lpstr>
      <vt:lpstr>Instruction Sheet</vt:lpstr>
      <vt:lpstr>Line Ratings</vt:lpstr>
      <vt:lpstr>Manually Rated</vt:lpstr>
      <vt:lpstr>Line Ratings In Construction</vt:lpstr>
      <vt:lpstr>Removed Line Facilities</vt:lpstr>
      <vt:lpstr>Transformer Ratings</vt:lpstr>
      <vt:lpstr>Transformer In Construction</vt:lpstr>
      <vt:lpstr>Lamar DC Tie</vt:lpstr>
      <vt:lpstr>Ambient Adjusted Ratings</vt:lpstr>
      <vt:lpstr>E.S. Generation</vt:lpstr>
      <vt:lpstr>E.S. Wind Farms</vt:lpstr>
      <vt:lpstr>'Ambient Adjusted Ratings'!Print_Area</vt:lpstr>
      <vt:lpstr>Cover!Print_Area</vt:lpstr>
      <vt:lpstr>'E.S. Wind Farms'!Print_Area</vt:lpstr>
      <vt:lpstr>'Instruction Sheet'!Print_Area</vt:lpstr>
      <vt:lpstr>'Lamar DC Tie'!Print_Area</vt:lpstr>
      <vt:lpstr>'Line Ratings (2)'!Print_Area</vt:lpstr>
      <vt:lpstr>'Removed Line Facilities'!Print_Area</vt:lpstr>
      <vt:lpstr>'Ambient Adjusted Ratings'!Print_Titles</vt:lpstr>
      <vt:lpstr>'Line Ratings'!Print_Titles</vt:lpstr>
      <vt:lpstr>'Line Ratings (2)'!Print_Titles</vt:lpstr>
      <vt:lpstr>'Line Ratings In Construction'!Print_Titles</vt:lpstr>
      <vt:lpstr>'Manually Rated'!Print_Titles</vt:lpstr>
      <vt:lpstr>'Removed Line Facilities'!Print_Titles</vt:lpstr>
      <vt:lpstr>'Transformer In Construction'!Print_Titles</vt:lpstr>
      <vt:lpstr>'Transformer Ratings'!Print_Titles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2019-08-28T21:29:15Z</dcterms:created>
  <dcterms:modified xsi:type="dcterms:W3CDTF">2025-09-23T21:19:45Z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Policies</vt:lpwstr>
  </property>
  <property fmtid="{D5CDD505-2E9C-101B-9397-08002B2CF9AE}" pid="6" name="/Folder_Name/">
    <vt:lpwstr/>
  </property>
  <property fmtid="{D5CDD505-2E9C-101B-9397-08002B2CF9AE}" pid="7" name="/Folder_Description/">
    <vt:lpwstr>/Xcel Energy - Transmission/Engineering Department//Policies</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PSC-POL-FAC-008-5</vt:lpwstr>
  </property>
  <property fmtid="{D5CDD505-2E9C-101B-9397-08002B2CF9AE}" pid="22" name="Document_FileName">
    <vt:lpwstr>PSC-POL-FAC-008-5.xlsx</vt:lpwstr>
  </property>
  <property fmtid="{D5CDD505-2E9C-101B-9397-08002B2CF9AE}" pid="23" name="Document_Version">
    <vt:lpwstr>2024-03</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y fmtid="{D5CDD505-2E9C-101B-9397-08002B2CF9AE}" pid="36" name="MSIP_Label_611ac0a8-6b99-444d-a60f-7336bfe397d8_Enabled">
    <vt:lpwstr>true</vt:lpwstr>
  </property>
  <property fmtid="{D5CDD505-2E9C-101B-9397-08002B2CF9AE}" pid="37" name="MSIP_Label_611ac0a8-6b99-444d-a60f-7336bfe397d8_SetDate">
    <vt:lpwstr>2023-02-16T18:01:58Z</vt:lpwstr>
  </property>
  <property fmtid="{D5CDD505-2E9C-101B-9397-08002B2CF9AE}" pid="38" name="MSIP_Label_611ac0a8-6b99-444d-a60f-7336bfe397d8_Method">
    <vt:lpwstr>Standard</vt:lpwstr>
  </property>
  <property fmtid="{D5CDD505-2E9C-101B-9397-08002B2CF9AE}" pid="39" name="MSIP_Label_611ac0a8-6b99-444d-a60f-7336bfe397d8_Name">
    <vt:lpwstr>II - Internal Information</vt:lpwstr>
  </property>
  <property fmtid="{D5CDD505-2E9C-101B-9397-08002B2CF9AE}" pid="40" name="MSIP_Label_611ac0a8-6b99-444d-a60f-7336bfe397d8_SiteId">
    <vt:lpwstr>24b2a583-5c05-4b6a-b4e9-4e12dc0025ad</vt:lpwstr>
  </property>
  <property fmtid="{D5CDD505-2E9C-101B-9397-08002B2CF9AE}" pid="41" name="MSIP_Label_611ac0a8-6b99-444d-a60f-7336bfe397d8_ActionId">
    <vt:lpwstr>26515254-df44-432f-9760-a6a7f782731e</vt:lpwstr>
  </property>
  <property fmtid="{D5CDD505-2E9C-101B-9397-08002B2CF9AE}" pid="42" name="MSIP_Label_611ac0a8-6b99-444d-a60f-7336bfe397d8_ContentBits">
    <vt:lpwstr>0</vt:lpwstr>
  </property>
</Properties>
</file>